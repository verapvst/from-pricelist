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whitestarservicing-my.sharepoint.com/personal/vpteixeira_from_pt/Documents/Desktop/Price List/"/>
    </mc:Choice>
  </mc:AlternateContent>
  <xr:revisionPtr revIDLastSave="969" documentId="8_{3DC24474-77C6-AE41-BB70-C545E39EEAF3}" xr6:coauthVersionLast="47" xr6:coauthVersionMax="47" xr10:uidLastSave="{DFDB7C43-A4BB-45C0-B2FB-F841636A1FB7}"/>
  <bookViews>
    <workbookView xWindow="-23148" yWindow="-108" windowWidth="23256" windowHeight="12456" tabRatio="854" activeTab="2" xr2:uid="{8F4FC7C8-A70C-437B-8705-F06E4142BDB6}"/>
  </bookViews>
  <sheets>
    <sheet name="🏠 HOME" sheetId="27" r:id="rId1"/>
    <sheet name="Overview" sheetId="31" r:id="rId2"/>
    <sheet name="DATABASE" sheetId="30" r:id="rId3"/>
    <sheet name="Natura Village " sheetId="6" r:id="rId4"/>
    <sheet name="The Nine" sheetId="23" r:id="rId5"/>
    <sheet name="Terracota" sheetId="8" r:id="rId6"/>
    <sheet name="Nobilus" sheetId="5" r:id="rId7"/>
    <sheet name="Zestia" sheetId="13" r:id="rId8"/>
    <sheet name="Springs - At the Els" sheetId="12" r:id="rId9"/>
    <sheet name="Botanica" sheetId="15" r:id="rId10"/>
    <sheet name="The Uncommon" sheetId="14" r:id="rId11"/>
    <sheet name="Rivus" sheetId="9" r:id="rId12"/>
    <sheet name="Sutaya" sheetId="16" r:id="rId13"/>
    <sheet name="Azuya" sheetId="17" r:id="rId14"/>
    <sheet name="Palmares" sheetId="18" r:id="rId15"/>
    <sheet name="Monte Rei" sheetId="19" r:id="rId16"/>
    <sheet name="Aroeira Collections" sheetId="20" r:id="rId17"/>
    <sheet name="Vale Pisão Grand Park" sheetId="21" r:id="rId18"/>
  </sheets>
  <definedNames>
    <definedName name="_xlnm._FilterDatabase" localSheetId="16" hidden="1">'Aroeira Collections'!$B$1:$V$1</definedName>
    <definedName name="_xlnm._FilterDatabase" localSheetId="13" hidden="1">Azuya!$A$1:$P$1</definedName>
    <definedName name="_xlnm._FilterDatabase" localSheetId="9" hidden="1">Botanica!$A$1:$P$1</definedName>
    <definedName name="_xlnm._FilterDatabase" localSheetId="2" hidden="1">DATABASE!$A$1:$AB$1165</definedName>
    <definedName name="_xlnm._FilterDatabase" localSheetId="15" hidden="1">'Monte Rei'!$A$1:$Q$1</definedName>
    <definedName name="_xlnm._FilterDatabase" localSheetId="3" hidden="1">'Natura Village '!$A$1:$AB$1</definedName>
    <definedName name="_xlnm._FilterDatabase" localSheetId="6" hidden="1">Nobilus!$A$1:$M$1</definedName>
    <definedName name="_xlnm._FilterDatabase" localSheetId="14" hidden="1">Palmares!$A$1:$P$1</definedName>
    <definedName name="_xlnm._FilterDatabase" localSheetId="11" hidden="1">Rivus!$A$1:$P$1</definedName>
    <definedName name="_xlnm._FilterDatabase" localSheetId="8" hidden="1">'Springs - At the Els'!$A$1:$P$1</definedName>
    <definedName name="_xlnm._FilterDatabase" localSheetId="12" hidden="1">Sutaya!$A$1:$V$1</definedName>
    <definedName name="_xlnm._FilterDatabase" localSheetId="5" hidden="1">Terracota!$A$1:$P$1</definedName>
    <definedName name="_xlnm._FilterDatabase" localSheetId="4" hidden="1">'The Nine'!$A$1:$P$1</definedName>
    <definedName name="_xlnm._FilterDatabase" localSheetId="10" hidden="1">'The Uncommon'!$A$1:$P$1</definedName>
    <definedName name="_xlnm._FilterDatabase" localSheetId="17" hidden="1">'Vale Pisão Grand Park'!$A$1:$W$1</definedName>
    <definedName name="_xlnm._FilterDatabase" localSheetId="7" hidden="1">Zestia!$A$1:$P$1</definedName>
    <definedName name="_xlnm.Database">DATABASE!$A$1:$AB$1142</definedName>
    <definedName name="lstLocation">#REF!</definedName>
    <definedName name="lstOwnerAM">#REF!</definedName>
    <definedName name="lstOwnerComm">#REF!</definedName>
    <definedName name="lstStatus">#REF!</definedName>
    <definedName name="lstType">#REF!</definedName>
    <definedName name="_xlnm.Print_Area" localSheetId="16">'Aroeira Collections'!$A$1:$V$231</definedName>
    <definedName name="_xlnm.Print_Area" localSheetId="13">Azuya!$A$25:$Q$42</definedName>
    <definedName name="_xlnm.Print_Area" localSheetId="9">Botanica!$A$1:$Q$56</definedName>
    <definedName name="_xlnm.Print_Area" localSheetId="15">'Monte Rei'!$A$1:$R$81</definedName>
    <definedName name="_xlnm.Print_Area" localSheetId="3">'Natura Village '!$A$1:$Q$39</definedName>
    <definedName name="_xlnm.Print_Area" localSheetId="6">Nobilus!$A$1:$N$48</definedName>
    <definedName name="_xlnm.Print_Area" localSheetId="14">Palmares!$A$1:$Q$25</definedName>
    <definedName name="_xlnm.Print_Area" localSheetId="11">Rivus!$A$41:$Q$103</definedName>
    <definedName name="_xlnm.Print_Area" localSheetId="8">'Springs - At the Els'!$A$25:$Q$104</definedName>
    <definedName name="_xlnm.Print_Area" localSheetId="12">Sutaya!$A$25:$Q$42</definedName>
    <definedName name="_xlnm.Print_Area" localSheetId="5">Terracota!$A$1:$Q$88</definedName>
    <definedName name="_xlnm.Print_Area" localSheetId="4">'The Nine'!$A$1:$Q$49</definedName>
    <definedName name="_xlnm.Print_Area" localSheetId="10">'The Uncommon'!$A$1:$Q$93</definedName>
    <definedName name="_xlnm.Print_Area" localSheetId="17">'Vale Pisão Grand Park'!$A$47:$U$131</definedName>
    <definedName name="_xlnm.Print_Area" localSheetId="7">Zestia!$A$1:$Q$63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31" l="1" a="1"/>
  <c r="L8" i="31" a="1"/>
  <c r="L9" i="31" a="1"/>
  <c r="L10" i="31" a="1"/>
  <c r="L11" i="31" a="1"/>
  <c r="L12" i="31" a="1"/>
  <c r="L13" i="31" a="1"/>
  <c r="L14" i="31" a="1"/>
  <c r="L15" i="31" a="1"/>
  <c r="L16" i="31" a="1"/>
  <c r="L17" i="31" a="1"/>
  <c r="L18" i="31" a="1"/>
  <c r="L19" i="31" a="1"/>
  <c r="L20" i="31" a="1"/>
  <c r="L21" i="31" a="1"/>
  <c r="L22" i="31" a="1"/>
  <c r="L23" i="31" a="1"/>
  <c r="K8" i="31" a="1"/>
  <c r="K9" i="31" a="1"/>
  <c r="K10" i="31" a="1"/>
  <c r="K11" i="31" a="1"/>
  <c r="K12" i="31" a="1"/>
  <c r="K13" i="31" a="1"/>
  <c r="K14" i="31" a="1"/>
  <c r="K15" i="31" a="1"/>
  <c r="K16" i="31" a="1"/>
  <c r="K17" i="31" a="1"/>
  <c r="K18" i="31" a="1"/>
  <c r="K19" i="31" a="1"/>
  <c r="K20" i="31" a="1"/>
  <c r="K21" i="31" a="1"/>
  <c r="K22" i="31" a="1"/>
  <c r="K23" i="31" a="1"/>
  <c r="K7" i="31" a="1"/>
  <c r="U12" i="31"/>
  <c r="Q12" i="31"/>
  <c r="X7" i="31" a="1"/>
  <c r="X8" i="31" a="1"/>
  <c r="X9" i="31" a="1"/>
  <c r="X10" i="31" a="1"/>
  <c r="X11" i="31" a="1"/>
  <c r="X12" i="31" a="1"/>
  <c r="X13" i="31" a="1"/>
  <c r="X14" i="31" a="1"/>
  <c r="X15" i="31" a="1"/>
  <c r="X16" i="31" a="1"/>
  <c r="X17" i="31" a="1"/>
  <c r="X18" i="31" a="1"/>
  <c r="X19" i="31" a="1"/>
  <c r="X20" i="31" a="1"/>
  <c r="X21" i="31" a="1"/>
  <c r="X22" i="31" a="1"/>
  <c r="X23" i="31" a="1"/>
  <c r="C7" i="31"/>
  <c r="D7" i="31" a="1"/>
  <c r="E7" i="31" a="1"/>
  <c r="C8" i="31"/>
  <c r="D8" i="31" a="1"/>
  <c r="E8" i="31" a="1"/>
  <c r="C9" i="31"/>
  <c r="D9" i="31" a="1"/>
  <c r="E9" i="31" a="1"/>
  <c r="C10" i="31"/>
  <c r="D10" i="31" a="1"/>
  <c r="E10" i="31" a="1"/>
  <c r="C11" i="31"/>
  <c r="D11" i="31" a="1"/>
  <c r="E11" i="31" a="1"/>
  <c r="C12" i="31"/>
  <c r="D12" i="31" a="1"/>
  <c r="E12" i="31" a="1"/>
  <c r="C13" i="31"/>
  <c r="D13" i="31" a="1"/>
  <c r="E13" i="31" a="1"/>
  <c r="C14" i="31"/>
  <c r="D14" i="31" a="1"/>
  <c r="E14" i="31" a="1"/>
  <c r="C15" i="31"/>
  <c r="D15" i="31" a="1"/>
  <c r="E15" i="31" a="1"/>
  <c r="C16" i="31"/>
  <c r="D16" i="31" a="1"/>
  <c r="E16" i="31" a="1"/>
  <c r="C17" i="31"/>
  <c r="D17" i="31" a="1"/>
  <c r="E17" i="31" a="1"/>
  <c r="C18" i="31"/>
  <c r="D18" i="31" a="1"/>
  <c r="E18" i="31" a="1"/>
  <c r="C19" i="31"/>
  <c r="D19" i="31" a="1"/>
  <c r="E19" i="31" a="1"/>
  <c r="C20" i="31"/>
  <c r="D20" i="31" a="1"/>
  <c r="E20" i="31" a="1"/>
  <c r="C21" i="31"/>
  <c r="D21" i="31" a="1"/>
  <c r="E21" i="31" a="1"/>
  <c r="C22" i="31"/>
  <c r="D22" i="31" a="1"/>
  <c r="E22" i="31" a="1"/>
  <c r="C23" i="31"/>
  <c r="D23" i="31" a="1"/>
  <c r="E23" i="31" a="1"/>
  <c r="B4" i="31"/>
  <c r="G7" i="31"/>
  <c r="H7" i="31" a="1"/>
  <c r="I7" i="31" a="1"/>
  <c r="J7" i="31" a="1"/>
  <c r="N7" i="31"/>
  <c r="G8" i="31"/>
  <c r="H8" i="31" a="1"/>
  <c r="I8" i="31" a="1"/>
  <c r="J8" i="31" a="1"/>
  <c r="N8" i="31"/>
  <c r="G9" i="31"/>
  <c r="H9" i="31" a="1"/>
  <c r="I9" i="31" a="1"/>
  <c r="J9" i="31" a="1"/>
  <c r="N9" i="31"/>
  <c r="G10" i="31"/>
  <c r="H10" i="31" a="1"/>
  <c r="I10" i="31" a="1"/>
  <c r="J10" i="31" a="1"/>
  <c r="N10" i="31"/>
  <c r="G11" i="31"/>
  <c r="H11" i="31" a="1"/>
  <c r="I11" i="31" a="1"/>
  <c r="J11" i="31" a="1"/>
  <c r="N11" i="31"/>
  <c r="G12" i="31"/>
  <c r="H12" i="31" a="1"/>
  <c r="I12" i="31" a="1"/>
  <c r="J12" i="31" a="1"/>
  <c r="N12" i="31"/>
  <c r="G13" i="31"/>
  <c r="H13" i="31" a="1"/>
  <c r="I13" i="31" a="1"/>
  <c r="J13" i="31" a="1"/>
  <c r="N13" i="31"/>
  <c r="G14" i="31"/>
  <c r="H14" i="31" a="1"/>
  <c r="I14" i="31" a="1"/>
  <c r="J14" i="31" a="1"/>
  <c r="N14" i="31"/>
  <c r="G15" i="31"/>
  <c r="H15" i="31" a="1"/>
  <c r="I15" i="31" a="1"/>
  <c r="J15" i="31" a="1"/>
  <c r="N15" i="31"/>
  <c r="G16" i="31"/>
  <c r="H16" i="31" a="1"/>
  <c r="I16" i="31" a="1"/>
  <c r="J16" i="31" a="1"/>
  <c r="N16" i="31"/>
  <c r="G17" i="31"/>
  <c r="H17" i="31" a="1"/>
  <c r="I17" i="31" a="1"/>
  <c r="J17" i="31" a="1"/>
  <c r="N17" i="31"/>
  <c r="G18" i="31"/>
  <c r="H18" i="31" a="1"/>
  <c r="I18" i="31" a="1"/>
  <c r="J18" i="31" a="1"/>
  <c r="N18" i="31"/>
  <c r="G19" i="31"/>
  <c r="H19" i="31" a="1"/>
  <c r="I19" i="31" a="1"/>
  <c r="J19" i="31" a="1"/>
  <c r="N19" i="31"/>
  <c r="G20" i="31"/>
  <c r="H20" i="31" a="1"/>
  <c r="I20" i="31" a="1"/>
  <c r="J20" i="31" a="1"/>
  <c r="N20" i="31"/>
  <c r="G21" i="31"/>
  <c r="H21" i="31" a="1"/>
  <c r="I21" i="31" a="1"/>
  <c r="J21" i="31" a="1"/>
  <c r="N21" i="31"/>
  <c r="G22" i="31"/>
  <c r="H22" i="31" a="1"/>
  <c r="I22" i="31" a="1"/>
  <c r="J22" i="31" a="1"/>
  <c r="N22" i="31"/>
  <c r="G23" i="31"/>
  <c r="H23" i="31" a="1"/>
  <c r="I23" i="31" a="1"/>
  <c r="J23" i="31" a="1"/>
  <c r="N23" i="31"/>
  <c r="Z326" i="30"/>
  <c r="Z624" i="30"/>
  <c r="Z750" i="30"/>
  <c r="Z777" i="30"/>
  <c r="Z792" i="30"/>
  <c r="Z813" i="30"/>
  <c r="Z841" i="30"/>
  <c r="Z864" i="30"/>
  <c r="Z880" i="30"/>
  <c r="Z893" i="30"/>
  <c r="Z905" i="30"/>
  <c r="Z925" i="30"/>
  <c r="Z333" i="30"/>
  <c r="Z625" i="30"/>
  <c r="Z751" i="30"/>
  <c r="Z779" i="30"/>
  <c r="Z793" i="30"/>
  <c r="Z814" i="30"/>
  <c r="Z842" i="30"/>
  <c r="Z867" i="30"/>
  <c r="Z881" i="30"/>
  <c r="Z894" i="30"/>
  <c r="Z906" i="30"/>
  <c r="Z926" i="30"/>
  <c r="Z942" i="30"/>
  <c r="Z951" i="30"/>
  <c r="Z334" i="30"/>
  <c r="Z626" i="30"/>
  <c r="Z752" i="30"/>
  <c r="Z780" i="30"/>
  <c r="Z795" i="30"/>
  <c r="Z815" i="30"/>
  <c r="Z844" i="30"/>
  <c r="Z868" i="30"/>
  <c r="Z882" i="30"/>
  <c r="Z895" i="30"/>
  <c r="Z912" i="30"/>
  <c r="Z930" i="30"/>
  <c r="Z339" i="30"/>
  <c r="Z631" i="30"/>
  <c r="Z757" i="30"/>
  <c r="Z788" i="30"/>
  <c r="Z809" i="30"/>
  <c r="Z836" i="30"/>
  <c r="Z853" i="30"/>
  <c r="Z875" i="30"/>
  <c r="Z889" i="30"/>
  <c r="Z901" i="30"/>
  <c r="Z921" i="30"/>
  <c r="Z938" i="30"/>
  <c r="Z947" i="30"/>
  <c r="Z956" i="30"/>
  <c r="Z966" i="30"/>
  <c r="Z985" i="30"/>
  <c r="Z1005" i="30"/>
  <c r="Z1015" i="30"/>
  <c r="Z1028" i="30"/>
  <c r="Z1042" i="30"/>
  <c r="Z1054" i="30"/>
  <c r="Z1096" i="30"/>
  <c r="Z1104" i="30"/>
  <c r="Z1112" i="30"/>
  <c r="Z1120" i="30"/>
  <c r="Z1128" i="30"/>
  <c r="Z354" i="30"/>
  <c r="Z370" i="30"/>
  <c r="Z378" i="30"/>
  <c r="Z387" i="30"/>
  <c r="Z396" i="30"/>
  <c r="Z404" i="30"/>
  <c r="Z420" i="30"/>
  <c r="Z434" i="30"/>
  <c r="Z447" i="30"/>
  <c r="Z462" i="30"/>
  <c r="Z472" i="30"/>
  <c r="Z489" i="30"/>
  <c r="Z503" i="30"/>
  <c r="Z516" i="30"/>
  <c r="Z526" i="30"/>
  <c r="Z543" i="30"/>
  <c r="Z551" i="30"/>
  <c r="Z558" i="30"/>
  <c r="Z571" i="30"/>
  <c r="Z581" i="30"/>
  <c r="Z592" i="30"/>
  <c r="Z600" i="30"/>
  <c r="Z117" i="30"/>
  <c r="Z140" i="30"/>
  <c r="Z151" i="30"/>
  <c r="Z158" i="30"/>
  <c r="Z161" i="30"/>
  <c r="Z171" i="30"/>
  <c r="Z174" i="30"/>
  <c r="Z185" i="30"/>
  <c r="Z187" i="30"/>
  <c r="Z191" i="30"/>
  <c r="Z202" i="30"/>
  <c r="Z214" i="30"/>
  <c r="Z216" i="30"/>
  <c r="Z787" i="30"/>
  <c r="Z807" i="30"/>
  <c r="Z835" i="30"/>
  <c r="Z852" i="30"/>
  <c r="Z872" i="30"/>
  <c r="Z888" i="30"/>
  <c r="Z900" i="30"/>
  <c r="Z919" i="30"/>
  <c r="Z935" i="30"/>
  <c r="Z946" i="30"/>
  <c r="Z955" i="30"/>
  <c r="Z965" i="30"/>
  <c r="Z980" i="30"/>
  <c r="Z1004" i="30"/>
  <c r="Z1013" i="30"/>
  <c r="Z1027" i="30"/>
  <c r="Z1041" i="30"/>
  <c r="Z1053" i="30"/>
  <c r="Z1095" i="30"/>
  <c r="Z1103" i="30"/>
  <c r="Z1111" i="30"/>
  <c r="Z1119" i="30"/>
  <c r="Z1127" i="30"/>
  <c r="Z353" i="30"/>
  <c r="Z369" i="30"/>
  <c r="Z377" i="30"/>
  <c r="Z386" i="30"/>
  <c r="Z395" i="30"/>
  <c r="Z403" i="30"/>
  <c r="Z417" i="30"/>
  <c r="Z433" i="30"/>
  <c r="Z446" i="30"/>
  <c r="Z459" i="30"/>
  <c r="Z471" i="30"/>
  <c r="Z482" i="30"/>
  <c r="Z502" i="30"/>
  <c r="Z510" i="30"/>
  <c r="Z525" i="30"/>
  <c r="Z538" i="30"/>
  <c r="Z550" i="30"/>
  <c r="Z557" i="30"/>
  <c r="Z570" i="30"/>
  <c r="Z576" i="30"/>
  <c r="Z591" i="30"/>
  <c r="Z599" i="30"/>
  <c r="Z607" i="30"/>
  <c r="Z611" i="30"/>
  <c r="Z617" i="30"/>
  <c r="Z621" i="30"/>
  <c r="Z652" i="30"/>
  <c r="Z656" i="30"/>
  <c r="Z661" i="30"/>
  <c r="Z666" i="30"/>
  <c r="Z670" i="30"/>
  <c r="Z674" i="30"/>
  <c r="Z678" i="30"/>
  <c r="Z690" i="30"/>
  <c r="Z693" i="30"/>
  <c r="Z697" i="30"/>
  <c r="Z701" i="30"/>
  <c r="Z711" i="30"/>
  <c r="Z713" i="30"/>
  <c r="Z715" i="30"/>
  <c r="Z718" i="30"/>
  <c r="Z721" i="30"/>
  <c r="Z726" i="30"/>
  <c r="Z728" i="30"/>
  <c r="Z730" i="30"/>
  <c r="Z732" i="30"/>
  <c r="Z734" i="30"/>
  <c r="Z736" i="30"/>
  <c r="Z739" i="30"/>
  <c r="Z741" i="30"/>
  <c r="Z743" i="30"/>
  <c r="Z749" i="30"/>
  <c r="Z760" i="30"/>
  <c r="Z761" i="30"/>
  <c r="Z762" i="30"/>
  <c r="Z763" i="30"/>
  <c r="Z764" i="30"/>
  <c r="Z765" i="30"/>
  <c r="Z768" i="30"/>
  <c r="Z769" i="30"/>
  <c r="Z773" i="30"/>
  <c r="Z774" i="30"/>
  <c r="Z775" i="30"/>
  <c r="Z776" i="30"/>
  <c r="Z336" i="30"/>
  <c r="Z627" i="30"/>
  <c r="Z754" i="30"/>
  <c r="Z783" i="30"/>
  <c r="Z796" i="30"/>
  <c r="Z816" i="30"/>
  <c r="Z845" i="30"/>
  <c r="Z869" i="30"/>
  <c r="Z883" i="30"/>
  <c r="Z896" i="30"/>
  <c r="Z913" i="30"/>
  <c r="Z931" i="30"/>
  <c r="Z943" i="30"/>
  <c r="Z952" i="30"/>
  <c r="Z960" i="30"/>
  <c r="Z975" i="30"/>
  <c r="Z1000" i="30"/>
  <c r="Z1009" i="30"/>
  <c r="Z1024" i="30"/>
  <c r="Z1034" i="30"/>
  <c r="Z1049" i="30"/>
  <c r="Z1092" i="30"/>
  <c r="Z1100" i="30"/>
  <c r="Z1108" i="30"/>
  <c r="Z1116" i="30"/>
  <c r="Z1124" i="30"/>
  <c r="Z350" i="30"/>
  <c r="Z361" i="30"/>
  <c r="Z374" i="30"/>
  <c r="Z382" i="30"/>
  <c r="Z392" i="30"/>
  <c r="Z400" i="30"/>
  <c r="Z408" i="30"/>
  <c r="Z429" i="30"/>
  <c r="Z441" i="30"/>
  <c r="Z456" i="30"/>
  <c r="Z468" i="30"/>
  <c r="Z479" i="30"/>
  <c r="Z495" i="30"/>
  <c r="Z508" i="30"/>
  <c r="Z523" i="30"/>
  <c r="Z536" i="30"/>
  <c r="Z548" i="30"/>
  <c r="Z555" i="30"/>
  <c r="Z561" i="30"/>
  <c r="Z574" i="30"/>
  <c r="Z588" i="30"/>
  <c r="Z347" i="30"/>
  <c r="Z359" i="30"/>
  <c r="Z372" i="30"/>
  <c r="Z380" i="30"/>
  <c r="Z390" i="30"/>
  <c r="Z398" i="30"/>
  <c r="Z406" i="30"/>
  <c r="Z427" i="30"/>
  <c r="Z439" i="30"/>
  <c r="Z452" i="30"/>
  <c r="Z466" i="30"/>
  <c r="Z474" i="30"/>
  <c r="Z493" i="30"/>
  <c r="Z506" i="30"/>
  <c r="Z518" i="30"/>
  <c r="Z533" i="30"/>
  <c r="Z544" i="30"/>
  <c r="Z552" i="30"/>
  <c r="Z559" i="30"/>
  <c r="Z572" i="30"/>
  <c r="Z582" i="30"/>
  <c r="Z593" i="30"/>
  <c r="Z601" i="30"/>
  <c r="Z608" i="30"/>
  <c r="Z612" i="30"/>
  <c r="Z618" i="30"/>
  <c r="Z623" i="30"/>
  <c r="Z634" i="30"/>
  <c r="Z653" i="30"/>
  <c r="Z658" i="30"/>
  <c r="Z663" i="30"/>
  <c r="Z667" i="30"/>
  <c r="Z671" i="30"/>
  <c r="Z675" i="30"/>
  <c r="Z679" i="30"/>
  <c r="Z691" i="30"/>
  <c r="Z695" i="30"/>
  <c r="Z699" i="30"/>
  <c r="Z759" i="30"/>
  <c r="Z791" i="30"/>
  <c r="Z811" i="30"/>
  <c r="Z838" i="30"/>
  <c r="Z855" i="30"/>
  <c r="Z877" i="30"/>
  <c r="Z891" i="30"/>
  <c r="Z903" i="30"/>
  <c r="Z923" i="30"/>
  <c r="Z940" i="30"/>
  <c r="Z949" i="30"/>
  <c r="Z958" i="30"/>
  <c r="Z968" i="30"/>
  <c r="Z987" i="30"/>
  <c r="Z1007" i="30"/>
  <c r="Z1017" i="30"/>
  <c r="Z1030" i="30"/>
  <c r="Z1044" i="30"/>
  <c r="Z1061" i="30"/>
  <c r="Z1098" i="30"/>
  <c r="Z1106" i="30"/>
  <c r="Z1114" i="30"/>
  <c r="Z1122" i="30"/>
  <c r="Z1130" i="30"/>
  <c r="Z340" i="30"/>
  <c r="Z633" i="30"/>
  <c r="Z758" i="30"/>
  <c r="Z790" i="30"/>
  <c r="Z810" i="30"/>
  <c r="Z837" i="30"/>
  <c r="Z854" i="30"/>
  <c r="Z876" i="30"/>
  <c r="Z890" i="30"/>
  <c r="Z902" i="30"/>
  <c r="Z922" i="30"/>
  <c r="Z939" i="30"/>
  <c r="Z948" i="30"/>
  <c r="Z957" i="30"/>
  <c r="Z967" i="30"/>
  <c r="Z986" i="30"/>
  <c r="Z1006" i="30"/>
  <c r="Z1016" i="30"/>
  <c r="Z1029" i="30"/>
  <c r="Z1043" i="30"/>
  <c r="Z1055" i="30"/>
  <c r="Z1097" i="30"/>
  <c r="Z1105" i="30"/>
  <c r="Z1113" i="30"/>
  <c r="Z1121" i="30"/>
  <c r="Z1129" i="30"/>
  <c r="Z358" i="30"/>
  <c r="Z371" i="30"/>
  <c r="Z379" i="30"/>
  <c r="Z388" i="30"/>
  <c r="Z397" i="30"/>
  <c r="Z405" i="30"/>
  <c r="Z426" i="30"/>
  <c r="Z435" i="30"/>
  <c r="Z448" i="30"/>
  <c r="Z464" i="30"/>
  <c r="Z473" i="30"/>
  <c r="Z491" i="30"/>
  <c r="Z505" i="30"/>
  <c r="Z517" i="30"/>
  <c r="Z54" i="30"/>
  <c r="Z188" i="30"/>
  <c r="Z217" i="30"/>
  <c r="Z241" i="30"/>
  <c r="Z270" i="30"/>
  <c r="Z313" i="30"/>
  <c r="Z315" i="30"/>
  <c r="Z317" i="30"/>
  <c r="Z319" i="30"/>
  <c r="Z56" i="30"/>
  <c r="Z116" i="30"/>
  <c r="Z139" i="30"/>
  <c r="Z150" i="30"/>
  <c r="Z153" i="30"/>
  <c r="Z160" i="30"/>
  <c r="Z170" i="30"/>
  <c r="Z173" i="30"/>
  <c r="Z175" i="30"/>
  <c r="Z186" i="30"/>
  <c r="Z190" i="30"/>
  <c r="Z201" i="30"/>
  <c r="Z213" i="30"/>
  <c r="Z215" i="30"/>
  <c r="Z338" i="30"/>
  <c r="Z629" i="30"/>
  <c r="Z756" i="30"/>
  <c r="Z786" i="30"/>
  <c r="Z806" i="30"/>
  <c r="Z834" i="30"/>
  <c r="Z851" i="30"/>
  <c r="Z871" i="30"/>
  <c r="Z887" i="30"/>
  <c r="Z899" i="30"/>
  <c r="Z918" i="30"/>
  <c r="Z934" i="30"/>
  <c r="Z945" i="30"/>
  <c r="Z954" i="30"/>
  <c r="Z962" i="30"/>
  <c r="Z977" i="30"/>
  <c r="Z1002" i="30"/>
  <c r="Z1011" i="30"/>
  <c r="Z1026" i="30"/>
  <c r="Z1039" i="30"/>
  <c r="Z1052" i="30"/>
  <c r="Z1094" i="30"/>
  <c r="Z1102" i="30"/>
  <c r="Z1110" i="30"/>
  <c r="Z1118" i="30"/>
  <c r="Z1126" i="30"/>
  <c r="Z352" i="30"/>
  <c r="Z368" i="30"/>
  <c r="Z376" i="30"/>
  <c r="Z385" i="30"/>
  <c r="Z394" i="30"/>
  <c r="Z402" i="30"/>
  <c r="Z416" i="30"/>
  <c r="Z431" i="30"/>
  <c r="Z445" i="30"/>
  <c r="Z458" i="30"/>
  <c r="Z470" i="30"/>
  <c r="Z481" i="30"/>
  <c r="Z497" i="30"/>
  <c r="Z509" i="30"/>
  <c r="Z524" i="30"/>
  <c r="Z537" i="30"/>
  <c r="Z549" i="30"/>
  <c r="Z556" i="30"/>
  <c r="Z569" i="30"/>
  <c r="Z575" i="30"/>
  <c r="Z589" i="30"/>
  <c r="Z598" i="30"/>
  <c r="Z606" i="30"/>
  <c r="Z610" i="30"/>
  <c r="Z616" i="30"/>
  <c r="Z620" i="30"/>
  <c r="Z651" i="30"/>
  <c r="Z655" i="30"/>
  <c r="Z660" i="30"/>
  <c r="Z665" i="30"/>
  <c r="Z669" i="30"/>
  <c r="Z673" i="30"/>
  <c r="Z677" i="30"/>
  <c r="Z689" i="30"/>
  <c r="Z692" i="30"/>
  <c r="Z696" i="30"/>
  <c r="Z700" i="30"/>
  <c r="Z710" i="30"/>
  <c r="Z712" i="30"/>
  <c r="Z714" i="30"/>
  <c r="Z717" i="30"/>
  <c r="Z720" i="30"/>
  <c r="Z722" i="30"/>
  <c r="Z727" i="30"/>
  <c r="Z729" i="30"/>
  <c r="Z731" i="30"/>
  <c r="Z733" i="30"/>
  <c r="Z735" i="30"/>
  <c r="Z738" i="30"/>
  <c r="Z740" i="30"/>
  <c r="Z742" i="30"/>
  <c r="Z744" i="30"/>
  <c r="Z812" i="30"/>
  <c r="Z840" i="30"/>
  <c r="Z862" i="30"/>
  <c r="Z878" i="30"/>
  <c r="Z892" i="30"/>
  <c r="Z904" i="30"/>
  <c r="Z924" i="30"/>
  <c r="Z941" i="30"/>
  <c r="Z950" i="30"/>
  <c r="Z959" i="30"/>
  <c r="Z969" i="30"/>
  <c r="Z997" i="30"/>
  <c r="Z1008" i="30"/>
  <c r="Z1018" i="30"/>
  <c r="Z1033" i="30"/>
  <c r="Z1045" i="30"/>
  <c r="Z1062" i="30"/>
  <c r="Z1099" i="30"/>
  <c r="Z1107" i="30"/>
  <c r="Z1115" i="30"/>
  <c r="Z1123" i="30"/>
  <c r="Z348" i="30"/>
  <c r="Z360" i="30"/>
  <c r="Z373" i="30"/>
  <c r="Z381" i="30"/>
  <c r="Z391" i="30"/>
  <c r="Z399" i="30"/>
  <c r="Z407" i="30"/>
  <c r="Z428" i="30"/>
  <c r="Z440" i="30"/>
  <c r="Z453" i="30"/>
  <c r="Z467" i="30"/>
  <c r="Z475" i="30"/>
  <c r="Z494" i="30"/>
  <c r="Z507" i="30"/>
  <c r="Z521" i="30"/>
  <c r="Z535" i="30"/>
  <c r="Z547" i="30"/>
  <c r="Z553" i="30"/>
  <c r="Z560" i="30"/>
  <c r="Z573" i="30"/>
  <c r="Z583" i="30"/>
  <c r="Z597" i="30"/>
  <c r="Z605" i="30"/>
  <c r="Z609" i="30"/>
  <c r="Z613" i="30"/>
  <c r="Z619" i="30"/>
  <c r="Z650" i="30"/>
  <c r="Z654" i="30"/>
  <c r="Z659" i="30"/>
  <c r="Z664" i="30"/>
  <c r="Z668" i="30"/>
  <c r="Z672" i="30"/>
  <c r="Z676" i="30"/>
  <c r="Z680" i="30"/>
  <c r="Z55" i="30"/>
  <c r="Z189" i="30"/>
  <c r="Z219" i="30"/>
  <c r="Z242" i="30"/>
  <c r="Z273" i="30"/>
  <c r="Z314" i="30"/>
  <c r="Z316" i="30"/>
  <c r="Z318" i="30"/>
  <c r="Z322" i="30"/>
  <c r="Z57" i="30"/>
  <c r="Z118" i="30"/>
  <c r="Z145" i="30"/>
  <c r="Z152" i="30"/>
  <c r="Z159" i="30"/>
  <c r="Z162" i="30"/>
  <c r="Z172" i="30"/>
  <c r="Z58" i="30"/>
  <c r="Z83" i="30"/>
  <c r="Z84" i="30"/>
  <c r="Z91" i="30"/>
  <c r="Z92" i="30"/>
  <c r="Z93" i="30"/>
  <c r="Z94" i="30"/>
  <c r="Z95" i="30"/>
  <c r="Z96" i="30"/>
  <c r="Z119" i="30"/>
  <c r="Z126" i="30"/>
  <c r="Z127" i="30"/>
  <c r="Z128" i="30"/>
  <c r="Z129" i="30"/>
  <c r="Z130" i="30"/>
  <c r="Z138" i="30"/>
  <c r="Z192" i="30"/>
  <c r="Z193" i="30"/>
  <c r="Z194" i="30"/>
  <c r="Z195" i="30"/>
  <c r="Z196" i="30"/>
  <c r="Z197" i="30"/>
  <c r="Z198" i="30"/>
  <c r="Z199" i="30"/>
  <c r="Z200" i="30"/>
  <c r="Z206" i="30"/>
  <c r="Z207" i="30"/>
  <c r="Z208" i="30"/>
  <c r="Z209" i="30"/>
  <c r="Z210" i="30"/>
  <c r="Z211" i="30"/>
  <c r="Z212" i="30"/>
  <c r="Z220" i="30"/>
  <c r="Z221" i="30"/>
  <c r="Z222" i="30"/>
  <c r="Z223" i="30"/>
  <c r="Z224" i="30"/>
  <c r="Z232" i="30"/>
  <c r="Z233" i="30"/>
  <c r="Z234" i="30"/>
  <c r="Z235" i="30"/>
  <c r="Z236" i="30"/>
  <c r="Z237" i="30"/>
  <c r="Z238" i="30"/>
  <c r="Z239" i="30"/>
  <c r="Z240" i="30"/>
  <c r="Z243" i="30"/>
  <c r="Z244" i="30"/>
  <c r="Z247" i="30"/>
  <c r="Z248" i="30"/>
  <c r="Z249" i="30"/>
  <c r="Z250" i="30"/>
  <c r="Z251" i="30"/>
  <c r="Z252" i="30"/>
  <c r="Z261" i="30"/>
  <c r="Z262" i="30"/>
  <c r="Z263" i="30"/>
  <c r="Z264" i="30"/>
  <c r="Z265" i="30"/>
  <c r="Z266" i="30"/>
  <c r="Z268" i="30"/>
  <c r="Z269" i="30"/>
  <c r="Z278" i="30"/>
  <c r="Z288" i="30"/>
  <c r="Z289" i="30"/>
  <c r="Z290" i="30"/>
  <c r="Z291" i="30"/>
  <c r="Z304" i="30"/>
  <c r="Z305" i="30"/>
  <c r="Z306" i="30"/>
  <c r="Z307" i="30"/>
  <c r="Z308" i="30"/>
  <c r="Z309" i="30"/>
  <c r="Z310" i="30"/>
  <c r="Z311" i="30"/>
  <c r="Z312" i="30"/>
  <c r="Z337" i="30"/>
  <c r="Z628" i="30"/>
  <c r="Z755" i="30"/>
  <c r="Z785" i="30"/>
  <c r="Z805" i="30"/>
  <c r="Z833" i="30"/>
  <c r="Z850" i="30"/>
  <c r="Z870" i="30"/>
  <c r="Z886" i="30"/>
  <c r="Z898" i="30"/>
  <c r="Z917" i="30"/>
  <c r="Z932" i="30"/>
  <c r="Z944" i="30"/>
  <c r="Z953" i="30"/>
  <c r="Z961" i="30"/>
  <c r="Z976" i="30"/>
  <c r="Z1001" i="30"/>
  <c r="Z1010" i="30"/>
  <c r="Z1025" i="30"/>
  <c r="Z1038" i="30"/>
  <c r="Z1050" i="30"/>
  <c r="Z1093" i="30"/>
  <c r="Z1101" i="30"/>
  <c r="Z1109" i="30"/>
  <c r="Z1117" i="30"/>
  <c r="Z1125" i="30"/>
  <c r="Z351" i="30"/>
  <c r="Z362" i="30"/>
  <c r="Z375" i="30"/>
  <c r="Z384" i="30"/>
  <c r="Z393" i="30"/>
  <c r="Z401" i="30"/>
  <c r="Z415" i="30"/>
  <c r="Z430" i="30"/>
  <c r="Z444" i="30"/>
  <c r="Z457" i="30"/>
  <c r="Z469" i="30"/>
  <c r="Z480" i="30"/>
  <c r="Z496" i="30"/>
  <c r="Z1058" i="30"/>
  <c r="Z1059" i="30"/>
  <c r="Z1063" i="30"/>
  <c r="Z1065" i="30"/>
  <c r="Z1069" i="30"/>
  <c r="Z1067" i="30"/>
  <c r="Z1064" i="30"/>
  <c r="Z1060" i="30"/>
  <c r="Z1057" i="30"/>
  <c r="Z1066" i="30"/>
  <c r="Z1068" i="30"/>
  <c r="Z1070" i="30"/>
  <c r="Z1073" i="30"/>
  <c r="Z1074" i="30"/>
  <c r="Z1072" i="30"/>
  <c r="Z1071" i="30"/>
  <c r="Z1090" i="30"/>
  <c r="Z1089" i="30"/>
  <c r="Z1075" i="30"/>
  <c r="Z1076" i="30"/>
  <c r="Z1077" i="30"/>
  <c r="Z1078" i="30"/>
  <c r="Z1079" i="30"/>
  <c r="Z1080" i="30"/>
  <c r="Z1081" i="30"/>
  <c r="Z1082" i="30"/>
  <c r="Z1083" i="30"/>
  <c r="Z1084" i="30"/>
  <c r="Z1085" i="30"/>
  <c r="Z1086" i="30"/>
  <c r="Z1087" i="30"/>
  <c r="Z1088" i="30"/>
  <c r="Z276" i="30"/>
  <c r="Z277" i="30"/>
  <c r="Z285" i="30"/>
  <c r="Z286" i="30"/>
  <c r="Z287" i="30"/>
  <c r="Z293" i="30"/>
  <c r="Z294" i="30"/>
  <c r="Z295" i="30"/>
  <c r="Z296" i="30"/>
  <c r="Z297" i="30"/>
  <c r="Z298" i="30"/>
  <c r="Z299" i="30"/>
  <c r="Z300" i="30"/>
  <c r="Z301" i="30"/>
  <c r="Z302" i="30"/>
  <c r="Z303" i="30"/>
  <c r="Z335" i="30"/>
  <c r="Z349" i="30"/>
  <c r="Z363" i="30"/>
  <c r="Z364" i="30"/>
  <c r="Z365" i="30"/>
  <c r="Z366" i="30"/>
  <c r="Z367" i="30"/>
  <c r="Z383" i="30"/>
  <c r="Z389" i="30"/>
  <c r="Z463" i="30"/>
  <c r="Z484" i="30"/>
  <c r="Z843" i="30"/>
  <c r="Z874" i="30"/>
  <c r="Z879" i="30"/>
  <c r="Z964" i="30"/>
  <c r="Z973" i="30"/>
  <c r="Z974" i="30"/>
  <c r="Z983" i="30"/>
  <c r="Z984" i="30"/>
  <c r="Z990" i="30"/>
  <c r="Z991" i="30"/>
  <c r="Z992" i="30"/>
  <c r="Z994" i="30"/>
  <c r="Z995" i="30"/>
  <c r="Z996" i="30"/>
  <c r="Z998" i="30"/>
  <c r="Z1031" i="30"/>
  <c r="Z1032" i="30"/>
  <c r="Z165" i="30"/>
  <c r="Z182" i="30"/>
  <c r="Z183" i="30"/>
  <c r="Z184" i="30"/>
  <c r="Z205" i="30"/>
  <c r="Z218" i="30"/>
  <c r="Z267" i="30"/>
  <c r="Z1036" i="30"/>
  <c r="Z1037" i="30"/>
  <c r="Z52" i="30"/>
  <c r="Z53" i="30"/>
  <c r="Z85" i="30"/>
  <c r="Z86" i="30"/>
  <c r="Z87" i="30"/>
  <c r="Z88" i="30"/>
  <c r="Z89" i="30"/>
  <c r="Z90" i="30"/>
  <c r="Z125" i="30"/>
  <c r="Z144" i="30"/>
  <c r="Z166" i="30"/>
  <c r="Z167" i="30"/>
  <c r="Z168" i="30"/>
  <c r="Z169" i="30"/>
  <c r="Z176" i="30"/>
  <c r="Z177" i="30"/>
  <c r="Z178" i="30"/>
  <c r="Z179" i="30"/>
  <c r="Z180" i="30"/>
  <c r="Z181" i="30"/>
  <c r="Z602" i="30"/>
  <c r="Z519" i="30"/>
  <c r="Z454" i="30"/>
  <c r="Z483" i="30"/>
  <c r="Z522" i="30"/>
  <c r="Z455" i="30"/>
  <c r="Z419" i="30"/>
  <c r="Z586" i="30"/>
  <c r="Z590" i="30"/>
  <c r="Z418" i="30"/>
  <c r="Z622" i="30"/>
  <c r="Z492" i="30"/>
  <c r="Z585" i="30"/>
  <c r="Z584" i="30"/>
  <c r="Z476" i="30"/>
  <c r="Z477" i="30"/>
  <c r="Z520" i="30"/>
  <c r="Z784" i="30"/>
  <c r="Z203" i="30"/>
  <c r="Z204" i="30"/>
  <c r="Z227" i="30"/>
  <c r="Z228" i="30"/>
  <c r="Z229" i="30"/>
  <c r="Z230" i="30"/>
  <c r="Z231" i="30"/>
  <c r="Z292" i="30"/>
  <c r="Z163" i="30"/>
  <c r="Z141" i="30"/>
  <c r="Z142" i="30"/>
  <c r="Z143" i="30"/>
  <c r="Z164" i="30"/>
  <c r="Z225" i="30"/>
  <c r="Z226" i="30"/>
  <c r="Z253" i="30"/>
  <c r="Z254" i="30"/>
  <c r="Z649" i="30"/>
  <c r="Z124" i="30"/>
  <c r="Z49" i="30"/>
  <c r="Z50" i="30"/>
  <c r="Z51" i="30"/>
  <c r="Z577" i="30"/>
  <c r="Z897" i="30"/>
  <c r="Z542" i="30"/>
  <c r="Z578" i="30"/>
  <c r="Z885" i="30"/>
  <c r="Z579" i="30"/>
  <c r="Z580" i="30"/>
  <c r="Z568" i="30"/>
  <c r="Z554" i="30"/>
  <c r="Z540" i="30"/>
  <c r="Z541" i="30"/>
  <c r="Z782" i="30"/>
  <c r="Z817" i="30"/>
  <c r="Z798" i="30"/>
  <c r="Z818" i="30"/>
  <c r="Z819" i="30"/>
  <c r="Z820" i="30"/>
  <c r="Z821" i="30"/>
  <c r="Z822" i="30"/>
  <c r="Z823" i="30"/>
  <c r="Z824" i="30"/>
  <c r="Z799" i="30"/>
  <c r="Z825" i="30"/>
  <c r="Z800" i="30"/>
  <c r="Z826" i="30"/>
  <c r="Z827" i="30"/>
  <c r="Z801" i="30"/>
  <c r="Z828" i="30"/>
  <c r="Z829" i="30"/>
  <c r="Z802" i="30"/>
  <c r="Z2" i="30"/>
  <c r="Z865" i="30"/>
  <c r="Z830" i="30"/>
  <c r="Z803" i="30"/>
  <c r="Z804" i="30"/>
  <c r="Z1091" i="30"/>
  <c r="Z849" i="30"/>
  <c r="Z848" i="30"/>
  <c r="Z831" i="30"/>
  <c r="Z832" i="30"/>
  <c r="Z979" i="30"/>
  <c r="Z866" i="30"/>
  <c r="Z778" i="30"/>
  <c r="Z859" i="30"/>
  <c r="Z1019" i="30"/>
  <c r="Z753" i="30"/>
  <c r="Z861" i="30"/>
  <c r="Z839" i="30"/>
  <c r="Z860" i="30"/>
  <c r="Z873" i="30"/>
  <c r="Z1014" i="30"/>
  <c r="Z916" i="30"/>
  <c r="Z915" i="30"/>
  <c r="Z936" i="30"/>
  <c r="Z1051" i="30"/>
  <c r="Z937" i="30"/>
  <c r="Z999" i="30"/>
  <c r="Z770" i="30"/>
  <c r="Z698" i="30"/>
  <c r="Z927" i="30"/>
  <c r="Z632" i="30"/>
  <c r="Z657" i="30"/>
  <c r="Z662" i="30"/>
  <c r="Z694" i="30"/>
  <c r="Z920" i="30"/>
  <c r="Z1012" i="30"/>
  <c r="Z635" i="30"/>
  <c r="Z636" i="30"/>
  <c r="Z637" i="30"/>
  <c r="Z638" i="30"/>
  <c r="Z639" i="30"/>
  <c r="Z640" i="30"/>
  <c r="Z641" i="30"/>
  <c r="Z642" i="30"/>
  <c r="Z643" i="30"/>
  <c r="Z644" i="30"/>
  <c r="Z645" i="30"/>
  <c r="Z528" i="30"/>
  <c r="Z594" i="30"/>
  <c r="Z595" i="30"/>
  <c r="Z596" i="30"/>
  <c r="Z646" i="30"/>
  <c r="Z647" i="30"/>
  <c r="Z529" i="30"/>
  <c r="Z530" i="30"/>
  <c r="Z648" i="30"/>
  <c r="Z704" i="30"/>
  <c r="Z705" i="30"/>
  <c r="Z706" i="30"/>
  <c r="Z707" i="30"/>
  <c r="Z708" i="30"/>
  <c r="Z709" i="30"/>
  <c r="Z745" i="30"/>
  <c r="Z771" i="30"/>
  <c r="Z325" i="30"/>
  <c r="Z746" i="30"/>
  <c r="Z747" i="30"/>
  <c r="Z748" i="30"/>
  <c r="Z772" i="30"/>
  <c r="Z245" i="30"/>
  <c r="Z43" i="30"/>
  <c r="Z146" i="30"/>
  <c r="Z44" i="30"/>
  <c r="Z45" i="30"/>
  <c r="Z46" i="30"/>
  <c r="Z47" i="30"/>
  <c r="Z48" i="30"/>
  <c r="Z246" i="30"/>
  <c r="Z120" i="30"/>
  <c r="Z255" i="30"/>
  <c r="Z256" i="30"/>
  <c r="Z257" i="30"/>
  <c r="Z121" i="30"/>
  <c r="Z271" i="30"/>
  <c r="Z449" i="30"/>
  <c r="Z67" i="30"/>
  <c r="Z68" i="30"/>
  <c r="Z460" i="30"/>
  <c r="Z69" i="30"/>
  <c r="Z66" i="30"/>
  <c r="Z70" i="30"/>
  <c r="Z272" i="30"/>
  <c r="Z122" i="30"/>
  <c r="Z258" i="30"/>
  <c r="Z259" i="30"/>
  <c r="Z260" i="30"/>
  <c r="Z123" i="30"/>
  <c r="Z36" i="30"/>
  <c r="Z32" i="30"/>
  <c r="Z33" i="30"/>
  <c r="Z34" i="30"/>
  <c r="Z35" i="30"/>
  <c r="Z9" i="30"/>
  <c r="Z504" i="30"/>
  <c r="Z539" i="30"/>
  <c r="Z10" i="30"/>
  <c r="Z17" i="30"/>
  <c r="Z12" i="30"/>
  <c r="Z13" i="30"/>
  <c r="Z14" i="30"/>
  <c r="Z15" i="30"/>
  <c r="Z7" i="30"/>
  <c r="Z8" i="30"/>
  <c r="Z545" i="30"/>
  <c r="Z546" i="30"/>
  <c r="Z275" i="30"/>
  <c r="Z76" i="30"/>
  <c r="Z77" i="30"/>
  <c r="Z78" i="30"/>
  <c r="Z79" i="30"/>
  <c r="Z80" i="30"/>
  <c r="Z81" i="30"/>
  <c r="Z82" i="30"/>
  <c r="Z274" i="30"/>
  <c r="Z587" i="30"/>
  <c r="Z280" i="30"/>
  <c r="Z281" i="30"/>
  <c r="Z282" i="30"/>
  <c r="Z147" i="30"/>
  <c r="Z320" i="30"/>
  <c r="Z103" i="30"/>
  <c r="Z702" i="30"/>
  <c r="Z104" i="30"/>
  <c r="Z105" i="30"/>
  <c r="Z106" i="30"/>
  <c r="Z107" i="30"/>
  <c r="Z108" i="30"/>
  <c r="Z321" i="30"/>
  <c r="Z148" i="30"/>
  <c r="Z279" i="30"/>
  <c r="Z283" i="30"/>
  <c r="Z284" i="30"/>
  <c r="Z149" i="30"/>
  <c r="Z59" i="30"/>
  <c r="Z60" i="30"/>
  <c r="Z61" i="30"/>
  <c r="Z62" i="30"/>
  <c r="Z63" i="30"/>
  <c r="Z18" i="30"/>
  <c r="Z16" i="30"/>
  <c r="Z11" i="30"/>
  <c r="Z19" i="30"/>
  <c r="Z37" i="30"/>
  <c r="Z38" i="30"/>
  <c r="Z39" i="30"/>
  <c r="Z40" i="30"/>
  <c r="Z41" i="30"/>
  <c r="Z20" i="30"/>
  <c r="Z21" i="30"/>
  <c r="Z22" i="30"/>
  <c r="Z23" i="30"/>
  <c r="Z857" i="30"/>
  <c r="Z109" i="30"/>
  <c r="Z110" i="30"/>
  <c r="Z111" i="30"/>
  <c r="Z112" i="30"/>
  <c r="Z113" i="30"/>
  <c r="Z114" i="30"/>
  <c r="Z115" i="30"/>
  <c r="Z324" i="30"/>
  <c r="Z155" i="30"/>
  <c r="Z327" i="30"/>
  <c r="Z328" i="30"/>
  <c r="Z329" i="30"/>
  <c r="Z156" i="30"/>
  <c r="Z345" i="30"/>
  <c r="Z131" i="30"/>
  <c r="Z132" i="30"/>
  <c r="Z133" i="30"/>
  <c r="Z134" i="30"/>
  <c r="Z135" i="30"/>
  <c r="Z136" i="30"/>
  <c r="Z137" i="30"/>
  <c r="Z346" i="30"/>
  <c r="Z1020" i="30"/>
  <c r="Z330" i="30"/>
  <c r="Z331" i="30"/>
  <c r="Z332" i="30"/>
  <c r="Z157" i="30"/>
  <c r="Z97" i="30"/>
  <c r="Z98" i="30"/>
  <c r="Z99" i="30"/>
  <c r="Z100" i="30"/>
  <c r="Z101" i="30"/>
  <c r="Z24" i="30"/>
  <c r="Z25" i="30"/>
  <c r="Z26" i="30"/>
  <c r="Z27" i="30"/>
  <c r="Z71" i="30"/>
  <c r="Z72" i="30"/>
  <c r="Z73" i="30"/>
  <c r="Z74" i="30"/>
  <c r="Z75" i="30"/>
  <c r="Z28" i="30"/>
  <c r="Z29" i="30"/>
  <c r="Z30" i="30"/>
  <c r="Z31" i="30"/>
  <c r="Z438" i="30"/>
  <c r="Z432" i="30"/>
  <c r="Z422" i="30"/>
  <c r="Z437" i="30"/>
  <c r="Z443" i="30"/>
  <c r="Z154" i="30"/>
  <c r="Z450" i="30"/>
  <c r="Z451" i="30"/>
  <c r="Z323" i="30"/>
  <c r="Z436" i="30"/>
  <c r="Z490" i="30"/>
  <c r="Z442" i="30"/>
  <c r="Z781" i="30"/>
  <c r="Z531" i="30"/>
  <c r="Z789" i="30"/>
  <c r="Z532" i="30"/>
  <c r="Z797" i="30"/>
  <c r="Z534" i="30"/>
  <c r="Z527" i="30"/>
  <c r="Z461" i="30"/>
  <c r="Z423" i="30"/>
  <c r="Z413" i="30"/>
  <c r="Z424" i="30"/>
  <c r="Z567" i="30"/>
  <c r="Z409" i="30"/>
  <c r="Z410" i="30"/>
  <c r="Z414" i="30"/>
  <c r="Z411" i="30"/>
  <c r="Z412" i="30"/>
  <c r="Z425" i="30"/>
  <c r="Z355" i="30"/>
  <c r="Z343" i="30"/>
  <c r="Z562" i="30"/>
  <c r="Z344" i="30"/>
  <c r="Z563" i="30"/>
  <c r="Z341" i="30"/>
  <c r="Z723" i="30"/>
  <c r="Z356" i="30"/>
  <c r="Z342" i="30"/>
  <c r="Z357" i="30"/>
  <c r="Z3" i="30"/>
  <c r="Z4" i="30"/>
  <c r="Z5" i="30"/>
  <c r="Z6" i="30"/>
  <c r="Z724" i="30"/>
  <c r="Z64" i="30"/>
  <c r="Z65" i="30"/>
  <c r="Z703" i="30"/>
  <c r="Z102" i="30"/>
  <c r="Z421" i="30"/>
  <c r="Z972" i="30"/>
  <c r="Z858" i="30"/>
  <c r="Z970" i="30"/>
  <c r="Z978" i="30"/>
  <c r="Z564" i="30"/>
  <c r="Z565" i="30"/>
  <c r="Z846" i="30"/>
  <c r="Z847" i="30"/>
  <c r="Z566" i="30"/>
  <c r="Z863" i="30"/>
  <c r="Z716" i="30"/>
  <c r="Z725" i="30"/>
  <c r="Z681" i="30"/>
  <c r="Z856" i="30"/>
  <c r="Z1056" i="30"/>
  <c r="Z1046" i="30"/>
  <c r="Z1048" i="30"/>
  <c r="Z1047" i="30"/>
  <c r="Z42" i="30"/>
  <c r="Z1021" i="30"/>
  <c r="Z1022" i="30"/>
  <c r="Z1023" i="30"/>
  <c r="Z1040" i="30"/>
  <c r="Z1035" i="30"/>
  <c r="Z971" i="30"/>
  <c r="Z1003" i="30"/>
  <c r="Z963" i="30"/>
  <c r="Z988" i="30"/>
  <c r="Z981" i="30"/>
  <c r="Z982" i="30"/>
  <c r="Z989" i="30"/>
  <c r="Z993" i="30"/>
  <c r="Z884" i="30"/>
  <c r="Z907" i="30"/>
  <c r="Z908" i="30"/>
  <c r="Z909" i="30"/>
  <c r="Z910" i="30"/>
  <c r="Z911" i="30"/>
  <c r="Z914" i="30"/>
  <c r="Z928" i="30"/>
  <c r="Z929" i="30"/>
  <c r="Z933" i="30"/>
  <c r="Z486" i="30"/>
  <c r="Z512" i="30"/>
  <c r="Z487" i="30"/>
  <c r="Z485" i="30"/>
  <c r="Z498" i="30"/>
  <c r="Z501" i="30"/>
  <c r="Z513" i="30"/>
  <c r="Z514" i="30"/>
  <c r="Z515" i="30"/>
  <c r="Z511" i="30"/>
  <c r="Z499" i="30"/>
  <c r="Z488" i="30"/>
  <c r="Z478" i="30"/>
  <c r="Z465" i="30"/>
  <c r="Z500" i="30"/>
  <c r="Z615" i="30"/>
  <c r="Z603" i="30"/>
  <c r="Z604" i="30"/>
  <c r="Z614" i="30"/>
  <c r="Z630" i="30"/>
  <c r="Z737" i="30"/>
  <c r="Z682" i="30"/>
  <c r="Z685" i="30"/>
  <c r="Z686" i="30"/>
  <c r="Z687" i="30"/>
  <c r="Z683" i="30"/>
  <c r="Z684" i="30"/>
  <c r="Z688" i="30"/>
  <c r="Z719" i="30"/>
  <c r="Z794" i="30"/>
  <c r="Z766" i="30"/>
  <c r="Z767" i="30"/>
  <c r="Z808" i="30"/>
  <c r="Z1131" i="30"/>
  <c r="Z1135" i="30"/>
  <c r="Z1136" i="30"/>
  <c r="Z1137" i="30"/>
  <c r="Z1132" i="30"/>
  <c r="Z1138" i="30"/>
  <c r="Z1139" i="30"/>
  <c r="Z1133" i="30"/>
  <c r="Z1134" i="30"/>
  <c r="Z1140" i="30"/>
  <c r="Z1141" i="30"/>
  <c r="Z1142" i="30"/>
  <c r="W326" i="30"/>
  <c r="W624" i="30"/>
  <c r="W750" i="30"/>
  <c r="W777" i="30"/>
  <c r="W792" i="30"/>
  <c r="W813" i="30"/>
  <c r="W841" i="30"/>
  <c r="W864" i="30"/>
  <c r="W880" i="30"/>
  <c r="W893" i="30"/>
  <c r="W905" i="30"/>
  <c r="W925" i="30"/>
  <c r="W333" i="30"/>
  <c r="W625" i="30"/>
  <c r="W751" i="30"/>
  <c r="W779" i="30"/>
  <c r="W793" i="30"/>
  <c r="W814" i="30"/>
  <c r="W842" i="30"/>
  <c r="W867" i="30"/>
  <c r="W881" i="30"/>
  <c r="W894" i="30"/>
  <c r="W906" i="30"/>
  <c r="W926" i="30"/>
  <c r="W942" i="30"/>
  <c r="W951" i="30"/>
  <c r="W334" i="30"/>
  <c r="W626" i="30"/>
  <c r="W752" i="30"/>
  <c r="W780" i="30"/>
  <c r="W795" i="30"/>
  <c r="W815" i="30"/>
  <c r="W844" i="30"/>
  <c r="W868" i="30"/>
  <c r="W882" i="30"/>
  <c r="W895" i="30"/>
  <c r="W912" i="30"/>
  <c r="W930" i="30"/>
  <c r="W339" i="30"/>
  <c r="W631" i="30"/>
  <c r="W757" i="30"/>
  <c r="W788" i="30"/>
  <c r="W809" i="30"/>
  <c r="W836" i="30"/>
  <c r="W853" i="30"/>
  <c r="W875" i="30"/>
  <c r="W889" i="30"/>
  <c r="W901" i="30"/>
  <c r="W921" i="30"/>
  <c r="W938" i="30"/>
  <c r="W947" i="30"/>
  <c r="W956" i="30"/>
  <c r="W966" i="30"/>
  <c r="W985" i="30"/>
  <c r="W1005" i="30"/>
  <c r="W1015" i="30"/>
  <c r="W1028" i="30"/>
  <c r="W1042" i="30"/>
  <c r="W1054" i="30"/>
  <c r="W1096" i="30"/>
  <c r="W1104" i="30"/>
  <c r="W1112" i="30"/>
  <c r="W1120" i="30"/>
  <c r="W1128" i="30"/>
  <c r="W354" i="30"/>
  <c r="W370" i="30"/>
  <c r="W378" i="30"/>
  <c r="W387" i="30"/>
  <c r="W396" i="30"/>
  <c r="W404" i="30"/>
  <c r="W420" i="30"/>
  <c r="W434" i="30"/>
  <c r="W447" i="30"/>
  <c r="W462" i="30"/>
  <c r="W472" i="30"/>
  <c r="W489" i="30"/>
  <c r="W503" i="30"/>
  <c r="W516" i="30"/>
  <c r="W526" i="30"/>
  <c r="W543" i="30"/>
  <c r="W551" i="30"/>
  <c r="W558" i="30"/>
  <c r="W571" i="30"/>
  <c r="W581" i="30"/>
  <c r="W592" i="30"/>
  <c r="W600" i="30"/>
  <c r="W117" i="30"/>
  <c r="W140" i="30"/>
  <c r="W151" i="30"/>
  <c r="W158" i="30"/>
  <c r="W161" i="30"/>
  <c r="W171" i="30"/>
  <c r="W174" i="30"/>
  <c r="W185" i="30"/>
  <c r="W187" i="30"/>
  <c r="W191" i="30"/>
  <c r="W202" i="30"/>
  <c r="W214" i="30"/>
  <c r="W216" i="30"/>
  <c r="W787" i="30"/>
  <c r="W807" i="30"/>
  <c r="W835" i="30"/>
  <c r="W852" i="30"/>
  <c r="W872" i="30"/>
  <c r="W888" i="30"/>
  <c r="W900" i="30"/>
  <c r="W919" i="30"/>
  <c r="W935" i="30"/>
  <c r="W946" i="30"/>
  <c r="W955" i="30"/>
  <c r="W965" i="30"/>
  <c r="W980" i="30"/>
  <c r="W1004" i="30"/>
  <c r="W1013" i="30"/>
  <c r="W1027" i="30"/>
  <c r="W1041" i="30"/>
  <c r="W1053" i="30"/>
  <c r="W1095" i="30"/>
  <c r="W1103" i="30"/>
  <c r="W1111" i="30"/>
  <c r="W1119" i="30"/>
  <c r="W1127" i="30"/>
  <c r="W353" i="30"/>
  <c r="W369" i="30"/>
  <c r="W377" i="30"/>
  <c r="W386" i="30"/>
  <c r="W395" i="30"/>
  <c r="W403" i="30"/>
  <c r="W417" i="30"/>
  <c r="W433" i="30"/>
  <c r="W446" i="30"/>
  <c r="W459" i="30"/>
  <c r="W471" i="30"/>
  <c r="W482" i="30"/>
  <c r="W502" i="30"/>
  <c r="W510" i="30"/>
  <c r="W525" i="30"/>
  <c r="W538" i="30"/>
  <c r="W550" i="30"/>
  <c r="W557" i="30"/>
  <c r="W570" i="30"/>
  <c r="W576" i="30"/>
  <c r="W591" i="30"/>
  <c r="W599" i="30"/>
  <c r="W607" i="30"/>
  <c r="W611" i="30"/>
  <c r="W617" i="30"/>
  <c r="W621" i="30"/>
  <c r="W652" i="30"/>
  <c r="W656" i="30"/>
  <c r="W661" i="30"/>
  <c r="W666" i="30"/>
  <c r="W670" i="30"/>
  <c r="W674" i="30"/>
  <c r="W678" i="30"/>
  <c r="W690" i="30"/>
  <c r="W693" i="30"/>
  <c r="W697" i="30"/>
  <c r="W701" i="30"/>
  <c r="W711" i="30"/>
  <c r="W713" i="30"/>
  <c r="W715" i="30"/>
  <c r="W718" i="30"/>
  <c r="W721" i="30"/>
  <c r="W726" i="30"/>
  <c r="W728" i="30"/>
  <c r="W730" i="30"/>
  <c r="W732" i="30"/>
  <c r="W734" i="30"/>
  <c r="W736" i="30"/>
  <c r="W739" i="30"/>
  <c r="W741" i="30"/>
  <c r="W743" i="30"/>
  <c r="W749" i="30"/>
  <c r="W760" i="30"/>
  <c r="W761" i="30"/>
  <c r="W762" i="30"/>
  <c r="W763" i="30"/>
  <c r="W764" i="30"/>
  <c r="W765" i="30"/>
  <c r="W768" i="30"/>
  <c r="W769" i="30"/>
  <c r="W773" i="30"/>
  <c r="W774" i="30"/>
  <c r="W775" i="30"/>
  <c r="W776" i="30"/>
  <c r="W336" i="30"/>
  <c r="W627" i="30"/>
  <c r="W754" i="30"/>
  <c r="W783" i="30"/>
  <c r="W796" i="30"/>
  <c r="W816" i="30"/>
  <c r="W845" i="30"/>
  <c r="W869" i="30"/>
  <c r="W883" i="30"/>
  <c r="W896" i="30"/>
  <c r="W913" i="30"/>
  <c r="W931" i="30"/>
  <c r="W943" i="30"/>
  <c r="W952" i="30"/>
  <c r="W960" i="30"/>
  <c r="W975" i="30"/>
  <c r="W1000" i="30"/>
  <c r="W1009" i="30"/>
  <c r="W1024" i="30"/>
  <c r="W1034" i="30"/>
  <c r="W1049" i="30"/>
  <c r="W1092" i="30"/>
  <c r="W1100" i="30"/>
  <c r="W1108" i="30"/>
  <c r="W1116" i="30"/>
  <c r="W1124" i="30"/>
  <c r="W350" i="30"/>
  <c r="W361" i="30"/>
  <c r="W374" i="30"/>
  <c r="W382" i="30"/>
  <c r="W392" i="30"/>
  <c r="W400" i="30"/>
  <c r="W408" i="30"/>
  <c r="W429" i="30"/>
  <c r="W441" i="30"/>
  <c r="W456" i="30"/>
  <c r="W468" i="30"/>
  <c r="W479" i="30"/>
  <c r="W495" i="30"/>
  <c r="W508" i="30"/>
  <c r="W523" i="30"/>
  <c r="W536" i="30"/>
  <c r="W548" i="30"/>
  <c r="W555" i="30"/>
  <c r="W561" i="30"/>
  <c r="W574" i="30"/>
  <c r="W588" i="30"/>
  <c r="W347" i="30"/>
  <c r="W359" i="30"/>
  <c r="W372" i="30"/>
  <c r="W380" i="30"/>
  <c r="W390" i="30"/>
  <c r="W398" i="30"/>
  <c r="W406" i="30"/>
  <c r="W427" i="30"/>
  <c r="W439" i="30"/>
  <c r="W452" i="30"/>
  <c r="W466" i="30"/>
  <c r="W474" i="30"/>
  <c r="W493" i="30"/>
  <c r="W506" i="30"/>
  <c r="W518" i="30"/>
  <c r="W533" i="30"/>
  <c r="W544" i="30"/>
  <c r="W552" i="30"/>
  <c r="W559" i="30"/>
  <c r="W572" i="30"/>
  <c r="W582" i="30"/>
  <c r="W593" i="30"/>
  <c r="W601" i="30"/>
  <c r="W608" i="30"/>
  <c r="W612" i="30"/>
  <c r="W618" i="30"/>
  <c r="W623" i="30"/>
  <c r="W634" i="30"/>
  <c r="W653" i="30"/>
  <c r="W658" i="30"/>
  <c r="W663" i="30"/>
  <c r="W667" i="30"/>
  <c r="W671" i="30"/>
  <c r="W675" i="30"/>
  <c r="W679" i="30"/>
  <c r="W691" i="30"/>
  <c r="W695" i="30"/>
  <c r="W699" i="30"/>
  <c r="W759" i="30"/>
  <c r="W791" i="30"/>
  <c r="W811" i="30"/>
  <c r="W838" i="30"/>
  <c r="W855" i="30"/>
  <c r="W877" i="30"/>
  <c r="W891" i="30"/>
  <c r="W903" i="30"/>
  <c r="W923" i="30"/>
  <c r="W940" i="30"/>
  <c r="W949" i="30"/>
  <c r="W958" i="30"/>
  <c r="W968" i="30"/>
  <c r="W987" i="30"/>
  <c r="W1007" i="30"/>
  <c r="W1017" i="30"/>
  <c r="W1030" i="30"/>
  <c r="W1044" i="30"/>
  <c r="W1061" i="30"/>
  <c r="W1098" i="30"/>
  <c r="W1106" i="30"/>
  <c r="W1114" i="30"/>
  <c r="W1122" i="30"/>
  <c r="W1130" i="30"/>
  <c r="W340" i="30"/>
  <c r="W633" i="30"/>
  <c r="W758" i="30"/>
  <c r="W790" i="30"/>
  <c r="W810" i="30"/>
  <c r="W837" i="30"/>
  <c r="W854" i="30"/>
  <c r="W876" i="30"/>
  <c r="W890" i="30"/>
  <c r="W902" i="30"/>
  <c r="W922" i="30"/>
  <c r="W939" i="30"/>
  <c r="W948" i="30"/>
  <c r="W957" i="30"/>
  <c r="W967" i="30"/>
  <c r="W986" i="30"/>
  <c r="W1006" i="30"/>
  <c r="W1016" i="30"/>
  <c r="W1029" i="30"/>
  <c r="W1043" i="30"/>
  <c r="W1055" i="30"/>
  <c r="W1097" i="30"/>
  <c r="W1105" i="30"/>
  <c r="W1113" i="30"/>
  <c r="W1121" i="30"/>
  <c r="W1129" i="30"/>
  <c r="W358" i="30"/>
  <c r="W371" i="30"/>
  <c r="W379" i="30"/>
  <c r="W388" i="30"/>
  <c r="W397" i="30"/>
  <c r="W405" i="30"/>
  <c r="W426" i="30"/>
  <c r="W435" i="30"/>
  <c r="W448" i="30"/>
  <c r="W464" i="30"/>
  <c r="W473" i="30"/>
  <c r="W491" i="30"/>
  <c r="W505" i="30"/>
  <c r="W517" i="30"/>
  <c r="W54" i="30"/>
  <c r="W188" i="30"/>
  <c r="W217" i="30"/>
  <c r="W241" i="30"/>
  <c r="W270" i="30"/>
  <c r="W313" i="30"/>
  <c r="W315" i="30"/>
  <c r="W317" i="30"/>
  <c r="W319" i="30"/>
  <c r="W56" i="30"/>
  <c r="W116" i="30"/>
  <c r="W139" i="30"/>
  <c r="W150" i="30"/>
  <c r="W153" i="30"/>
  <c r="W160" i="30"/>
  <c r="W170" i="30"/>
  <c r="W173" i="30"/>
  <c r="W175" i="30"/>
  <c r="W186" i="30"/>
  <c r="W190" i="30"/>
  <c r="W201" i="30"/>
  <c r="W213" i="30"/>
  <c r="W215" i="30"/>
  <c r="W338" i="30"/>
  <c r="W629" i="30"/>
  <c r="W756" i="30"/>
  <c r="W786" i="30"/>
  <c r="W806" i="30"/>
  <c r="W834" i="30"/>
  <c r="W851" i="30"/>
  <c r="W871" i="30"/>
  <c r="W887" i="30"/>
  <c r="W899" i="30"/>
  <c r="W918" i="30"/>
  <c r="W934" i="30"/>
  <c r="W945" i="30"/>
  <c r="W954" i="30"/>
  <c r="W962" i="30"/>
  <c r="W977" i="30"/>
  <c r="W1002" i="30"/>
  <c r="W1011" i="30"/>
  <c r="W1026" i="30"/>
  <c r="W1039" i="30"/>
  <c r="W1052" i="30"/>
  <c r="W1094" i="30"/>
  <c r="W1102" i="30"/>
  <c r="W1110" i="30"/>
  <c r="W1118" i="30"/>
  <c r="W1126" i="30"/>
  <c r="W352" i="30"/>
  <c r="W368" i="30"/>
  <c r="W376" i="30"/>
  <c r="W385" i="30"/>
  <c r="W394" i="30"/>
  <c r="W402" i="30"/>
  <c r="W416" i="30"/>
  <c r="W431" i="30"/>
  <c r="W445" i="30"/>
  <c r="W458" i="30"/>
  <c r="W470" i="30"/>
  <c r="W481" i="30"/>
  <c r="W497" i="30"/>
  <c r="W509" i="30"/>
  <c r="W524" i="30"/>
  <c r="W537" i="30"/>
  <c r="W549" i="30"/>
  <c r="W556" i="30"/>
  <c r="W569" i="30"/>
  <c r="W575" i="30"/>
  <c r="W589" i="30"/>
  <c r="W598" i="30"/>
  <c r="W606" i="30"/>
  <c r="W610" i="30"/>
  <c r="W616" i="30"/>
  <c r="W620" i="30"/>
  <c r="W651" i="30"/>
  <c r="W655" i="30"/>
  <c r="W660" i="30"/>
  <c r="W665" i="30"/>
  <c r="W669" i="30"/>
  <c r="W673" i="30"/>
  <c r="W677" i="30"/>
  <c r="W689" i="30"/>
  <c r="W692" i="30"/>
  <c r="W696" i="30"/>
  <c r="W700" i="30"/>
  <c r="W710" i="30"/>
  <c r="W712" i="30"/>
  <c r="W714" i="30"/>
  <c r="W717" i="30"/>
  <c r="W720" i="30"/>
  <c r="W722" i="30"/>
  <c r="W727" i="30"/>
  <c r="W729" i="30"/>
  <c r="W731" i="30"/>
  <c r="W733" i="30"/>
  <c r="W735" i="30"/>
  <c r="W738" i="30"/>
  <c r="W740" i="30"/>
  <c r="W742" i="30"/>
  <c r="W744" i="30"/>
  <c r="W812" i="30"/>
  <c r="W840" i="30"/>
  <c r="W862" i="30"/>
  <c r="W878" i="30"/>
  <c r="W892" i="30"/>
  <c r="W904" i="30"/>
  <c r="W924" i="30"/>
  <c r="W941" i="30"/>
  <c r="W950" i="30"/>
  <c r="W959" i="30"/>
  <c r="W969" i="30"/>
  <c r="W997" i="30"/>
  <c r="W1008" i="30"/>
  <c r="W1018" i="30"/>
  <c r="W1033" i="30"/>
  <c r="W1045" i="30"/>
  <c r="W1062" i="30"/>
  <c r="W1099" i="30"/>
  <c r="W1107" i="30"/>
  <c r="W1115" i="30"/>
  <c r="W1123" i="30"/>
  <c r="W348" i="30"/>
  <c r="W360" i="30"/>
  <c r="W373" i="30"/>
  <c r="W381" i="30"/>
  <c r="W391" i="30"/>
  <c r="W399" i="30"/>
  <c r="W407" i="30"/>
  <c r="W428" i="30"/>
  <c r="W440" i="30"/>
  <c r="W453" i="30"/>
  <c r="W467" i="30"/>
  <c r="W475" i="30"/>
  <c r="W494" i="30"/>
  <c r="W507" i="30"/>
  <c r="W521" i="30"/>
  <c r="W535" i="30"/>
  <c r="W547" i="30"/>
  <c r="W553" i="30"/>
  <c r="W560" i="30"/>
  <c r="W573" i="30"/>
  <c r="W583" i="30"/>
  <c r="W597" i="30"/>
  <c r="W605" i="30"/>
  <c r="W609" i="30"/>
  <c r="W613" i="30"/>
  <c r="W619" i="30"/>
  <c r="W650" i="30"/>
  <c r="W654" i="30"/>
  <c r="W659" i="30"/>
  <c r="W664" i="30"/>
  <c r="W668" i="30"/>
  <c r="W672" i="30"/>
  <c r="W676" i="30"/>
  <c r="W680" i="30"/>
  <c r="W55" i="30"/>
  <c r="W189" i="30"/>
  <c r="W219" i="30"/>
  <c r="W242" i="30"/>
  <c r="W273" i="30"/>
  <c r="W314" i="30"/>
  <c r="W316" i="30"/>
  <c r="W318" i="30"/>
  <c r="W322" i="30"/>
  <c r="W57" i="30"/>
  <c r="W118" i="30"/>
  <c r="W145" i="30"/>
  <c r="W152" i="30"/>
  <c r="W159" i="30"/>
  <c r="W162" i="30"/>
  <c r="W172" i="30"/>
  <c r="W58" i="30"/>
  <c r="W83" i="30"/>
  <c r="W84" i="30"/>
  <c r="W91" i="30"/>
  <c r="W92" i="30"/>
  <c r="W93" i="30"/>
  <c r="W94" i="30"/>
  <c r="W95" i="30"/>
  <c r="W96" i="30"/>
  <c r="W119" i="30"/>
  <c r="W126" i="30"/>
  <c r="W127" i="30"/>
  <c r="W128" i="30"/>
  <c r="W129" i="30"/>
  <c r="W130" i="30"/>
  <c r="W138" i="30"/>
  <c r="W192" i="30"/>
  <c r="W193" i="30"/>
  <c r="W194" i="30"/>
  <c r="W195" i="30"/>
  <c r="W196" i="30"/>
  <c r="W197" i="30"/>
  <c r="W198" i="30"/>
  <c r="W199" i="30"/>
  <c r="W200" i="30"/>
  <c r="W206" i="30"/>
  <c r="W207" i="30"/>
  <c r="W208" i="30"/>
  <c r="W209" i="30"/>
  <c r="W210" i="30"/>
  <c r="W211" i="30"/>
  <c r="W212" i="30"/>
  <c r="W220" i="30"/>
  <c r="W221" i="30"/>
  <c r="W222" i="30"/>
  <c r="W223" i="30"/>
  <c r="W224" i="30"/>
  <c r="W232" i="30"/>
  <c r="W233" i="30"/>
  <c r="W234" i="30"/>
  <c r="W235" i="30"/>
  <c r="W236" i="30"/>
  <c r="W237" i="30"/>
  <c r="W238" i="30"/>
  <c r="W239" i="30"/>
  <c r="W240" i="30"/>
  <c r="W243" i="30"/>
  <c r="W244" i="30"/>
  <c r="W247" i="30"/>
  <c r="W248" i="30"/>
  <c r="W249" i="30"/>
  <c r="W250" i="30"/>
  <c r="W251" i="30"/>
  <c r="W252" i="30"/>
  <c r="W261" i="30"/>
  <c r="W262" i="30"/>
  <c r="W263" i="30"/>
  <c r="W264" i="30"/>
  <c r="W265" i="30"/>
  <c r="W266" i="30"/>
  <c r="W268" i="30"/>
  <c r="W269" i="30"/>
  <c r="W278" i="30"/>
  <c r="W288" i="30"/>
  <c r="W289" i="30"/>
  <c r="W290" i="30"/>
  <c r="W291" i="30"/>
  <c r="W304" i="30"/>
  <c r="W305" i="30"/>
  <c r="W306" i="30"/>
  <c r="W307" i="30"/>
  <c r="W308" i="30"/>
  <c r="W309" i="30"/>
  <c r="W310" i="30"/>
  <c r="W311" i="30"/>
  <c r="W312" i="30"/>
  <c r="W337" i="30"/>
  <c r="W628" i="30"/>
  <c r="W755" i="30"/>
  <c r="W785" i="30"/>
  <c r="W805" i="30"/>
  <c r="W833" i="30"/>
  <c r="W850" i="30"/>
  <c r="W870" i="30"/>
  <c r="W886" i="30"/>
  <c r="W898" i="30"/>
  <c r="W917" i="30"/>
  <c r="W932" i="30"/>
  <c r="W944" i="30"/>
  <c r="W953" i="30"/>
  <c r="W961" i="30"/>
  <c r="W976" i="30"/>
  <c r="W1001" i="30"/>
  <c r="W1010" i="30"/>
  <c r="W1025" i="30"/>
  <c r="W1038" i="30"/>
  <c r="W1050" i="30"/>
  <c r="W1093" i="30"/>
  <c r="W1101" i="30"/>
  <c r="W1109" i="30"/>
  <c r="W1117" i="30"/>
  <c r="W1125" i="30"/>
  <c r="W351" i="30"/>
  <c r="W362" i="30"/>
  <c r="W375" i="30"/>
  <c r="W384" i="30"/>
  <c r="W393" i="30"/>
  <c r="W401" i="30"/>
  <c r="W415" i="30"/>
  <c r="W430" i="30"/>
  <c r="W444" i="30"/>
  <c r="W457" i="30"/>
  <c r="W469" i="30"/>
  <c r="W480" i="30"/>
  <c r="W496" i="30"/>
  <c r="W1058" i="30"/>
  <c r="W1059" i="30"/>
  <c r="W1063" i="30"/>
  <c r="W1065" i="30"/>
  <c r="W1069" i="30"/>
  <c r="W1067" i="30"/>
  <c r="W1064" i="30"/>
  <c r="W1060" i="30"/>
  <c r="W1057" i="30"/>
  <c r="W1066" i="30"/>
  <c r="W1068" i="30"/>
  <c r="W1070" i="30"/>
  <c r="W1073" i="30"/>
  <c r="W1074" i="30"/>
  <c r="W1072" i="30"/>
  <c r="W1071" i="30"/>
  <c r="W1090" i="30"/>
  <c r="W1089" i="30"/>
  <c r="W1075" i="30"/>
  <c r="W1076" i="30"/>
  <c r="W1077" i="30"/>
  <c r="W1078" i="30"/>
  <c r="W1079" i="30"/>
  <c r="W1080" i="30"/>
  <c r="W1081" i="30"/>
  <c r="W1082" i="30"/>
  <c r="W1083" i="30"/>
  <c r="W1084" i="30"/>
  <c r="W1085" i="30"/>
  <c r="W1086" i="30"/>
  <c r="W1087" i="30"/>
  <c r="W1088" i="30"/>
  <c r="W276" i="30"/>
  <c r="W277" i="30"/>
  <c r="W285" i="30"/>
  <c r="W286" i="30"/>
  <c r="W287" i="30"/>
  <c r="W293" i="30"/>
  <c r="W294" i="30"/>
  <c r="W295" i="30"/>
  <c r="W296" i="30"/>
  <c r="W297" i="30"/>
  <c r="W298" i="30"/>
  <c r="W299" i="30"/>
  <c r="W300" i="30"/>
  <c r="W301" i="30"/>
  <c r="W302" i="30"/>
  <c r="W303" i="30"/>
  <c r="W335" i="30"/>
  <c r="W349" i="30"/>
  <c r="W363" i="30"/>
  <c r="W364" i="30"/>
  <c r="W365" i="30"/>
  <c r="W366" i="30"/>
  <c r="W367" i="30"/>
  <c r="W383" i="30"/>
  <c r="W389" i="30"/>
  <c r="W463" i="30"/>
  <c r="W484" i="30"/>
  <c r="W843" i="30"/>
  <c r="W874" i="30"/>
  <c r="W879" i="30"/>
  <c r="W964" i="30"/>
  <c r="W973" i="30"/>
  <c r="W974" i="30"/>
  <c r="W983" i="30"/>
  <c r="W984" i="30"/>
  <c r="W990" i="30"/>
  <c r="W991" i="30"/>
  <c r="W992" i="30"/>
  <c r="W994" i="30"/>
  <c r="W995" i="30"/>
  <c r="W996" i="30"/>
  <c r="W998" i="30"/>
  <c r="W1031" i="30"/>
  <c r="W1032" i="30"/>
  <c r="W165" i="30"/>
  <c r="W182" i="30"/>
  <c r="W183" i="30"/>
  <c r="W184" i="30"/>
  <c r="W205" i="30"/>
  <c r="W218" i="30"/>
  <c r="W267" i="30"/>
  <c r="W1036" i="30"/>
  <c r="W1037" i="30"/>
  <c r="W52" i="30"/>
  <c r="W53" i="30"/>
  <c r="W85" i="30"/>
  <c r="W86" i="30"/>
  <c r="W87" i="30"/>
  <c r="W88" i="30"/>
  <c r="W89" i="30"/>
  <c r="W90" i="30"/>
  <c r="W125" i="30"/>
  <c r="W144" i="30"/>
  <c r="W166" i="30"/>
  <c r="W167" i="30"/>
  <c r="W168" i="30"/>
  <c r="W169" i="30"/>
  <c r="W176" i="30"/>
  <c r="W177" i="30"/>
  <c r="W178" i="30"/>
  <c r="W179" i="30"/>
  <c r="W180" i="30"/>
  <c r="W181" i="30"/>
  <c r="W602" i="30"/>
  <c r="W519" i="30"/>
  <c r="W454" i="30"/>
  <c r="W483" i="30"/>
  <c r="W522" i="30"/>
  <c r="W455" i="30"/>
  <c r="W419" i="30"/>
  <c r="W586" i="30"/>
  <c r="W590" i="30"/>
  <c r="W418" i="30"/>
  <c r="W622" i="30"/>
  <c r="W492" i="30"/>
  <c r="W585" i="30"/>
  <c r="W584" i="30"/>
  <c r="W476" i="30"/>
  <c r="W477" i="30"/>
  <c r="W520" i="30"/>
  <c r="W784" i="30"/>
  <c r="W203" i="30"/>
  <c r="W204" i="30"/>
  <c r="W227" i="30"/>
  <c r="W228" i="30"/>
  <c r="W229" i="30"/>
  <c r="W230" i="30"/>
  <c r="W231" i="30"/>
  <c r="W292" i="30"/>
  <c r="W163" i="30"/>
  <c r="W141" i="30"/>
  <c r="W142" i="30"/>
  <c r="W143" i="30"/>
  <c r="W164" i="30"/>
  <c r="W225" i="30"/>
  <c r="W226" i="30"/>
  <c r="W253" i="30"/>
  <c r="W254" i="30"/>
  <c r="W649" i="30"/>
  <c r="W124" i="30"/>
  <c r="W49" i="30"/>
  <c r="W50" i="30"/>
  <c r="W51" i="30"/>
  <c r="W577" i="30"/>
  <c r="W897" i="30"/>
  <c r="W542" i="30"/>
  <c r="W578" i="30"/>
  <c r="W885" i="30"/>
  <c r="W579" i="30"/>
  <c r="W580" i="30"/>
  <c r="W568" i="30"/>
  <c r="W554" i="30"/>
  <c r="W540" i="30"/>
  <c r="W541" i="30"/>
  <c r="W782" i="30"/>
  <c r="W817" i="30"/>
  <c r="W798" i="30"/>
  <c r="W818" i="30"/>
  <c r="W819" i="30"/>
  <c r="W820" i="30"/>
  <c r="W821" i="30"/>
  <c r="W822" i="30"/>
  <c r="W823" i="30"/>
  <c r="W824" i="30"/>
  <c r="W799" i="30"/>
  <c r="W825" i="30"/>
  <c r="W800" i="30"/>
  <c r="W826" i="30"/>
  <c r="W827" i="30"/>
  <c r="W801" i="30"/>
  <c r="W828" i="30"/>
  <c r="W829" i="30"/>
  <c r="W802" i="30"/>
  <c r="W2" i="30"/>
  <c r="W865" i="30"/>
  <c r="W830" i="30"/>
  <c r="W803" i="30"/>
  <c r="W804" i="30"/>
  <c r="W1091" i="30"/>
  <c r="W849" i="30"/>
  <c r="W848" i="30"/>
  <c r="W831" i="30"/>
  <c r="W832" i="30"/>
  <c r="W979" i="30"/>
  <c r="W866" i="30"/>
  <c r="W778" i="30"/>
  <c r="W859" i="30"/>
  <c r="W1019" i="30"/>
  <c r="W753" i="30"/>
  <c r="W861" i="30"/>
  <c r="W839" i="30"/>
  <c r="W860" i="30"/>
  <c r="W873" i="30"/>
  <c r="W1014" i="30"/>
  <c r="W916" i="30"/>
  <c r="W915" i="30"/>
  <c r="W936" i="30"/>
  <c r="W1051" i="30"/>
  <c r="W937" i="30"/>
  <c r="W999" i="30"/>
  <c r="W770" i="30"/>
  <c r="W698" i="30"/>
  <c r="W927" i="30"/>
  <c r="W632" i="30"/>
  <c r="W657" i="30"/>
  <c r="W662" i="30"/>
  <c r="W694" i="30"/>
  <c r="W920" i="30"/>
  <c r="W1012" i="30"/>
  <c r="W635" i="30"/>
  <c r="W636" i="30"/>
  <c r="W637" i="30"/>
  <c r="W638" i="30"/>
  <c r="W639" i="30"/>
  <c r="W640" i="30"/>
  <c r="W641" i="30"/>
  <c r="W642" i="30"/>
  <c r="W643" i="30"/>
  <c r="W644" i="30"/>
  <c r="W645" i="30"/>
  <c r="W528" i="30"/>
  <c r="W594" i="30"/>
  <c r="W595" i="30"/>
  <c r="W596" i="30"/>
  <c r="W646" i="30"/>
  <c r="W647" i="30"/>
  <c r="W529" i="30"/>
  <c r="W530" i="30"/>
  <c r="W648" i="30"/>
  <c r="W704" i="30"/>
  <c r="W705" i="30"/>
  <c r="W706" i="30"/>
  <c r="W707" i="30"/>
  <c r="W708" i="30"/>
  <c r="W709" i="30"/>
  <c r="W745" i="30"/>
  <c r="W771" i="30"/>
  <c r="W325" i="30"/>
  <c r="W746" i="30"/>
  <c r="W747" i="30"/>
  <c r="W748" i="30"/>
  <c r="W772" i="30"/>
  <c r="W245" i="30"/>
  <c r="W43" i="30"/>
  <c r="W146" i="30"/>
  <c r="W44" i="30"/>
  <c r="W45" i="30"/>
  <c r="W46" i="30"/>
  <c r="W47" i="30"/>
  <c r="W48" i="30"/>
  <c r="W246" i="30"/>
  <c r="W120" i="30"/>
  <c r="W255" i="30"/>
  <c r="W256" i="30"/>
  <c r="W257" i="30"/>
  <c r="W121" i="30"/>
  <c r="W271" i="30"/>
  <c r="W449" i="30"/>
  <c r="W67" i="30"/>
  <c r="W68" i="30"/>
  <c r="W460" i="30"/>
  <c r="W69" i="30"/>
  <c r="W66" i="30"/>
  <c r="W70" i="30"/>
  <c r="W272" i="30"/>
  <c r="W122" i="30"/>
  <c r="W258" i="30"/>
  <c r="W259" i="30"/>
  <c r="W260" i="30"/>
  <c r="W123" i="30"/>
  <c r="W36" i="30"/>
  <c r="W32" i="30"/>
  <c r="W33" i="30"/>
  <c r="W34" i="30"/>
  <c r="W35" i="30"/>
  <c r="W9" i="30"/>
  <c r="W504" i="30"/>
  <c r="W539" i="30"/>
  <c r="W10" i="30"/>
  <c r="W17" i="30"/>
  <c r="W12" i="30"/>
  <c r="W13" i="30"/>
  <c r="W14" i="30"/>
  <c r="W15" i="30"/>
  <c r="W7" i="30"/>
  <c r="W8" i="30"/>
  <c r="W545" i="30"/>
  <c r="W546" i="30"/>
  <c r="W275" i="30"/>
  <c r="W76" i="30"/>
  <c r="W77" i="30"/>
  <c r="W78" i="30"/>
  <c r="W79" i="30"/>
  <c r="W80" i="30"/>
  <c r="W81" i="30"/>
  <c r="W82" i="30"/>
  <c r="W274" i="30"/>
  <c r="W587" i="30"/>
  <c r="W280" i="30"/>
  <c r="W281" i="30"/>
  <c r="W282" i="30"/>
  <c r="W147" i="30"/>
  <c r="W320" i="30"/>
  <c r="W103" i="30"/>
  <c r="W702" i="30"/>
  <c r="W104" i="30"/>
  <c r="W105" i="30"/>
  <c r="W106" i="30"/>
  <c r="W107" i="30"/>
  <c r="W108" i="30"/>
  <c r="W321" i="30"/>
  <c r="W148" i="30"/>
  <c r="W279" i="30"/>
  <c r="W283" i="30"/>
  <c r="W284" i="30"/>
  <c r="W149" i="30"/>
  <c r="W59" i="30"/>
  <c r="W60" i="30"/>
  <c r="W61" i="30"/>
  <c r="W62" i="30"/>
  <c r="W63" i="30"/>
  <c r="W18" i="30"/>
  <c r="W16" i="30"/>
  <c r="W11" i="30"/>
  <c r="W19" i="30"/>
  <c r="W37" i="30"/>
  <c r="W38" i="30"/>
  <c r="W39" i="30"/>
  <c r="W40" i="30"/>
  <c r="W41" i="30"/>
  <c r="W20" i="30"/>
  <c r="W21" i="30"/>
  <c r="W22" i="30"/>
  <c r="W23" i="30"/>
  <c r="W857" i="30"/>
  <c r="W109" i="30"/>
  <c r="W110" i="30"/>
  <c r="W111" i="30"/>
  <c r="W112" i="30"/>
  <c r="W113" i="30"/>
  <c r="W114" i="30"/>
  <c r="W115" i="30"/>
  <c r="W324" i="30"/>
  <c r="W155" i="30"/>
  <c r="W327" i="30"/>
  <c r="W328" i="30"/>
  <c r="W329" i="30"/>
  <c r="W156" i="30"/>
  <c r="W345" i="30"/>
  <c r="W131" i="30"/>
  <c r="W132" i="30"/>
  <c r="W133" i="30"/>
  <c r="W134" i="30"/>
  <c r="W135" i="30"/>
  <c r="W136" i="30"/>
  <c r="W137" i="30"/>
  <c r="W346" i="30"/>
  <c r="W1020" i="30"/>
  <c r="W330" i="30"/>
  <c r="W331" i="30"/>
  <c r="W332" i="30"/>
  <c r="W157" i="30"/>
  <c r="W97" i="30"/>
  <c r="W98" i="30"/>
  <c r="W99" i="30"/>
  <c r="W100" i="30"/>
  <c r="W101" i="30"/>
  <c r="W24" i="30"/>
  <c r="W25" i="30"/>
  <c r="W26" i="30"/>
  <c r="W27" i="30"/>
  <c r="W71" i="30"/>
  <c r="W72" i="30"/>
  <c r="W73" i="30"/>
  <c r="W74" i="30"/>
  <c r="W75" i="30"/>
  <c r="W28" i="30"/>
  <c r="W29" i="30"/>
  <c r="W30" i="30"/>
  <c r="W31" i="30"/>
  <c r="W438" i="30"/>
  <c r="W432" i="30"/>
  <c r="W422" i="30"/>
  <c r="W437" i="30"/>
  <c r="W443" i="30"/>
  <c r="W154" i="30"/>
  <c r="W450" i="30"/>
  <c r="W451" i="30"/>
  <c r="W323" i="30"/>
  <c r="W436" i="30"/>
  <c r="W490" i="30"/>
  <c r="W442" i="30"/>
  <c r="W781" i="30"/>
  <c r="W531" i="30"/>
  <c r="W789" i="30"/>
  <c r="W532" i="30"/>
  <c r="W797" i="30"/>
  <c r="W534" i="30"/>
  <c r="W527" i="30"/>
  <c r="W461" i="30"/>
  <c r="W423" i="30"/>
  <c r="W413" i="30"/>
  <c r="W424" i="30"/>
  <c r="W567" i="30"/>
  <c r="W409" i="30"/>
  <c r="W410" i="30"/>
  <c r="W414" i="30"/>
  <c r="W411" i="30"/>
  <c r="W412" i="30"/>
  <c r="W425" i="30"/>
  <c r="W355" i="30"/>
  <c r="W343" i="30"/>
  <c r="W562" i="30"/>
  <c r="W344" i="30"/>
  <c r="W563" i="30"/>
  <c r="W341" i="30"/>
  <c r="W723" i="30"/>
  <c r="W356" i="30"/>
  <c r="W342" i="30"/>
  <c r="W357" i="30"/>
  <c r="W3" i="30"/>
  <c r="W4" i="30"/>
  <c r="W5" i="30"/>
  <c r="W6" i="30"/>
  <c r="W724" i="30"/>
  <c r="W64" i="30"/>
  <c r="W65" i="30"/>
  <c r="W703" i="30"/>
  <c r="W102" i="30"/>
  <c r="W421" i="30"/>
  <c r="W972" i="30"/>
  <c r="W858" i="30"/>
  <c r="W970" i="30"/>
  <c r="W978" i="30"/>
  <c r="W564" i="30"/>
  <c r="W565" i="30"/>
  <c r="W846" i="30"/>
  <c r="W847" i="30"/>
  <c r="W566" i="30"/>
  <c r="W863" i="30"/>
  <c r="W716" i="30"/>
  <c r="W725" i="30"/>
  <c r="W681" i="30"/>
  <c r="W856" i="30"/>
  <c r="W1056" i="30"/>
  <c r="W1046" i="30"/>
  <c r="W1048" i="30"/>
  <c r="W1047" i="30"/>
  <c r="W42" i="30"/>
  <c r="W1021" i="30"/>
  <c r="W1022" i="30"/>
  <c r="W1023" i="30"/>
  <c r="W1040" i="30"/>
  <c r="W1035" i="30"/>
  <c r="W971" i="30"/>
  <c r="W1003" i="30"/>
  <c r="W963" i="30"/>
  <c r="W988" i="30"/>
  <c r="W981" i="30"/>
  <c r="W982" i="30"/>
  <c r="W989" i="30"/>
  <c r="W993" i="30"/>
  <c r="W884" i="30"/>
  <c r="W907" i="30"/>
  <c r="W908" i="30"/>
  <c r="W909" i="30"/>
  <c r="W910" i="30"/>
  <c r="W911" i="30"/>
  <c r="W914" i="30"/>
  <c r="W928" i="30"/>
  <c r="W929" i="30"/>
  <c r="W933" i="30"/>
  <c r="W486" i="30"/>
  <c r="W512" i="30"/>
  <c r="W487" i="30"/>
  <c r="W485" i="30"/>
  <c r="W498" i="30"/>
  <c r="W501" i="30"/>
  <c r="W513" i="30"/>
  <c r="W514" i="30"/>
  <c r="W515" i="30"/>
  <c r="W511" i="30"/>
  <c r="W499" i="30"/>
  <c r="W488" i="30"/>
  <c r="W478" i="30"/>
  <c r="W465" i="30"/>
  <c r="W500" i="30"/>
  <c r="W615" i="30"/>
  <c r="W603" i="30"/>
  <c r="W604" i="30"/>
  <c r="W614" i="30"/>
  <c r="W630" i="30"/>
  <c r="W737" i="30"/>
  <c r="W682" i="30"/>
  <c r="W685" i="30"/>
  <c r="W686" i="30"/>
  <c r="W687" i="30"/>
  <c r="W683" i="30"/>
  <c r="W684" i="30"/>
  <c r="W688" i="30"/>
  <c r="W719" i="30"/>
  <c r="W794" i="30"/>
  <c r="W766" i="30"/>
  <c r="W767" i="30"/>
  <c r="W808" i="30"/>
  <c r="W1131" i="30"/>
  <c r="W1135" i="30"/>
  <c r="W1136" i="30"/>
  <c r="W1137" i="30"/>
  <c r="W1132" i="30"/>
  <c r="W1138" i="30"/>
  <c r="W1139" i="30"/>
  <c r="W1133" i="30"/>
  <c r="W1134" i="30"/>
  <c r="W1140" i="30"/>
  <c r="W1141" i="30"/>
  <c r="W1142" i="30"/>
  <c r="R326" i="30"/>
  <c r="R624" i="30"/>
  <c r="R750" i="30"/>
  <c r="R777" i="30"/>
  <c r="R792" i="30"/>
  <c r="R813" i="30"/>
  <c r="R841" i="30"/>
  <c r="R864" i="30"/>
  <c r="R880" i="30"/>
  <c r="R893" i="30"/>
  <c r="R905" i="30"/>
  <c r="R925" i="30"/>
  <c r="R333" i="30"/>
  <c r="R625" i="30"/>
  <c r="R751" i="30"/>
  <c r="R779" i="30"/>
  <c r="R793" i="30"/>
  <c r="R814" i="30"/>
  <c r="R842" i="30"/>
  <c r="R867" i="30"/>
  <c r="R881" i="30"/>
  <c r="R894" i="30"/>
  <c r="R906" i="30"/>
  <c r="R926" i="30"/>
  <c r="R942" i="30"/>
  <c r="R951" i="30"/>
  <c r="R334" i="30"/>
  <c r="R626" i="30"/>
  <c r="R752" i="30"/>
  <c r="R780" i="30"/>
  <c r="R795" i="30"/>
  <c r="R815" i="30"/>
  <c r="R844" i="30"/>
  <c r="R868" i="30"/>
  <c r="R882" i="30"/>
  <c r="R895" i="30"/>
  <c r="R912" i="30"/>
  <c r="R930" i="30"/>
  <c r="R339" i="30"/>
  <c r="R631" i="30"/>
  <c r="R757" i="30"/>
  <c r="R788" i="30"/>
  <c r="R809" i="30"/>
  <c r="R836" i="30"/>
  <c r="R853" i="30"/>
  <c r="R875" i="30"/>
  <c r="R889" i="30"/>
  <c r="R901" i="30"/>
  <c r="R921" i="30"/>
  <c r="R938" i="30"/>
  <c r="R947" i="30"/>
  <c r="R956" i="30"/>
  <c r="R966" i="30"/>
  <c r="R985" i="30"/>
  <c r="R1005" i="30"/>
  <c r="R1015" i="30"/>
  <c r="R1028" i="30"/>
  <c r="R1042" i="30"/>
  <c r="R1054" i="30"/>
  <c r="R1096" i="30"/>
  <c r="R1104" i="30"/>
  <c r="R1112" i="30"/>
  <c r="R1120" i="30"/>
  <c r="R1128" i="30"/>
  <c r="R354" i="30"/>
  <c r="R370" i="30"/>
  <c r="R378" i="30"/>
  <c r="R387" i="30"/>
  <c r="R396" i="30"/>
  <c r="R404" i="30"/>
  <c r="R420" i="30"/>
  <c r="R434" i="30"/>
  <c r="R447" i="30"/>
  <c r="R462" i="30"/>
  <c r="R472" i="30"/>
  <c r="R489" i="30"/>
  <c r="R503" i="30"/>
  <c r="R516" i="30"/>
  <c r="R526" i="30"/>
  <c r="R543" i="30"/>
  <c r="R551" i="30"/>
  <c r="R558" i="30"/>
  <c r="R571" i="30"/>
  <c r="R581" i="30"/>
  <c r="R592" i="30"/>
  <c r="R600" i="30"/>
  <c r="R117" i="30"/>
  <c r="R140" i="30"/>
  <c r="R151" i="30"/>
  <c r="R158" i="30"/>
  <c r="R161" i="30"/>
  <c r="R171" i="30"/>
  <c r="R174" i="30"/>
  <c r="R185" i="30"/>
  <c r="R187" i="30"/>
  <c r="R191" i="30"/>
  <c r="R202" i="30"/>
  <c r="R214" i="30"/>
  <c r="R216" i="30"/>
  <c r="R787" i="30"/>
  <c r="R807" i="30"/>
  <c r="R835" i="30"/>
  <c r="R852" i="30"/>
  <c r="R872" i="30"/>
  <c r="R888" i="30"/>
  <c r="R900" i="30"/>
  <c r="R919" i="30"/>
  <c r="R935" i="30"/>
  <c r="R946" i="30"/>
  <c r="R955" i="30"/>
  <c r="R965" i="30"/>
  <c r="R980" i="30"/>
  <c r="R1004" i="30"/>
  <c r="R1013" i="30"/>
  <c r="R1027" i="30"/>
  <c r="R1041" i="30"/>
  <c r="R1053" i="30"/>
  <c r="R1095" i="30"/>
  <c r="R1103" i="30"/>
  <c r="R1111" i="30"/>
  <c r="R1119" i="30"/>
  <c r="R1127" i="30"/>
  <c r="R353" i="30"/>
  <c r="R369" i="30"/>
  <c r="R377" i="30"/>
  <c r="R386" i="30"/>
  <c r="R395" i="30"/>
  <c r="R403" i="30"/>
  <c r="R417" i="30"/>
  <c r="R433" i="30"/>
  <c r="R446" i="30"/>
  <c r="R459" i="30"/>
  <c r="R471" i="30"/>
  <c r="R482" i="30"/>
  <c r="R502" i="30"/>
  <c r="R510" i="30"/>
  <c r="R525" i="30"/>
  <c r="R538" i="30"/>
  <c r="R550" i="30"/>
  <c r="R557" i="30"/>
  <c r="R570" i="30"/>
  <c r="R576" i="30"/>
  <c r="R591" i="30"/>
  <c r="R599" i="30"/>
  <c r="R607" i="30"/>
  <c r="R611" i="30"/>
  <c r="R617" i="30"/>
  <c r="R621" i="30"/>
  <c r="R652" i="30"/>
  <c r="R656" i="30"/>
  <c r="R661" i="30"/>
  <c r="R666" i="30"/>
  <c r="R670" i="30"/>
  <c r="R674" i="30"/>
  <c r="R678" i="30"/>
  <c r="R690" i="30"/>
  <c r="R693" i="30"/>
  <c r="R697" i="30"/>
  <c r="R701" i="30"/>
  <c r="R711" i="30"/>
  <c r="R713" i="30"/>
  <c r="R715" i="30"/>
  <c r="R718" i="30"/>
  <c r="R721" i="30"/>
  <c r="R726" i="30"/>
  <c r="R728" i="30"/>
  <c r="R730" i="30"/>
  <c r="R732" i="30"/>
  <c r="R734" i="30"/>
  <c r="R736" i="30"/>
  <c r="R739" i="30"/>
  <c r="R741" i="30"/>
  <c r="R743" i="30"/>
  <c r="R749" i="30"/>
  <c r="R760" i="30"/>
  <c r="R761" i="30"/>
  <c r="R762" i="30"/>
  <c r="R763" i="30"/>
  <c r="R764" i="30"/>
  <c r="R765" i="30"/>
  <c r="R768" i="30"/>
  <c r="R769" i="30"/>
  <c r="R773" i="30"/>
  <c r="R774" i="30"/>
  <c r="R775" i="30"/>
  <c r="R776" i="30"/>
  <c r="R336" i="30"/>
  <c r="R627" i="30"/>
  <c r="R754" i="30"/>
  <c r="R783" i="30"/>
  <c r="R796" i="30"/>
  <c r="R816" i="30"/>
  <c r="R845" i="30"/>
  <c r="R869" i="30"/>
  <c r="R883" i="30"/>
  <c r="R896" i="30"/>
  <c r="R913" i="30"/>
  <c r="R931" i="30"/>
  <c r="R943" i="30"/>
  <c r="R952" i="30"/>
  <c r="R960" i="30"/>
  <c r="R975" i="30"/>
  <c r="R1000" i="30"/>
  <c r="R1009" i="30"/>
  <c r="R1024" i="30"/>
  <c r="R1034" i="30"/>
  <c r="R1049" i="30"/>
  <c r="R1092" i="30"/>
  <c r="R1100" i="30"/>
  <c r="R1108" i="30"/>
  <c r="R1116" i="30"/>
  <c r="R1124" i="30"/>
  <c r="R350" i="30"/>
  <c r="R361" i="30"/>
  <c r="R374" i="30"/>
  <c r="R382" i="30"/>
  <c r="R392" i="30"/>
  <c r="R400" i="30"/>
  <c r="R408" i="30"/>
  <c r="R429" i="30"/>
  <c r="R441" i="30"/>
  <c r="R456" i="30"/>
  <c r="R468" i="30"/>
  <c r="R479" i="30"/>
  <c r="R495" i="30"/>
  <c r="R508" i="30"/>
  <c r="R523" i="30"/>
  <c r="R536" i="30"/>
  <c r="R548" i="30"/>
  <c r="R555" i="30"/>
  <c r="R561" i="30"/>
  <c r="R574" i="30"/>
  <c r="R588" i="30"/>
  <c r="R347" i="30"/>
  <c r="R359" i="30"/>
  <c r="R372" i="30"/>
  <c r="R380" i="30"/>
  <c r="R390" i="30"/>
  <c r="R398" i="30"/>
  <c r="R406" i="30"/>
  <c r="R427" i="30"/>
  <c r="R439" i="30"/>
  <c r="R452" i="30"/>
  <c r="R466" i="30"/>
  <c r="R474" i="30"/>
  <c r="R493" i="30"/>
  <c r="R506" i="30"/>
  <c r="R518" i="30"/>
  <c r="R533" i="30"/>
  <c r="R544" i="30"/>
  <c r="R552" i="30"/>
  <c r="R559" i="30"/>
  <c r="R572" i="30"/>
  <c r="R582" i="30"/>
  <c r="R593" i="30"/>
  <c r="R601" i="30"/>
  <c r="R608" i="30"/>
  <c r="R612" i="30"/>
  <c r="R618" i="30"/>
  <c r="R623" i="30"/>
  <c r="R634" i="30"/>
  <c r="R653" i="30"/>
  <c r="R658" i="30"/>
  <c r="R663" i="30"/>
  <c r="R667" i="30"/>
  <c r="R671" i="30"/>
  <c r="R675" i="30"/>
  <c r="R679" i="30"/>
  <c r="R691" i="30"/>
  <c r="R695" i="30"/>
  <c r="R699" i="30"/>
  <c r="R759" i="30"/>
  <c r="R791" i="30"/>
  <c r="R811" i="30"/>
  <c r="R838" i="30"/>
  <c r="R855" i="30"/>
  <c r="R877" i="30"/>
  <c r="R891" i="30"/>
  <c r="R903" i="30"/>
  <c r="R923" i="30"/>
  <c r="R940" i="30"/>
  <c r="R949" i="30"/>
  <c r="R958" i="30"/>
  <c r="R968" i="30"/>
  <c r="R987" i="30"/>
  <c r="R1007" i="30"/>
  <c r="R1017" i="30"/>
  <c r="R1030" i="30"/>
  <c r="R1044" i="30"/>
  <c r="R1061" i="30"/>
  <c r="R1098" i="30"/>
  <c r="R1106" i="30"/>
  <c r="R1114" i="30"/>
  <c r="R1122" i="30"/>
  <c r="R1130" i="30"/>
  <c r="R340" i="30"/>
  <c r="R633" i="30"/>
  <c r="R758" i="30"/>
  <c r="R790" i="30"/>
  <c r="R810" i="30"/>
  <c r="R837" i="30"/>
  <c r="R854" i="30"/>
  <c r="R876" i="30"/>
  <c r="R890" i="30"/>
  <c r="R902" i="30"/>
  <c r="R922" i="30"/>
  <c r="R939" i="30"/>
  <c r="R948" i="30"/>
  <c r="R957" i="30"/>
  <c r="R967" i="30"/>
  <c r="R986" i="30"/>
  <c r="R1006" i="30"/>
  <c r="R1016" i="30"/>
  <c r="R1029" i="30"/>
  <c r="R1043" i="30"/>
  <c r="R1055" i="30"/>
  <c r="R1097" i="30"/>
  <c r="R1105" i="30"/>
  <c r="R1113" i="30"/>
  <c r="R1121" i="30"/>
  <c r="R1129" i="30"/>
  <c r="R358" i="30"/>
  <c r="R371" i="30"/>
  <c r="R379" i="30"/>
  <c r="R388" i="30"/>
  <c r="R397" i="30"/>
  <c r="R405" i="30"/>
  <c r="R426" i="30"/>
  <c r="R435" i="30"/>
  <c r="R448" i="30"/>
  <c r="R464" i="30"/>
  <c r="R473" i="30"/>
  <c r="R491" i="30"/>
  <c r="R505" i="30"/>
  <c r="R517" i="30"/>
  <c r="R54" i="30"/>
  <c r="R188" i="30"/>
  <c r="R217" i="30"/>
  <c r="R241" i="30"/>
  <c r="R270" i="30"/>
  <c r="R313" i="30"/>
  <c r="R315" i="30"/>
  <c r="R317" i="30"/>
  <c r="R319" i="30"/>
  <c r="R56" i="30"/>
  <c r="R116" i="30"/>
  <c r="R139" i="30"/>
  <c r="R150" i="30"/>
  <c r="R153" i="30"/>
  <c r="R160" i="30"/>
  <c r="R170" i="30"/>
  <c r="R173" i="30"/>
  <c r="R175" i="30"/>
  <c r="R186" i="30"/>
  <c r="R190" i="30"/>
  <c r="R201" i="30"/>
  <c r="R213" i="30"/>
  <c r="R215" i="30"/>
  <c r="R338" i="30"/>
  <c r="R629" i="30"/>
  <c r="R756" i="30"/>
  <c r="R786" i="30"/>
  <c r="R806" i="30"/>
  <c r="R834" i="30"/>
  <c r="R851" i="30"/>
  <c r="R871" i="30"/>
  <c r="R887" i="30"/>
  <c r="R899" i="30"/>
  <c r="R918" i="30"/>
  <c r="R934" i="30"/>
  <c r="R945" i="30"/>
  <c r="R954" i="30"/>
  <c r="R962" i="30"/>
  <c r="R977" i="30"/>
  <c r="R1002" i="30"/>
  <c r="R1011" i="30"/>
  <c r="R1026" i="30"/>
  <c r="R1039" i="30"/>
  <c r="R1052" i="30"/>
  <c r="R1094" i="30"/>
  <c r="R1102" i="30"/>
  <c r="R1110" i="30"/>
  <c r="R1118" i="30"/>
  <c r="R1126" i="30"/>
  <c r="R352" i="30"/>
  <c r="R368" i="30"/>
  <c r="R376" i="30"/>
  <c r="R385" i="30"/>
  <c r="R394" i="30"/>
  <c r="R402" i="30"/>
  <c r="R416" i="30"/>
  <c r="R431" i="30"/>
  <c r="R445" i="30"/>
  <c r="R458" i="30"/>
  <c r="R470" i="30"/>
  <c r="R481" i="30"/>
  <c r="R497" i="30"/>
  <c r="R509" i="30"/>
  <c r="R524" i="30"/>
  <c r="R537" i="30"/>
  <c r="R549" i="30"/>
  <c r="R556" i="30"/>
  <c r="R569" i="30"/>
  <c r="R575" i="30"/>
  <c r="R589" i="30"/>
  <c r="R598" i="30"/>
  <c r="R606" i="30"/>
  <c r="R610" i="30"/>
  <c r="R616" i="30"/>
  <c r="R620" i="30"/>
  <c r="R651" i="30"/>
  <c r="R655" i="30"/>
  <c r="R660" i="30"/>
  <c r="R665" i="30"/>
  <c r="R669" i="30"/>
  <c r="R673" i="30"/>
  <c r="R677" i="30"/>
  <c r="R689" i="30"/>
  <c r="R692" i="30"/>
  <c r="R696" i="30"/>
  <c r="R700" i="30"/>
  <c r="R710" i="30"/>
  <c r="R712" i="30"/>
  <c r="R714" i="30"/>
  <c r="R717" i="30"/>
  <c r="R720" i="30"/>
  <c r="R722" i="30"/>
  <c r="R727" i="30"/>
  <c r="R729" i="30"/>
  <c r="R731" i="30"/>
  <c r="R733" i="30"/>
  <c r="R735" i="30"/>
  <c r="R738" i="30"/>
  <c r="R740" i="30"/>
  <c r="R742" i="30"/>
  <c r="R744" i="30"/>
  <c r="R812" i="30"/>
  <c r="R840" i="30"/>
  <c r="R862" i="30"/>
  <c r="R878" i="30"/>
  <c r="R892" i="30"/>
  <c r="R904" i="30"/>
  <c r="R924" i="30"/>
  <c r="R941" i="30"/>
  <c r="R950" i="30"/>
  <c r="R959" i="30"/>
  <c r="R969" i="30"/>
  <c r="R997" i="30"/>
  <c r="R1008" i="30"/>
  <c r="R1018" i="30"/>
  <c r="R1033" i="30"/>
  <c r="R1045" i="30"/>
  <c r="R1062" i="30"/>
  <c r="R1099" i="30"/>
  <c r="R1107" i="30"/>
  <c r="R1115" i="30"/>
  <c r="R1123" i="30"/>
  <c r="R348" i="30"/>
  <c r="R360" i="30"/>
  <c r="R373" i="30"/>
  <c r="R381" i="30"/>
  <c r="R391" i="30"/>
  <c r="R399" i="30"/>
  <c r="R407" i="30"/>
  <c r="R428" i="30"/>
  <c r="R440" i="30"/>
  <c r="R453" i="30"/>
  <c r="R467" i="30"/>
  <c r="R475" i="30"/>
  <c r="R494" i="30"/>
  <c r="R507" i="30"/>
  <c r="R521" i="30"/>
  <c r="R535" i="30"/>
  <c r="R547" i="30"/>
  <c r="R553" i="30"/>
  <c r="R560" i="30"/>
  <c r="R573" i="30"/>
  <c r="R583" i="30"/>
  <c r="R597" i="30"/>
  <c r="R605" i="30"/>
  <c r="R609" i="30"/>
  <c r="R613" i="30"/>
  <c r="R619" i="30"/>
  <c r="R650" i="30"/>
  <c r="R654" i="30"/>
  <c r="R659" i="30"/>
  <c r="R664" i="30"/>
  <c r="R668" i="30"/>
  <c r="R672" i="30"/>
  <c r="R676" i="30"/>
  <c r="R680" i="30"/>
  <c r="R55" i="30"/>
  <c r="R189" i="30"/>
  <c r="R219" i="30"/>
  <c r="R242" i="30"/>
  <c r="R273" i="30"/>
  <c r="R314" i="30"/>
  <c r="R316" i="30"/>
  <c r="R318" i="30"/>
  <c r="R322" i="30"/>
  <c r="R57" i="30"/>
  <c r="R118" i="30"/>
  <c r="R145" i="30"/>
  <c r="R152" i="30"/>
  <c r="R159" i="30"/>
  <c r="R162" i="30"/>
  <c r="R172" i="30"/>
  <c r="R58" i="30"/>
  <c r="R83" i="30"/>
  <c r="R84" i="30"/>
  <c r="R91" i="30"/>
  <c r="R92" i="30"/>
  <c r="R93" i="30"/>
  <c r="R94" i="30"/>
  <c r="R95" i="30"/>
  <c r="R96" i="30"/>
  <c r="R119" i="30"/>
  <c r="R126" i="30"/>
  <c r="R127" i="30"/>
  <c r="R128" i="30"/>
  <c r="R129" i="30"/>
  <c r="R130" i="30"/>
  <c r="R138" i="30"/>
  <c r="R192" i="30"/>
  <c r="R193" i="30"/>
  <c r="R194" i="30"/>
  <c r="R195" i="30"/>
  <c r="R196" i="30"/>
  <c r="R197" i="30"/>
  <c r="R198" i="30"/>
  <c r="R199" i="30"/>
  <c r="R200" i="30"/>
  <c r="R206" i="30"/>
  <c r="R207" i="30"/>
  <c r="R208" i="30"/>
  <c r="R209" i="30"/>
  <c r="R210" i="30"/>
  <c r="R211" i="30"/>
  <c r="R212" i="30"/>
  <c r="R220" i="30"/>
  <c r="R221" i="30"/>
  <c r="R222" i="30"/>
  <c r="R223" i="30"/>
  <c r="R224" i="30"/>
  <c r="R232" i="30"/>
  <c r="R233" i="30"/>
  <c r="R234" i="30"/>
  <c r="R235" i="30"/>
  <c r="R236" i="30"/>
  <c r="R237" i="30"/>
  <c r="R238" i="30"/>
  <c r="R239" i="30"/>
  <c r="R240" i="30"/>
  <c r="R243" i="30"/>
  <c r="R244" i="30"/>
  <c r="R247" i="30"/>
  <c r="R248" i="30"/>
  <c r="R249" i="30"/>
  <c r="R250" i="30"/>
  <c r="R251" i="30"/>
  <c r="R252" i="30"/>
  <c r="R261" i="30"/>
  <c r="R262" i="30"/>
  <c r="R263" i="30"/>
  <c r="R264" i="30"/>
  <c r="R265" i="30"/>
  <c r="R266" i="30"/>
  <c r="R268" i="30"/>
  <c r="R269" i="30"/>
  <c r="R278" i="30"/>
  <c r="R288" i="30"/>
  <c r="R289" i="30"/>
  <c r="R290" i="30"/>
  <c r="R291" i="30"/>
  <c r="R304" i="30"/>
  <c r="R305" i="30"/>
  <c r="R306" i="30"/>
  <c r="R307" i="30"/>
  <c r="R308" i="30"/>
  <c r="R309" i="30"/>
  <c r="R310" i="30"/>
  <c r="R311" i="30"/>
  <c r="R312" i="30"/>
  <c r="R337" i="30"/>
  <c r="R628" i="30"/>
  <c r="R755" i="30"/>
  <c r="R785" i="30"/>
  <c r="R805" i="30"/>
  <c r="R833" i="30"/>
  <c r="R850" i="30"/>
  <c r="R870" i="30"/>
  <c r="R886" i="30"/>
  <c r="R898" i="30"/>
  <c r="R917" i="30"/>
  <c r="R932" i="30"/>
  <c r="R944" i="30"/>
  <c r="R953" i="30"/>
  <c r="R961" i="30"/>
  <c r="R976" i="30"/>
  <c r="R1001" i="30"/>
  <c r="R1010" i="30"/>
  <c r="R1025" i="30"/>
  <c r="R1038" i="30"/>
  <c r="R1050" i="30"/>
  <c r="R1093" i="30"/>
  <c r="R1101" i="30"/>
  <c r="R1109" i="30"/>
  <c r="R1117" i="30"/>
  <c r="R1125" i="30"/>
  <c r="R351" i="30"/>
  <c r="R362" i="30"/>
  <c r="R375" i="30"/>
  <c r="R384" i="30"/>
  <c r="R393" i="30"/>
  <c r="R401" i="30"/>
  <c r="R415" i="30"/>
  <c r="R430" i="30"/>
  <c r="R444" i="30"/>
  <c r="R457" i="30"/>
  <c r="R469" i="30"/>
  <c r="R480" i="30"/>
  <c r="R496" i="30"/>
  <c r="R1058" i="30"/>
  <c r="R1059" i="30"/>
  <c r="R1063" i="30"/>
  <c r="R1065" i="30"/>
  <c r="R1069" i="30"/>
  <c r="R1067" i="30"/>
  <c r="R1064" i="30"/>
  <c r="R1060" i="30"/>
  <c r="R1057" i="30"/>
  <c r="R1066" i="30"/>
  <c r="R1068" i="30"/>
  <c r="R1070" i="30"/>
  <c r="R1073" i="30"/>
  <c r="R1074" i="30"/>
  <c r="R1072" i="30"/>
  <c r="R1071" i="30"/>
  <c r="R1090" i="30"/>
  <c r="R1089" i="30"/>
  <c r="R1075" i="30"/>
  <c r="R1076" i="30"/>
  <c r="R1077" i="30"/>
  <c r="R1078" i="30"/>
  <c r="R1079" i="30"/>
  <c r="R1080" i="30"/>
  <c r="R1081" i="30"/>
  <c r="R1082" i="30"/>
  <c r="R1083" i="30"/>
  <c r="R1084" i="30"/>
  <c r="R1085" i="30"/>
  <c r="R1086" i="30"/>
  <c r="R1087" i="30"/>
  <c r="R1088" i="30"/>
  <c r="R276" i="30"/>
  <c r="R277" i="30"/>
  <c r="R285" i="30"/>
  <c r="R286" i="30"/>
  <c r="R287" i="30"/>
  <c r="R293" i="30"/>
  <c r="R294" i="30"/>
  <c r="R295" i="30"/>
  <c r="R296" i="30"/>
  <c r="R297" i="30"/>
  <c r="R298" i="30"/>
  <c r="R299" i="30"/>
  <c r="R300" i="30"/>
  <c r="R301" i="30"/>
  <c r="R302" i="30"/>
  <c r="R303" i="30"/>
  <c r="R335" i="30"/>
  <c r="R349" i="30"/>
  <c r="R363" i="30"/>
  <c r="R364" i="30"/>
  <c r="R365" i="30"/>
  <c r="R366" i="30"/>
  <c r="R367" i="30"/>
  <c r="R383" i="30"/>
  <c r="R389" i="30"/>
  <c r="R463" i="30"/>
  <c r="R484" i="30"/>
  <c r="R843" i="30"/>
  <c r="R874" i="30"/>
  <c r="R879" i="30"/>
  <c r="R964" i="30"/>
  <c r="R973" i="30"/>
  <c r="R974" i="30"/>
  <c r="R983" i="30"/>
  <c r="R984" i="30"/>
  <c r="R990" i="30"/>
  <c r="R991" i="30"/>
  <c r="R992" i="30"/>
  <c r="R994" i="30"/>
  <c r="R995" i="30"/>
  <c r="R996" i="30"/>
  <c r="R998" i="30"/>
  <c r="R1031" i="30"/>
  <c r="R1032" i="30"/>
  <c r="R165" i="30"/>
  <c r="R182" i="30"/>
  <c r="R183" i="30"/>
  <c r="R184" i="30"/>
  <c r="R205" i="30"/>
  <c r="R218" i="30"/>
  <c r="R267" i="30"/>
  <c r="R1036" i="30"/>
  <c r="R1037" i="30"/>
  <c r="R52" i="30"/>
  <c r="R53" i="30"/>
  <c r="R85" i="30"/>
  <c r="R86" i="30"/>
  <c r="R87" i="30"/>
  <c r="R88" i="30"/>
  <c r="R89" i="30"/>
  <c r="R90" i="30"/>
  <c r="R125" i="30"/>
  <c r="R144" i="30"/>
  <c r="R166" i="30"/>
  <c r="R167" i="30"/>
  <c r="R168" i="30"/>
  <c r="R169" i="30"/>
  <c r="R176" i="30"/>
  <c r="R177" i="30"/>
  <c r="R178" i="30"/>
  <c r="R179" i="30"/>
  <c r="R180" i="30"/>
  <c r="R181" i="30"/>
  <c r="R602" i="30"/>
  <c r="R519" i="30"/>
  <c r="R454" i="30"/>
  <c r="R483" i="30"/>
  <c r="R522" i="30"/>
  <c r="R455" i="30"/>
  <c r="R419" i="30"/>
  <c r="R586" i="30"/>
  <c r="R590" i="30"/>
  <c r="R418" i="30"/>
  <c r="R622" i="30"/>
  <c r="R492" i="30"/>
  <c r="R585" i="30"/>
  <c r="R584" i="30"/>
  <c r="R476" i="30"/>
  <c r="R477" i="30"/>
  <c r="R520" i="30"/>
  <c r="R784" i="30"/>
  <c r="R203" i="30"/>
  <c r="R204" i="30"/>
  <c r="R227" i="30"/>
  <c r="R228" i="30"/>
  <c r="R229" i="30"/>
  <c r="R230" i="30"/>
  <c r="R231" i="30"/>
  <c r="R292" i="30"/>
  <c r="R163" i="30"/>
  <c r="R141" i="30"/>
  <c r="R142" i="30"/>
  <c r="R143" i="30"/>
  <c r="R164" i="30"/>
  <c r="R225" i="30"/>
  <c r="R226" i="30"/>
  <c r="R253" i="30"/>
  <c r="R254" i="30"/>
  <c r="R649" i="30"/>
  <c r="R124" i="30"/>
  <c r="R49" i="30"/>
  <c r="R50" i="30"/>
  <c r="R51" i="30"/>
  <c r="R577" i="30"/>
  <c r="R897" i="30"/>
  <c r="R542" i="30"/>
  <c r="R578" i="30"/>
  <c r="R885" i="30"/>
  <c r="R579" i="30"/>
  <c r="R580" i="30"/>
  <c r="R568" i="30"/>
  <c r="R554" i="30"/>
  <c r="R540" i="30"/>
  <c r="R541" i="30"/>
  <c r="R782" i="30"/>
  <c r="R817" i="30"/>
  <c r="R798" i="30"/>
  <c r="R818" i="30"/>
  <c r="R819" i="30"/>
  <c r="R820" i="30"/>
  <c r="R821" i="30"/>
  <c r="R822" i="30"/>
  <c r="R823" i="30"/>
  <c r="R824" i="30"/>
  <c r="R799" i="30"/>
  <c r="R825" i="30"/>
  <c r="R800" i="30"/>
  <c r="R826" i="30"/>
  <c r="R827" i="30"/>
  <c r="R801" i="30"/>
  <c r="R828" i="30"/>
  <c r="R829" i="30"/>
  <c r="R802" i="30"/>
  <c r="R2" i="30"/>
  <c r="R865" i="30"/>
  <c r="R830" i="30"/>
  <c r="R803" i="30"/>
  <c r="R804" i="30"/>
  <c r="R1091" i="30"/>
  <c r="R849" i="30"/>
  <c r="R848" i="30"/>
  <c r="R831" i="30"/>
  <c r="R832" i="30"/>
  <c r="R979" i="30"/>
  <c r="R866" i="30"/>
  <c r="R778" i="30"/>
  <c r="R859" i="30"/>
  <c r="R1019" i="30"/>
  <c r="R753" i="30"/>
  <c r="R861" i="30"/>
  <c r="R839" i="30"/>
  <c r="R860" i="30"/>
  <c r="R873" i="30"/>
  <c r="R1014" i="30"/>
  <c r="R916" i="30"/>
  <c r="R915" i="30"/>
  <c r="R936" i="30"/>
  <c r="R1051" i="30"/>
  <c r="R937" i="30"/>
  <c r="R999" i="30"/>
  <c r="R770" i="30"/>
  <c r="R698" i="30"/>
  <c r="R927" i="30"/>
  <c r="R632" i="30"/>
  <c r="R657" i="30"/>
  <c r="R662" i="30"/>
  <c r="R694" i="30"/>
  <c r="R920" i="30"/>
  <c r="R1012" i="30"/>
  <c r="R635" i="30"/>
  <c r="R636" i="30"/>
  <c r="R637" i="30"/>
  <c r="R638" i="30"/>
  <c r="R639" i="30"/>
  <c r="R640" i="30"/>
  <c r="R641" i="30"/>
  <c r="R642" i="30"/>
  <c r="R643" i="30"/>
  <c r="R644" i="30"/>
  <c r="R645" i="30"/>
  <c r="R528" i="30"/>
  <c r="R594" i="30"/>
  <c r="R595" i="30"/>
  <c r="R596" i="30"/>
  <c r="R646" i="30"/>
  <c r="R647" i="30"/>
  <c r="R529" i="30"/>
  <c r="R530" i="30"/>
  <c r="R648" i="30"/>
  <c r="R704" i="30"/>
  <c r="R705" i="30"/>
  <c r="R706" i="30"/>
  <c r="R707" i="30"/>
  <c r="R708" i="30"/>
  <c r="R709" i="30"/>
  <c r="R745" i="30"/>
  <c r="R771" i="30"/>
  <c r="R325" i="30"/>
  <c r="R746" i="30"/>
  <c r="R747" i="30"/>
  <c r="R748" i="30"/>
  <c r="R772" i="30"/>
  <c r="R245" i="30"/>
  <c r="R43" i="30"/>
  <c r="R146" i="30"/>
  <c r="R44" i="30"/>
  <c r="R45" i="30"/>
  <c r="R46" i="30"/>
  <c r="R47" i="30"/>
  <c r="R48" i="30"/>
  <c r="R246" i="30"/>
  <c r="R120" i="30"/>
  <c r="R255" i="30"/>
  <c r="R256" i="30"/>
  <c r="R257" i="30"/>
  <c r="R121" i="30"/>
  <c r="R271" i="30"/>
  <c r="R449" i="30"/>
  <c r="R67" i="30"/>
  <c r="R68" i="30"/>
  <c r="R460" i="30"/>
  <c r="R69" i="30"/>
  <c r="R66" i="30"/>
  <c r="R70" i="30"/>
  <c r="R272" i="30"/>
  <c r="R122" i="30"/>
  <c r="R258" i="30"/>
  <c r="R259" i="30"/>
  <c r="R260" i="30"/>
  <c r="R123" i="30"/>
  <c r="R36" i="30"/>
  <c r="R32" i="30"/>
  <c r="R33" i="30"/>
  <c r="R34" i="30"/>
  <c r="R35" i="30"/>
  <c r="R9" i="30"/>
  <c r="R504" i="30"/>
  <c r="R539" i="30"/>
  <c r="R10" i="30"/>
  <c r="R17" i="30"/>
  <c r="R12" i="30"/>
  <c r="R13" i="30"/>
  <c r="R14" i="30"/>
  <c r="R15" i="30"/>
  <c r="R7" i="30"/>
  <c r="R8" i="30"/>
  <c r="R545" i="30"/>
  <c r="R546" i="30"/>
  <c r="R275" i="30"/>
  <c r="R76" i="30"/>
  <c r="R77" i="30"/>
  <c r="R78" i="30"/>
  <c r="R79" i="30"/>
  <c r="R80" i="30"/>
  <c r="R81" i="30"/>
  <c r="R82" i="30"/>
  <c r="R274" i="30"/>
  <c r="R587" i="30"/>
  <c r="R280" i="30"/>
  <c r="R281" i="30"/>
  <c r="R282" i="30"/>
  <c r="R147" i="30"/>
  <c r="R320" i="30"/>
  <c r="R103" i="30"/>
  <c r="R702" i="30"/>
  <c r="R104" i="30"/>
  <c r="R105" i="30"/>
  <c r="R106" i="30"/>
  <c r="R107" i="30"/>
  <c r="R108" i="30"/>
  <c r="R321" i="30"/>
  <c r="R148" i="30"/>
  <c r="R279" i="30"/>
  <c r="R283" i="30"/>
  <c r="R284" i="30"/>
  <c r="R149" i="30"/>
  <c r="R59" i="30"/>
  <c r="R60" i="30"/>
  <c r="R61" i="30"/>
  <c r="R62" i="30"/>
  <c r="R63" i="30"/>
  <c r="R18" i="30"/>
  <c r="R16" i="30"/>
  <c r="R11" i="30"/>
  <c r="R19" i="30"/>
  <c r="R37" i="30"/>
  <c r="R38" i="30"/>
  <c r="R39" i="30"/>
  <c r="R40" i="30"/>
  <c r="R41" i="30"/>
  <c r="R20" i="30"/>
  <c r="R21" i="30"/>
  <c r="R22" i="30"/>
  <c r="R23" i="30"/>
  <c r="R857" i="30"/>
  <c r="R109" i="30"/>
  <c r="R110" i="30"/>
  <c r="R111" i="30"/>
  <c r="R112" i="30"/>
  <c r="R113" i="30"/>
  <c r="R114" i="30"/>
  <c r="R115" i="30"/>
  <c r="R324" i="30"/>
  <c r="R155" i="30"/>
  <c r="R327" i="30"/>
  <c r="R328" i="30"/>
  <c r="R329" i="30"/>
  <c r="R156" i="30"/>
  <c r="R345" i="30"/>
  <c r="R131" i="30"/>
  <c r="R132" i="30"/>
  <c r="R133" i="30"/>
  <c r="R134" i="30"/>
  <c r="R135" i="30"/>
  <c r="R136" i="30"/>
  <c r="R137" i="30"/>
  <c r="R346" i="30"/>
  <c r="R1020" i="30"/>
  <c r="R330" i="30"/>
  <c r="R331" i="30"/>
  <c r="R332" i="30"/>
  <c r="R157" i="30"/>
  <c r="R97" i="30"/>
  <c r="R98" i="30"/>
  <c r="R99" i="30"/>
  <c r="R100" i="30"/>
  <c r="R101" i="30"/>
  <c r="R24" i="30"/>
  <c r="R25" i="30"/>
  <c r="R26" i="30"/>
  <c r="R27" i="30"/>
  <c r="R71" i="30"/>
  <c r="R72" i="30"/>
  <c r="R73" i="30"/>
  <c r="R74" i="30"/>
  <c r="R75" i="30"/>
  <c r="R28" i="30"/>
  <c r="R29" i="30"/>
  <c r="R30" i="30"/>
  <c r="R31" i="30"/>
  <c r="R438" i="30"/>
  <c r="R432" i="30"/>
  <c r="R422" i="30"/>
  <c r="R437" i="30"/>
  <c r="R443" i="30"/>
  <c r="R154" i="30"/>
  <c r="R450" i="30"/>
  <c r="R451" i="30"/>
  <c r="R323" i="30"/>
  <c r="R436" i="30"/>
  <c r="R490" i="30"/>
  <c r="R442" i="30"/>
  <c r="R781" i="30"/>
  <c r="R531" i="30"/>
  <c r="R789" i="30"/>
  <c r="R532" i="30"/>
  <c r="R797" i="30"/>
  <c r="R534" i="30"/>
  <c r="R527" i="30"/>
  <c r="R461" i="30"/>
  <c r="R423" i="30"/>
  <c r="R413" i="30"/>
  <c r="R424" i="30"/>
  <c r="R567" i="30"/>
  <c r="R409" i="30"/>
  <c r="R410" i="30"/>
  <c r="R414" i="30"/>
  <c r="R411" i="30"/>
  <c r="R412" i="30"/>
  <c r="R425" i="30"/>
  <c r="R355" i="30"/>
  <c r="R343" i="30"/>
  <c r="R562" i="30"/>
  <c r="R344" i="30"/>
  <c r="R563" i="30"/>
  <c r="R341" i="30"/>
  <c r="R723" i="30"/>
  <c r="R356" i="30"/>
  <c r="R342" i="30"/>
  <c r="R357" i="30"/>
  <c r="R3" i="30"/>
  <c r="R4" i="30"/>
  <c r="R5" i="30"/>
  <c r="R6" i="30"/>
  <c r="R724" i="30"/>
  <c r="R64" i="30"/>
  <c r="R65" i="30"/>
  <c r="R703" i="30"/>
  <c r="R102" i="30"/>
  <c r="R421" i="30"/>
  <c r="R972" i="30"/>
  <c r="R858" i="30"/>
  <c r="R970" i="30"/>
  <c r="R978" i="30"/>
  <c r="R564" i="30"/>
  <c r="R565" i="30"/>
  <c r="R846" i="30"/>
  <c r="R847" i="30"/>
  <c r="R566" i="30"/>
  <c r="R863" i="30"/>
  <c r="R716" i="30"/>
  <c r="R725" i="30"/>
  <c r="R681" i="30"/>
  <c r="R856" i="30"/>
  <c r="R1056" i="30"/>
  <c r="R1046" i="30"/>
  <c r="R1048" i="30"/>
  <c r="R1047" i="30"/>
  <c r="R42" i="30"/>
  <c r="R1021" i="30"/>
  <c r="R1022" i="30"/>
  <c r="R1023" i="30"/>
  <c r="R1040" i="30"/>
  <c r="R1035" i="30"/>
  <c r="R971" i="30"/>
  <c r="R1003" i="30"/>
  <c r="R963" i="30"/>
  <c r="R988" i="30"/>
  <c r="R981" i="30"/>
  <c r="R982" i="30"/>
  <c r="R989" i="30"/>
  <c r="R993" i="30"/>
  <c r="R884" i="30"/>
  <c r="R907" i="30"/>
  <c r="R908" i="30"/>
  <c r="R909" i="30"/>
  <c r="R910" i="30"/>
  <c r="R911" i="30"/>
  <c r="R914" i="30"/>
  <c r="R928" i="30"/>
  <c r="R929" i="30"/>
  <c r="R933" i="30"/>
  <c r="R486" i="30"/>
  <c r="R512" i="30"/>
  <c r="R487" i="30"/>
  <c r="R485" i="30"/>
  <c r="R498" i="30"/>
  <c r="R501" i="30"/>
  <c r="R513" i="30"/>
  <c r="R514" i="30"/>
  <c r="R515" i="30"/>
  <c r="R511" i="30"/>
  <c r="R499" i="30"/>
  <c r="R488" i="30"/>
  <c r="R478" i="30"/>
  <c r="R465" i="30"/>
  <c r="R500" i="30"/>
  <c r="R615" i="30"/>
  <c r="R603" i="30"/>
  <c r="R604" i="30"/>
  <c r="R614" i="30"/>
  <c r="R630" i="30"/>
  <c r="R737" i="30"/>
  <c r="R682" i="30"/>
  <c r="R685" i="30"/>
  <c r="R686" i="30"/>
  <c r="R687" i="30"/>
  <c r="R683" i="30"/>
  <c r="R684" i="30"/>
  <c r="R688" i="30"/>
  <c r="R719" i="30"/>
  <c r="R794" i="30"/>
  <c r="R766" i="30"/>
  <c r="R767" i="30"/>
  <c r="R808" i="30"/>
  <c r="R1131" i="30"/>
  <c r="R1135" i="30"/>
  <c r="R1136" i="30"/>
  <c r="R1137" i="30"/>
  <c r="R1132" i="30"/>
  <c r="R1138" i="30"/>
  <c r="R1139" i="30"/>
  <c r="R1133" i="30"/>
  <c r="R1134" i="30"/>
  <c r="R1140" i="30"/>
  <c r="R1141" i="30"/>
  <c r="R1142" i="30"/>
  <c r="B3" i="27"/>
  <c r="O23" i="31" l="1" a="1"/>
  <c r="M7" i="31"/>
  <c r="R8" i="31"/>
  <c r="L24" i="31"/>
  <c r="V14" i="31"/>
  <c r="K34" i="31"/>
  <c r="E34" i="31"/>
  <c r="G34" i="31"/>
  <c r="I34" i="31"/>
  <c r="V13" i="31"/>
  <c r="U13" i="31"/>
  <c r="Q13" i="31"/>
  <c r="H24" i="31"/>
  <c r="K24" i="31"/>
  <c r="K26" i="31" s="1"/>
  <c r="I24" i="31"/>
  <c r="G26" i="31" s="1"/>
  <c r="M19" i="31"/>
  <c r="J24" i="31"/>
  <c r="M18" i="31"/>
  <c r="O21" i="31" a="1"/>
  <c r="O11" i="31" a="1"/>
  <c r="O22" i="31" a="1"/>
  <c r="O7" i="31" a="1"/>
  <c r="O14" i="31" a="1"/>
  <c r="O15" i="31" a="1"/>
  <c r="O16" i="31" a="1"/>
  <c r="O17" i="31" a="1"/>
  <c r="O18" i="31" a="1"/>
  <c r="O20" i="31" a="1"/>
  <c r="O9" i="31" a="1"/>
  <c r="O10" i="31" a="1"/>
  <c r="O12" i="31" a="1"/>
  <c r="O19" i="31" a="1"/>
  <c r="O8" i="31" a="1"/>
  <c r="O13" i="31" a="1"/>
  <c r="M23" i="31"/>
  <c r="M20" i="31"/>
  <c r="Y20" i="31" s="1" a="1"/>
  <c r="M21" i="31"/>
  <c r="Y21" i="31" s="1" a="1"/>
  <c r="M12" i="31"/>
  <c r="M14" i="31"/>
  <c r="Y14" i="31" s="1" a="1"/>
  <c r="M8" i="31"/>
  <c r="M17" i="31"/>
  <c r="M11" i="31"/>
  <c r="M16" i="31"/>
  <c r="M22" i="31"/>
  <c r="Y22" i="31" s="1" a="1"/>
  <c r="M10" i="31"/>
  <c r="M13" i="31"/>
  <c r="M15" i="31"/>
  <c r="M9" i="31"/>
  <c r="G24" i="31"/>
  <c r="Y7" i="31" a="1"/>
  <c r="E26" i="31"/>
  <c r="I26" i="31"/>
  <c r="N24" i="31"/>
  <c r="N26" i="31" s="1"/>
  <c r="C34" i="31"/>
  <c r="N34" i="31"/>
  <c r="V12" i="31" s="1"/>
  <c r="AB18" i="8"/>
  <c r="AB42" i="8"/>
  <c r="AB48" i="8"/>
  <c r="AB5" i="23"/>
  <c r="AB7" i="23"/>
  <c r="AB11" i="23"/>
  <c r="AB13" i="23"/>
  <c r="AB19" i="23"/>
  <c r="AB25" i="23"/>
  <c r="AB41" i="23"/>
  <c r="AB43" i="23"/>
  <c r="AB47" i="23"/>
  <c r="AB49" i="23"/>
  <c r="AB5" i="6"/>
  <c r="AB7" i="6"/>
  <c r="AB8" i="6"/>
  <c r="AB9" i="6"/>
  <c r="AB13" i="6"/>
  <c r="AB14" i="6"/>
  <c r="AB15" i="6"/>
  <c r="AB20" i="6"/>
  <c r="AB21" i="6"/>
  <c r="AB27" i="6"/>
  <c r="AB37" i="6"/>
  <c r="AB38" i="6"/>
  <c r="AB3" i="6"/>
  <c r="AB4" i="6"/>
  <c r="AB6" i="6"/>
  <c r="AB10" i="6"/>
  <c r="AB11" i="6"/>
  <c r="AB12" i="6"/>
  <c r="AB16" i="6"/>
  <c r="AB17" i="6"/>
  <c r="AB18" i="6"/>
  <c r="AB19" i="6"/>
  <c r="AB22" i="6"/>
  <c r="AB23" i="6"/>
  <c r="AB24" i="6"/>
  <c r="AB25" i="6"/>
  <c r="AB26" i="6"/>
  <c r="AB28" i="6"/>
  <c r="AB29" i="6"/>
  <c r="AB30" i="6"/>
  <c r="AB31" i="6"/>
  <c r="AB32" i="6"/>
  <c r="AB33" i="6"/>
  <c r="AB34" i="6"/>
  <c r="AB35" i="6"/>
  <c r="AB36" i="6"/>
  <c r="AB39" i="6"/>
  <c r="AB2" i="23"/>
  <c r="AB3" i="23"/>
  <c r="AB4" i="23"/>
  <c r="AB6" i="23"/>
  <c r="AB8" i="23"/>
  <c r="AB9" i="23"/>
  <c r="AB10" i="23"/>
  <c r="AB12" i="23"/>
  <c r="AB14" i="23"/>
  <c r="AB15" i="23"/>
  <c r="AB16" i="23"/>
  <c r="AB17" i="23"/>
  <c r="AB18" i="23"/>
  <c r="AB20" i="23"/>
  <c r="AB21" i="23"/>
  <c r="AB22" i="23"/>
  <c r="AB23" i="23"/>
  <c r="AB24" i="23"/>
  <c r="AB26" i="23"/>
  <c r="AB27" i="23"/>
  <c r="AB28" i="23"/>
  <c r="AB29" i="23"/>
  <c r="AB30" i="23"/>
  <c r="AB31" i="23"/>
  <c r="AB32" i="23"/>
  <c r="AB33" i="23"/>
  <c r="AB34" i="23"/>
  <c r="AB35" i="23"/>
  <c r="AB36" i="23"/>
  <c r="AB37" i="23"/>
  <c r="AB38" i="23"/>
  <c r="AB39" i="23"/>
  <c r="AB40" i="23"/>
  <c r="AB42" i="23"/>
  <c r="AB44" i="23"/>
  <c r="AB45" i="23"/>
  <c r="AB46" i="23"/>
  <c r="AB48" i="23"/>
  <c r="AB2" i="8"/>
  <c r="AB3" i="8"/>
  <c r="AB4" i="8"/>
  <c r="AB5" i="8"/>
  <c r="AB6" i="8"/>
  <c r="AB7" i="8"/>
  <c r="AB8" i="8"/>
  <c r="AB9" i="8"/>
  <c r="AB10" i="8"/>
  <c r="AB11" i="8"/>
  <c r="AB12" i="8"/>
  <c r="AB13" i="8"/>
  <c r="AB14" i="8"/>
  <c r="AB15" i="8"/>
  <c r="AB16" i="8"/>
  <c r="AB17" i="8"/>
  <c r="AB19" i="8"/>
  <c r="AB20" i="8"/>
  <c r="AB21" i="8"/>
  <c r="AB22" i="8"/>
  <c r="AB23" i="8"/>
  <c r="AB24" i="8"/>
  <c r="AB25" i="8"/>
  <c r="AB26" i="8"/>
  <c r="AB27" i="8"/>
  <c r="AB28" i="8"/>
  <c r="AB29" i="8"/>
  <c r="AB30" i="8"/>
  <c r="AB31" i="8"/>
  <c r="AB32" i="8"/>
  <c r="AB33" i="8"/>
  <c r="AB34" i="8"/>
  <c r="AB35" i="8"/>
  <c r="AB36" i="8"/>
  <c r="AB37" i="8"/>
  <c r="AB38" i="8"/>
  <c r="AB39" i="8"/>
  <c r="AB40" i="8"/>
  <c r="AB41" i="8"/>
  <c r="AB43" i="8"/>
  <c r="AB44" i="8"/>
  <c r="AB45" i="8"/>
  <c r="AB46" i="8"/>
  <c r="AB47" i="8"/>
  <c r="AB49" i="8"/>
  <c r="AB50" i="8"/>
  <c r="AB51" i="8"/>
  <c r="AB52" i="8"/>
  <c r="AB53" i="8"/>
  <c r="AB54" i="8"/>
  <c r="AB55" i="8"/>
  <c r="AB56" i="8"/>
  <c r="AB57" i="8"/>
  <c r="AB58" i="8"/>
  <c r="AB59" i="8"/>
  <c r="AB60" i="8"/>
  <c r="AB61" i="8"/>
  <c r="AB62" i="8"/>
  <c r="AB63" i="8"/>
  <c r="AB64" i="8"/>
  <c r="AB65" i="8"/>
  <c r="AB66" i="8"/>
  <c r="AB67" i="8"/>
  <c r="AB68" i="8"/>
  <c r="AB69" i="8"/>
  <c r="AB70" i="8"/>
  <c r="AB71" i="8"/>
  <c r="AB72" i="8"/>
  <c r="AB73" i="8"/>
  <c r="AB74" i="8"/>
  <c r="AB75" i="8"/>
  <c r="AB76" i="8"/>
  <c r="AB77" i="8"/>
  <c r="AB78" i="8"/>
  <c r="AB79" i="8"/>
  <c r="AB80" i="8"/>
  <c r="AB81" i="8"/>
  <c r="AB82" i="8"/>
  <c r="AB83" i="8"/>
  <c r="AB84" i="8"/>
  <c r="AB85" i="8"/>
  <c r="AB86" i="8"/>
  <c r="AB87" i="8"/>
  <c r="AB88" i="8"/>
  <c r="AB2" i="5"/>
  <c r="AB3" i="5"/>
  <c r="AB4" i="5"/>
  <c r="AB5" i="5"/>
  <c r="AB6" i="5"/>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2" i="13"/>
  <c r="AB3" i="13"/>
  <c r="AB4" i="13"/>
  <c r="AB5" i="13"/>
  <c r="AB6" i="13"/>
  <c r="AB7" i="13"/>
  <c r="AB8" i="13"/>
  <c r="AB9" i="13"/>
  <c r="AB10" i="13"/>
  <c r="AB11" i="13"/>
  <c r="AB12" i="13"/>
  <c r="AB13" i="13"/>
  <c r="AB14" i="13"/>
  <c r="AB15" i="13"/>
  <c r="AB16" i="13"/>
  <c r="AB17" i="13"/>
  <c r="AB18" i="13"/>
  <c r="AB19" i="13"/>
  <c r="AB20" i="13"/>
  <c r="AB21" i="13"/>
  <c r="AB22" i="13"/>
  <c r="AB23" i="13"/>
  <c r="AB24" i="13"/>
  <c r="AB25" i="13"/>
  <c r="AB26" i="13"/>
  <c r="AB27" i="13"/>
  <c r="AB28" i="13"/>
  <c r="AB29" i="13"/>
  <c r="AB30" i="13"/>
  <c r="AB31" i="13"/>
  <c r="AB32" i="13"/>
  <c r="AB33" i="13"/>
  <c r="AB34" i="13"/>
  <c r="AB35" i="13"/>
  <c r="AB36" i="13"/>
  <c r="AB37" i="13"/>
  <c r="AB38" i="13"/>
  <c r="AB39" i="13"/>
  <c r="AB40" i="13"/>
  <c r="AB41" i="13"/>
  <c r="AB42" i="13"/>
  <c r="AB43" i="13"/>
  <c r="AB44" i="13"/>
  <c r="AB45" i="13"/>
  <c r="AB46" i="13"/>
  <c r="AB47" i="13"/>
  <c r="AB48" i="13"/>
  <c r="AB49" i="13"/>
  <c r="AB50" i="13"/>
  <c r="AB51" i="13"/>
  <c r="AB52" i="13"/>
  <c r="AB53" i="13"/>
  <c r="AB54" i="13"/>
  <c r="AB55" i="13"/>
  <c r="AB56" i="13"/>
  <c r="AB57" i="13"/>
  <c r="AB58" i="13"/>
  <c r="AB59" i="13"/>
  <c r="AB60" i="13"/>
  <c r="AB61" i="13"/>
  <c r="AB62" i="13"/>
  <c r="AB63" i="13"/>
  <c r="AB2" i="12"/>
  <c r="AB3" i="12"/>
  <c r="AB4" i="12"/>
  <c r="AB5" i="12"/>
  <c r="AB6" i="12"/>
  <c r="AB7" i="12"/>
  <c r="AB8" i="12"/>
  <c r="AB9" i="12"/>
  <c r="AB10" i="12"/>
  <c r="AB11" i="12"/>
  <c r="AB12" i="12"/>
  <c r="AB13" i="12"/>
  <c r="AB14" i="12"/>
  <c r="AB15" i="12"/>
  <c r="AB16" i="12"/>
  <c r="AB17" i="12"/>
  <c r="AB18" i="12"/>
  <c r="AB19" i="12"/>
  <c r="AB20" i="12"/>
  <c r="AB21" i="12"/>
  <c r="AB22" i="12"/>
  <c r="AB23" i="12"/>
  <c r="AB24" i="12"/>
  <c r="AB2" i="15"/>
  <c r="AB3" i="15"/>
  <c r="AB4" i="15"/>
  <c r="AB5" i="15"/>
  <c r="AB6" i="15"/>
  <c r="AB7" i="15"/>
  <c r="AB8" i="15"/>
  <c r="AB9" i="15"/>
  <c r="AB10" i="15"/>
  <c r="AB11" i="15"/>
  <c r="AB12" i="15"/>
  <c r="AB13" i="15"/>
  <c r="AB14" i="15"/>
  <c r="AB15" i="15"/>
  <c r="AB16" i="15"/>
  <c r="AB17" i="15"/>
  <c r="AB18" i="15"/>
  <c r="AB19" i="15"/>
  <c r="AB20" i="15"/>
  <c r="AB21" i="15"/>
  <c r="AB22" i="15"/>
  <c r="AB23" i="15"/>
  <c r="AB24" i="15"/>
  <c r="AB25" i="15"/>
  <c r="AB26" i="15"/>
  <c r="AB27" i="15"/>
  <c r="AB28" i="15"/>
  <c r="AB29" i="15"/>
  <c r="AB30" i="15"/>
  <c r="AB31" i="15"/>
  <c r="AB32" i="15"/>
  <c r="AB33" i="15"/>
  <c r="AB34" i="15"/>
  <c r="AB35" i="15"/>
  <c r="AB36" i="15"/>
  <c r="AB37" i="15"/>
  <c r="AB38" i="15"/>
  <c r="AB39" i="15"/>
  <c r="AB40" i="15"/>
  <c r="AB41" i="15"/>
  <c r="AB42" i="15"/>
  <c r="AB43" i="15"/>
  <c r="AB44" i="15"/>
  <c r="AB45" i="15"/>
  <c r="AB46" i="15"/>
  <c r="AB47" i="15"/>
  <c r="AB48" i="15"/>
  <c r="AB49" i="15"/>
  <c r="AB50" i="15"/>
  <c r="AB51" i="15"/>
  <c r="AB52" i="15"/>
  <c r="AB53" i="15"/>
  <c r="AB54" i="15"/>
  <c r="AB55" i="15"/>
  <c r="AB56" i="15"/>
  <c r="AB2" i="14"/>
  <c r="AB3" i="14"/>
  <c r="AB4" i="14"/>
  <c r="AB5" i="14"/>
  <c r="AB6" i="14"/>
  <c r="AB7" i="14"/>
  <c r="AB8" i="14"/>
  <c r="AB9" i="14"/>
  <c r="AB10" i="14"/>
  <c r="AB11" i="14"/>
  <c r="AB12" i="14"/>
  <c r="AB13" i="14"/>
  <c r="AB14" i="14"/>
  <c r="AB15" i="14"/>
  <c r="AB16" i="14"/>
  <c r="AB17" i="14"/>
  <c r="AB18" i="14"/>
  <c r="AB19" i="14"/>
  <c r="AB20" i="14"/>
  <c r="AB21" i="14"/>
  <c r="AB22" i="14"/>
  <c r="AB23" i="14"/>
  <c r="AB24" i="14"/>
  <c r="AB25" i="14"/>
  <c r="AB26" i="14"/>
  <c r="AB27" i="14"/>
  <c r="AB28" i="14"/>
  <c r="AB29" i="14"/>
  <c r="AB30" i="14"/>
  <c r="AB31" i="14"/>
  <c r="AB32" i="14"/>
  <c r="AB33" i="14"/>
  <c r="AB34" i="14"/>
  <c r="AB35" i="14"/>
  <c r="AB36" i="14"/>
  <c r="AB37" i="14"/>
  <c r="AB38" i="14"/>
  <c r="AB39" i="14"/>
  <c r="AB40" i="14"/>
  <c r="AB41" i="14"/>
  <c r="AB42" i="14"/>
  <c r="AB43" i="14"/>
  <c r="AB44" i="14"/>
  <c r="AB45" i="14"/>
  <c r="AB46" i="14"/>
  <c r="AB47" i="14"/>
  <c r="AB48" i="14"/>
  <c r="AB49" i="14"/>
  <c r="AB50" i="14"/>
  <c r="AB51" i="14"/>
  <c r="AB52" i="14"/>
  <c r="AB53" i="14"/>
  <c r="AB54" i="14"/>
  <c r="AB55" i="14"/>
  <c r="AB56" i="14"/>
  <c r="AB57" i="14"/>
  <c r="AB58" i="14"/>
  <c r="AB59" i="14"/>
  <c r="AB60" i="14"/>
  <c r="AB61" i="14"/>
  <c r="AB62" i="14"/>
  <c r="AB63" i="14"/>
  <c r="AB64" i="14"/>
  <c r="AB65" i="14"/>
  <c r="AB66" i="14"/>
  <c r="AB67" i="14"/>
  <c r="AB68" i="14"/>
  <c r="AB69" i="14"/>
  <c r="AB70" i="14"/>
  <c r="AB71" i="14"/>
  <c r="AB72" i="14"/>
  <c r="AB73" i="14"/>
  <c r="AB74" i="14"/>
  <c r="AB75" i="14"/>
  <c r="AB76" i="14"/>
  <c r="AB77" i="14"/>
  <c r="AB78" i="14"/>
  <c r="AB79" i="14"/>
  <c r="AB80" i="14"/>
  <c r="AB81" i="14"/>
  <c r="AB82" i="14"/>
  <c r="AB83" i="14"/>
  <c r="AB84" i="14"/>
  <c r="AB85" i="14"/>
  <c r="AB86" i="14"/>
  <c r="AB87" i="14"/>
  <c r="AB88" i="14"/>
  <c r="AB89" i="14"/>
  <c r="AB90" i="14"/>
  <c r="AB91" i="14"/>
  <c r="AB92" i="14"/>
  <c r="AB93" i="14"/>
  <c r="AB2" i="9"/>
  <c r="AB3" i="9"/>
  <c r="AB4" i="9"/>
  <c r="AB5" i="9"/>
  <c r="AB6" i="9"/>
  <c r="AB7" i="9"/>
  <c r="AB8" i="9"/>
  <c r="AB9" i="9"/>
  <c r="AB10" i="9"/>
  <c r="AB11" i="9"/>
  <c r="AB12" i="9"/>
  <c r="AB13" i="9"/>
  <c r="AB14" i="9"/>
  <c r="AB15" i="9"/>
  <c r="AB16" i="9"/>
  <c r="AB17" i="9"/>
  <c r="AB18" i="9"/>
  <c r="AB19" i="9"/>
  <c r="AB20" i="9"/>
  <c r="AB21" i="9"/>
  <c r="AB22" i="9"/>
  <c r="AB23" i="9"/>
  <c r="AB24" i="9"/>
  <c r="AB25" i="9"/>
  <c r="AB26" i="9"/>
  <c r="AB27" i="9"/>
  <c r="AB28" i="9"/>
  <c r="AB29" i="9"/>
  <c r="AB30" i="9"/>
  <c r="AB31" i="9"/>
  <c r="AB32" i="9"/>
  <c r="AB33" i="9"/>
  <c r="AB34" i="9"/>
  <c r="AB35" i="9"/>
  <c r="AB36" i="9"/>
  <c r="AB37" i="9"/>
  <c r="AB38" i="9"/>
  <c r="AB39" i="9"/>
  <c r="AB40" i="9"/>
  <c r="AB2" i="16"/>
  <c r="AB3" i="16"/>
  <c r="AB4" i="16"/>
  <c r="AB5" i="16"/>
  <c r="AB6" i="16"/>
  <c r="AB7" i="16"/>
  <c r="AB8" i="16"/>
  <c r="AB9" i="16"/>
  <c r="AB10" i="16"/>
  <c r="AB11" i="16"/>
  <c r="AB12" i="16"/>
  <c r="AB13" i="16"/>
  <c r="AB14" i="16"/>
  <c r="AB15" i="16"/>
  <c r="AB16" i="16"/>
  <c r="AB17" i="16"/>
  <c r="AB2" i="17"/>
  <c r="AB3" i="17"/>
  <c r="AB4" i="17"/>
  <c r="AB5" i="17"/>
  <c r="AB6" i="17"/>
  <c r="AB7" i="17"/>
  <c r="AB8" i="17"/>
  <c r="AB9" i="17"/>
  <c r="AB10" i="17"/>
  <c r="AB11" i="17"/>
  <c r="AB12" i="17"/>
  <c r="AB13" i="17"/>
  <c r="AB14" i="17"/>
  <c r="AB15" i="17"/>
  <c r="AB16" i="17"/>
  <c r="AB17" i="17"/>
  <c r="AB2" i="18"/>
  <c r="AB3" i="18"/>
  <c r="AB4" i="18"/>
  <c r="AB5" i="18"/>
  <c r="AB6" i="18"/>
  <c r="AB8" i="18"/>
  <c r="AB9" i="18"/>
  <c r="AB10" i="18"/>
  <c r="AB11" i="18"/>
  <c r="AB12" i="18"/>
  <c r="AB13" i="18"/>
  <c r="AB14" i="18"/>
  <c r="AB15" i="18"/>
  <c r="AB16" i="18"/>
  <c r="AB17" i="18"/>
  <c r="AB18" i="18"/>
  <c r="AB19" i="18"/>
  <c r="AB20" i="18"/>
  <c r="AB21" i="18"/>
  <c r="AB22" i="18"/>
  <c r="AB23" i="18"/>
  <c r="AB24" i="18"/>
  <c r="AB25" i="18"/>
  <c r="AB26" i="18"/>
  <c r="AB27" i="18"/>
  <c r="AB28" i="18"/>
  <c r="AB29" i="18"/>
  <c r="AB30" i="18"/>
  <c r="AB31" i="18"/>
  <c r="AB32" i="18"/>
  <c r="AB33" i="18"/>
  <c r="AB34" i="18"/>
  <c r="AB35" i="18"/>
  <c r="AB36" i="18"/>
  <c r="AB37" i="18"/>
  <c r="AB38" i="18"/>
  <c r="AB39" i="18"/>
  <c r="AB40" i="18"/>
  <c r="AB41" i="18"/>
  <c r="AB42" i="18"/>
  <c r="AB43" i="18"/>
  <c r="AB44" i="18"/>
  <c r="AB45" i="18"/>
  <c r="AB46" i="18"/>
  <c r="AB47" i="18"/>
  <c r="AB48" i="18"/>
  <c r="AB49" i="18"/>
  <c r="AB50" i="18"/>
  <c r="AB51" i="18"/>
  <c r="AB52" i="18"/>
  <c r="AB53" i="18"/>
  <c r="AB54" i="18"/>
  <c r="AB55" i="18"/>
  <c r="AB56" i="18"/>
  <c r="AB57" i="18"/>
  <c r="AB58" i="18"/>
  <c r="AB59" i="18"/>
  <c r="AB60" i="18"/>
  <c r="AB61" i="18"/>
  <c r="AB62" i="18"/>
  <c r="AB63" i="18"/>
  <c r="AB64" i="18"/>
  <c r="AB65" i="18"/>
  <c r="AB66" i="18"/>
  <c r="AB67" i="18"/>
  <c r="AB68" i="18"/>
  <c r="AB69" i="18"/>
  <c r="AB70" i="18"/>
  <c r="AB71" i="18"/>
  <c r="AB72" i="18"/>
  <c r="AB73" i="18"/>
  <c r="AB74" i="18"/>
  <c r="AB75" i="18"/>
  <c r="AB76" i="18"/>
  <c r="AB77" i="18"/>
  <c r="AB78" i="18"/>
  <c r="AB79" i="18"/>
  <c r="AB80" i="18"/>
  <c r="AB81" i="18"/>
  <c r="AB82" i="18"/>
  <c r="AB83" i="18"/>
  <c r="AB84" i="18"/>
  <c r="AB85" i="18"/>
  <c r="AB86" i="18"/>
  <c r="AB87" i="18"/>
  <c r="AB88" i="18"/>
  <c r="AB89" i="18"/>
  <c r="AB90" i="18"/>
  <c r="AB91" i="18"/>
  <c r="AB92" i="18"/>
  <c r="AB93" i="18"/>
  <c r="AB94" i="18"/>
  <c r="AB95" i="18"/>
  <c r="AB96" i="18"/>
  <c r="AB97" i="18"/>
  <c r="AB98" i="18"/>
  <c r="AB99" i="18"/>
  <c r="AB100" i="18"/>
  <c r="AB101" i="18"/>
  <c r="AB102" i="18"/>
  <c r="AB103" i="18"/>
  <c r="AB104" i="18"/>
  <c r="AB105" i="18"/>
  <c r="AB106" i="18"/>
  <c r="AB107" i="18"/>
  <c r="AB108" i="18"/>
  <c r="AB109" i="18"/>
  <c r="AB110" i="18"/>
  <c r="AB111" i="18"/>
  <c r="AB112" i="18"/>
  <c r="AB113" i="18"/>
  <c r="AB114" i="18"/>
  <c r="AB2" i="19"/>
  <c r="AB3" i="19"/>
  <c r="AB4" i="19"/>
  <c r="AB5" i="19"/>
  <c r="AB6" i="19"/>
  <c r="AB7" i="19"/>
  <c r="AB8" i="19"/>
  <c r="AB9" i="19"/>
  <c r="AB10" i="19"/>
  <c r="AB11" i="19"/>
  <c r="AB12" i="19"/>
  <c r="AB13" i="19"/>
  <c r="AB14" i="19"/>
  <c r="AB15" i="19"/>
  <c r="AB16" i="19"/>
  <c r="AB17" i="19"/>
  <c r="AB18" i="19"/>
  <c r="AB19" i="19"/>
  <c r="AB20" i="19"/>
  <c r="AB21" i="19"/>
  <c r="AB22" i="19"/>
  <c r="AB23" i="19"/>
  <c r="AB24" i="19"/>
  <c r="AB25" i="19"/>
  <c r="AB26" i="19"/>
  <c r="AB27" i="19"/>
  <c r="AB28" i="19"/>
  <c r="AB29" i="19"/>
  <c r="AB30" i="19"/>
  <c r="AB31" i="19"/>
  <c r="AB32" i="19"/>
  <c r="AB33" i="19"/>
  <c r="AB34" i="19"/>
  <c r="AB35" i="19"/>
  <c r="AB36" i="19"/>
  <c r="AB37" i="19"/>
  <c r="AB38" i="19"/>
  <c r="AB39" i="19"/>
  <c r="AB40" i="19"/>
  <c r="AB41" i="19"/>
  <c r="AB42" i="19"/>
  <c r="AB43" i="19"/>
  <c r="AB44" i="19"/>
  <c r="AB45" i="19"/>
  <c r="AB46" i="19"/>
  <c r="AB47" i="19"/>
  <c r="AB48" i="19"/>
  <c r="AB49" i="19"/>
  <c r="AB50" i="19"/>
  <c r="AB51" i="19"/>
  <c r="AB52" i="19"/>
  <c r="AB53" i="19"/>
  <c r="AB54" i="19"/>
  <c r="AB55" i="19"/>
  <c r="AB56" i="19"/>
  <c r="AB57" i="19"/>
  <c r="AB58" i="19"/>
  <c r="AB59" i="19"/>
  <c r="AB60" i="19"/>
  <c r="AB61" i="19"/>
  <c r="AB62" i="19"/>
  <c r="AB63" i="19"/>
  <c r="AB64" i="19"/>
  <c r="AB65" i="19"/>
  <c r="AB66" i="19"/>
  <c r="AB67" i="19"/>
  <c r="AB68" i="19"/>
  <c r="AB69" i="19"/>
  <c r="AB70" i="19"/>
  <c r="AB71" i="19"/>
  <c r="AB72" i="19"/>
  <c r="AB73" i="19"/>
  <c r="AB74" i="19"/>
  <c r="AB75" i="19"/>
  <c r="AB76" i="19"/>
  <c r="AB77" i="19"/>
  <c r="AB78" i="19"/>
  <c r="AB79" i="19"/>
  <c r="AB80" i="19"/>
  <c r="AB81" i="19"/>
  <c r="AB82" i="19"/>
  <c r="AB83" i="19"/>
  <c r="AB84" i="19"/>
  <c r="AB85" i="19"/>
  <c r="AB86" i="19"/>
  <c r="AB87" i="19"/>
  <c r="AB88" i="19"/>
  <c r="AB89" i="19"/>
  <c r="AB90" i="19"/>
  <c r="AB91" i="19"/>
  <c r="AB92" i="19"/>
  <c r="AB93" i="19"/>
  <c r="AB94" i="19"/>
  <c r="AB95" i="19"/>
  <c r="AB96" i="19"/>
  <c r="AB97" i="19"/>
  <c r="AB98" i="19"/>
  <c r="AB99" i="19"/>
  <c r="AB100" i="19"/>
  <c r="AB2" i="20"/>
  <c r="AB3" i="20"/>
  <c r="AB4" i="20"/>
  <c r="AB5" i="20"/>
  <c r="AB6" i="20"/>
  <c r="AB7" i="20"/>
  <c r="AB8" i="20"/>
  <c r="AB9" i="20"/>
  <c r="AB10" i="20"/>
  <c r="AB11" i="20"/>
  <c r="AB12" i="20"/>
  <c r="AB13" i="20"/>
  <c r="AB14" i="20"/>
  <c r="AB15" i="20"/>
  <c r="AB16" i="20"/>
  <c r="AB17" i="20"/>
  <c r="AB18" i="20"/>
  <c r="AB19" i="20"/>
  <c r="AB20" i="20"/>
  <c r="AB21" i="20"/>
  <c r="AB22" i="20"/>
  <c r="AB23" i="20"/>
  <c r="AB24" i="20"/>
  <c r="AB25" i="20"/>
  <c r="AB26" i="20"/>
  <c r="AB27" i="20"/>
  <c r="AB28" i="20"/>
  <c r="AB29" i="20"/>
  <c r="AB30" i="20"/>
  <c r="AB31" i="20"/>
  <c r="AB32" i="20"/>
  <c r="AB33" i="20"/>
  <c r="AB34" i="20"/>
  <c r="AB35" i="20"/>
  <c r="AB36" i="20"/>
  <c r="AB37" i="20"/>
  <c r="AB38" i="20"/>
  <c r="AB39" i="20"/>
  <c r="AB40" i="20"/>
  <c r="AB41" i="20"/>
  <c r="AB42" i="20"/>
  <c r="AB43" i="20"/>
  <c r="AB44" i="20"/>
  <c r="AB45" i="20"/>
  <c r="AB46" i="20"/>
  <c r="AB47" i="20"/>
  <c r="AB48" i="20"/>
  <c r="AB49" i="20"/>
  <c r="AB50" i="20"/>
  <c r="AB51" i="20"/>
  <c r="AB52" i="20"/>
  <c r="AB53" i="20"/>
  <c r="AB54" i="20"/>
  <c r="AB55" i="20"/>
  <c r="AB56" i="20"/>
  <c r="AB57" i="20"/>
  <c r="AB58" i="20"/>
  <c r="AB59" i="20"/>
  <c r="AB60" i="20"/>
  <c r="AB61" i="20"/>
  <c r="AB62" i="20"/>
  <c r="AB63" i="20"/>
  <c r="AB64" i="20"/>
  <c r="AB65" i="20"/>
  <c r="AB66" i="20"/>
  <c r="AB67" i="20"/>
  <c r="AB68" i="20"/>
  <c r="AB69" i="20"/>
  <c r="AB70" i="20"/>
  <c r="AB71" i="20"/>
  <c r="AB72" i="20"/>
  <c r="AB73" i="20"/>
  <c r="AB74" i="20"/>
  <c r="AB75" i="20"/>
  <c r="AB76" i="20"/>
  <c r="AB77" i="20"/>
  <c r="AB78" i="20"/>
  <c r="AB79" i="20"/>
  <c r="AB80" i="20"/>
  <c r="AB81" i="20"/>
  <c r="AB82" i="20"/>
  <c r="AB83" i="20"/>
  <c r="AB84" i="20"/>
  <c r="AB85" i="20"/>
  <c r="AB86" i="20"/>
  <c r="AB87" i="20"/>
  <c r="AB88" i="20"/>
  <c r="AB89" i="20"/>
  <c r="AB90" i="20"/>
  <c r="AB91" i="20"/>
  <c r="AB92" i="20"/>
  <c r="AB93" i="20"/>
  <c r="AB94" i="20"/>
  <c r="AB95" i="20"/>
  <c r="AB96" i="20"/>
  <c r="AB97" i="20"/>
  <c r="AB98" i="20"/>
  <c r="AB99" i="20"/>
  <c r="AB100" i="20"/>
  <c r="AB101" i="20"/>
  <c r="AB102" i="20"/>
  <c r="AB103" i="20"/>
  <c r="AB104" i="20"/>
  <c r="AB105" i="20"/>
  <c r="AB106" i="20"/>
  <c r="AB107" i="20"/>
  <c r="AB108" i="20"/>
  <c r="AB109" i="20"/>
  <c r="AB110" i="20"/>
  <c r="AB111" i="20"/>
  <c r="AB112" i="20"/>
  <c r="AB113" i="20"/>
  <c r="AB114" i="20"/>
  <c r="AB115" i="20"/>
  <c r="AB116" i="20"/>
  <c r="AB117" i="20"/>
  <c r="AB118" i="20"/>
  <c r="AB119" i="20"/>
  <c r="AB120" i="20"/>
  <c r="AB121" i="20"/>
  <c r="AB122" i="20"/>
  <c r="AB123" i="20"/>
  <c r="AB124" i="20"/>
  <c r="AB125" i="20"/>
  <c r="AB126" i="20"/>
  <c r="AB127" i="20"/>
  <c r="AB128" i="20"/>
  <c r="AB129" i="20"/>
  <c r="AB130" i="20"/>
  <c r="AB131" i="20"/>
  <c r="AB132" i="20"/>
  <c r="AB133" i="20"/>
  <c r="AB134" i="20"/>
  <c r="AB135" i="20"/>
  <c r="AB136" i="20"/>
  <c r="AB137" i="20"/>
  <c r="AB138" i="20"/>
  <c r="AB139" i="20"/>
  <c r="AB140" i="20"/>
  <c r="AB141" i="20"/>
  <c r="AB142" i="20"/>
  <c r="AB143" i="20"/>
  <c r="AB144" i="20"/>
  <c r="AB145" i="20"/>
  <c r="AB146" i="20"/>
  <c r="AB147" i="20"/>
  <c r="AB148" i="20"/>
  <c r="AB149" i="20"/>
  <c r="AB150" i="20"/>
  <c r="AB151" i="20"/>
  <c r="AB152" i="20"/>
  <c r="AB153" i="20"/>
  <c r="AB154" i="20"/>
  <c r="AB155" i="20"/>
  <c r="AB156" i="20"/>
  <c r="AB157" i="20"/>
  <c r="AB158" i="20"/>
  <c r="AB159" i="20"/>
  <c r="AB160" i="20"/>
  <c r="AB161" i="20"/>
  <c r="AB162" i="20"/>
  <c r="AB163" i="20"/>
  <c r="AB164" i="20"/>
  <c r="AB165" i="20"/>
  <c r="AB166" i="20"/>
  <c r="AB167" i="20"/>
  <c r="AB168" i="20"/>
  <c r="AB169" i="20"/>
  <c r="AB170" i="20"/>
  <c r="AB171" i="20"/>
  <c r="AB172" i="20"/>
  <c r="AB173" i="20"/>
  <c r="AB174" i="20"/>
  <c r="AB175" i="20"/>
  <c r="AB176" i="20"/>
  <c r="AB177" i="20"/>
  <c r="AB178" i="20"/>
  <c r="AB179" i="20"/>
  <c r="AB180" i="20"/>
  <c r="AB181" i="20"/>
  <c r="AB182" i="20"/>
  <c r="AB183" i="20"/>
  <c r="AB184" i="20"/>
  <c r="AB185" i="20"/>
  <c r="AB186" i="20"/>
  <c r="AB187" i="20"/>
  <c r="AB188" i="20"/>
  <c r="AB189" i="20"/>
  <c r="AB190" i="20"/>
  <c r="AB191" i="20"/>
  <c r="AB192" i="20"/>
  <c r="AB193" i="20"/>
  <c r="AB194" i="20"/>
  <c r="AB195" i="20"/>
  <c r="AB196" i="20"/>
  <c r="AB197" i="20"/>
  <c r="AB198" i="20"/>
  <c r="AB199" i="20"/>
  <c r="AB200" i="20"/>
  <c r="AB201" i="20"/>
  <c r="AB202" i="20"/>
  <c r="AB203" i="20"/>
  <c r="AB204" i="20"/>
  <c r="AB205" i="20"/>
  <c r="AB206" i="20"/>
  <c r="AB207" i="20"/>
  <c r="AB208" i="20"/>
  <c r="AB209" i="20"/>
  <c r="AB210" i="20"/>
  <c r="AB211" i="20"/>
  <c r="AB212" i="20"/>
  <c r="AB213" i="20"/>
  <c r="AB214" i="20"/>
  <c r="AB215" i="20"/>
  <c r="AB216" i="20"/>
  <c r="AB217" i="20"/>
  <c r="AB218" i="20"/>
  <c r="AB219" i="20"/>
  <c r="AB220" i="20"/>
  <c r="AB221" i="20"/>
  <c r="AB222" i="20"/>
  <c r="AB223" i="20"/>
  <c r="AB224" i="20"/>
  <c r="AB225" i="20"/>
  <c r="AB226" i="20"/>
  <c r="AB227" i="20"/>
  <c r="AB228" i="20"/>
  <c r="AB229" i="20"/>
  <c r="AB230" i="20"/>
  <c r="AB231" i="20"/>
  <c r="AB2" i="21"/>
  <c r="AB3" i="21"/>
  <c r="AB4" i="21"/>
  <c r="AB5" i="21"/>
  <c r="AB6" i="21"/>
  <c r="AB7" i="21"/>
  <c r="AB8" i="21"/>
  <c r="AB9" i="21"/>
  <c r="AB10" i="21"/>
  <c r="AB11" i="21"/>
  <c r="AB12" i="21"/>
  <c r="AB13" i="21"/>
  <c r="AB14" i="21"/>
  <c r="AB15" i="21"/>
  <c r="AB16" i="21"/>
  <c r="AB17" i="21"/>
  <c r="AB18" i="21"/>
  <c r="AB19" i="21"/>
  <c r="AB20" i="21"/>
  <c r="AB21" i="21"/>
  <c r="AB22" i="21"/>
  <c r="AB23" i="21"/>
  <c r="AB24" i="21"/>
  <c r="AB25" i="21"/>
  <c r="AB26" i="21"/>
  <c r="AB27" i="21"/>
  <c r="AB28" i="21"/>
  <c r="AB29" i="21"/>
  <c r="AB30" i="21"/>
  <c r="AB31" i="21"/>
  <c r="AB32" i="21"/>
  <c r="AB33" i="21"/>
  <c r="AB34" i="21"/>
  <c r="AB35" i="21"/>
  <c r="AB36" i="21"/>
  <c r="AB37" i="21"/>
  <c r="AB38" i="21"/>
  <c r="AB39" i="21"/>
  <c r="AB40" i="21"/>
  <c r="AB41" i="21"/>
  <c r="AB42" i="21"/>
  <c r="AB43" i="21"/>
  <c r="AB44" i="21"/>
  <c r="AB45" i="21"/>
  <c r="AB46" i="21"/>
  <c r="AB2" i="6"/>
  <c r="A2" i="21"/>
  <c r="A3" i="21"/>
  <c r="A4" i="21"/>
  <c r="A5" i="21"/>
  <c r="A6" i="21"/>
  <c r="A7" i="21"/>
  <c r="A8" i="21"/>
  <c r="A9" i="21"/>
  <c r="A10" i="21"/>
  <c r="A11" i="21"/>
  <c r="A12" i="21"/>
  <c r="A13" i="21"/>
  <c r="A14" i="21"/>
  <c r="A15" i="21"/>
  <c r="A16" i="21"/>
  <c r="A17" i="21"/>
  <c r="A18" i="21"/>
  <c r="A19" i="21"/>
  <c r="A20" i="21"/>
  <c r="A21" i="21"/>
  <c r="A22" i="21"/>
  <c r="A23" i="21"/>
  <c r="A24" i="21"/>
  <c r="A25" i="21"/>
  <c r="A26" i="21"/>
  <c r="A27" i="21"/>
  <c r="A28" i="21"/>
  <c r="A29" i="21"/>
  <c r="A30" i="21"/>
  <c r="A31" i="21"/>
  <c r="A32" i="21"/>
  <c r="A33" i="21"/>
  <c r="A34" i="21"/>
  <c r="A35" i="21"/>
  <c r="A36" i="21"/>
  <c r="A37" i="21"/>
  <c r="A38" i="21"/>
  <c r="A39" i="21"/>
  <c r="A40" i="21"/>
  <c r="A41" i="21"/>
  <c r="A42" i="21"/>
  <c r="A43" i="21"/>
  <c r="A44" i="21"/>
  <c r="A45" i="21"/>
  <c r="A46" i="21"/>
  <c r="C2" i="19"/>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B2" i="19"/>
  <c r="B3" i="19"/>
  <c r="B4" i="19"/>
  <c r="B5" i="19"/>
  <c r="B6" i="19"/>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A2" i="19"/>
  <c r="A3" i="19"/>
  <c r="A4" i="19"/>
  <c r="A5" i="19"/>
  <c r="A6" i="19"/>
  <c r="A7" i="19"/>
  <c r="A8" i="19"/>
  <c r="A9" i="19"/>
  <c r="A10" i="19"/>
  <c r="A11" i="19"/>
  <c r="A12" i="19"/>
  <c r="A13" i="19"/>
  <c r="A14" i="19"/>
  <c r="A15" i="19"/>
  <c r="A16"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45" i="19"/>
  <c r="A46" i="19"/>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C2" i="18"/>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A2" i="18"/>
  <c r="A3"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91" i="18"/>
  <c r="A92" i="18"/>
  <c r="A93" i="18"/>
  <c r="A94" i="18"/>
  <c r="A95" i="18"/>
  <c r="A96" i="18"/>
  <c r="A97" i="18"/>
  <c r="A98" i="18"/>
  <c r="A99" i="18"/>
  <c r="A100" i="18"/>
  <c r="A101" i="18"/>
  <c r="A102" i="18"/>
  <c r="A103" i="18"/>
  <c r="A104" i="18"/>
  <c r="A105" i="18"/>
  <c r="A106" i="18"/>
  <c r="A107" i="18"/>
  <c r="A108" i="18"/>
  <c r="A109" i="18"/>
  <c r="A110" i="18"/>
  <c r="A111" i="18"/>
  <c r="A112" i="18"/>
  <c r="A113" i="18"/>
  <c r="A114" i="18"/>
  <c r="A2" i="17"/>
  <c r="A3" i="17"/>
  <c r="A4" i="17"/>
  <c r="A5" i="17"/>
  <c r="A6" i="17"/>
  <c r="A7" i="17"/>
  <c r="A8" i="17"/>
  <c r="A9" i="17"/>
  <c r="A10" i="17"/>
  <c r="A11" i="17"/>
  <c r="A12" i="17"/>
  <c r="A13" i="17"/>
  <c r="A14" i="17"/>
  <c r="A15" i="17"/>
  <c r="A16" i="17"/>
  <c r="A17" i="17"/>
  <c r="B2" i="16"/>
  <c r="B3" i="16"/>
  <c r="B4" i="16"/>
  <c r="B5" i="16"/>
  <c r="B6" i="16"/>
  <c r="B7" i="16"/>
  <c r="B8" i="16"/>
  <c r="B9" i="16"/>
  <c r="B10" i="16"/>
  <c r="B11" i="16"/>
  <c r="B12" i="16"/>
  <c r="B13" i="16"/>
  <c r="B14" i="16"/>
  <c r="B15" i="16"/>
  <c r="B16" i="16"/>
  <c r="B17" i="16"/>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B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A2" i="9"/>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C2" i="14"/>
  <c r="C3" i="14"/>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B2" i="14"/>
  <c r="B3" i="14"/>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A2" i="14"/>
  <c r="A3" i="14"/>
  <c r="A4" i="14"/>
  <c r="A5" i="14"/>
  <c r="A6" i="14"/>
  <c r="A7" i="14"/>
  <c r="A8" i="14"/>
  <c r="A9" i="14"/>
  <c r="A10" i="14"/>
  <c r="A11" i="14"/>
  <c r="A12" i="14"/>
  <c r="A13" i="14"/>
  <c r="A14" i="14"/>
  <c r="A15"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6" i="14"/>
  <c r="A47" i="14"/>
  <c r="A48" i="14"/>
  <c r="A49" i="14"/>
  <c r="A50" i="14"/>
  <c r="A51" i="14"/>
  <c r="A52" i="14"/>
  <c r="A53" i="14"/>
  <c r="A54" i="14"/>
  <c r="A55" i="14"/>
  <c r="A56" i="14"/>
  <c r="A57" i="14"/>
  <c r="A58" i="14"/>
  <c r="A59" i="14"/>
  <c r="A60" i="14"/>
  <c r="A61" i="14"/>
  <c r="A62" i="14"/>
  <c r="A63" i="14"/>
  <c r="A64" i="14"/>
  <c r="A65" i="14"/>
  <c r="A66" i="14"/>
  <c r="A67" i="14"/>
  <c r="A68" i="14"/>
  <c r="A69" i="14"/>
  <c r="A70" i="14"/>
  <c r="A71" i="14"/>
  <c r="A72" i="14"/>
  <c r="A73" i="14"/>
  <c r="A74" i="14"/>
  <c r="A75" i="14"/>
  <c r="A76" i="14"/>
  <c r="A77" i="14"/>
  <c r="A78" i="14"/>
  <c r="A79" i="14"/>
  <c r="A80" i="14"/>
  <c r="A81" i="14"/>
  <c r="A82" i="14"/>
  <c r="A83" i="14"/>
  <c r="A84" i="14"/>
  <c r="A85" i="14"/>
  <c r="A86" i="14"/>
  <c r="A87" i="14"/>
  <c r="A88" i="14"/>
  <c r="A89" i="14"/>
  <c r="A90" i="14"/>
  <c r="A91" i="14"/>
  <c r="A92" i="14"/>
  <c r="A93" i="14"/>
  <c r="C2" i="15"/>
  <c r="C3"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B2" i="15"/>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A2" i="15"/>
  <c r="A3" i="15"/>
  <c r="A4" i="15"/>
  <c r="A5" i="15"/>
  <c r="A6"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C2" i="12"/>
  <c r="C3" i="12"/>
  <c r="C4" i="12"/>
  <c r="C5" i="12"/>
  <c r="C6" i="12"/>
  <c r="C7" i="12"/>
  <c r="C8" i="12"/>
  <c r="C9" i="12"/>
  <c r="C10" i="12"/>
  <c r="C11" i="12"/>
  <c r="C12" i="12"/>
  <c r="C13" i="12"/>
  <c r="C14" i="12"/>
  <c r="C15" i="12"/>
  <c r="C16" i="12"/>
  <c r="C17" i="12"/>
  <c r="C18" i="12"/>
  <c r="C19" i="12"/>
  <c r="C20" i="12"/>
  <c r="C21" i="12"/>
  <c r="C22" i="12"/>
  <c r="C23" i="12"/>
  <c r="C24" i="12"/>
  <c r="B2" i="12"/>
  <c r="B3" i="12"/>
  <c r="B4" i="12"/>
  <c r="B5" i="12"/>
  <c r="B6" i="12"/>
  <c r="B7" i="12"/>
  <c r="B8" i="12"/>
  <c r="B9" i="12"/>
  <c r="B10" i="12"/>
  <c r="B11" i="12"/>
  <c r="B12" i="12"/>
  <c r="B13" i="12"/>
  <c r="B14" i="12"/>
  <c r="B15" i="12"/>
  <c r="B16" i="12"/>
  <c r="B17" i="12"/>
  <c r="B18" i="12"/>
  <c r="B19" i="12"/>
  <c r="B20" i="12"/>
  <c r="B21" i="12"/>
  <c r="B22" i="12"/>
  <c r="B23" i="12"/>
  <c r="B24" i="12"/>
  <c r="A2" i="12"/>
  <c r="A3" i="12"/>
  <c r="A4" i="12"/>
  <c r="A5" i="12"/>
  <c r="A6" i="12"/>
  <c r="A7" i="12"/>
  <c r="A8" i="12"/>
  <c r="A9" i="12"/>
  <c r="A10" i="12"/>
  <c r="A11" i="12"/>
  <c r="A12" i="12"/>
  <c r="A13" i="12"/>
  <c r="A14" i="12"/>
  <c r="A15" i="12"/>
  <c r="A16" i="12"/>
  <c r="A17" i="12"/>
  <c r="A18" i="12"/>
  <c r="A19" i="12"/>
  <c r="A20" i="12"/>
  <c r="A21" i="12"/>
  <c r="A22" i="12"/>
  <c r="A23" i="12"/>
  <c r="A24" i="12"/>
  <c r="C2"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B2" i="13"/>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A2" i="13"/>
  <c r="A3" i="13"/>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B2" i="21"/>
  <c r="C2" i="21"/>
  <c r="D2" i="21"/>
  <c r="E2" i="21"/>
  <c r="F2" i="21"/>
  <c r="G2" i="21"/>
  <c r="H2" i="21"/>
  <c r="I2" i="21"/>
  <c r="J2" i="21"/>
  <c r="K2" i="21"/>
  <c r="L2" i="21"/>
  <c r="M2" i="21"/>
  <c r="N2" i="21"/>
  <c r="O2" i="21"/>
  <c r="P2" i="21"/>
  <c r="Q2" i="21"/>
  <c r="R2" i="21"/>
  <c r="S2" i="21"/>
  <c r="T2" i="21"/>
  <c r="U2" i="21"/>
  <c r="V2" i="21"/>
  <c r="W2" i="21"/>
  <c r="X2" i="21"/>
  <c r="Y2" i="21"/>
  <c r="Z2" i="21"/>
  <c r="AA2" i="21"/>
  <c r="B3" i="21"/>
  <c r="C3" i="21"/>
  <c r="D3" i="21"/>
  <c r="E3" i="21"/>
  <c r="F3" i="21"/>
  <c r="G3" i="21"/>
  <c r="H3" i="21"/>
  <c r="I3" i="21"/>
  <c r="J3" i="21"/>
  <c r="K3" i="21"/>
  <c r="L3" i="21"/>
  <c r="M3" i="21"/>
  <c r="N3" i="21"/>
  <c r="O3" i="21"/>
  <c r="P3" i="21"/>
  <c r="Q3" i="21"/>
  <c r="R3" i="21"/>
  <c r="S3" i="21"/>
  <c r="T3" i="21"/>
  <c r="U3" i="21"/>
  <c r="V3" i="21"/>
  <c r="W3" i="21"/>
  <c r="X3" i="21"/>
  <c r="Y3" i="21"/>
  <c r="Z3" i="21"/>
  <c r="AA3" i="21"/>
  <c r="B4" i="21"/>
  <c r="C4" i="21"/>
  <c r="D4" i="21"/>
  <c r="E4" i="21"/>
  <c r="F4" i="21"/>
  <c r="G4" i="21"/>
  <c r="H4" i="21"/>
  <c r="I4" i="21"/>
  <c r="J4" i="21"/>
  <c r="K4" i="21"/>
  <c r="L4" i="21"/>
  <c r="M4" i="21"/>
  <c r="N4" i="21"/>
  <c r="O4" i="21"/>
  <c r="P4" i="21"/>
  <c r="Q4" i="21"/>
  <c r="R4" i="21"/>
  <c r="S4" i="21"/>
  <c r="T4" i="21"/>
  <c r="U4" i="21"/>
  <c r="V4" i="21"/>
  <c r="W4" i="21"/>
  <c r="X4" i="21"/>
  <c r="Y4" i="21"/>
  <c r="Z4" i="21"/>
  <c r="AA4" i="21"/>
  <c r="B5" i="21"/>
  <c r="C5" i="21"/>
  <c r="D5" i="21"/>
  <c r="E5" i="21"/>
  <c r="F5" i="21"/>
  <c r="G5" i="21"/>
  <c r="H5" i="21"/>
  <c r="I5" i="21"/>
  <c r="J5" i="21"/>
  <c r="K5" i="21"/>
  <c r="L5" i="21"/>
  <c r="M5" i="21"/>
  <c r="N5" i="21"/>
  <c r="O5" i="21"/>
  <c r="P5" i="21"/>
  <c r="Q5" i="21"/>
  <c r="R5" i="21"/>
  <c r="S5" i="21"/>
  <c r="T5" i="21"/>
  <c r="U5" i="21"/>
  <c r="V5" i="21"/>
  <c r="W5" i="21"/>
  <c r="X5" i="21"/>
  <c r="Y5" i="21"/>
  <c r="Z5" i="21"/>
  <c r="AA5" i="21"/>
  <c r="B6" i="21"/>
  <c r="C6" i="21"/>
  <c r="D6" i="21"/>
  <c r="E6" i="21"/>
  <c r="F6" i="21"/>
  <c r="G6" i="21"/>
  <c r="H6" i="21"/>
  <c r="I6" i="21"/>
  <c r="J6" i="21"/>
  <c r="K6" i="21"/>
  <c r="L6" i="21"/>
  <c r="M6" i="21"/>
  <c r="N6" i="21"/>
  <c r="O6" i="21"/>
  <c r="P6" i="21"/>
  <c r="Q6" i="21"/>
  <c r="R6" i="21"/>
  <c r="S6" i="21"/>
  <c r="T6" i="21"/>
  <c r="U6" i="21"/>
  <c r="V6" i="21"/>
  <c r="W6" i="21"/>
  <c r="X6" i="21"/>
  <c r="Y6" i="21"/>
  <c r="Z6" i="21"/>
  <c r="AA6" i="21"/>
  <c r="B7" i="21"/>
  <c r="C7" i="21"/>
  <c r="D7" i="21"/>
  <c r="E7" i="21"/>
  <c r="F7" i="21"/>
  <c r="G7" i="21"/>
  <c r="H7" i="21"/>
  <c r="I7" i="21"/>
  <c r="J7" i="21"/>
  <c r="K7" i="21"/>
  <c r="L7" i="21"/>
  <c r="M7" i="21"/>
  <c r="N7" i="21"/>
  <c r="O7" i="21"/>
  <c r="P7" i="21"/>
  <c r="Q7" i="21"/>
  <c r="R7" i="21"/>
  <c r="S7" i="21"/>
  <c r="T7" i="21"/>
  <c r="U7" i="21"/>
  <c r="V7" i="21"/>
  <c r="W7" i="21"/>
  <c r="X7" i="21"/>
  <c r="Y7" i="21"/>
  <c r="Z7" i="21"/>
  <c r="AA7" i="21"/>
  <c r="B8" i="21"/>
  <c r="C8" i="21"/>
  <c r="D8" i="21"/>
  <c r="E8" i="21"/>
  <c r="F8" i="21"/>
  <c r="G8" i="21"/>
  <c r="H8" i="21"/>
  <c r="I8" i="21"/>
  <c r="J8" i="21"/>
  <c r="K8" i="21"/>
  <c r="L8" i="21"/>
  <c r="M8" i="21"/>
  <c r="N8" i="21"/>
  <c r="O8" i="21"/>
  <c r="P8" i="21"/>
  <c r="Q8" i="21"/>
  <c r="R8" i="21"/>
  <c r="S8" i="21"/>
  <c r="T8" i="21"/>
  <c r="U8" i="21"/>
  <c r="V8" i="21"/>
  <c r="W8" i="21"/>
  <c r="X8" i="21"/>
  <c r="Y8" i="21"/>
  <c r="Z8" i="21"/>
  <c r="AA8" i="21"/>
  <c r="B9" i="21"/>
  <c r="C9" i="21"/>
  <c r="D9" i="21"/>
  <c r="E9" i="21"/>
  <c r="F9" i="21"/>
  <c r="G9" i="21"/>
  <c r="H9" i="21"/>
  <c r="I9" i="21"/>
  <c r="J9" i="21"/>
  <c r="K9" i="21"/>
  <c r="L9" i="21"/>
  <c r="M9" i="21"/>
  <c r="N9" i="21"/>
  <c r="O9" i="21"/>
  <c r="P9" i="21"/>
  <c r="Q9" i="21"/>
  <c r="R9" i="21"/>
  <c r="S9" i="21"/>
  <c r="T9" i="21"/>
  <c r="U9" i="21"/>
  <c r="V9" i="21"/>
  <c r="W9" i="21"/>
  <c r="X9" i="21"/>
  <c r="Y9" i="21"/>
  <c r="Z9" i="21"/>
  <c r="AA9"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218" i="20"/>
  <c r="B218" i="20"/>
  <c r="C218" i="20"/>
  <c r="D218" i="20"/>
  <c r="E218" i="20"/>
  <c r="F218" i="20"/>
  <c r="G218" i="20"/>
  <c r="H218" i="20"/>
  <c r="I218" i="20"/>
  <c r="J218" i="20"/>
  <c r="K218" i="20"/>
  <c r="L218" i="20"/>
  <c r="M218" i="20"/>
  <c r="N218" i="20"/>
  <c r="O218" i="20"/>
  <c r="P218" i="20"/>
  <c r="Q218" i="20"/>
  <c r="R218" i="20"/>
  <c r="S218" i="20"/>
  <c r="T218" i="20"/>
  <c r="U218" i="20"/>
  <c r="V218" i="20"/>
  <c r="W218" i="20"/>
  <c r="X218" i="20"/>
  <c r="Y218" i="20"/>
  <c r="Z218" i="20"/>
  <c r="AA218" i="20"/>
  <c r="A219" i="20"/>
  <c r="B219" i="20"/>
  <c r="C219" i="20"/>
  <c r="D219" i="20"/>
  <c r="E219" i="20"/>
  <c r="F219" i="20"/>
  <c r="G219" i="20"/>
  <c r="H219" i="20"/>
  <c r="I219" i="20"/>
  <c r="J219" i="20"/>
  <c r="K219" i="20"/>
  <c r="L219" i="20"/>
  <c r="M219" i="20"/>
  <c r="N219" i="20"/>
  <c r="O219" i="20"/>
  <c r="P219" i="20"/>
  <c r="Q219" i="20"/>
  <c r="R219" i="20"/>
  <c r="S219" i="20"/>
  <c r="T219" i="20"/>
  <c r="U219" i="20"/>
  <c r="V219" i="20"/>
  <c r="W219" i="20"/>
  <c r="X219" i="20"/>
  <c r="Y219" i="20"/>
  <c r="Z219" i="20"/>
  <c r="AA219" i="20"/>
  <c r="A220" i="20"/>
  <c r="B220" i="20"/>
  <c r="C220" i="20"/>
  <c r="D220" i="20"/>
  <c r="E220" i="20"/>
  <c r="F220" i="20"/>
  <c r="G220" i="20"/>
  <c r="H220" i="20"/>
  <c r="I220" i="20"/>
  <c r="J220" i="20"/>
  <c r="K220" i="20"/>
  <c r="L220" i="20"/>
  <c r="M220" i="20"/>
  <c r="N220" i="20"/>
  <c r="O220" i="20"/>
  <c r="P220" i="20"/>
  <c r="Q220" i="20"/>
  <c r="R220" i="20"/>
  <c r="S220" i="20"/>
  <c r="T220" i="20"/>
  <c r="U220" i="20"/>
  <c r="V220" i="20"/>
  <c r="W220" i="20"/>
  <c r="X220" i="20"/>
  <c r="Y220" i="20"/>
  <c r="Z220" i="20"/>
  <c r="AA220" i="20"/>
  <c r="A221" i="20"/>
  <c r="B221" i="20"/>
  <c r="C221" i="20"/>
  <c r="D221" i="20"/>
  <c r="E221" i="20"/>
  <c r="F221" i="20"/>
  <c r="G221" i="20"/>
  <c r="H221" i="20"/>
  <c r="I221" i="20"/>
  <c r="J221" i="20"/>
  <c r="K221" i="20"/>
  <c r="L221" i="20"/>
  <c r="M221" i="20"/>
  <c r="N221" i="20"/>
  <c r="O221" i="20"/>
  <c r="P221" i="20"/>
  <c r="Q221" i="20"/>
  <c r="R221" i="20"/>
  <c r="S221" i="20"/>
  <c r="T221" i="20"/>
  <c r="U221" i="20"/>
  <c r="V221" i="20"/>
  <c r="W221" i="20"/>
  <c r="X221" i="20"/>
  <c r="Y221" i="20"/>
  <c r="Z221" i="20"/>
  <c r="AA221" i="20"/>
  <c r="A222" i="20"/>
  <c r="B222" i="20"/>
  <c r="C222" i="20"/>
  <c r="D222" i="20"/>
  <c r="E222" i="20"/>
  <c r="F222" i="20"/>
  <c r="G222" i="20"/>
  <c r="H222" i="20"/>
  <c r="I222" i="20"/>
  <c r="J222" i="20"/>
  <c r="K222" i="20"/>
  <c r="L222" i="20"/>
  <c r="M222" i="20"/>
  <c r="N222" i="20"/>
  <c r="O222" i="20"/>
  <c r="P222" i="20"/>
  <c r="Q222" i="20"/>
  <c r="R222" i="20"/>
  <c r="S222" i="20"/>
  <c r="T222" i="20"/>
  <c r="U222" i="20"/>
  <c r="V222" i="20"/>
  <c r="W222" i="20"/>
  <c r="X222" i="20"/>
  <c r="Y222" i="20"/>
  <c r="Z222" i="20"/>
  <c r="AA222" i="20"/>
  <c r="A223" i="20"/>
  <c r="B223" i="20"/>
  <c r="C223" i="20"/>
  <c r="D223" i="20"/>
  <c r="E223" i="20"/>
  <c r="F223" i="20"/>
  <c r="G223" i="20"/>
  <c r="H223" i="20"/>
  <c r="I223" i="20"/>
  <c r="J223" i="20"/>
  <c r="K223" i="20"/>
  <c r="L223" i="20"/>
  <c r="M223" i="20"/>
  <c r="N223" i="20"/>
  <c r="O223" i="20"/>
  <c r="P223" i="20"/>
  <c r="Q223" i="20"/>
  <c r="R223" i="20"/>
  <c r="S223" i="20"/>
  <c r="T223" i="20"/>
  <c r="U223" i="20"/>
  <c r="V223" i="20"/>
  <c r="W223" i="20"/>
  <c r="X223" i="20"/>
  <c r="Y223" i="20"/>
  <c r="Z223" i="20"/>
  <c r="AA223" i="20"/>
  <c r="A224" i="20"/>
  <c r="B224" i="20"/>
  <c r="C224" i="20"/>
  <c r="D224" i="20"/>
  <c r="E224" i="20"/>
  <c r="F224" i="20"/>
  <c r="G224" i="20"/>
  <c r="H224" i="20"/>
  <c r="I224" i="20"/>
  <c r="J224" i="20"/>
  <c r="K224" i="20"/>
  <c r="L224" i="20"/>
  <c r="M224" i="20"/>
  <c r="N224" i="20"/>
  <c r="O224" i="20"/>
  <c r="P224" i="20"/>
  <c r="Q224" i="20"/>
  <c r="R224" i="20"/>
  <c r="S224" i="20"/>
  <c r="T224" i="20"/>
  <c r="U224" i="20"/>
  <c r="V224" i="20"/>
  <c r="W224" i="20"/>
  <c r="X224" i="20"/>
  <c r="Y224" i="20"/>
  <c r="Z224" i="20"/>
  <c r="AA224" i="20"/>
  <c r="A225" i="20"/>
  <c r="B225" i="20"/>
  <c r="C225" i="20"/>
  <c r="D225" i="20"/>
  <c r="E225" i="20"/>
  <c r="F225" i="20"/>
  <c r="G225" i="20"/>
  <c r="H225" i="20"/>
  <c r="I225" i="20"/>
  <c r="J225" i="20"/>
  <c r="K225" i="20"/>
  <c r="L225" i="20"/>
  <c r="M225" i="20"/>
  <c r="N225" i="20"/>
  <c r="O225" i="20"/>
  <c r="P225" i="20"/>
  <c r="Q225" i="20"/>
  <c r="R225" i="20"/>
  <c r="S225" i="20"/>
  <c r="T225" i="20"/>
  <c r="U225" i="20"/>
  <c r="V225" i="20"/>
  <c r="W225" i="20"/>
  <c r="X225" i="20"/>
  <c r="Y225" i="20"/>
  <c r="Z225" i="20"/>
  <c r="AA225" i="20"/>
  <c r="A226" i="20"/>
  <c r="B226" i="20"/>
  <c r="C226" i="20"/>
  <c r="D226" i="20"/>
  <c r="E226" i="20"/>
  <c r="F226" i="20"/>
  <c r="G226" i="20"/>
  <c r="H226" i="20"/>
  <c r="I226" i="20"/>
  <c r="J226" i="20"/>
  <c r="K226" i="20"/>
  <c r="L226" i="20"/>
  <c r="M226" i="20"/>
  <c r="N226" i="20"/>
  <c r="O226" i="20"/>
  <c r="P226" i="20"/>
  <c r="Q226" i="20"/>
  <c r="R226" i="20"/>
  <c r="S226" i="20"/>
  <c r="T226" i="20"/>
  <c r="U226" i="20"/>
  <c r="V226" i="20"/>
  <c r="W226" i="20"/>
  <c r="X226" i="20"/>
  <c r="Y226" i="20"/>
  <c r="Z226" i="20"/>
  <c r="AA226" i="20"/>
  <c r="A227" i="20"/>
  <c r="B227" i="20"/>
  <c r="C227" i="20"/>
  <c r="D227" i="20"/>
  <c r="E227" i="20"/>
  <c r="F227" i="20"/>
  <c r="G227" i="20"/>
  <c r="H227" i="20"/>
  <c r="I227" i="20"/>
  <c r="J227" i="20"/>
  <c r="K227" i="20"/>
  <c r="L227" i="20"/>
  <c r="M227" i="20"/>
  <c r="N227" i="20"/>
  <c r="O227" i="20"/>
  <c r="P227" i="20"/>
  <c r="Q227" i="20"/>
  <c r="R227" i="20"/>
  <c r="S227" i="20"/>
  <c r="T227" i="20"/>
  <c r="U227" i="20"/>
  <c r="V227" i="20"/>
  <c r="W227" i="20"/>
  <c r="X227" i="20"/>
  <c r="Y227" i="20"/>
  <c r="Z227" i="20"/>
  <c r="AA227" i="20"/>
  <c r="A228" i="20"/>
  <c r="B228" i="20"/>
  <c r="C228" i="20"/>
  <c r="D228" i="20"/>
  <c r="E228" i="20"/>
  <c r="F228" i="20"/>
  <c r="G228" i="20"/>
  <c r="H228" i="20"/>
  <c r="I228" i="20"/>
  <c r="J228" i="20"/>
  <c r="K228" i="20"/>
  <c r="L228" i="20"/>
  <c r="M228" i="20"/>
  <c r="N228" i="20"/>
  <c r="O228" i="20"/>
  <c r="P228" i="20"/>
  <c r="Q228" i="20"/>
  <c r="R228" i="20"/>
  <c r="S228" i="20"/>
  <c r="T228" i="20"/>
  <c r="U228" i="20"/>
  <c r="V228" i="20"/>
  <c r="W228" i="20"/>
  <c r="X228" i="20"/>
  <c r="Y228" i="20"/>
  <c r="Z228" i="20"/>
  <c r="AA228" i="20"/>
  <c r="A229" i="20"/>
  <c r="B229" i="20"/>
  <c r="C229" i="20"/>
  <c r="D229" i="20"/>
  <c r="E229" i="20"/>
  <c r="F229" i="20"/>
  <c r="G229" i="20"/>
  <c r="H229" i="20"/>
  <c r="I229" i="20"/>
  <c r="J229" i="20"/>
  <c r="K229" i="20"/>
  <c r="L229" i="20"/>
  <c r="M229" i="20"/>
  <c r="N229" i="20"/>
  <c r="O229" i="20"/>
  <c r="P229" i="20"/>
  <c r="Q229" i="20"/>
  <c r="R229" i="20"/>
  <c r="S229" i="20"/>
  <c r="T229" i="20"/>
  <c r="U229" i="20"/>
  <c r="V229" i="20"/>
  <c r="W229" i="20"/>
  <c r="X229" i="20"/>
  <c r="Y229" i="20"/>
  <c r="Z229" i="20"/>
  <c r="AA229" i="20"/>
  <c r="A230" i="20"/>
  <c r="B230" i="20"/>
  <c r="C230" i="20"/>
  <c r="D230" i="20"/>
  <c r="E230" i="20"/>
  <c r="F230" i="20"/>
  <c r="G230" i="20"/>
  <c r="H230" i="20"/>
  <c r="I230" i="20"/>
  <c r="J230" i="20"/>
  <c r="K230" i="20"/>
  <c r="L230" i="20"/>
  <c r="M230" i="20"/>
  <c r="N230" i="20"/>
  <c r="O230" i="20"/>
  <c r="P230" i="20"/>
  <c r="Q230" i="20"/>
  <c r="R230" i="20"/>
  <c r="S230" i="20"/>
  <c r="T230" i="20"/>
  <c r="U230" i="20"/>
  <c r="V230" i="20"/>
  <c r="W230" i="20"/>
  <c r="X230" i="20"/>
  <c r="Y230" i="20"/>
  <c r="Z230" i="20"/>
  <c r="AA230" i="20"/>
  <c r="A231" i="20"/>
  <c r="B231" i="20"/>
  <c r="C231" i="20"/>
  <c r="D231" i="20"/>
  <c r="E231" i="20"/>
  <c r="F231" i="20"/>
  <c r="G231" i="20"/>
  <c r="H231" i="20"/>
  <c r="I231" i="20"/>
  <c r="J231" i="20"/>
  <c r="K231" i="20"/>
  <c r="L231" i="20"/>
  <c r="M231" i="20"/>
  <c r="N231" i="20"/>
  <c r="O231" i="20"/>
  <c r="P231" i="20"/>
  <c r="Q231" i="20"/>
  <c r="R231" i="20"/>
  <c r="S231" i="20"/>
  <c r="T231" i="20"/>
  <c r="U231" i="20"/>
  <c r="V231" i="20"/>
  <c r="W231" i="20"/>
  <c r="X231" i="20"/>
  <c r="Y231" i="20"/>
  <c r="Z231" i="20"/>
  <c r="AA231" i="20"/>
  <c r="A164" i="20"/>
  <c r="B164" i="20"/>
  <c r="C164" i="20"/>
  <c r="D164" i="20"/>
  <c r="E164" i="20"/>
  <c r="F164" i="20"/>
  <c r="G164" i="20"/>
  <c r="H164" i="20"/>
  <c r="I164" i="20"/>
  <c r="J164" i="20"/>
  <c r="K164" i="20"/>
  <c r="L164" i="20"/>
  <c r="M164" i="20"/>
  <c r="N164" i="20"/>
  <c r="O164" i="20"/>
  <c r="P164" i="20"/>
  <c r="Q164" i="20"/>
  <c r="R164" i="20"/>
  <c r="S164" i="20"/>
  <c r="T164" i="20"/>
  <c r="U164" i="20"/>
  <c r="V164" i="20"/>
  <c r="W164" i="20"/>
  <c r="X164" i="20"/>
  <c r="Y164" i="20"/>
  <c r="Z164" i="20"/>
  <c r="AA164" i="20"/>
  <c r="A165" i="20"/>
  <c r="B165" i="20"/>
  <c r="C165" i="20"/>
  <c r="D165" i="20"/>
  <c r="E165" i="20"/>
  <c r="F165" i="20"/>
  <c r="G165" i="20"/>
  <c r="H165" i="20"/>
  <c r="I165" i="20"/>
  <c r="J165" i="20"/>
  <c r="K165" i="20"/>
  <c r="L165" i="20"/>
  <c r="M165" i="20"/>
  <c r="N165" i="20"/>
  <c r="O165" i="20"/>
  <c r="P165" i="20"/>
  <c r="Q165" i="20"/>
  <c r="R165" i="20"/>
  <c r="S165" i="20"/>
  <c r="T165" i="20"/>
  <c r="U165" i="20"/>
  <c r="V165" i="20"/>
  <c r="W165" i="20"/>
  <c r="X165" i="20"/>
  <c r="Y165" i="20"/>
  <c r="Z165" i="20"/>
  <c r="AA165" i="20"/>
  <c r="A166" i="20"/>
  <c r="B166" i="20"/>
  <c r="C166" i="20"/>
  <c r="D166" i="20"/>
  <c r="E166" i="20"/>
  <c r="F166" i="20"/>
  <c r="G166" i="20"/>
  <c r="H166" i="20"/>
  <c r="I166" i="20"/>
  <c r="J166" i="20"/>
  <c r="K166" i="20"/>
  <c r="L166" i="20"/>
  <c r="M166" i="20"/>
  <c r="N166" i="20"/>
  <c r="O166" i="20"/>
  <c r="P166" i="20"/>
  <c r="Q166" i="20"/>
  <c r="R166" i="20"/>
  <c r="S166" i="20"/>
  <c r="T166" i="20"/>
  <c r="U166" i="20"/>
  <c r="V166" i="20"/>
  <c r="W166" i="20"/>
  <c r="X166" i="20"/>
  <c r="Y166" i="20"/>
  <c r="Z166" i="20"/>
  <c r="AA166" i="20"/>
  <c r="A167" i="20"/>
  <c r="B167" i="20"/>
  <c r="C167" i="20"/>
  <c r="D167" i="20"/>
  <c r="E167" i="20"/>
  <c r="F167" i="20"/>
  <c r="G167" i="20"/>
  <c r="H167" i="20"/>
  <c r="I167" i="20"/>
  <c r="J167" i="20"/>
  <c r="K167" i="20"/>
  <c r="L167" i="20"/>
  <c r="M167" i="20"/>
  <c r="N167" i="20"/>
  <c r="O167" i="20"/>
  <c r="P167" i="20"/>
  <c r="Q167" i="20"/>
  <c r="R167" i="20"/>
  <c r="S167" i="20"/>
  <c r="T167" i="20"/>
  <c r="U167" i="20"/>
  <c r="V167" i="20"/>
  <c r="W167" i="20"/>
  <c r="X167" i="20"/>
  <c r="Y167" i="20"/>
  <c r="Z167" i="20"/>
  <c r="AA167" i="20"/>
  <c r="A168" i="20"/>
  <c r="B168" i="20"/>
  <c r="C168" i="20"/>
  <c r="D168" i="20"/>
  <c r="E168" i="20"/>
  <c r="F168" i="20"/>
  <c r="G168" i="20"/>
  <c r="H168" i="20"/>
  <c r="I168" i="20"/>
  <c r="J168" i="20"/>
  <c r="K168" i="20"/>
  <c r="L168" i="20"/>
  <c r="M168" i="20"/>
  <c r="N168" i="20"/>
  <c r="O168" i="20"/>
  <c r="P168" i="20"/>
  <c r="Q168" i="20"/>
  <c r="R168" i="20"/>
  <c r="S168" i="20"/>
  <c r="T168" i="20"/>
  <c r="U168" i="20"/>
  <c r="V168" i="20"/>
  <c r="W168" i="20"/>
  <c r="X168" i="20"/>
  <c r="Y168" i="20"/>
  <c r="Z168" i="20"/>
  <c r="AA168" i="20"/>
  <c r="A169" i="20"/>
  <c r="B169" i="20"/>
  <c r="C169" i="20"/>
  <c r="D169" i="20"/>
  <c r="E169" i="20"/>
  <c r="F169" i="20"/>
  <c r="G169" i="20"/>
  <c r="H169" i="20"/>
  <c r="I169" i="20"/>
  <c r="J169" i="20"/>
  <c r="K169" i="20"/>
  <c r="L169" i="20"/>
  <c r="M169" i="20"/>
  <c r="N169" i="20"/>
  <c r="O169" i="20"/>
  <c r="P169" i="20"/>
  <c r="Q169" i="20"/>
  <c r="R169" i="20"/>
  <c r="S169" i="20"/>
  <c r="T169" i="20"/>
  <c r="U169" i="20"/>
  <c r="V169" i="20"/>
  <c r="W169" i="20"/>
  <c r="X169" i="20"/>
  <c r="Y169" i="20"/>
  <c r="Z169" i="20"/>
  <c r="AA169" i="20"/>
  <c r="A170" i="20"/>
  <c r="B170" i="20"/>
  <c r="C170" i="20"/>
  <c r="D170" i="20"/>
  <c r="E170" i="20"/>
  <c r="F170" i="20"/>
  <c r="G170" i="20"/>
  <c r="H170" i="20"/>
  <c r="I170" i="20"/>
  <c r="J170" i="20"/>
  <c r="K170" i="20"/>
  <c r="L170" i="20"/>
  <c r="M170" i="20"/>
  <c r="N170" i="20"/>
  <c r="O170" i="20"/>
  <c r="P170" i="20"/>
  <c r="Q170" i="20"/>
  <c r="R170" i="20"/>
  <c r="S170" i="20"/>
  <c r="T170" i="20"/>
  <c r="U170" i="20"/>
  <c r="V170" i="20"/>
  <c r="W170" i="20"/>
  <c r="X170" i="20"/>
  <c r="Y170" i="20"/>
  <c r="Z170" i="20"/>
  <c r="AA170" i="20"/>
  <c r="A171" i="20"/>
  <c r="B171" i="20"/>
  <c r="C171" i="20"/>
  <c r="D171" i="20"/>
  <c r="E171" i="20"/>
  <c r="F171" i="20"/>
  <c r="G171" i="20"/>
  <c r="H171" i="20"/>
  <c r="I171" i="20"/>
  <c r="J171" i="20"/>
  <c r="K171" i="20"/>
  <c r="L171" i="20"/>
  <c r="M171" i="20"/>
  <c r="N171" i="20"/>
  <c r="O171" i="20"/>
  <c r="P171" i="20"/>
  <c r="Q171" i="20"/>
  <c r="R171" i="20"/>
  <c r="S171" i="20"/>
  <c r="T171" i="20"/>
  <c r="U171" i="20"/>
  <c r="V171" i="20"/>
  <c r="W171" i="20"/>
  <c r="X171" i="20"/>
  <c r="Y171" i="20"/>
  <c r="Z171" i="20"/>
  <c r="AA171" i="20"/>
  <c r="A172" i="20"/>
  <c r="B172" i="20"/>
  <c r="C172" i="20"/>
  <c r="D172" i="20"/>
  <c r="E172" i="20"/>
  <c r="F172" i="20"/>
  <c r="G172" i="20"/>
  <c r="H172" i="20"/>
  <c r="I172" i="20"/>
  <c r="J172" i="20"/>
  <c r="K172" i="20"/>
  <c r="L172" i="20"/>
  <c r="M172" i="20"/>
  <c r="N172" i="20"/>
  <c r="O172" i="20"/>
  <c r="P172" i="20"/>
  <c r="Q172" i="20"/>
  <c r="R172" i="20"/>
  <c r="S172" i="20"/>
  <c r="T172" i="20"/>
  <c r="U172" i="20"/>
  <c r="V172" i="20"/>
  <c r="W172" i="20"/>
  <c r="X172" i="20"/>
  <c r="Y172" i="20"/>
  <c r="Z172" i="20"/>
  <c r="AA172" i="20"/>
  <c r="A173" i="20"/>
  <c r="B173" i="20"/>
  <c r="C173" i="20"/>
  <c r="D173" i="20"/>
  <c r="E173" i="20"/>
  <c r="F173" i="20"/>
  <c r="G173" i="20"/>
  <c r="H173" i="20"/>
  <c r="I173" i="20"/>
  <c r="J173" i="20"/>
  <c r="K173" i="20"/>
  <c r="L173" i="20"/>
  <c r="M173" i="20"/>
  <c r="N173" i="20"/>
  <c r="O173" i="20"/>
  <c r="P173" i="20"/>
  <c r="Q173" i="20"/>
  <c r="R173" i="20"/>
  <c r="S173" i="20"/>
  <c r="T173" i="20"/>
  <c r="U173" i="20"/>
  <c r="V173" i="20"/>
  <c r="W173" i="20"/>
  <c r="X173" i="20"/>
  <c r="Y173" i="20"/>
  <c r="Z173" i="20"/>
  <c r="AA173" i="20"/>
  <c r="A174" i="20"/>
  <c r="B174" i="20"/>
  <c r="C174" i="20"/>
  <c r="D174" i="20"/>
  <c r="E174" i="20"/>
  <c r="F174" i="20"/>
  <c r="G174" i="20"/>
  <c r="H174" i="20"/>
  <c r="I174" i="20"/>
  <c r="J174" i="20"/>
  <c r="K174" i="20"/>
  <c r="L174" i="20"/>
  <c r="M174" i="20"/>
  <c r="N174" i="20"/>
  <c r="O174" i="20"/>
  <c r="P174" i="20"/>
  <c r="Q174" i="20"/>
  <c r="R174" i="20"/>
  <c r="S174" i="20"/>
  <c r="T174" i="20"/>
  <c r="U174" i="20"/>
  <c r="V174" i="20"/>
  <c r="W174" i="20"/>
  <c r="X174" i="20"/>
  <c r="Y174" i="20"/>
  <c r="Z174" i="20"/>
  <c r="AA174" i="20"/>
  <c r="A175" i="20"/>
  <c r="B175" i="20"/>
  <c r="C175" i="20"/>
  <c r="D175" i="20"/>
  <c r="E175" i="20"/>
  <c r="F175" i="20"/>
  <c r="G175" i="20"/>
  <c r="H175" i="20"/>
  <c r="I175" i="20"/>
  <c r="J175" i="20"/>
  <c r="K175" i="20"/>
  <c r="L175" i="20"/>
  <c r="M175" i="20"/>
  <c r="N175" i="20"/>
  <c r="O175" i="20"/>
  <c r="P175" i="20"/>
  <c r="Q175" i="20"/>
  <c r="R175" i="20"/>
  <c r="S175" i="20"/>
  <c r="T175" i="20"/>
  <c r="U175" i="20"/>
  <c r="V175" i="20"/>
  <c r="W175" i="20"/>
  <c r="X175" i="20"/>
  <c r="Y175" i="20"/>
  <c r="Z175" i="20"/>
  <c r="AA175" i="20"/>
  <c r="A176" i="20"/>
  <c r="B176" i="20"/>
  <c r="C176" i="20"/>
  <c r="D176" i="20"/>
  <c r="E176" i="20"/>
  <c r="F176" i="20"/>
  <c r="G176" i="20"/>
  <c r="H176" i="20"/>
  <c r="I176" i="20"/>
  <c r="J176" i="20"/>
  <c r="K176" i="20"/>
  <c r="L176" i="20"/>
  <c r="M176" i="20"/>
  <c r="N176" i="20"/>
  <c r="O176" i="20"/>
  <c r="P176" i="20"/>
  <c r="Q176" i="20"/>
  <c r="R176" i="20"/>
  <c r="S176" i="20"/>
  <c r="T176" i="20"/>
  <c r="U176" i="20"/>
  <c r="V176" i="20"/>
  <c r="W176" i="20"/>
  <c r="X176" i="20"/>
  <c r="Y176" i="20"/>
  <c r="Z176" i="20"/>
  <c r="AA176" i="20"/>
  <c r="A177" i="20"/>
  <c r="B177" i="20"/>
  <c r="C177" i="20"/>
  <c r="D177" i="20"/>
  <c r="E177" i="20"/>
  <c r="F177" i="20"/>
  <c r="G177" i="20"/>
  <c r="H177" i="20"/>
  <c r="I177" i="20"/>
  <c r="J177" i="20"/>
  <c r="K177" i="20"/>
  <c r="L177" i="20"/>
  <c r="M177" i="20"/>
  <c r="N177" i="20"/>
  <c r="O177" i="20"/>
  <c r="P177" i="20"/>
  <c r="Q177" i="20"/>
  <c r="R177" i="20"/>
  <c r="S177" i="20"/>
  <c r="T177" i="20"/>
  <c r="U177" i="20"/>
  <c r="V177" i="20"/>
  <c r="W177" i="20"/>
  <c r="X177" i="20"/>
  <c r="Y177" i="20"/>
  <c r="Z177" i="20"/>
  <c r="AA177" i="20"/>
  <c r="A178" i="20"/>
  <c r="B178" i="20"/>
  <c r="C178" i="20"/>
  <c r="D178" i="20"/>
  <c r="E178" i="20"/>
  <c r="F178" i="20"/>
  <c r="G178" i="20"/>
  <c r="H178" i="20"/>
  <c r="I178" i="20"/>
  <c r="J178" i="20"/>
  <c r="K178" i="20"/>
  <c r="L178" i="20"/>
  <c r="M178" i="20"/>
  <c r="N178" i="20"/>
  <c r="O178" i="20"/>
  <c r="P178" i="20"/>
  <c r="Q178" i="20"/>
  <c r="R178" i="20"/>
  <c r="S178" i="20"/>
  <c r="T178" i="20"/>
  <c r="U178" i="20"/>
  <c r="V178" i="20"/>
  <c r="W178" i="20"/>
  <c r="X178" i="20"/>
  <c r="Y178" i="20"/>
  <c r="Z178" i="20"/>
  <c r="AA178" i="20"/>
  <c r="A179" i="20"/>
  <c r="B179" i="20"/>
  <c r="C179" i="20"/>
  <c r="D179" i="20"/>
  <c r="E179" i="20"/>
  <c r="F179" i="20"/>
  <c r="G179" i="20"/>
  <c r="H179" i="20"/>
  <c r="I179" i="20"/>
  <c r="J179" i="20"/>
  <c r="K179" i="20"/>
  <c r="L179" i="20"/>
  <c r="M179" i="20"/>
  <c r="N179" i="20"/>
  <c r="O179" i="20"/>
  <c r="P179" i="20"/>
  <c r="Q179" i="20"/>
  <c r="R179" i="20"/>
  <c r="S179" i="20"/>
  <c r="T179" i="20"/>
  <c r="U179" i="20"/>
  <c r="V179" i="20"/>
  <c r="W179" i="20"/>
  <c r="X179" i="20"/>
  <c r="Y179" i="20"/>
  <c r="Z179" i="20"/>
  <c r="AA179" i="20"/>
  <c r="A180" i="20"/>
  <c r="B180" i="20"/>
  <c r="C180" i="20"/>
  <c r="D180" i="20"/>
  <c r="E180" i="20"/>
  <c r="F180" i="20"/>
  <c r="G180" i="20"/>
  <c r="H180" i="20"/>
  <c r="I180" i="20"/>
  <c r="J180" i="20"/>
  <c r="K180" i="20"/>
  <c r="L180" i="20"/>
  <c r="M180" i="20"/>
  <c r="N180" i="20"/>
  <c r="O180" i="20"/>
  <c r="P180" i="20"/>
  <c r="Q180" i="20"/>
  <c r="R180" i="20"/>
  <c r="S180" i="20"/>
  <c r="T180" i="20"/>
  <c r="U180" i="20"/>
  <c r="V180" i="20"/>
  <c r="W180" i="20"/>
  <c r="X180" i="20"/>
  <c r="Y180" i="20"/>
  <c r="Z180" i="20"/>
  <c r="AA180" i="20"/>
  <c r="A181" i="20"/>
  <c r="B181" i="20"/>
  <c r="C181" i="20"/>
  <c r="D181" i="20"/>
  <c r="E181" i="20"/>
  <c r="F181" i="20"/>
  <c r="G181" i="20"/>
  <c r="H181" i="20"/>
  <c r="I181" i="20"/>
  <c r="J181" i="20"/>
  <c r="K181" i="20"/>
  <c r="L181" i="20"/>
  <c r="M181" i="20"/>
  <c r="N181" i="20"/>
  <c r="O181" i="20"/>
  <c r="P181" i="20"/>
  <c r="Q181" i="20"/>
  <c r="R181" i="20"/>
  <c r="S181" i="20"/>
  <c r="T181" i="20"/>
  <c r="U181" i="20"/>
  <c r="V181" i="20"/>
  <c r="W181" i="20"/>
  <c r="X181" i="20"/>
  <c r="Y181" i="20"/>
  <c r="Z181" i="20"/>
  <c r="AA181" i="20"/>
  <c r="A182" i="20"/>
  <c r="B182" i="20"/>
  <c r="C182" i="20"/>
  <c r="D182" i="20"/>
  <c r="E182" i="20"/>
  <c r="F182" i="20"/>
  <c r="G182" i="20"/>
  <c r="H182" i="20"/>
  <c r="I182" i="20"/>
  <c r="J182" i="20"/>
  <c r="K182" i="20"/>
  <c r="L182" i="20"/>
  <c r="M182" i="20"/>
  <c r="N182" i="20"/>
  <c r="O182" i="20"/>
  <c r="P182" i="20"/>
  <c r="Q182" i="20"/>
  <c r="R182" i="20"/>
  <c r="S182" i="20"/>
  <c r="T182" i="20"/>
  <c r="U182" i="20"/>
  <c r="V182" i="20"/>
  <c r="W182" i="20"/>
  <c r="X182" i="20"/>
  <c r="Y182" i="20"/>
  <c r="Z182" i="20"/>
  <c r="AA182" i="20"/>
  <c r="A183" i="20"/>
  <c r="B183" i="20"/>
  <c r="C183" i="20"/>
  <c r="D183" i="20"/>
  <c r="E183" i="20"/>
  <c r="F183" i="20"/>
  <c r="G183" i="20"/>
  <c r="H183" i="20"/>
  <c r="I183" i="20"/>
  <c r="J183" i="20"/>
  <c r="K183" i="20"/>
  <c r="L183" i="20"/>
  <c r="M183" i="20"/>
  <c r="N183" i="20"/>
  <c r="O183" i="20"/>
  <c r="P183" i="20"/>
  <c r="Q183" i="20"/>
  <c r="R183" i="20"/>
  <c r="S183" i="20"/>
  <c r="T183" i="20"/>
  <c r="U183" i="20"/>
  <c r="V183" i="20"/>
  <c r="W183" i="20"/>
  <c r="X183" i="20"/>
  <c r="Y183" i="20"/>
  <c r="Z183" i="20"/>
  <c r="AA183" i="20"/>
  <c r="A184" i="20"/>
  <c r="B184" i="20"/>
  <c r="C184" i="20"/>
  <c r="D184" i="20"/>
  <c r="E184" i="20"/>
  <c r="F184" i="20"/>
  <c r="G184" i="20"/>
  <c r="H184" i="20"/>
  <c r="I184" i="20"/>
  <c r="J184" i="20"/>
  <c r="K184" i="20"/>
  <c r="L184" i="20"/>
  <c r="M184" i="20"/>
  <c r="N184" i="20"/>
  <c r="O184" i="20"/>
  <c r="P184" i="20"/>
  <c r="Q184" i="20"/>
  <c r="R184" i="20"/>
  <c r="S184" i="20"/>
  <c r="T184" i="20"/>
  <c r="U184" i="20"/>
  <c r="V184" i="20"/>
  <c r="W184" i="20"/>
  <c r="X184" i="20"/>
  <c r="Y184" i="20"/>
  <c r="Z184" i="20"/>
  <c r="AA184" i="20"/>
  <c r="A185" i="20"/>
  <c r="B185" i="20"/>
  <c r="C185" i="20"/>
  <c r="D185" i="20"/>
  <c r="E185" i="20"/>
  <c r="F185" i="20"/>
  <c r="G185" i="20"/>
  <c r="H185" i="20"/>
  <c r="I185" i="20"/>
  <c r="J185" i="20"/>
  <c r="K185" i="20"/>
  <c r="L185" i="20"/>
  <c r="M185" i="20"/>
  <c r="N185" i="20"/>
  <c r="O185" i="20"/>
  <c r="P185" i="20"/>
  <c r="Q185" i="20"/>
  <c r="R185" i="20"/>
  <c r="S185" i="20"/>
  <c r="T185" i="20"/>
  <c r="U185" i="20"/>
  <c r="V185" i="20"/>
  <c r="W185" i="20"/>
  <c r="X185" i="20"/>
  <c r="Y185" i="20"/>
  <c r="Z185" i="20"/>
  <c r="AA185" i="20"/>
  <c r="A186" i="20"/>
  <c r="B186" i="20"/>
  <c r="C186" i="20"/>
  <c r="D186" i="20"/>
  <c r="E186" i="20"/>
  <c r="F186" i="20"/>
  <c r="G186" i="20"/>
  <c r="H186" i="20"/>
  <c r="I186" i="20"/>
  <c r="J186" i="20"/>
  <c r="K186" i="20"/>
  <c r="L186" i="20"/>
  <c r="M186" i="20"/>
  <c r="N186" i="20"/>
  <c r="O186" i="20"/>
  <c r="P186" i="20"/>
  <c r="Q186" i="20"/>
  <c r="R186" i="20"/>
  <c r="S186" i="20"/>
  <c r="T186" i="20"/>
  <c r="U186" i="20"/>
  <c r="V186" i="20"/>
  <c r="W186" i="20"/>
  <c r="X186" i="20"/>
  <c r="Y186" i="20"/>
  <c r="Z186" i="20"/>
  <c r="AA186" i="20"/>
  <c r="A187" i="20"/>
  <c r="B187" i="20"/>
  <c r="C187" i="20"/>
  <c r="D187" i="20"/>
  <c r="E187" i="20"/>
  <c r="F187" i="20"/>
  <c r="G187" i="20"/>
  <c r="H187" i="20"/>
  <c r="I187" i="20"/>
  <c r="J187" i="20"/>
  <c r="K187" i="20"/>
  <c r="L187" i="20"/>
  <c r="M187" i="20"/>
  <c r="N187" i="20"/>
  <c r="O187" i="20"/>
  <c r="P187" i="20"/>
  <c r="Q187" i="20"/>
  <c r="R187" i="20"/>
  <c r="S187" i="20"/>
  <c r="T187" i="20"/>
  <c r="U187" i="20"/>
  <c r="V187" i="20"/>
  <c r="W187" i="20"/>
  <c r="X187" i="20"/>
  <c r="Y187" i="20"/>
  <c r="Z187" i="20"/>
  <c r="AA187" i="20"/>
  <c r="A188" i="20"/>
  <c r="B188" i="20"/>
  <c r="C188" i="20"/>
  <c r="D188" i="20"/>
  <c r="E188" i="20"/>
  <c r="F188" i="20"/>
  <c r="G188" i="20"/>
  <c r="H188" i="20"/>
  <c r="I188" i="20"/>
  <c r="J188" i="20"/>
  <c r="K188" i="20"/>
  <c r="L188" i="20"/>
  <c r="M188" i="20"/>
  <c r="N188" i="20"/>
  <c r="O188" i="20"/>
  <c r="P188" i="20"/>
  <c r="Q188" i="20"/>
  <c r="R188" i="20"/>
  <c r="S188" i="20"/>
  <c r="T188" i="20"/>
  <c r="U188" i="20"/>
  <c r="V188" i="20"/>
  <c r="W188" i="20"/>
  <c r="X188" i="20"/>
  <c r="Y188" i="20"/>
  <c r="Z188" i="20"/>
  <c r="AA188" i="20"/>
  <c r="A189" i="20"/>
  <c r="B189" i="20"/>
  <c r="C189" i="20"/>
  <c r="D189" i="20"/>
  <c r="E189" i="20"/>
  <c r="F189" i="20"/>
  <c r="G189" i="20"/>
  <c r="H189" i="20"/>
  <c r="I189" i="20"/>
  <c r="J189" i="20"/>
  <c r="K189" i="20"/>
  <c r="L189" i="20"/>
  <c r="M189" i="20"/>
  <c r="N189" i="20"/>
  <c r="O189" i="20"/>
  <c r="P189" i="20"/>
  <c r="Q189" i="20"/>
  <c r="R189" i="20"/>
  <c r="S189" i="20"/>
  <c r="T189" i="20"/>
  <c r="U189" i="20"/>
  <c r="V189" i="20"/>
  <c r="W189" i="20"/>
  <c r="X189" i="20"/>
  <c r="Y189" i="20"/>
  <c r="Z189" i="20"/>
  <c r="AA189" i="20"/>
  <c r="A190" i="20"/>
  <c r="B190" i="20"/>
  <c r="C190" i="20"/>
  <c r="D190" i="20"/>
  <c r="E190" i="20"/>
  <c r="F190" i="20"/>
  <c r="G190" i="20"/>
  <c r="H190" i="20"/>
  <c r="I190" i="20"/>
  <c r="J190" i="20"/>
  <c r="K190" i="20"/>
  <c r="L190" i="20"/>
  <c r="M190" i="20"/>
  <c r="N190" i="20"/>
  <c r="O190" i="20"/>
  <c r="P190" i="20"/>
  <c r="Q190" i="20"/>
  <c r="R190" i="20"/>
  <c r="S190" i="20"/>
  <c r="T190" i="20"/>
  <c r="U190" i="20"/>
  <c r="V190" i="20"/>
  <c r="W190" i="20"/>
  <c r="X190" i="20"/>
  <c r="Y190" i="20"/>
  <c r="Z190" i="20"/>
  <c r="AA190" i="20"/>
  <c r="A191" i="20"/>
  <c r="B191" i="20"/>
  <c r="C191" i="20"/>
  <c r="D191" i="20"/>
  <c r="E191" i="20"/>
  <c r="F191" i="20"/>
  <c r="G191" i="20"/>
  <c r="H191" i="20"/>
  <c r="I191" i="20"/>
  <c r="J191" i="20"/>
  <c r="K191" i="20"/>
  <c r="L191" i="20"/>
  <c r="M191" i="20"/>
  <c r="N191" i="20"/>
  <c r="O191" i="20"/>
  <c r="P191" i="20"/>
  <c r="Q191" i="20"/>
  <c r="R191" i="20"/>
  <c r="S191" i="20"/>
  <c r="T191" i="20"/>
  <c r="U191" i="20"/>
  <c r="V191" i="20"/>
  <c r="W191" i="20"/>
  <c r="X191" i="20"/>
  <c r="Y191" i="20"/>
  <c r="Z191" i="20"/>
  <c r="AA191" i="20"/>
  <c r="A192" i="20"/>
  <c r="B192" i="20"/>
  <c r="C192" i="20"/>
  <c r="D192" i="20"/>
  <c r="E192" i="20"/>
  <c r="F192" i="20"/>
  <c r="G192" i="20"/>
  <c r="H192" i="20"/>
  <c r="I192" i="20"/>
  <c r="J192" i="20"/>
  <c r="K192" i="20"/>
  <c r="L192" i="20"/>
  <c r="M192" i="20"/>
  <c r="N192" i="20"/>
  <c r="O192" i="20"/>
  <c r="P192" i="20"/>
  <c r="Q192" i="20"/>
  <c r="R192" i="20"/>
  <c r="S192" i="20"/>
  <c r="T192" i="20"/>
  <c r="U192" i="20"/>
  <c r="V192" i="20"/>
  <c r="W192" i="20"/>
  <c r="X192" i="20"/>
  <c r="Y192" i="20"/>
  <c r="Z192" i="20"/>
  <c r="AA192" i="20"/>
  <c r="A193" i="20"/>
  <c r="B193" i="20"/>
  <c r="C193" i="20"/>
  <c r="D193" i="20"/>
  <c r="E193" i="20"/>
  <c r="F193" i="20"/>
  <c r="G193" i="20"/>
  <c r="H193" i="20"/>
  <c r="I193" i="20"/>
  <c r="J193" i="20"/>
  <c r="K193" i="20"/>
  <c r="L193" i="20"/>
  <c r="M193" i="20"/>
  <c r="N193" i="20"/>
  <c r="O193" i="20"/>
  <c r="P193" i="20"/>
  <c r="Q193" i="20"/>
  <c r="R193" i="20"/>
  <c r="S193" i="20"/>
  <c r="T193" i="20"/>
  <c r="U193" i="20"/>
  <c r="V193" i="20"/>
  <c r="W193" i="20"/>
  <c r="X193" i="20"/>
  <c r="Y193" i="20"/>
  <c r="Z193" i="20"/>
  <c r="AA193" i="20"/>
  <c r="A194" i="20"/>
  <c r="B194" i="20"/>
  <c r="C194" i="20"/>
  <c r="D194" i="20"/>
  <c r="E194" i="20"/>
  <c r="F194" i="20"/>
  <c r="G194" i="20"/>
  <c r="H194" i="20"/>
  <c r="I194" i="20"/>
  <c r="J194" i="20"/>
  <c r="K194" i="20"/>
  <c r="L194" i="20"/>
  <c r="M194" i="20"/>
  <c r="N194" i="20"/>
  <c r="O194" i="20"/>
  <c r="P194" i="20"/>
  <c r="Q194" i="20"/>
  <c r="R194" i="20"/>
  <c r="S194" i="20"/>
  <c r="T194" i="20"/>
  <c r="U194" i="20"/>
  <c r="V194" i="20"/>
  <c r="W194" i="20"/>
  <c r="X194" i="20"/>
  <c r="Y194" i="20"/>
  <c r="Z194" i="20"/>
  <c r="AA194" i="20"/>
  <c r="A195" i="20"/>
  <c r="B195" i="20"/>
  <c r="C195" i="20"/>
  <c r="D195" i="20"/>
  <c r="E195" i="20"/>
  <c r="F195" i="20"/>
  <c r="G195" i="20"/>
  <c r="H195" i="20"/>
  <c r="I195" i="20"/>
  <c r="J195" i="20"/>
  <c r="K195" i="20"/>
  <c r="L195" i="20"/>
  <c r="M195" i="20"/>
  <c r="N195" i="20"/>
  <c r="O195" i="20"/>
  <c r="P195" i="20"/>
  <c r="Q195" i="20"/>
  <c r="R195" i="20"/>
  <c r="S195" i="20"/>
  <c r="T195" i="20"/>
  <c r="U195" i="20"/>
  <c r="V195" i="20"/>
  <c r="W195" i="20"/>
  <c r="X195" i="20"/>
  <c r="Y195" i="20"/>
  <c r="Z195" i="20"/>
  <c r="AA195" i="20"/>
  <c r="A196" i="20"/>
  <c r="B196" i="20"/>
  <c r="C196" i="20"/>
  <c r="D196" i="20"/>
  <c r="E196" i="20"/>
  <c r="F196" i="20"/>
  <c r="G196" i="20"/>
  <c r="H196" i="20"/>
  <c r="I196" i="20"/>
  <c r="J196" i="20"/>
  <c r="K196" i="20"/>
  <c r="L196" i="20"/>
  <c r="M196" i="20"/>
  <c r="N196" i="20"/>
  <c r="O196" i="20"/>
  <c r="P196" i="20"/>
  <c r="Q196" i="20"/>
  <c r="R196" i="20"/>
  <c r="S196" i="20"/>
  <c r="T196" i="20"/>
  <c r="U196" i="20"/>
  <c r="V196" i="20"/>
  <c r="W196" i="20"/>
  <c r="X196" i="20"/>
  <c r="Y196" i="20"/>
  <c r="Z196" i="20"/>
  <c r="AA196" i="20"/>
  <c r="A197" i="20"/>
  <c r="B197" i="20"/>
  <c r="C197" i="20"/>
  <c r="D197" i="20"/>
  <c r="E197" i="20"/>
  <c r="F197" i="20"/>
  <c r="G197" i="20"/>
  <c r="H197" i="20"/>
  <c r="I197" i="20"/>
  <c r="J197" i="20"/>
  <c r="K197" i="20"/>
  <c r="L197" i="20"/>
  <c r="M197" i="20"/>
  <c r="N197" i="20"/>
  <c r="O197" i="20"/>
  <c r="P197" i="20"/>
  <c r="Q197" i="20"/>
  <c r="R197" i="20"/>
  <c r="S197" i="20"/>
  <c r="T197" i="20"/>
  <c r="U197" i="20"/>
  <c r="V197" i="20"/>
  <c r="W197" i="20"/>
  <c r="X197" i="20"/>
  <c r="Y197" i="20"/>
  <c r="Z197" i="20"/>
  <c r="AA197" i="20"/>
  <c r="A198" i="20"/>
  <c r="B198" i="20"/>
  <c r="C198" i="20"/>
  <c r="D198" i="20"/>
  <c r="E198" i="20"/>
  <c r="F198" i="20"/>
  <c r="G198" i="20"/>
  <c r="H198" i="20"/>
  <c r="I198" i="20"/>
  <c r="J198" i="20"/>
  <c r="K198" i="20"/>
  <c r="L198" i="20"/>
  <c r="M198" i="20"/>
  <c r="N198" i="20"/>
  <c r="O198" i="20"/>
  <c r="P198" i="20"/>
  <c r="Q198" i="20"/>
  <c r="R198" i="20"/>
  <c r="S198" i="20"/>
  <c r="T198" i="20"/>
  <c r="U198" i="20"/>
  <c r="V198" i="20"/>
  <c r="W198" i="20"/>
  <c r="X198" i="20"/>
  <c r="Y198" i="20"/>
  <c r="Z198" i="20"/>
  <c r="AA198" i="20"/>
  <c r="A199" i="20"/>
  <c r="B199" i="20"/>
  <c r="C199" i="20"/>
  <c r="D199" i="20"/>
  <c r="E199" i="20"/>
  <c r="F199" i="20"/>
  <c r="G199" i="20"/>
  <c r="H199" i="20"/>
  <c r="I199" i="20"/>
  <c r="J199" i="20"/>
  <c r="K199" i="20"/>
  <c r="L199" i="20"/>
  <c r="M199" i="20"/>
  <c r="N199" i="20"/>
  <c r="O199" i="20"/>
  <c r="P199" i="20"/>
  <c r="Q199" i="20"/>
  <c r="R199" i="20"/>
  <c r="S199" i="20"/>
  <c r="T199" i="20"/>
  <c r="U199" i="20"/>
  <c r="V199" i="20"/>
  <c r="W199" i="20"/>
  <c r="X199" i="20"/>
  <c r="Y199" i="20"/>
  <c r="Z199" i="20"/>
  <c r="AA199" i="20"/>
  <c r="A200" i="20"/>
  <c r="B200" i="20"/>
  <c r="C200" i="20"/>
  <c r="D200" i="20"/>
  <c r="E200" i="20"/>
  <c r="F200" i="20"/>
  <c r="G200" i="20"/>
  <c r="H200" i="20"/>
  <c r="I200" i="20"/>
  <c r="J200" i="20"/>
  <c r="K200" i="20"/>
  <c r="L200" i="20"/>
  <c r="M200" i="20"/>
  <c r="N200" i="20"/>
  <c r="O200" i="20"/>
  <c r="P200" i="20"/>
  <c r="Q200" i="20"/>
  <c r="R200" i="20"/>
  <c r="S200" i="20"/>
  <c r="T200" i="20"/>
  <c r="U200" i="20"/>
  <c r="V200" i="20"/>
  <c r="W200" i="20"/>
  <c r="X200" i="20"/>
  <c r="Y200" i="20"/>
  <c r="Z200" i="20"/>
  <c r="AA200" i="20"/>
  <c r="A201" i="20"/>
  <c r="B201" i="20"/>
  <c r="C201" i="20"/>
  <c r="D201" i="20"/>
  <c r="E201" i="20"/>
  <c r="F201" i="20"/>
  <c r="G201" i="20"/>
  <c r="H201" i="20"/>
  <c r="I201" i="20"/>
  <c r="J201" i="20"/>
  <c r="K201" i="20"/>
  <c r="L201" i="20"/>
  <c r="M201" i="20"/>
  <c r="N201" i="20"/>
  <c r="O201" i="20"/>
  <c r="P201" i="20"/>
  <c r="Q201" i="20"/>
  <c r="R201" i="20"/>
  <c r="S201" i="20"/>
  <c r="T201" i="20"/>
  <c r="U201" i="20"/>
  <c r="V201" i="20"/>
  <c r="W201" i="20"/>
  <c r="X201" i="20"/>
  <c r="Y201" i="20"/>
  <c r="Z201" i="20"/>
  <c r="AA201" i="20"/>
  <c r="A202" i="20"/>
  <c r="B202" i="20"/>
  <c r="C202" i="20"/>
  <c r="D202" i="20"/>
  <c r="E202" i="20"/>
  <c r="F202" i="20"/>
  <c r="G202" i="20"/>
  <c r="H202" i="20"/>
  <c r="I202" i="20"/>
  <c r="J202" i="20"/>
  <c r="K202" i="20"/>
  <c r="L202" i="20"/>
  <c r="M202" i="20"/>
  <c r="N202" i="20"/>
  <c r="O202" i="20"/>
  <c r="P202" i="20"/>
  <c r="Q202" i="20"/>
  <c r="R202" i="20"/>
  <c r="S202" i="20"/>
  <c r="T202" i="20"/>
  <c r="U202" i="20"/>
  <c r="V202" i="20"/>
  <c r="W202" i="20"/>
  <c r="X202" i="20"/>
  <c r="Y202" i="20"/>
  <c r="Z202" i="20"/>
  <c r="AA202" i="20"/>
  <c r="A203" i="20"/>
  <c r="B203" i="20"/>
  <c r="C203" i="20"/>
  <c r="D203" i="20"/>
  <c r="E203" i="20"/>
  <c r="F203" i="20"/>
  <c r="G203" i="20"/>
  <c r="H203" i="20"/>
  <c r="I203" i="20"/>
  <c r="J203" i="20"/>
  <c r="K203" i="20"/>
  <c r="L203" i="20"/>
  <c r="M203" i="20"/>
  <c r="N203" i="20"/>
  <c r="O203" i="20"/>
  <c r="P203" i="20"/>
  <c r="Q203" i="20"/>
  <c r="R203" i="20"/>
  <c r="S203" i="20"/>
  <c r="T203" i="20"/>
  <c r="U203" i="20"/>
  <c r="V203" i="20"/>
  <c r="W203" i="20"/>
  <c r="X203" i="20"/>
  <c r="Y203" i="20"/>
  <c r="Z203" i="20"/>
  <c r="AA203" i="20"/>
  <c r="A204" i="20"/>
  <c r="B204" i="20"/>
  <c r="C204" i="20"/>
  <c r="D204" i="20"/>
  <c r="E204" i="20"/>
  <c r="F204" i="20"/>
  <c r="G204" i="20"/>
  <c r="H204" i="20"/>
  <c r="I204" i="20"/>
  <c r="J204" i="20"/>
  <c r="K204" i="20"/>
  <c r="L204" i="20"/>
  <c r="M204" i="20"/>
  <c r="N204" i="20"/>
  <c r="O204" i="20"/>
  <c r="P204" i="20"/>
  <c r="Q204" i="20"/>
  <c r="R204" i="20"/>
  <c r="S204" i="20"/>
  <c r="T204" i="20"/>
  <c r="U204" i="20"/>
  <c r="V204" i="20"/>
  <c r="W204" i="20"/>
  <c r="X204" i="20"/>
  <c r="Y204" i="20"/>
  <c r="Z204" i="20"/>
  <c r="AA204" i="20"/>
  <c r="A205" i="20"/>
  <c r="B205" i="20"/>
  <c r="C205" i="20"/>
  <c r="D205" i="20"/>
  <c r="E205" i="20"/>
  <c r="F205" i="20"/>
  <c r="G205" i="20"/>
  <c r="H205" i="20"/>
  <c r="I205" i="20"/>
  <c r="J205" i="20"/>
  <c r="K205" i="20"/>
  <c r="L205" i="20"/>
  <c r="M205" i="20"/>
  <c r="N205" i="20"/>
  <c r="O205" i="20"/>
  <c r="P205" i="20"/>
  <c r="Q205" i="20"/>
  <c r="R205" i="20"/>
  <c r="S205" i="20"/>
  <c r="T205" i="20"/>
  <c r="U205" i="20"/>
  <c r="V205" i="20"/>
  <c r="W205" i="20"/>
  <c r="X205" i="20"/>
  <c r="Y205" i="20"/>
  <c r="Z205" i="20"/>
  <c r="AA205" i="20"/>
  <c r="A206" i="20"/>
  <c r="B206" i="20"/>
  <c r="C206" i="20"/>
  <c r="D206" i="20"/>
  <c r="E206" i="20"/>
  <c r="F206" i="20"/>
  <c r="G206" i="20"/>
  <c r="H206" i="20"/>
  <c r="I206" i="20"/>
  <c r="J206" i="20"/>
  <c r="K206" i="20"/>
  <c r="L206" i="20"/>
  <c r="M206" i="20"/>
  <c r="N206" i="20"/>
  <c r="O206" i="20"/>
  <c r="P206" i="20"/>
  <c r="Q206" i="20"/>
  <c r="R206" i="20"/>
  <c r="S206" i="20"/>
  <c r="T206" i="20"/>
  <c r="U206" i="20"/>
  <c r="V206" i="20"/>
  <c r="W206" i="20"/>
  <c r="X206" i="20"/>
  <c r="Y206" i="20"/>
  <c r="Z206" i="20"/>
  <c r="AA206" i="20"/>
  <c r="A207" i="20"/>
  <c r="B207" i="20"/>
  <c r="C207" i="20"/>
  <c r="D207" i="20"/>
  <c r="E207" i="20"/>
  <c r="F207" i="20"/>
  <c r="G207" i="20"/>
  <c r="H207" i="20"/>
  <c r="I207" i="20"/>
  <c r="J207" i="20"/>
  <c r="K207" i="20"/>
  <c r="L207" i="20"/>
  <c r="M207" i="20"/>
  <c r="N207" i="20"/>
  <c r="O207" i="20"/>
  <c r="P207" i="20"/>
  <c r="Q207" i="20"/>
  <c r="R207" i="20"/>
  <c r="S207" i="20"/>
  <c r="T207" i="20"/>
  <c r="U207" i="20"/>
  <c r="V207" i="20"/>
  <c r="W207" i="20"/>
  <c r="X207" i="20"/>
  <c r="Y207" i="20"/>
  <c r="Z207" i="20"/>
  <c r="AA207" i="20"/>
  <c r="A208" i="20"/>
  <c r="B208" i="20"/>
  <c r="C208" i="20"/>
  <c r="D208" i="20"/>
  <c r="E208" i="20"/>
  <c r="F208" i="20"/>
  <c r="G208" i="20"/>
  <c r="H208" i="20"/>
  <c r="I208" i="20"/>
  <c r="J208" i="20"/>
  <c r="K208" i="20"/>
  <c r="L208" i="20"/>
  <c r="M208" i="20"/>
  <c r="N208" i="20"/>
  <c r="O208" i="20"/>
  <c r="P208" i="20"/>
  <c r="Q208" i="20"/>
  <c r="R208" i="20"/>
  <c r="S208" i="20"/>
  <c r="T208" i="20"/>
  <c r="U208" i="20"/>
  <c r="V208" i="20"/>
  <c r="W208" i="20"/>
  <c r="X208" i="20"/>
  <c r="Y208" i="20"/>
  <c r="Z208" i="20"/>
  <c r="AA208" i="20"/>
  <c r="A209" i="20"/>
  <c r="B209" i="20"/>
  <c r="C209" i="20"/>
  <c r="D209" i="20"/>
  <c r="E209" i="20"/>
  <c r="F209" i="20"/>
  <c r="G209" i="20"/>
  <c r="H209" i="20"/>
  <c r="I209" i="20"/>
  <c r="J209" i="20"/>
  <c r="K209" i="20"/>
  <c r="L209" i="20"/>
  <c r="M209" i="20"/>
  <c r="N209" i="20"/>
  <c r="O209" i="20"/>
  <c r="P209" i="20"/>
  <c r="Q209" i="20"/>
  <c r="R209" i="20"/>
  <c r="S209" i="20"/>
  <c r="T209" i="20"/>
  <c r="U209" i="20"/>
  <c r="V209" i="20"/>
  <c r="W209" i="20"/>
  <c r="X209" i="20"/>
  <c r="Y209" i="20"/>
  <c r="Z209" i="20"/>
  <c r="AA209" i="20"/>
  <c r="A210" i="20"/>
  <c r="B210" i="20"/>
  <c r="C210" i="20"/>
  <c r="D210" i="20"/>
  <c r="E210" i="20"/>
  <c r="F210" i="20"/>
  <c r="G210" i="20"/>
  <c r="H210" i="20"/>
  <c r="I210" i="20"/>
  <c r="J210" i="20"/>
  <c r="K210" i="20"/>
  <c r="L210" i="20"/>
  <c r="M210" i="20"/>
  <c r="N210" i="20"/>
  <c r="O210" i="20"/>
  <c r="P210" i="20"/>
  <c r="Q210" i="20"/>
  <c r="R210" i="20"/>
  <c r="S210" i="20"/>
  <c r="T210" i="20"/>
  <c r="U210" i="20"/>
  <c r="V210" i="20"/>
  <c r="W210" i="20"/>
  <c r="X210" i="20"/>
  <c r="Y210" i="20"/>
  <c r="Z210" i="20"/>
  <c r="AA210" i="20"/>
  <c r="A211" i="20"/>
  <c r="B211" i="20"/>
  <c r="C211" i="20"/>
  <c r="D211" i="20"/>
  <c r="E211" i="20"/>
  <c r="F211" i="20"/>
  <c r="G211" i="20"/>
  <c r="H211" i="20"/>
  <c r="I211" i="20"/>
  <c r="J211" i="20"/>
  <c r="K211" i="20"/>
  <c r="L211" i="20"/>
  <c r="M211" i="20"/>
  <c r="N211" i="20"/>
  <c r="O211" i="20"/>
  <c r="P211" i="20"/>
  <c r="Q211" i="20"/>
  <c r="R211" i="20"/>
  <c r="S211" i="20"/>
  <c r="T211" i="20"/>
  <c r="U211" i="20"/>
  <c r="V211" i="20"/>
  <c r="W211" i="20"/>
  <c r="X211" i="20"/>
  <c r="Y211" i="20"/>
  <c r="Z211" i="20"/>
  <c r="AA211" i="20"/>
  <c r="A212" i="20"/>
  <c r="B212" i="20"/>
  <c r="C212" i="20"/>
  <c r="D212" i="20"/>
  <c r="E212" i="20"/>
  <c r="F212" i="20"/>
  <c r="G212" i="20"/>
  <c r="H212" i="20"/>
  <c r="I212" i="20"/>
  <c r="J212" i="20"/>
  <c r="K212" i="20"/>
  <c r="L212" i="20"/>
  <c r="M212" i="20"/>
  <c r="N212" i="20"/>
  <c r="O212" i="20"/>
  <c r="P212" i="20"/>
  <c r="Q212" i="20"/>
  <c r="R212" i="20"/>
  <c r="S212" i="20"/>
  <c r="T212" i="20"/>
  <c r="U212" i="20"/>
  <c r="V212" i="20"/>
  <c r="W212" i="20"/>
  <c r="X212" i="20"/>
  <c r="Y212" i="20"/>
  <c r="Z212" i="20"/>
  <c r="AA212" i="20"/>
  <c r="A213" i="20"/>
  <c r="B213" i="20"/>
  <c r="C213" i="20"/>
  <c r="D213" i="20"/>
  <c r="E213" i="20"/>
  <c r="F213" i="20"/>
  <c r="G213" i="20"/>
  <c r="H213" i="20"/>
  <c r="I213" i="20"/>
  <c r="J213" i="20"/>
  <c r="K213" i="20"/>
  <c r="L213" i="20"/>
  <c r="M213" i="20"/>
  <c r="N213" i="20"/>
  <c r="O213" i="20"/>
  <c r="P213" i="20"/>
  <c r="Q213" i="20"/>
  <c r="R213" i="20"/>
  <c r="S213" i="20"/>
  <c r="T213" i="20"/>
  <c r="U213" i="20"/>
  <c r="V213" i="20"/>
  <c r="W213" i="20"/>
  <c r="X213" i="20"/>
  <c r="Y213" i="20"/>
  <c r="Z213" i="20"/>
  <c r="AA213" i="20"/>
  <c r="A214" i="20"/>
  <c r="B214" i="20"/>
  <c r="C214" i="20"/>
  <c r="D214" i="20"/>
  <c r="E214" i="20"/>
  <c r="F214" i="20"/>
  <c r="G214" i="20"/>
  <c r="H214" i="20"/>
  <c r="I214" i="20"/>
  <c r="J214" i="20"/>
  <c r="K214" i="20"/>
  <c r="L214" i="20"/>
  <c r="M214" i="20"/>
  <c r="N214" i="20"/>
  <c r="O214" i="20"/>
  <c r="P214" i="20"/>
  <c r="Q214" i="20"/>
  <c r="R214" i="20"/>
  <c r="S214" i="20"/>
  <c r="T214" i="20"/>
  <c r="U214" i="20"/>
  <c r="V214" i="20"/>
  <c r="W214" i="20"/>
  <c r="X214" i="20"/>
  <c r="Y214" i="20"/>
  <c r="Z214" i="20"/>
  <c r="AA214" i="20"/>
  <c r="A215" i="20"/>
  <c r="B215" i="20"/>
  <c r="C215" i="20"/>
  <c r="D215" i="20"/>
  <c r="E215" i="20"/>
  <c r="F215" i="20"/>
  <c r="G215" i="20"/>
  <c r="H215" i="20"/>
  <c r="I215" i="20"/>
  <c r="J215" i="20"/>
  <c r="K215" i="20"/>
  <c r="L215" i="20"/>
  <c r="M215" i="20"/>
  <c r="N215" i="20"/>
  <c r="O215" i="20"/>
  <c r="P215" i="20"/>
  <c r="Q215" i="20"/>
  <c r="R215" i="20"/>
  <c r="S215" i="20"/>
  <c r="T215" i="20"/>
  <c r="U215" i="20"/>
  <c r="V215" i="20"/>
  <c r="W215" i="20"/>
  <c r="X215" i="20"/>
  <c r="Y215" i="20"/>
  <c r="Z215" i="20"/>
  <c r="AA215" i="20"/>
  <c r="A216" i="20"/>
  <c r="B216" i="20"/>
  <c r="C216" i="20"/>
  <c r="D216" i="20"/>
  <c r="E216" i="20"/>
  <c r="F216" i="20"/>
  <c r="G216" i="20"/>
  <c r="H216" i="20"/>
  <c r="I216" i="20"/>
  <c r="J216" i="20"/>
  <c r="K216" i="20"/>
  <c r="L216" i="20"/>
  <c r="M216" i="20"/>
  <c r="N216" i="20"/>
  <c r="O216" i="20"/>
  <c r="P216" i="20"/>
  <c r="Q216" i="20"/>
  <c r="R216" i="20"/>
  <c r="S216" i="20"/>
  <c r="T216" i="20"/>
  <c r="U216" i="20"/>
  <c r="V216" i="20"/>
  <c r="W216" i="20"/>
  <c r="X216" i="20"/>
  <c r="Y216" i="20"/>
  <c r="Z216" i="20"/>
  <c r="AA216" i="20"/>
  <c r="A217" i="20"/>
  <c r="B217" i="20"/>
  <c r="C217" i="20"/>
  <c r="D217" i="20"/>
  <c r="E217" i="20"/>
  <c r="F217" i="20"/>
  <c r="G217" i="20"/>
  <c r="H217" i="20"/>
  <c r="I217" i="20"/>
  <c r="J217" i="20"/>
  <c r="K217" i="20"/>
  <c r="L217" i="20"/>
  <c r="M217" i="20"/>
  <c r="N217" i="20"/>
  <c r="O217" i="20"/>
  <c r="P217" i="20"/>
  <c r="Q217" i="20"/>
  <c r="R217" i="20"/>
  <c r="S217" i="20"/>
  <c r="T217" i="20"/>
  <c r="U217" i="20"/>
  <c r="V217" i="20"/>
  <c r="W217" i="20"/>
  <c r="X217" i="20"/>
  <c r="Y217" i="20"/>
  <c r="Z217" i="20"/>
  <c r="AA217" i="20"/>
  <c r="A110" i="20"/>
  <c r="B110" i="20"/>
  <c r="C110" i="20"/>
  <c r="D110" i="20"/>
  <c r="E110" i="20"/>
  <c r="F110" i="20"/>
  <c r="G110" i="20"/>
  <c r="H110" i="20"/>
  <c r="I110" i="20"/>
  <c r="J110" i="20"/>
  <c r="K110" i="20"/>
  <c r="L110" i="20"/>
  <c r="M110" i="20"/>
  <c r="N110" i="20"/>
  <c r="O110" i="20"/>
  <c r="P110" i="20"/>
  <c r="Q110" i="20"/>
  <c r="R110" i="20"/>
  <c r="S110" i="20"/>
  <c r="T110" i="20"/>
  <c r="U110" i="20"/>
  <c r="V110" i="20"/>
  <c r="W110" i="20"/>
  <c r="X110" i="20"/>
  <c r="Y110" i="20"/>
  <c r="Z110" i="20"/>
  <c r="AA110" i="20"/>
  <c r="A111" i="20"/>
  <c r="B111" i="20"/>
  <c r="C111" i="20"/>
  <c r="D111" i="20"/>
  <c r="E111" i="20"/>
  <c r="F111" i="20"/>
  <c r="G111" i="20"/>
  <c r="H111" i="20"/>
  <c r="I111" i="20"/>
  <c r="J111" i="20"/>
  <c r="K111" i="20"/>
  <c r="L111" i="20"/>
  <c r="M111" i="20"/>
  <c r="N111" i="20"/>
  <c r="O111" i="20"/>
  <c r="P111" i="20"/>
  <c r="Q111" i="20"/>
  <c r="R111" i="20"/>
  <c r="S111" i="20"/>
  <c r="T111" i="20"/>
  <c r="U111" i="20"/>
  <c r="V111" i="20"/>
  <c r="W111" i="20"/>
  <c r="X111" i="20"/>
  <c r="Y111" i="20"/>
  <c r="Z111" i="20"/>
  <c r="AA111" i="20"/>
  <c r="A112" i="20"/>
  <c r="B112" i="20"/>
  <c r="C112" i="20"/>
  <c r="D112" i="20"/>
  <c r="E112" i="20"/>
  <c r="F112" i="20"/>
  <c r="G112" i="20"/>
  <c r="H112" i="20"/>
  <c r="I112" i="20"/>
  <c r="J112" i="20"/>
  <c r="K112" i="20"/>
  <c r="L112" i="20"/>
  <c r="M112" i="20"/>
  <c r="N112" i="20"/>
  <c r="O112" i="20"/>
  <c r="P112" i="20"/>
  <c r="Q112" i="20"/>
  <c r="R112" i="20"/>
  <c r="S112" i="20"/>
  <c r="T112" i="20"/>
  <c r="U112" i="20"/>
  <c r="V112" i="20"/>
  <c r="W112" i="20"/>
  <c r="X112" i="20"/>
  <c r="Y112" i="20"/>
  <c r="Z112" i="20"/>
  <c r="AA112" i="20"/>
  <c r="A113" i="20"/>
  <c r="B113" i="20"/>
  <c r="C113" i="20"/>
  <c r="D113" i="20"/>
  <c r="E113" i="20"/>
  <c r="F113" i="20"/>
  <c r="G113" i="20"/>
  <c r="H113" i="20"/>
  <c r="I113" i="20"/>
  <c r="J113" i="20"/>
  <c r="K113" i="20"/>
  <c r="L113" i="20"/>
  <c r="M113" i="20"/>
  <c r="N113" i="20"/>
  <c r="O113" i="20"/>
  <c r="P113" i="20"/>
  <c r="Q113" i="20"/>
  <c r="R113" i="20"/>
  <c r="S113" i="20"/>
  <c r="T113" i="20"/>
  <c r="U113" i="20"/>
  <c r="V113" i="20"/>
  <c r="W113" i="20"/>
  <c r="X113" i="20"/>
  <c r="Y113" i="20"/>
  <c r="Z113" i="20"/>
  <c r="AA113" i="20"/>
  <c r="A114" i="20"/>
  <c r="B114" i="20"/>
  <c r="C114" i="20"/>
  <c r="D114" i="20"/>
  <c r="E114" i="20"/>
  <c r="F114" i="20"/>
  <c r="G114" i="20"/>
  <c r="H114" i="20"/>
  <c r="I114" i="20"/>
  <c r="J114" i="20"/>
  <c r="K114" i="20"/>
  <c r="L114" i="20"/>
  <c r="M114" i="20"/>
  <c r="N114" i="20"/>
  <c r="O114" i="20"/>
  <c r="P114" i="20"/>
  <c r="Q114" i="20"/>
  <c r="R114" i="20"/>
  <c r="S114" i="20"/>
  <c r="T114" i="20"/>
  <c r="U114" i="20"/>
  <c r="V114" i="20"/>
  <c r="W114" i="20"/>
  <c r="X114" i="20"/>
  <c r="Y114" i="20"/>
  <c r="Z114" i="20"/>
  <c r="AA114" i="20"/>
  <c r="A115" i="20"/>
  <c r="B115" i="20"/>
  <c r="C115" i="20"/>
  <c r="D115" i="20"/>
  <c r="E115" i="20"/>
  <c r="F115" i="20"/>
  <c r="G115" i="20"/>
  <c r="H115" i="20"/>
  <c r="I115" i="20"/>
  <c r="J115" i="20"/>
  <c r="K115" i="20"/>
  <c r="L115" i="20"/>
  <c r="M115" i="20"/>
  <c r="N115" i="20"/>
  <c r="O115" i="20"/>
  <c r="P115" i="20"/>
  <c r="Q115" i="20"/>
  <c r="R115" i="20"/>
  <c r="S115" i="20"/>
  <c r="T115" i="20"/>
  <c r="U115" i="20"/>
  <c r="V115" i="20"/>
  <c r="W115" i="20"/>
  <c r="X115" i="20"/>
  <c r="Y115" i="20"/>
  <c r="Z115" i="20"/>
  <c r="AA115" i="20"/>
  <c r="A116" i="20"/>
  <c r="B116" i="20"/>
  <c r="C116" i="20"/>
  <c r="D116" i="20"/>
  <c r="E116" i="20"/>
  <c r="F116" i="20"/>
  <c r="G116" i="20"/>
  <c r="H116" i="20"/>
  <c r="I116" i="20"/>
  <c r="J116" i="20"/>
  <c r="K116" i="20"/>
  <c r="L116" i="20"/>
  <c r="M116" i="20"/>
  <c r="N116" i="20"/>
  <c r="O116" i="20"/>
  <c r="P116" i="20"/>
  <c r="Q116" i="20"/>
  <c r="R116" i="20"/>
  <c r="S116" i="20"/>
  <c r="T116" i="20"/>
  <c r="U116" i="20"/>
  <c r="V116" i="20"/>
  <c r="W116" i="20"/>
  <c r="X116" i="20"/>
  <c r="Y116" i="20"/>
  <c r="Z116" i="20"/>
  <c r="AA116" i="20"/>
  <c r="A117" i="20"/>
  <c r="B117" i="20"/>
  <c r="C117" i="20"/>
  <c r="D117" i="20"/>
  <c r="E117" i="20"/>
  <c r="F117" i="20"/>
  <c r="G117" i="20"/>
  <c r="H117" i="20"/>
  <c r="I117" i="20"/>
  <c r="J117" i="20"/>
  <c r="K117" i="20"/>
  <c r="L117" i="20"/>
  <c r="M117" i="20"/>
  <c r="N117" i="20"/>
  <c r="O117" i="20"/>
  <c r="P117" i="20"/>
  <c r="Q117" i="20"/>
  <c r="R117" i="20"/>
  <c r="S117" i="20"/>
  <c r="T117" i="20"/>
  <c r="U117" i="20"/>
  <c r="V117" i="20"/>
  <c r="W117" i="20"/>
  <c r="X117" i="20"/>
  <c r="Y117" i="20"/>
  <c r="Z117" i="20"/>
  <c r="AA117" i="20"/>
  <c r="A118" i="20"/>
  <c r="B118" i="20"/>
  <c r="C118" i="20"/>
  <c r="D118" i="20"/>
  <c r="E118" i="20"/>
  <c r="F118" i="20"/>
  <c r="G118" i="20"/>
  <c r="H118" i="20"/>
  <c r="I118" i="20"/>
  <c r="J118" i="20"/>
  <c r="K118" i="20"/>
  <c r="L118" i="20"/>
  <c r="M118" i="20"/>
  <c r="N118" i="20"/>
  <c r="O118" i="20"/>
  <c r="P118" i="20"/>
  <c r="Q118" i="20"/>
  <c r="R118" i="20"/>
  <c r="S118" i="20"/>
  <c r="T118" i="20"/>
  <c r="U118" i="20"/>
  <c r="V118" i="20"/>
  <c r="W118" i="20"/>
  <c r="X118" i="20"/>
  <c r="Y118" i="20"/>
  <c r="Z118" i="20"/>
  <c r="AA118" i="20"/>
  <c r="A119" i="20"/>
  <c r="B119" i="20"/>
  <c r="C119" i="20"/>
  <c r="D119" i="20"/>
  <c r="E119" i="20"/>
  <c r="F119" i="20"/>
  <c r="G119" i="20"/>
  <c r="H119" i="20"/>
  <c r="I119" i="20"/>
  <c r="J119" i="20"/>
  <c r="K119" i="20"/>
  <c r="L119" i="20"/>
  <c r="M119" i="20"/>
  <c r="N119" i="20"/>
  <c r="O119" i="20"/>
  <c r="P119" i="20"/>
  <c r="Q119" i="20"/>
  <c r="R119" i="20"/>
  <c r="S119" i="20"/>
  <c r="T119" i="20"/>
  <c r="U119" i="20"/>
  <c r="V119" i="20"/>
  <c r="W119" i="20"/>
  <c r="X119" i="20"/>
  <c r="Y119" i="20"/>
  <c r="Z119" i="20"/>
  <c r="AA119" i="20"/>
  <c r="A120" i="20"/>
  <c r="B120" i="20"/>
  <c r="C120" i="20"/>
  <c r="D120" i="20"/>
  <c r="E120" i="20"/>
  <c r="F120" i="20"/>
  <c r="G120" i="20"/>
  <c r="H120" i="20"/>
  <c r="I120" i="20"/>
  <c r="J120" i="20"/>
  <c r="K120" i="20"/>
  <c r="L120" i="20"/>
  <c r="M120" i="20"/>
  <c r="N120" i="20"/>
  <c r="O120" i="20"/>
  <c r="P120" i="20"/>
  <c r="Q120" i="20"/>
  <c r="R120" i="20"/>
  <c r="S120" i="20"/>
  <c r="T120" i="20"/>
  <c r="U120" i="20"/>
  <c r="V120" i="20"/>
  <c r="W120" i="20"/>
  <c r="X120" i="20"/>
  <c r="Y120" i="20"/>
  <c r="Z120" i="20"/>
  <c r="AA120" i="20"/>
  <c r="A121" i="20"/>
  <c r="B121" i="20"/>
  <c r="C121" i="20"/>
  <c r="D121" i="20"/>
  <c r="E121" i="20"/>
  <c r="F121" i="20"/>
  <c r="G121" i="20"/>
  <c r="H121" i="20"/>
  <c r="I121" i="20"/>
  <c r="J121" i="20"/>
  <c r="K121" i="20"/>
  <c r="L121" i="20"/>
  <c r="M121" i="20"/>
  <c r="N121" i="20"/>
  <c r="O121" i="20"/>
  <c r="P121" i="20"/>
  <c r="Q121" i="20"/>
  <c r="R121" i="20"/>
  <c r="S121" i="20"/>
  <c r="T121" i="20"/>
  <c r="U121" i="20"/>
  <c r="V121" i="20"/>
  <c r="W121" i="20"/>
  <c r="X121" i="20"/>
  <c r="Y121" i="20"/>
  <c r="Z121" i="20"/>
  <c r="AA121" i="20"/>
  <c r="A122" i="20"/>
  <c r="B122" i="20"/>
  <c r="C122" i="20"/>
  <c r="D122" i="20"/>
  <c r="E122" i="20"/>
  <c r="F122" i="20"/>
  <c r="G122" i="20"/>
  <c r="H122" i="20"/>
  <c r="I122" i="20"/>
  <c r="J122" i="20"/>
  <c r="K122" i="20"/>
  <c r="L122" i="20"/>
  <c r="M122" i="20"/>
  <c r="N122" i="20"/>
  <c r="O122" i="20"/>
  <c r="P122" i="20"/>
  <c r="Q122" i="20"/>
  <c r="R122" i="20"/>
  <c r="S122" i="20"/>
  <c r="T122" i="20"/>
  <c r="U122" i="20"/>
  <c r="V122" i="20"/>
  <c r="W122" i="20"/>
  <c r="X122" i="20"/>
  <c r="Y122" i="20"/>
  <c r="Z122" i="20"/>
  <c r="AA122" i="20"/>
  <c r="A123" i="20"/>
  <c r="B123" i="20"/>
  <c r="C123" i="20"/>
  <c r="D123" i="20"/>
  <c r="E123" i="20"/>
  <c r="F123" i="20"/>
  <c r="G123" i="20"/>
  <c r="H123" i="20"/>
  <c r="I123" i="20"/>
  <c r="J123" i="20"/>
  <c r="K123" i="20"/>
  <c r="L123" i="20"/>
  <c r="M123" i="20"/>
  <c r="N123" i="20"/>
  <c r="O123" i="20"/>
  <c r="P123" i="20"/>
  <c r="Q123" i="20"/>
  <c r="R123" i="20"/>
  <c r="S123" i="20"/>
  <c r="T123" i="20"/>
  <c r="U123" i="20"/>
  <c r="V123" i="20"/>
  <c r="W123" i="20"/>
  <c r="X123" i="20"/>
  <c r="Y123" i="20"/>
  <c r="Z123" i="20"/>
  <c r="AA123" i="20"/>
  <c r="A124" i="20"/>
  <c r="B124" i="20"/>
  <c r="C124" i="20"/>
  <c r="D124" i="20"/>
  <c r="E124" i="20"/>
  <c r="F124" i="20"/>
  <c r="G124" i="20"/>
  <c r="H124" i="20"/>
  <c r="I124" i="20"/>
  <c r="J124" i="20"/>
  <c r="K124" i="20"/>
  <c r="L124" i="20"/>
  <c r="M124" i="20"/>
  <c r="N124" i="20"/>
  <c r="O124" i="20"/>
  <c r="P124" i="20"/>
  <c r="Q124" i="20"/>
  <c r="R124" i="20"/>
  <c r="S124" i="20"/>
  <c r="T124" i="20"/>
  <c r="U124" i="20"/>
  <c r="V124" i="20"/>
  <c r="W124" i="20"/>
  <c r="X124" i="20"/>
  <c r="Y124" i="20"/>
  <c r="Z124" i="20"/>
  <c r="AA124" i="20"/>
  <c r="A125" i="20"/>
  <c r="B125" i="20"/>
  <c r="C125" i="20"/>
  <c r="D125" i="20"/>
  <c r="E125" i="20"/>
  <c r="F125" i="20"/>
  <c r="G125" i="20"/>
  <c r="H125" i="20"/>
  <c r="I125" i="20"/>
  <c r="J125" i="20"/>
  <c r="K125" i="20"/>
  <c r="L125" i="20"/>
  <c r="M125" i="20"/>
  <c r="N125" i="20"/>
  <c r="O125" i="20"/>
  <c r="P125" i="20"/>
  <c r="Q125" i="20"/>
  <c r="R125" i="20"/>
  <c r="S125" i="20"/>
  <c r="T125" i="20"/>
  <c r="U125" i="20"/>
  <c r="V125" i="20"/>
  <c r="W125" i="20"/>
  <c r="X125" i="20"/>
  <c r="Y125" i="20"/>
  <c r="Z125" i="20"/>
  <c r="AA125" i="20"/>
  <c r="A126" i="20"/>
  <c r="B126" i="20"/>
  <c r="C126" i="20"/>
  <c r="D126" i="20"/>
  <c r="E126" i="20"/>
  <c r="F126" i="20"/>
  <c r="G126" i="20"/>
  <c r="H126" i="20"/>
  <c r="I126" i="20"/>
  <c r="J126" i="20"/>
  <c r="K126" i="20"/>
  <c r="L126" i="20"/>
  <c r="M126" i="20"/>
  <c r="N126" i="20"/>
  <c r="O126" i="20"/>
  <c r="P126" i="20"/>
  <c r="Q126" i="20"/>
  <c r="R126" i="20"/>
  <c r="S126" i="20"/>
  <c r="T126" i="20"/>
  <c r="U126" i="20"/>
  <c r="V126" i="20"/>
  <c r="W126" i="20"/>
  <c r="X126" i="20"/>
  <c r="Y126" i="20"/>
  <c r="Z126" i="20"/>
  <c r="AA126" i="20"/>
  <c r="A127" i="20"/>
  <c r="B127" i="20"/>
  <c r="C127" i="20"/>
  <c r="D127" i="20"/>
  <c r="E127" i="20"/>
  <c r="F127" i="20"/>
  <c r="G127" i="20"/>
  <c r="H127" i="20"/>
  <c r="I127" i="20"/>
  <c r="J127" i="20"/>
  <c r="K127" i="20"/>
  <c r="L127" i="20"/>
  <c r="M127" i="20"/>
  <c r="N127" i="20"/>
  <c r="O127" i="20"/>
  <c r="P127" i="20"/>
  <c r="Q127" i="20"/>
  <c r="R127" i="20"/>
  <c r="S127" i="20"/>
  <c r="T127" i="20"/>
  <c r="U127" i="20"/>
  <c r="V127" i="20"/>
  <c r="W127" i="20"/>
  <c r="X127" i="20"/>
  <c r="Y127" i="20"/>
  <c r="Z127" i="20"/>
  <c r="AA127" i="20"/>
  <c r="A128" i="20"/>
  <c r="B128" i="20"/>
  <c r="C128" i="20"/>
  <c r="D128" i="20"/>
  <c r="E128" i="20"/>
  <c r="F128" i="20"/>
  <c r="G128" i="20"/>
  <c r="H128" i="20"/>
  <c r="I128" i="20"/>
  <c r="J128" i="20"/>
  <c r="K128" i="20"/>
  <c r="L128" i="20"/>
  <c r="M128" i="20"/>
  <c r="N128" i="20"/>
  <c r="O128" i="20"/>
  <c r="P128" i="20"/>
  <c r="Q128" i="20"/>
  <c r="R128" i="20"/>
  <c r="S128" i="20"/>
  <c r="T128" i="20"/>
  <c r="U128" i="20"/>
  <c r="V128" i="20"/>
  <c r="W128" i="20"/>
  <c r="X128" i="20"/>
  <c r="Y128" i="20"/>
  <c r="Z128" i="20"/>
  <c r="AA128" i="20"/>
  <c r="A129" i="20"/>
  <c r="B129" i="20"/>
  <c r="C129" i="20"/>
  <c r="D129" i="20"/>
  <c r="E129" i="20"/>
  <c r="F129" i="20"/>
  <c r="G129" i="20"/>
  <c r="H129" i="20"/>
  <c r="I129" i="20"/>
  <c r="J129" i="20"/>
  <c r="K129" i="20"/>
  <c r="L129" i="20"/>
  <c r="M129" i="20"/>
  <c r="N129" i="20"/>
  <c r="O129" i="20"/>
  <c r="P129" i="20"/>
  <c r="Q129" i="20"/>
  <c r="R129" i="20"/>
  <c r="S129" i="20"/>
  <c r="T129" i="20"/>
  <c r="U129" i="20"/>
  <c r="V129" i="20"/>
  <c r="W129" i="20"/>
  <c r="X129" i="20"/>
  <c r="Y129" i="20"/>
  <c r="Z129" i="20"/>
  <c r="AA129" i="20"/>
  <c r="A130" i="20"/>
  <c r="B130" i="20"/>
  <c r="C130" i="20"/>
  <c r="D130" i="20"/>
  <c r="E130" i="20"/>
  <c r="F130" i="20"/>
  <c r="G130" i="20"/>
  <c r="H130" i="20"/>
  <c r="I130" i="20"/>
  <c r="J130" i="20"/>
  <c r="K130" i="20"/>
  <c r="L130" i="20"/>
  <c r="M130" i="20"/>
  <c r="N130" i="20"/>
  <c r="O130" i="20"/>
  <c r="P130" i="20"/>
  <c r="Q130" i="20"/>
  <c r="R130" i="20"/>
  <c r="S130" i="20"/>
  <c r="T130" i="20"/>
  <c r="U130" i="20"/>
  <c r="V130" i="20"/>
  <c r="W130" i="20"/>
  <c r="X130" i="20"/>
  <c r="Y130" i="20"/>
  <c r="Z130" i="20"/>
  <c r="AA130" i="20"/>
  <c r="A131" i="20"/>
  <c r="B131" i="20"/>
  <c r="C131" i="20"/>
  <c r="D131" i="20"/>
  <c r="E131" i="20"/>
  <c r="F131" i="20"/>
  <c r="G131" i="20"/>
  <c r="H131" i="20"/>
  <c r="I131" i="20"/>
  <c r="J131" i="20"/>
  <c r="K131" i="20"/>
  <c r="L131" i="20"/>
  <c r="M131" i="20"/>
  <c r="N131" i="20"/>
  <c r="O131" i="20"/>
  <c r="P131" i="20"/>
  <c r="Q131" i="20"/>
  <c r="R131" i="20"/>
  <c r="S131" i="20"/>
  <c r="T131" i="20"/>
  <c r="U131" i="20"/>
  <c r="V131" i="20"/>
  <c r="W131" i="20"/>
  <c r="X131" i="20"/>
  <c r="Y131" i="20"/>
  <c r="Z131" i="20"/>
  <c r="AA131" i="20"/>
  <c r="A132" i="20"/>
  <c r="B132" i="20"/>
  <c r="C132" i="20"/>
  <c r="D132" i="20"/>
  <c r="E132" i="20"/>
  <c r="F132" i="20"/>
  <c r="G132" i="20"/>
  <c r="H132" i="20"/>
  <c r="I132" i="20"/>
  <c r="J132" i="20"/>
  <c r="K132" i="20"/>
  <c r="L132" i="20"/>
  <c r="M132" i="20"/>
  <c r="N132" i="20"/>
  <c r="O132" i="20"/>
  <c r="P132" i="20"/>
  <c r="Q132" i="20"/>
  <c r="R132" i="20"/>
  <c r="S132" i="20"/>
  <c r="T132" i="20"/>
  <c r="U132" i="20"/>
  <c r="V132" i="20"/>
  <c r="W132" i="20"/>
  <c r="X132" i="20"/>
  <c r="Y132" i="20"/>
  <c r="Z132" i="20"/>
  <c r="AA132" i="20"/>
  <c r="A133" i="20"/>
  <c r="B133" i="20"/>
  <c r="C133" i="20"/>
  <c r="D133" i="20"/>
  <c r="E133" i="20"/>
  <c r="F133" i="20"/>
  <c r="G133" i="20"/>
  <c r="H133" i="20"/>
  <c r="I133" i="20"/>
  <c r="J133" i="20"/>
  <c r="K133" i="20"/>
  <c r="L133" i="20"/>
  <c r="M133" i="20"/>
  <c r="N133" i="20"/>
  <c r="O133" i="20"/>
  <c r="P133" i="20"/>
  <c r="Q133" i="20"/>
  <c r="R133" i="20"/>
  <c r="S133" i="20"/>
  <c r="T133" i="20"/>
  <c r="U133" i="20"/>
  <c r="V133" i="20"/>
  <c r="W133" i="20"/>
  <c r="X133" i="20"/>
  <c r="Y133" i="20"/>
  <c r="Z133" i="20"/>
  <c r="AA133" i="20"/>
  <c r="A134" i="20"/>
  <c r="B134" i="20"/>
  <c r="C134" i="20"/>
  <c r="D134" i="20"/>
  <c r="E134" i="20"/>
  <c r="F134" i="20"/>
  <c r="G134" i="20"/>
  <c r="H134" i="20"/>
  <c r="I134" i="20"/>
  <c r="J134" i="20"/>
  <c r="K134" i="20"/>
  <c r="L134" i="20"/>
  <c r="M134" i="20"/>
  <c r="N134" i="20"/>
  <c r="O134" i="20"/>
  <c r="P134" i="20"/>
  <c r="Q134" i="20"/>
  <c r="R134" i="20"/>
  <c r="S134" i="20"/>
  <c r="T134" i="20"/>
  <c r="U134" i="20"/>
  <c r="V134" i="20"/>
  <c r="W134" i="20"/>
  <c r="X134" i="20"/>
  <c r="Y134" i="20"/>
  <c r="Z134" i="20"/>
  <c r="AA134" i="20"/>
  <c r="A135" i="20"/>
  <c r="B135" i="20"/>
  <c r="C135" i="20"/>
  <c r="D135" i="20"/>
  <c r="E135" i="20"/>
  <c r="F135" i="20"/>
  <c r="G135" i="20"/>
  <c r="H135" i="20"/>
  <c r="I135" i="20"/>
  <c r="J135" i="20"/>
  <c r="K135" i="20"/>
  <c r="L135" i="20"/>
  <c r="M135" i="20"/>
  <c r="N135" i="20"/>
  <c r="O135" i="20"/>
  <c r="P135" i="20"/>
  <c r="Q135" i="20"/>
  <c r="R135" i="20"/>
  <c r="S135" i="20"/>
  <c r="T135" i="20"/>
  <c r="U135" i="20"/>
  <c r="V135" i="20"/>
  <c r="W135" i="20"/>
  <c r="X135" i="20"/>
  <c r="Y135" i="20"/>
  <c r="Z135" i="20"/>
  <c r="AA135" i="20"/>
  <c r="A136" i="20"/>
  <c r="B136" i="20"/>
  <c r="C136" i="20"/>
  <c r="D136" i="20"/>
  <c r="E136" i="20"/>
  <c r="F136" i="20"/>
  <c r="G136" i="20"/>
  <c r="H136" i="20"/>
  <c r="I136" i="20"/>
  <c r="J136" i="20"/>
  <c r="K136" i="20"/>
  <c r="L136" i="20"/>
  <c r="M136" i="20"/>
  <c r="N136" i="20"/>
  <c r="O136" i="20"/>
  <c r="P136" i="20"/>
  <c r="Q136" i="20"/>
  <c r="R136" i="20"/>
  <c r="S136" i="20"/>
  <c r="T136" i="20"/>
  <c r="U136" i="20"/>
  <c r="V136" i="20"/>
  <c r="W136" i="20"/>
  <c r="X136" i="20"/>
  <c r="Y136" i="20"/>
  <c r="Z136" i="20"/>
  <c r="AA136" i="20"/>
  <c r="A137" i="20"/>
  <c r="B137" i="20"/>
  <c r="C137" i="20"/>
  <c r="D137" i="20"/>
  <c r="E137" i="20"/>
  <c r="F137" i="20"/>
  <c r="G137" i="20"/>
  <c r="H137" i="20"/>
  <c r="I137" i="20"/>
  <c r="J137" i="20"/>
  <c r="K137" i="20"/>
  <c r="L137" i="20"/>
  <c r="M137" i="20"/>
  <c r="N137" i="20"/>
  <c r="O137" i="20"/>
  <c r="P137" i="20"/>
  <c r="Q137" i="20"/>
  <c r="R137" i="20"/>
  <c r="S137" i="20"/>
  <c r="T137" i="20"/>
  <c r="U137" i="20"/>
  <c r="V137" i="20"/>
  <c r="W137" i="20"/>
  <c r="X137" i="20"/>
  <c r="Y137" i="20"/>
  <c r="Z137" i="20"/>
  <c r="AA137" i="20"/>
  <c r="A138" i="20"/>
  <c r="B138" i="20"/>
  <c r="C138" i="20"/>
  <c r="D138" i="20"/>
  <c r="E138" i="20"/>
  <c r="F138" i="20"/>
  <c r="G138" i="20"/>
  <c r="H138" i="20"/>
  <c r="I138" i="20"/>
  <c r="J138" i="20"/>
  <c r="K138" i="20"/>
  <c r="L138" i="20"/>
  <c r="M138" i="20"/>
  <c r="N138" i="20"/>
  <c r="O138" i="20"/>
  <c r="P138" i="20"/>
  <c r="Q138" i="20"/>
  <c r="R138" i="20"/>
  <c r="S138" i="20"/>
  <c r="T138" i="20"/>
  <c r="U138" i="20"/>
  <c r="V138" i="20"/>
  <c r="W138" i="20"/>
  <c r="X138" i="20"/>
  <c r="Y138" i="20"/>
  <c r="Z138" i="20"/>
  <c r="AA138" i="20"/>
  <c r="A139" i="20"/>
  <c r="B139" i="20"/>
  <c r="C139" i="20"/>
  <c r="D139" i="20"/>
  <c r="E139" i="20"/>
  <c r="F139" i="20"/>
  <c r="G139" i="20"/>
  <c r="H139" i="20"/>
  <c r="I139" i="20"/>
  <c r="J139" i="20"/>
  <c r="K139" i="20"/>
  <c r="L139" i="20"/>
  <c r="M139" i="20"/>
  <c r="N139" i="20"/>
  <c r="O139" i="20"/>
  <c r="P139" i="20"/>
  <c r="Q139" i="20"/>
  <c r="R139" i="20"/>
  <c r="S139" i="20"/>
  <c r="T139" i="20"/>
  <c r="U139" i="20"/>
  <c r="V139" i="20"/>
  <c r="W139" i="20"/>
  <c r="X139" i="20"/>
  <c r="Y139" i="20"/>
  <c r="Z139" i="20"/>
  <c r="AA139" i="20"/>
  <c r="A140" i="20"/>
  <c r="B140" i="20"/>
  <c r="C140" i="20"/>
  <c r="D140" i="20"/>
  <c r="E140" i="20"/>
  <c r="F140" i="20"/>
  <c r="G140" i="20"/>
  <c r="H140" i="20"/>
  <c r="I140" i="20"/>
  <c r="J140" i="20"/>
  <c r="K140" i="20"/>
  <c r="L140" i="20"/>
  <c r="M140" i="20"/>
  <c r="N140" i="20"/>
  <c r="O140" i="20"/>
  <c r="P140" i="20"/>
  <c r="Q140" i="20"/>
  <c r="R140" i="20"/>
  <c r="S140" i="20"/>
  <c r="T140" i="20"/>
  <c r="U140" i="20"/>
  <c r="V140" i="20"/>
  <c r="W140" i="20"/>
  <c r="X140" i="20"/>
  <c r="Y140" i="20"/>
  <c r="Z140" i="20"/>
  <c r="AA140" i="20"/>
  <c r="A141" i="20"/>
  <c r="B141" i="20"/>
  <c r="C141" i="20"/>
  <c r="D141" i="20"/>
  <c r="E141" i="20"/>
  <c r="F141" i="20"/>
  <c r="G141" i="20"/>
  <c r="H141" i="20"/>
  <c r="I141" i="20"/>
  <c r="J141" i="20"/>
  <c r="K141" i="20"/>
  <c r="L141" i="20"/>
  <c r="M141" i="20"/>
  <c r="N141" i="20"/>
  <c r="O141" i="20"/>
  <c r="P141" i="20"/>
  <c r="Q141" i="20"/>
  <c r="R141" i="20"/>
  <c r="S141" i="20"/>
  <c r="T141" i="20"/>
  <c r="U141" i="20"/>
  <c r="V141" i="20"/>
  <c r="W141" i="20"/>
  <c r="X141" i="20"/>
  <c r="Y141" i="20"/>
  <c r="Z141" i="20"/>
  <c r="AA141" i="20"/>
  <c r="A142" i="20"/>
  <c r="B142" i="20"/>
  <c r="C142" i="20"/>
  <c r="D142" i="20"/>
  <c r="E142" i="20"/>
  <c r="F142" i="20"/>
  <c r="G142" i="20"/>
  <c r="H142" i="20"/>
  <c r="I142" i="20"/>
  <c r="J142" i="20"/>
  <c r="K142" i="20"/>
  <c r="L142" i="20"/>
  <c r="M142" i="20"/>
  <c r="N142" i="20"/>
  <c r="O142" i="20"/>
  <c r="P142" i="20"/>
  <c r="Q142" i="20"/>
  <c r="R142" i="20"/>
  <c r="S142" i="20"/>
  <c r="T142" i="20"/>
  <c r="U142" i="20"/>
  <c r="V142" i="20"/>
  <c r="W142" i="20"/>
  <c r="X142" i="20"/>
  <c r="Y142" i="20"/>
  <c r="Z142" i="20"/>
  <c r="AA142" i="20"/>
  <c r="A143" i="20"/>
  <c r="B143" i="20"/>
  <c r="C143" i="20"/>
  <c r="D143" i="20"/>
  <c r="E143" i="20"/>
  <c r="F143" i="20"/>
  <c r="G143" i="20"/>
  <c r="H143" i="20"/>
  <c r="I143" i="20"/>
  <c r="J143" i="20"/>
  <c r="K143" i="20"/>
  <c r="L143" i="20"/>
  <c r="M143" i="20"/>
  <c r="N143" i="20"/>
  <c r="O143" i="20"/>
  <c r="P143" i="20"/>
  <c r="Q143" i="20"/>
  <c r="R143" i="20"/>
  <c r="S143" i="20"/>
  <c r="T143" i="20"/>
  <c r="U143" i="20"/>
  <c r="V143" i="20"/>
  <c r="W143" i="20"/>
  <c r="X143" i="20"/>
  <c r="Y143" i="20"/>
  <c r="Z143" i="20"/>
  <c r="AA143" i="20"/>
  <c r="A144" i="20"/>
  <c r="B144" i="20"/>
  <c r="C144" i="20"/>
  <c r="D144" i="20"/>
  <c r="E144" i="20"/>
  <c r="F144" i="20"/>
  <c r="G144" i="20"/>
  <c r="H144" i="20"/>
  <c r="I144" i="20"/>
  <c r="J144" i="20"/>
  <c r="K144" i="20"/>
  <c r="L144" i="20"/>
  <c r="M144" i="20"/>
  <c r="N144" i="20"/>
  <c r="O144" i="20"/>
  <c r="P144" i="20"/>
  <c r="Q144" i="20"/>
  <c r="R144" i="20"/>
  <c r="S144" i="20"/>
  <c r="T144" i="20"/>
  <c r="U144" i="20"/>
  <c r="V144" i="20"/>
  <c r="W144" i="20"/>
  <c r="X144" i="20"/>
  <c r="Y144" i="20"/>
  <c r="Z144" i="20"/>
  <c r="AA144" i="20"/>
  <c r="A145" i="20"/>
  <c r="B145" i="20"/>
  <c r="C145" i="20"/>
  <c r="D145" i="20"/>
  <c r="E145" i="20"/>
  <c r="F145" i="20"/>
  <c r="G145" i="20"/>
  <c r="H145" i="20"/>
  <c r="I145" i="20"/>
  <c r="J145" i="20"/>
  <c r="K145" i="20"/>
  <c r="L145" i="20"/>
  <c r="M145" i="20"/>
  <c r="N145" i="20"/>
  <c r="O145" i="20"/>
  <c r="P145" i="20"/>
  <c r="Q145" i="20"/>
  <c r="R145" i="20"/>
  <c r="S145" i="20"/>
  <c r="T145" i="20"/>
  <c r="U145" i="20"/>
  <c r="V145" i="20"/>
  <c r="W145" i="20"/>
  <c r="X145" i="20"/>
  <c r="Y145" i="20"/>
  <c r="Z145" i="20"/>
  <c r="AA145" i="20"/>
  <c r="A146" i="20"/>
  <c r="B146" i="20"/>
  <c r="C146" i="20"/>
  <c r="D146" i="20"/>
  <c r="E146" i="20"/>
  <c r="F146" i="20"/>
  <c r="G146" i="20"/>
  <c r="H146" i="20"/>
  <c r="I146" i="20"/>
  <c r="J146" i="20"/>
  <c r="K146" i="20"/>
  <c r="L146" i="20"/>
  <c r="M146" i="20"/>
  <c r="N146" i="20"/>
  <c r="O146" i="20"/>
  <c r="P146" i="20"/>
  <c r="Q146" i="20"/>
  <c r="R146" i="20"/>
  <c r="S146" i="20"/>
  <c r="T146" i="20"/>
  <c r="U146" i="20"/>
  <c r="V146" i="20"/>
  <c r="W146" i="20"/>
  <c r="X146" i="20"/>
  <c r="Y146" i="20"/>
  <c r="Z146" i="20"/>
  <c r="AA146" i="20"/>
  <c r="A147" i="20"/>
  <c r="B147" i="20"/>
  <c r="C147" i="20"/>
  <c r="D147" i="20"/>
  <c r="E147" i="20"/>
  <c r="F147" i="20"/>
  <c r="G147" i="20"/>
  <c r="H147" i="20"/>
  <c r="I147" i="20"/>
  <c r="J147" i="20"/>
  <c r="K147" i="20"/>
  <c r="L147" i="20"/>
  <c r="M147" i="20"/>
  <c r="N147" i="20"/>
  <c r="O147" i="20"/>
  <c r="P147" i="20"/>
  <c r="Q147" i="20"/>
  <c r="R147" i="20"/>
  <c r="S147" i="20"/>
  <c r="T147" i="20"/>
  <c r="U147" i="20"/>
  <c r="V147" i="20"/>
  <c r="W147" i="20"/>
  <c r="X147" i="20"/>
  <c r="Y147" i="20"/>
  <c r="Z147" i="20"/>
  <c r="AA147" i="20"/>
  <c r="A148" i="20"/>
  <c r="B148" i="20"/>
  <c r="C148" i="20"/>
  <c r="D148" i="20"/>
  <c r="E148" i="20"/>
  <c r="F148" i="20"/>
  <c r="G148" i="20"/>
  <c r="H148" i="20"/>
  <c r="I148" i="20"/>
  <c r="J148" i="20"/>
  <c r="K148" i="20"/>
  <c r="L148" i="20"/>
  <c r="M148" i="20"/>
  <c r="N148" i="20"/>
  <c r="O148" i="20"/>
  <c r="P148" i="20"/>
  <c r="Q148" i="20"/>
  <c r="R148" i="20"/>
  <c r="S148" i="20"/>
  <c r="T148" i="20"/>
  <c r="U148" i="20"/>
  <c r="V148" i="20"/>
  <c r="W148" i="20"/>
  <c r="X148" i="20"/>
  <c r="Y148" i="20"/>
  <c r="Z148" i="20"/>
  <c r="AA148" i="20"/>
  <c r="A149" i="20"/>
  <c r="B149" i="20"/>
  <c r="C149" i="20"/>
  <c r="D149" i="20"/>
  <c r="E149" i="20"/>
  <c r="F149" i="20"/>
  <c r="G149" i="20"/>
  <c r="H149" i="20"/>
  <c r="I149" i="20"/>
  <c r="J149" i="20"/>
  <c r="K149" i="20"/>
  <c r="L149" i="20"/>
  <c r="M149" i="20"/>
  <c r="N149" i="20"/>
  <c r="O149" i="20"/>
  <c r="P149" i="20"/>
  <c r="Q149" i="20"/>
  <c r="R149" i="20"/>
  <c r="S149" i="20"/>
  <c r="T149" i="20"/>
  <c r="U149" i="20"/>
  <c r="V149" i="20"/>
  <c r="W149" i="20"/>
  <c r="X149" i="20"/>
  <c r="Y149" i="20"/>
  <c r="Z149" i="20"/>
  <c r="AA149" i="20"/>
  <c r="A150" i="20"/>
  <c r="B150" i="20"/>
  <c r="C150" i="20"/>
  <c r="D150" i="20"/>
  <c r="E150" i="20"/>
  <c r="F150" i="20"/>
  <c r="G150" i="20"/>
  <c r="H150" i="20"/>
  <c r="I150" i="20"/>
  <c r="J150" i="20"/>
  <c r="K150" i="20"/>
  <c r="L150" i="20"/>
  <c r="M150" i="20"/>
  <c r="N150" i="20"/>
  <c r="O150" i="20"/>
  <c r="P150" i="20"/>
  <c r="Q150" i="20"/>
  <c r="R150" i="20"/>
  <c r="S150" i="20"/>
  <c r="T150" i="20"/>
  <c r="U150" i="20"/>
  <c r="V150" i="20"/>
  <c r="W150" i="20"/>
  <c r="X150" i="20"/>
  <c r="Y150" i="20"/>
  <c r="Z150" i="20"/>
  <c r="AA150" i="20"/>
  <c r="A151" i="20"/>
  <c r="B151" i="20"/>
  <c r="C151" i="20"/>
  <c r="D151" i="20"/>
  <c r="E151" i="20"/>
  <c r="F151" i="20"/>
  <c r="G151" i="20"/>
  <c r="H151" i="20"/>
  <c r="I151" i="20"/>
  <c r="J151" i="20"/>
  <c r="K151" i="20"/>
  <c r="L151" i="20"/>
  <c r="M151" i="20"/>
  <c r="N151" i="20"/>
  <c r="O151" i="20"/>
  <c r="P151" i="20"/>
  <c r="Q151" i="20"/>
  <c r="R151" i="20"/>
  <c r="S151" i="20"/>
  <c r="T151" i="20"/>
  <c r="U151" i="20"/>
  <c r="V151" i="20"/>
  <c r="W151" i="20"/>
  <c r="X151" i="20"/>
  <c r="Y151" i="20"/>
  <c r="Z151" i="20"/>
  <c r="AA151" i="20"/>
  <c r="A152" i="20"/>
  <c r="B152" i="20"/>
  <c r="C152" i="20"/>
  <c r="D152" i="20"/>
  <c r="E152" i="20"/>
  <c r="F152" i="20"/>
  <c r="G152" i="20"/>
  <c r="H152" i="20"/>
  <c r="I152" i="20"/>
  <c r="J152" i="20"/>
  <c r="K152" i="20"/>
  <c r="L152" i="20"/>
  <c r="M152" i="20"/>
  <c r="N152" i="20"/>
  <c r="O152" i="20"/>
  <c r="P152" i="20"/>
  <c r="Q152" i="20"/>
  <c r="R152" i="20"/>
  <c r="S152" i="20"/>
  <c r="T152" i="20"/>
  <c r="U152" i="20"/>
  <c r="V152" i="20"/>
  <c r="W152" i="20"/>
  <c r="X152" i="20"/>
  <c r="Y152" i="20"/>
  <c r="Z152" i="20"/>
  <c r="AA152" i="20"/>
  <c r="A153" i="20"/>
  <c r="B153" i="20"/>
  <c r="C153" i="20"/>
  <c r="D153" i="20"/>
  <c r="E153" i="20"/>
  <c r="F153" i="20"/>
  <c r="G153" i="20"/>
  <c r="H153" i="20"/>
  <c r="I153" i="20"/>
  <c r="J153" i="20"/>
  <c r="K153" i="20"/>
  <c r="L153" i="20"/>
  <c r="M153" i="20"/>
  <c r="N153" i="20"/>
  <c r="O153" i="20"/>
  <c r="P153" i="20"/>
  <c r="Q153" i="20"/>
  <c r="R153" i="20"/>
  <c r="S153" i="20"/>
  <c r="T153" i="20"/>
  <c r="U153" i="20"/>
  <c r="V153" i="20"/>
  <c r="W153" i="20"/>
  <c r="X153" i="20"/>
  <c r="Y153" i="20"/>
  <c r="Z153" i="20"/>
  <c r="AA153" i="20"/>
  <c r="A154" i="20"/>
  <c r="B154" i="20"/>
  <c r="C154" i="20"/>
  <c r="D154" i="20"/>
  <c r="E154" i="20"/>
  <c r="F154" i="20"/>
  <c r="G154" i="20"/>
  <c r="H154" i="20"/>
  <c r="I154" i="20"/>
  <c r="J154" i="20"/>
  <c r="K154" i="20"/>
  <c r="L154" i="20"/>
  <c r="M154" i="20"/>
  <c r="N154" i="20"/>
  <c r="O154" i="20"/>
  <c r="P154" i="20"/>
  <c r="Q154" i="20"/>
  <c r="R154" i="20"/>
  <c r="S154" i="20"/>
  <c r="T154" i="20"/>
  <c r="U154" i="20"/>
  <c r="V154" i="20"/>
  <c r="W154" i="20"/>
  <c r="X154" i="20"/>
  <c r="Y154" i="20"/>
  <c r="Z154" i="20"/>
  <c r="AA154" i="20"/>
  <c r="A155" i="20"/>
  <c r="B155" i="20"/>
  <c r="C155" i="20"/>
  <c r="D155" i="20"/>
  <c r="E155" i="20"/>
  <c r="F155" i="20"/>
  <c r="G155" i="20"/>
  <c r="H155" i="20"/>
  <c r="I155" i="20"/>
  <c r="J155" i="20"/>
  <c r="K155" i="20"/>
  <c r="L155" i="20"/>
  <c r="M155" i="20"/>
  <c r="N155" i="20"/>
  <c r="O155" i="20"/>
  <c r="P155" i="20"/>
  <c r="Q155" i="20"/>
  <c r="R155" i="20"/>
  <c r="S155" i="20"/>
  <c r="T155" i="20"/>
  <c r="U155" i="20"/>
  <c r="V155" i="20"/>
  <c r="W155" i="20"/>
  <c r="X155" i="20"/>
  <c r="Y155" i="20"/>
  <c r="Z155" i="20"/>
  <c r="AA155" i="20"/>
  <c r="A156" i="20"/>
  <c r="B156" i="20"/>
  <c r="C156" i="20"/>
  <c r="D156" i="20"/>
  <c r="E156" i="20"/>
  <c r="F156" i="20"/>
  <c r="G156" i="20"/>
  <c r="H156" i="20"/>
  <c r="I156" i="20"/>
  <c r="J156" i="20"/>
  <c r="K156" i="20"/>
  <c r="L156" i="20"/>
  <c r="M156" i="20"/>
  <c r="N156" i="20"/>
  <c r="O156" i="20"/>
  <c r="P156" i="20"/>
  <c r="Q156" i="20"/>
  <c r="R156" i="20"/>
  <c r="S156" i="20"/>
  <c r="T156" i="20"/>
  <c r="U156" i="20"/>
  <c r="V156" i="20"/>
  <c r="W156" i="20"/>
  <c r="X156" i="20"/>
  <c r="Y156" i="20"/>
  <c r="Z156" i="20"/>
  <c r="AA156" i="20"/>
  <c r="A157" i="20"/>
  <c r="B157" i="20"/>
  <c r="C157" i="20"/>
  <c r="D157" i="20"/>
  <c r="E157" i="20"/>
  <c r="F157" i="20"/>
  <c r="G157" i="20"/>
  <c r="H157" i="20"/>
  <c r="I157" i="20"/>
  <c r="J157" i="20"/>
  <c r="K157" i="20"/>
  <c r="L157" i="20"/>
  <c r="M157" i="20"/>
  <c r="N157" i="20"/>
  <c r="O157" i="20"/>
  <c r="P157" i="20"/>
  <c r="Q157" i="20"/>
  <c r="R157" i="20"/>
  <c r="S157" i="20"/>
  <c r="T157" i="20"/>
  <c r="U157" i="20"/>
  <c r="V157" i="20"/>
  <c r="W157" i="20"/>
  <c r="X157" i="20"/>
  <c r="Y157" i="20"/>
  <c r="Z157" i="20"/>
  <c r="AA157" i="20"/>
  <c r="A158" i="20"/>
  <c r="B158" i="20"/>
  <c r="C158" i="20"/>
  <c r="D158" i="20"/>
  <c r="E158" i="20"/>
  <c r="F158" i="20"/>
  <c r="G158" i="20"/>
  <c r="H158" i="20"/>
  <c r="I158" i="20"/>
  <c r="J158" i="20"/>
  <c r="K158" i="20"/>
  <c r="L158" i="20"/>
  <c r="M158" i="20"/>
  <c r="N158" i="20"/>
  <c r="O158" i="20"/>
  <c r="P158" i="20"/>
  <c r="Q158" i="20"/>
  <c r="R158" i="20"/>
  <c r="S158" i="20"/>
  <c r="T158" i="20"/>
  <c r="U158" i="20"/>
  <c r="V158" i="20"/>
  <c r="W158" i="20"/>
  <c r="X158" i="20"/>
  <c r="Y158" i="20"/>
  <c r="Z158" i="20"/>
  <c r="AA158" i="20"/>
  <c r="A159" i="20"/>
  <c r="B159" i="20"/>
  <c r="C159" i="20"/>
  <c r="D159" i="20"/>
  <c r="E159" i="20"/>
  <c r="F159" i="20"/>
  <c r="G159" i="20"/>
  <c r="H159" i="20"/>
  <c r="I159" i="20"/>
  <c r="J159" i="20"/>
  <c r="K159" i="20"/>
  <c r="L159" i="20"/>
  <c r="M159" i="20"/>
  <c r="N159" i="20"/>
  <c r="O159" i="20"/>
  <c r="P159" i="20"/>
  <c r="Q159" i="20"/>
  <c r="R159" i="20"/>
  <c r="S159" i="20"/>
  <c r="T159" i="20"/>
  <c r="U159" i="20"/>
  <c r="V159" i="20"/>
  <c r="W159" i="20"/>
  <c r="X159" i="20"/>
  <c r="Y159" i="20"/>
  <c r="Z159" i="20"/>
  <c r="AA159" i="20"/>
  <c r="A160" i="20"/>
  <c r="B160" i="20"/>
  <c r="C160" i="20"/>
  <c r="D160" i="20"/>
  <c r="E160" i="20"/>
  <c r="F160" i="20"/>
  <c r="G160" i="20"/>
  <c r="H160" i="20"/>
  <c r="I160" i="20"/>
  <c r="J160" i="20"/>
  <c r="K160" i="20"/>
  <c r="L160" i="20"/>
  <c r="M160" i="20"/>
  <c r="N160" i="20"/>
  <c r="O160" i="20"/>
  <c r="P160" i="20"/>
  <c r="Q160" i="20"/>
  <c r="R160" i="20"/>
  <c r="S160" i="20"/>
  <c r="T160" i="20"/>
  <c r="U160" i="20"/>
  <c r="V160" i="20"/>
  <c r="W160" i="20"/>
  <c r="X160" i="20"/>
  <c r="Y160" i="20"/>
  <c r="Z160" i="20"/>
  <c r="AA160" i="20"/>
  <c r="A161" i="20"/>
  <c r="B161" i="20"/>
  <c r="C161" i="20"/>
  <c r="D161" i="20"/>
  <c r="E161" i="20"/>
  <c r="F161" i="20"/>
  <c r="G161" i="20"/>
  <c r="H161" i="20"/>
  <c r="I161" i="20"/>
  <c r="J161" i="20"/>
  <c r="K161" i="20"/>
  <c r="L161" i="20"/>
  <c r="M161" i="20"/>
  <c r="N161" i="20"/>
  <c r="O161" i="20"/>
  <c r="P161" i="20"/>
  <c r="Q161" i="20"/>
  <c r="R161" i="20"/>
  <c r="S161" i="20"/>
  <c r="T161" i="20"/>
  <c r="U161" i="20"/>
  <c r="V161" i="20"/>
  <c r="W161" i="20"/>
  <c r="X161" i="20"/>
  <c r="Y161" i="20"/>
  <c r="Z161" i="20"/>
  <c r="AA161" i="20"/>
  <c r="A162" i="20"/>
  <c r="B162" i="20"/>
  <c r="C162" i="20"/>
  <c r="D162" i="20"/>
  <c r="E162" i="20"/>
  <c r="F162" i="20"/>
  <c r="G162" i="20"/>
  <c r="H162" i="20"/>
  <c r="I162" i="20"/>
  <c r="J162" i="20"/>
  <c r="K162" i="20"/>
  <c r="L162" i="20"/>
  <c r="M162" i="20"/>
  <c r="N162" i="20"/>
  <c r="O162" i="20"/>
  <c r="P162" i="20"/>
  <c r="Q162" i="20"/>
  <c r="R162" i="20"/>
  <c r="S162" i="20"/>
  <c r="T162" i="20"/>
  <c r="U162" i="20"/>
  <c r="V162" i="20"/>
  <c r="W162" i="20"/>
  <c r="X162" i="20"/>
  <c r="Y162" i="20"/>
  <c r="Z162" i="20"/>
  <c r="AA162" i="20"/>
  <c r="A163" i="20"/>
  <c r="B163" i="20"/>
  <c r="C163" i="20"/>
  <c r="D163" i="20"/>
  <c r="E163" i="20"/>
  <c r="F163" i="20"/>
  <c r="G163" i="20"/>
  <c r="H163" i="20"/>
  <c r="I163" i="20"/>
  <c r="J163" i="20"/>
  <c r="K163" i="20"/>
  <c r="L163" i="20"/>
  <c r="M163" i="20"/>
  <c r="N163" i="20"/>
  <c r="O163" i="20"/>
  <c r="P163" i="20"/>
  <c r="Q163" i="20"/>
  <c r="R163" i="20"/>
  <c r="S163" i="20"/>
  <c r="T163" i="20"/>
  <c r="U163" i="20"/>
  <c r="V163" i="20"/>
  <c r="W163" i="20"/>
  <c r="X163" i="20"/>
  <c r="Y163" i="20"/>
  <c r="Z163" i="20"/>
  <c r="AA163" i="20"/>
  <c r="A56" i="20"/>
  <c r="B56" i="20"/>
  <c r="C56" i="20"/>
  <c r="D56" i="20"/>
  <c r="E56" i="20"/>
  <c r="F56" i="20"/>
  <c r="G56" i="20"/>
  <c r="H56" i="20"/>
  <c r="I56" i="20"/>
  <c r="J56" i="20"/>
  <c r="K56" i="20"/>
  <c r="L56" i="20"/>
  <c r="M56" i="20"/>
  <c r="N56" i="20"/>
  <c r="O56" i="20"/>
  <c r="P56" i="20"/>
  <c r="Q56" i="20"/>
  <c r="R56" i="20"/>
  <c r="S56" i="20"/>
  <c r="T56" i="20"/>
  <c r="U56" i="20"/>
  <c r="V56" i="20"/>
  <c r="W56" i="20"/>
  <c r="X56" i="20"/>
  <c r="Y56" i="20"/>
  <c r="Z56" i="20"/>
  <c r="AA56" i="20"/>
  <c r="A57" i="20"/>
  <c r="B57" i="20"/>
  <c r="C57" i="20"/>
  <c r="D57" i="20"/>
  <c r="E57" i="20"/>
  <c r="F57" i="20"/>
  <c r="G57" i="20"/>
  <c r="H57" i="20"/>
  <c r="I57" i="20"/>
  <c r="J57" i="20"/>
  <c r="K57" i="20"/>
  <c r="L57" i="20"/>
  <c r="M57" i="20"/>
  <c r="N57" i="20"/>
  <c r="O57" i="20"/>
  <c r="P57" i="20"/>
  <c r="Q57" i="20"/>
  <c r="R57" i="20"/>
  <c r="S57" i="20"/>
  <c r="T57" i="20"/>
  <c r="U57" i="20"/>
  <c r="V57" i="20"/>
  <c r="W57" i="20"/>
  <c r="X57" i="20"/>
  <c r="Y57" i="20"/>
  <c r="Z57" i="20"/>
  <c r="AA57" i="20"/>
  <c r="A58" i="20"/>
  <c r="B58" i="20"/>
  <c r="C58" i="20"/>
  <c r="D58" i="20"/>
  <c r="E58" i="20"/>
  <c r="F58" i="20"/>
  <c r="G58" i="20"/>
  <c r="H58" i="20"/>
  <c r="I58" i="20"/>
  <c r="J58" i="20"/>
  <c r="K58" i="20"/>
  <c r="L58" i="20"/>
  <c r="M58" i="20"/>
  <c r="N58" i="20"/>
  <c r="O58" i="20"/>
  <c r="P58" i="20"/>
  <c r="Q58" i="20"/>
  <c r="R58" i="20"/>
  <c r="S58" i="20"/>
  <c r="T58" i="20"/>
  <c r="U58" i="20"/>
  <c r="V58" i="20"/>
  <c r="W58" i="20"/>
  <c r="X58" i="20"/>
  <c r="Y58" i="20"/>
  <c r="Z58" i="20"/>
  <c r="AA58" i="20"/>
  <c r="A59" i="20"/>
  <c r="B59" i="20"/>
  <c r="C59" i="20"/>
  <c r="D59" i="20"/>
  <c r="E59" i="20"/>
  <c r="F59" i="20"/>
  <c r="G59" i="20"/>
  <c r="H59" i="20"/>
  <c r="I59" i="20"/>
  <c r="J59" i="20"/>
  <c r="K59" i="20"/>
  <c r="L59" i="20"/>
  <c r="M59" i="20"/>
  <c r="N59" i="20"/>
  <c r="O59" i="20"/>
  <c r="P59" i="20"/>
  <c r="Q59" i="20"/>
  <c r="R59" i="20"/>
  <c r="S59" i="20"/>
  <c r="T59" i="20"/>
  <c r="U59" i="20"/>
  <c r="V59" i="20"/>
  <c r="W59" i="20"/>
  <c r="X59" i="20"/>
  <c r="Y59" i="20"/>
  <c r="Z59" i="20"/>
  <c r="AA59" i="20"/>
  <c r="A60" i="20"/>
  <c r="B60" i="20"/>
  <c r="C60" i="20"/>
  <c r="D60" i="20"/>
  <c r="E60" i="20"/>
  <c r="F60" i="20"/>
  <c r="G60" i="20"/>
  <c r="H60" i="20"/>
  <c r="I60" i="20"/>
  <c r="J60" i="20"/>
  <c r="K60" i="20"/>
  <c r="L60" i="20"/>
  <c r="M60" i="20"/>
  <c r="N60" i="20"/>
  <c r="O60" i="20"/>
  <c r="P60" i="20"/>
  <c r="Q60" i="20"/>
  <c r="R60" i="20"/>
  <c r="S60" i="20"/>
  <c r="T60" i="20"/>
  <c r="U60" i="20"/>
  <c r="V60" i="20"/>
  <c r="W60" i="20"/>
  <c r="X60" i="20"/>
  <c r="Y60" i="20"/>
  <c r="Z60" i="20"/>
  <c r="AA60" i="20"/>
  <c r="A61" i="20"/>
  <c r="B61" i="20"/>
  <c r="C61" i="20"/>
  <c r="D61" i="20"/>
  <c r="E61" i="20"/>
  <c r="F61" i="20"/>
  <c r="G61" i="20"/>
  <c r="H61" i="20"/>
  <c r="I61" i="20"/>
  <c r="J61" i="20"/>
  <c r="K61" i="20"/>
  <c r="L61" i="20"/>
  <c r="M61" i="20"/>
  <c r="N61" i="20"/>
  <c r="O61" i="20"/>
  <c r="P61" i="20"/>
  <c r="Q61" i="20"/>
  <c r="R61" i="20"/>
  <c r="S61" i="20"/>
  <c r="T61" i="20"/>
  <c r="U61" i="20"/>
  <c r="V61" i="20"/>
  <c r="W61" i="20"/>
  <c r="X61" i="20"/>
  <c r="Y61" i="20"/>
  <c r="Z61" i="20"/>
  <c r="AA61" i="20"/>
  <c r="A62" i="20"/>
  <c r="B62" i="20"/>
  <c r="C62" i="20"/>
  <c r="D62" i="20"/>
  <c r="E62" i="20"/>
  <c r="F62" i="20"/>
  <c r="G62" i="20"/>
  <c r="H62" i="20"/>
  <c r="I62" i="20"/>
  <c r="J62" i="20"/>
  <c r="K62" i="20"/>
  <c r="L62" i="20"/>
  <c r="M62" i="20"/>
  <c r="N62" i="20"/>
  <c r="O62" i="20"/>
  <c r="P62" i="20"/>
  <c r="Q62" i="20"/>
  <c r="R62" i="20"/>
  <c r="S62" i="20"/>
  <c r="T62" i="20"/>
  <c r="U62" i="20"/>
  <c r="V62" i="20"/>
  <c r="W62" i="20"/>
  <c r="X62" i="20"/>
  <c r="Y62" i="20"/>
  <c r="Z62" i="20"/>
  <c r="AA62" i="20"/>
  <c r="A63" i="20"/>
  <c r="B63" i="20"/>
  <c r="C63" i="20"/>
  <c r="D63" i="20"/>
  <c r="E63" i="20"/>
  <c r="F63" i="20"/>
  <c r="G63" i="20"/>
  <c r="H63" i="20"/>
  <c r="I63" i="20"/>
  <c r="J63" i="20"/>
  <c r="K63" i="20"/>
  <c r="L63" i="20"/>
  <c r="M63" i="20"/>
  <c r="N63" i="20"/>
  <c r="O63" i="20"/>
  <c r="P63" i="20"/>
  <c r="Q63" i="20"/>
  <c r="R63" i="20"/>
  <c r="S63" i="20"/>
  <c r="T63" i="20"/>
  <c r="U63" i="20"/>
  <c r="V63" i="20"/>
  <c r="W63" i="20"/>
  <c r="X63" i="20"/>
  <c r="Y63" i="20"/>
  <c r="Z63" i="20"/>
  <c r="AA63" i="20"/>
  <c r="A64" i="20"/>
  <c r="B64" i="20"/>
  <c r="C64" i="20"/>
  <c r="D64" i="20"/>
  <c r="E64" i="20"/>
  <c r="F64" i="20"/>
  <c r="G64" i="20"/>
  <c r="H64" i="20"/>
  <c r="I64" i="20"/>
  <c r="J64" i="20"/>
  <c r="K64" i="20"/>
  <c r="L64" i="20"/>
  <c r="M64" i="20"/>
  <c r="N64" i="20"/>
  <c r="O64" i="20"/>
  <c r="P64" i="20"/>
  <c r="Q64" i="20"/>
  <c r="R64" i="20"/>
  <c r="S64" i="20"/>
  <c r="T64" i="20"/>
  <c r="U64" i="20"/>
  <c r="V64" i="20"/>
  <c r="W64" i="20"/>
  <c r="X64" i="20"/>
  <c r="Y64" i="20"/>
  <c r="Z64" i="20"/>
  <c r="AA64" i="20"/>
  <c r="A65" i="20"/>
  <c r="B65" i="20"/>
  <c r="C65" i="20"/>
  <c r="D65" i="20"/>
  <c r="E65" i="20"/>
  <c r="F65" i="20"/>
  <c r="G65" i="20"/>
  <c r="H65" i="20"/>
  <c r="I65" i="20"/>
  <c r="J65" i="20"/>
  <c r="K65" i="20"/>
  <c r="L65" i="20"/>
  <c r="M65" i="20"/>
  <c r="N65" i="20"/>
  <c r="O65" i="20"/>
  <c r="P65" i="20"/>
  <c r="Q65" i="20"/>
  <c r="R65" i="20"/>
  <c r="S65" i="20"/>
  <c r="T65" i="20"/>
  <c r="U65" i="20"/>
  <c r="V65" i="20"/>
  <c r="W65" i="20"/>
  <c r="X65" i="20"/>
  <c r="Y65" i="20"/>
  <c r="Z65" i="20"/>
  <c r="AA65" i="20"/>
  <c r="A66" i="20"/>
  <c r="B66" i="20"/>
  <c r="C66" i="20"/>
  <c r="D66" i="20"/>
  <c r="E66" i="20"/>
  <c r="F66" i="20"/>
  <c r="G66" i="20"/>
  <c r="H66" i="20"/>
  <c r="I66" i="20"/>
  <c r="J66" i="20"/>
  <c r="K66" i="20"/>
  <c r="L66" i="20"/>
  <c r="M66" i="20"/>
  <c r="N66" i="20"/>
  <c r="O66" i="20"/>
  <c r="P66" i="20"/>
  <c r="Q66" i="20"/>
  <c r="R66" i="20"/>
  <c r="S66" i="20"/>
  <c r="T66" i="20"/>
  <c r="U66" i="20"/>
  <c r="V66" i="20"/>
  <c r="W66" i="20"/>
  <c r="X66" i="20"/>
  <c r="Y66" i="20"/>
  <c r="Z66" i="20"/>
  <c r="AA66" i="20"/>
  <c r="A67" i="20"/>
  <c r="B67" i="20"/>
  <c r="C67" i="20"/>
  <c r="D67" i="20"/>
  <c r="E67" i="20"/>
  <c r="F67" i="20"/>
  <c r="G67" i="20"/>
  <c r="H67" i="20"/>
  <c r="I67" i="20"/>
  <c r="J67" i="20"/>
  <c r="K67" i="20"/>
  <c r="L67" i="20"/>
  <c r="M67" i="20"/>
  <c r="N67" i="20"/>
  <c r="O67" i="20"/>
  <c r="P67" i="20"/>
  <c r="Q67" i="20"/>
  <c r="R67" i="20"/>
  <c r="S67" i="20"/>
  <c r="T67" i="20"/>
  <c r="U67" i="20"/>
  <c r="V67" i="20"/>
  <c r="W67" i="20"/>
  <c r="X67" i="20"/>
  <c r="Y67" i="20"/>
  <c r="Z67" i="20"/>
  <c r="AA67" i="20"/>
  <c r="A68" i="20"/>
  <c r="B68" i="20"/>
  <c r="C68" i="20"/>
  <c r="D68" i="20"/>
  <c r="E68" i="20"/>
  <c r="F68" i="20"/>
  <c r="G68" i="20"/>
  <c r="H68" i="20"/>
  <c r="I68" i="20"/>
  <c r="J68" i="20"/>
  <c r="K68" i="20"/>
  <c r="L68" i="20"/>
  <c r="M68" i="20"/>
  <c r="N68" i="20"/>
  <c r="O68" i="20"/>
  <c r="P68" i="20"/>
  <c r="Q68" i="20"/>
  <c r="R68" i="20"/>
  <c r="S68" i="20"/>
  <c r="T68" i="20"/>
  <c r="U68" i="20"/>
  <c r="V68" i="20"/>
  <c r="W68" i="20"/>
  <c r="X68" i="20"/>
  <c r="Y68" i="20"/>
  <c r="Z68" i="20"/>
  <c r="AA68" i="20"/>
  <c r="A69" i="20"/>
  <c r="B69" i="20"/>
  <c r="C69" i="20"/>
  <c r="D69" i="20"/>
  <c r="E69" i="20"/>
  <c r="F69" i="20"/>
  <c r="G69" i="20"/>
  <c r="H69" i="20"/>
  <c r="I69" i="20"/>
  <c r="J69" i="20"/>
  <c r="K69" i="20"/>
  <c r="L69" i="20"/>
  <c r="M69" i="20"/>
  <c r="N69" i="20"/>
  <c r="O69" i="20"/>
  <c r="P69" i="20"/>
  <c r="Q69" i="20"/>
  <c r="R69" i="20"/>
  <c r="S69" i="20"/>
  <c r="T69" i="20"/>
  <c r="U69" i="20"/>
  <c r="V69" i="20"/>
  <c r="W69" i="20"/>
  <c r="X69" i="20"/>
  <c r="Y69" i="20"/>
  <c r="Z69" i="20"/>
  <c r="AA69" i="20"/>
  <c r="A70" i="20"/>
  <c r="B70" i="20"/>
  <c r="C70" i="20"/>
  <c r="D70" i="20"/>
  <c r="E70" i="20"/>
  <c r="F70" i="20"/>
  <c r="G70" i="20"/>
  <c r="H70" i="20"/>
  <c r="I70" i="20"/>
  <c r="J70" i="20"/>
  <c r="K70" i="20"/>
  <c r="L70" i="20"/>
  <c r="M70" i="20"/>
  <c r="N70" i="20"/>
  <c r="O70" i="20"/>
  <c r="P70" i="20"/>
  <c r="Q70" i="20"/>
  <c r="R70" i="20"/>
  <c r="S70" i="20"/>
  <c r="T70" i="20"/>
  <c r="U70" i="20"/>
  <c r="V70" i="20"/>
  <c r="W70" i="20"/>
  <c r="X70" i="20"/>
  <c r="Y70" i="20"/>
  <c r="Z70" i="20"/>
  <c r="AA70" i="20"/>
  <c r="A71" i="20"/>
  <c r="B71" i="20"/>
  <c r="C71" i="20"/>
  <c r="D71" i="20"/>
  <c r="E71" i="20"/>
  <c r="F71" i="20"/>
  <c r="G71" i="20"/>
  <c r="H71" i="20"/>
  <c r="I71" i="20"/>
  <c r="J71" i="20"/>
  <c r="K71" i="20"/>
  <c r="L71" i="20"/>
  <c r="M71" i="20"/>
  <c r="N71" i="20"/>
  <c r="O71" i="20"/>
  <c r="P71" i="20"/>
  <c r="Q71" i="20"/>
  <c r="R71" i="20"/>
  <c r="S71" i="20"/>
  <c r="T71" i="20"/>
  <c r="U71" i="20"/>
  <c r="V71" i="20"/>
  <c r="W71" i="20"/>
  <c r="X71" i="20"/>
  <c r="Y71" i="20"/>
  <c r="Z71" i="20"/>
  <c r="AA71" i="20"/>
  <c r="A72" i="20"/>
  <c r="B72" i="20"/>
  <c r="C72" i="20"/>
  <c r="D72" i="20"/>
  <c r="E72" i="20"/>
  <c r="F72" i="20"/>
  <c r="G72" i="20"/>
  <c r="H72" i="20"/>
  <c r="I72" i="20"/>
  <c r="J72" i="20"/>
  <c r="K72" i="20"/>
  <c r="L72" i="20"/>
  <c r="M72" i="20"/>
  <c r="N72" i="20"/>
  <c r="O72" i="20"/>
  <c r="P72" i="20"/>
  <c r="Q72" i="20"/>
  <c r="R72" i="20"/>
  <c r="S72" i="20"/>
  <c r="T72" i="20"/>
  <c r="U72" i="20"/>
  <c r="V72" i="20"/>
  <c r="W72" i="20"/>
  <c r="X72" i="20"/>
  <c r="Y72" i="20"/>
  <c r="Z72" i="20"/>
  <c r="AA72" i="20"/>
  <c r="A73" i="20"/>
  <c r="B73" i="20"/>
  <c r="C73" i="20"/>
  <c r="D73" i="20"/>
  <c r="E73" i="20"/>
  <c r="F73" i="20"/>
  <c r="G73" i="20"/>
  <c r="H73" i="20"/>
  <c r="I73" i="20"/>
  <c r="J73" i="20"/>
  <c r="K73" i="20"/>
  <c r="L73" i="20"/>
  <c r="M73" i="20"/>
  <c r="N73" i="20"/>
  <c r="O73" i="20"/>
  <c r="P73" i="20"/>
  <c r="Q73" i="20"/>
  <c r="R73" i="20"/>
  <c r="S73" i="20"/>
  <c r="T73" i="20"/>
  <c r="U73" i="20"/>
  <c r="V73" i="20"/>
  <c r="W73" i="20"/>
  <c r="X73" i="20"/>
  <c r="Y73" i="20"/>
  <c r="Z73" i="20"/>
  <c r="AA73" i="20"/>
  <c r="A74" i="20"/>
  <c r="B74" i="20"/>
  <c r="C74" i="20"/>
  <c r="D74" i="20"/>
  <c r="E74" i="20"/>
  <c r="F74" i="20"/>
  <c r="G74" i="20"/>
  <c r="H74" i="20"/>
  <c r="I74" i="20"/>
  <c r="J74" i="20"/>
  <c r="K74" i="20"/>
  <c r="L74" i="20"/>
  <c r="M74" i="20"/>
  <c r="N74" i="20"/>
  <c r="O74" i="20"/>
  <c r="P74" i="20"/>
  <c r="Q74" i="20"/>
  <c r="R74" i="20"/>
  <c r="S74" i="20"/>
  <c r="T74" i="20"/>
  <c r="U74" i="20"/>
  <c r="V74" i="20"/>
  <c r="W74" i="20"/>
  <c r="X74" i="20"/>
  <c r="Y74" i="20"/>
  <c r="Z74" i="20"/>
  <c r="AA74" i="20"/>
  <c r="A75" i="20"/>
  <c r="B75" i="20"/>
  <c r="C75" i="20"/>
  <c r="D75" i="20"/>
  <c r="E75" i="20"/>
  <c r="F75" i="20"/>
  <c r="G75" i="20"/>
  <c r="H75" i="20"/>
  <c r="I75" i="20"/>
  <c r="J75" i="20"/>
  <c r="K75" i="20"/>
  <c r="L75" i="20"/>
  <c r="M75" i="20"/>
  <c r="N75" i="20"/>
  <c r="O75" i="20"/>
  <c r="P75" i="20"/>
  <c r="Q75" i="20"/>
  <c r="R75" i="20"/>
  <c r="S75" i="20"/>
  <c r="T75" i="20"/>
  <c r="U75" i="20"/>
  <c r="V75" i="20"/>
  <c r="W75" i="20"/>
  <c r="X75" i="20"/>
  <c r="Y75" i="20"/>
  <c r="Z75" i="20"/>
  <c r="AA75" i="20"/>
  <c r="A76" i="20"/>
  <c r="B76" i="20"/>
  <c r="C76" i="20"/>
  <c r="D76" i="20"/>
  <c r="E76" i="20"/>
  <c r="F76" i="20"/>
  <c r="G76" i="20"/>
  <c r="H76" i="20"/>
  <c r="I76" i="20"/>
  <c r="J76" i="20"/>
  <c r="K76" i="20"/>
  <c r="L76" i="20"/>
  <c r="M76" i="20"/>
  <c r="N76" i="20"/>
  <c r="O76" i="20"/>
  <c r="P76" i="20"/>
  <c r="Q76" i="20"/>
  <c r="R76" i="20"/>
  <c r="S76" i="20"/>
  <c r="T76" i="20"/>
  <c r="U76" i="20"/>
  <c r="V76" i="20"/>
  <c r="W76" i="20"/>
  <c r="X76" i="20"/>
  <c r="Y76" i="20"/>
  <c r="Z76" i="20"/>
  <c r="AA76" i="20"/>
  <c r="A77" i="20"/>
  <c r="B77" i="20"/>
  <c r="C77" i="20"/>
  <c r="D77" i="20"/>
  <c r="E77" i="20"/>
  <c r="F77" i="20"/>
  <c r="G77" i="20"/>
  <c r="H77" i="20"/>
  <c r="I77" i="20"/>
  <c r="J77" i="20"/>
  <c r="K77" i="20"/>
  <c r="L77" i="20"/>
  <c r="M77" i="20"/>
  <c r="N77" i="20"/>
  <c r="O77" i="20"/>
  <c r="P77" i="20"/>
  <c r="Q77" i="20"/>
  <c r="R77" i="20"/>
  <c r="S77" i="20"/>
  <c r="T77" i="20"/>
  <c r="U77" i="20"/>
  <c r="V77" i="20"/>
  <c r="W77" i="20"/>
  <c r="X77" i="20"/>
  <c r="Y77" i="20"/>
  <c r="Z77" i="20"/>
  <c r="AA77" i="20"/>
  <c r="A78" i="20"/>
  <c r="B78" i="20"/>
  <c r="C78" i="20"/>
  <c r="D78" i="20"/>
  <c r="E78" i="20"/>
  <c r="F78" i="20"/>
  <c r="G78" i="20"/>
  <c r="H78" i="20"/>
  <c r="I78" i="20"/>
  <c r="J78" i="20"/>
  <c r="K78" i="20"/>
  <c r="L78" i="20"/>
  <c r="M78" i="20"/>
  <c r="N78" i="20"/>
  <c r="O78" i="20"/>
  <c r="P78" i="20"/>
  <c r="Q78" i="20"/>
  <c r="R78" i="20"/>
  <c r="S78" i="20"/>
  <c r="T78" i="20"/>
  <c r="U78" i="20"/>
  <c r="V78" i="20"/>
  <c r="W78" i="20"/>
  <c r="X78" i="20"/>
  <c r="Y78" i="20"/>
  <c r="Z78" i="20"/>
  <c r="AA78" i="20"/>
  <c r="A79" i="20"/>
  <c r="B79" i="20"/>
  <c r="C79" i="20"/>
  <c r="D79" i="20"/>
  <c r="E79" i="20"/>
  <c r="F79" i="20"/>
  <c r="G79" i="20"/>
  <c r="H79" i="20"/>
  <c r="I79" i="20"/>
  <c r="J79" i="20"/>
  <c r="K79" i="20"/>
  <c r="L79" i="20"/>
  <c r="M79" i="20"/>
  <c r="N79" i="20"/>
  <c r="O79" i="20"/>
  <c r="P79" i="20"/>
  <c r="Q79" i="20"/>
  <c r="R79" i="20"/>
  <c r="S79" i="20"/>
  <c r="T79" i="20"/>
  <c r="U79" i="20"/>
  <c r="V79" i="20"/>
  <c r="W79" i="20"/>
  <c r="X79" i="20"/>
  <c r="Y79" i="20"/>
  <c r="Z79" i="20"/>
  <c r="AA79" i="20"/>
  <c r="A80" i="20"/>
  <c r="B80" i="20"/>
  <c r="C80" i="20"/>
  <c r="D80" i="20"/>
  <c r="E80" i="20"/>
  <c r="F80" i="20"/>
  <c r="G80" i="20"/>
  <c r="H80" i="20"/>
  <c r="I80" i="20"/>
  <c r="J80" i="20"/>
  <c r="K80" i="20"/>
  <c r="L80" i="20"/>
  <c r="M80" i="20"/>
  <c r="N80" i="20"/>
  <c r="O80" i="20"/>
  <c r="P80" i="20"/>
  <c r="Q80" i="20"/>
  <c r="R80" i="20"/>
  <c r="S80" i="20"/>
  <c r="T80" i="20"/>
  <c r="U80" i="20"/>
  <c r="V80" i="20"/>
  <c r="W80" i="20"/>
  <c r="X80" i="20"/>
  <c r="Y80" i="20"/>
  <c r="Z80" i="20"/>
  <c r="AA80" i="20"/>
  <c r="A81" i="20"/>
  <c r="B81" i="20"/>
  <c r="C81" i="20"/>
  <c r="D81" i="20"/>
  <c r="E81" i="20"/>
  <c r="F81" i="20"/>
  <c r="G81" i="20"/>
  <c r="H81" i="20"/>
  <c r="I81" i="20"/>
  <c r="J81" i="20"/>
  <c r="K81" i="20"/>
  <c r="L81" i="20"/>
  <c r="M81" i="20"/>
  <c r="N81" i="20"/>
  <c r="O81" i="20"/>
  <c r="P81" i="20"/>
  <c r="Q81" i="20"/>
  <c r="R81" i="20"/>
  <c r="S81" i="20"/>
  <c r="T81" i="20"/>
  <c r="U81" i="20"/>
  <c r="V81" i="20"/>
  <c r="W81" i="20"/>
  <c r="X81" i="20"/>
  <c r="Y81" i="20"/>
  <c r="Z81" i="20"/>
  <c r="AA81" i="20"/>
  <c r="A82" i="20"/>
  <c r="B82" i="20"/>
  <c r="C82" i="20"/>
  <c r="D82" i="20"/>
  <c r="E82" i="20"/>
  <c r="F82" i="20"/>
  <c r="G82" i="20"/>
  <c r="H82" i="20"/>
  <c r="I82" i="20"/>
  <c r="J82" i="20"/>
  <c r="K82" i="20"/>
  <c r="L82" i="20"/>
  <c r="M82" i="20"/>
  <c r="N82" i="20"/>
  <c r="O82" i="20"/>
  <c r="P82" i="20"/>
  <c r="Q82" i="20"/>
  <c r="R82" i="20"/>
  <c r="S82" i="20"/>
  <c r="T82" i="20"/>
  <c r="U82" i="20"/>
  <c r="V82" i="20"/>
  <c r="W82" i="20"/>
  <c r="X82" i="20"/>
  <c r="Y82" i="20"/>
  <c r="Z82" i="20"/>
  <c r="AA82" i="20"/>
  <c r="A83" i="20"/>
  <c r="B83" i="20"/>
  <c r="C83" i="20"/>
  <c r="D83" i="20"/>
  <c r="E83" i="20"/>
  <c r="F83" i="20"/>
  <c r="G83" i="20"/>
  <c r="H83" i="20"/>
  <c r="I83" i="20"/>
  <c r="J83" i="20"/>
  <c r="K83" i="20"/>
  <c r="L83" i="20"/>
  <c r="M83" i="20"/>
  <c r="N83" i="20"/>
  <c r="O83" i="20"/>
  <c r="P83" i="20"/>
  <c r="Q83" i="20"/>
  <c r="R83" i="20"/>
  <c r="S83" i="20"/>
  <c r="T83" i="20"/>
  <c r="U83" i="20"/>
  <c r="V83" i="20"/>
  <c r="W83" i="20"/>
  <c r="X83" i="20"/>
  <c r="Y83" i="20"/>
  <c r="Z83" i="20"/>
  <c r="AA83" i="20"/>
  <c r="A84" i="20"/>
  <c r="B84" i="20"/>
  <c r="C84" i="20"/>
  <c r="D84" i="20"/>
  <c r="E84" i="20"/>
  <c r="F84" i="20"/>
  <c r="G84" i="20"/>
  <c r="H84" i="20"/>
  <c r="I84" i="20"/>
  <c r="J84" i="20"/>
  <c r="K84" i="20"/>
  <c r="L84" i="20"/>
  <c r="M84" i="20"/>
  <c r="N84" i="20"/>
  <c r="O84" i="20"/>
  <c r="P84" i="20"/>
  <c r="Q84" i="20"/>
  <c r="R84" i="20"/>
  <c r="S84" i="20"/>
  <c r="T84" i="20"/>
  <c r="U84" i="20"/>
  <c r="V84" i="20"/>
  <c r="W84" i="20"/>
  <c r="X84" i="20"/>
  <c r="Y84" i="20"/>
  <c r="Z84" i="20"/>
  <c r="AA84" i="20"/>
  <c r="A85" i="20"/>
  <c r="B85" i="20"/>
  <c r="C85" i="20"/>
  <c r="D85" i="20"/>
  <c r="E85" i="20"/>
  <c r="F85" i="20"/>
  <c r="G85" i="20"/>
  <c r="H85" i="20"/>
  <c r="I85" i="20"/>
  <c r="J85" i="20"/>
  <c r="K85" i="20"/>
  <c r="L85" i="20"/>
  <c r="M85" i="20"/>
  <c r="N85" i="20"/>
  <c r="O85" i="20"/>
  <c r="P85" i="20"/>
  <c r="Q85" i="20"/>
  <c r="R85" i="20"/>
  <c r="S85" i="20"/>
  <c r="T85" i="20"/>
  <c r="U85" i="20"/>
  <c r="V85" i="20"/>
  <c r="W85" i="20"/>
  <c r="X85" i="20"/>
  <c r="Y85" i="20"/>
  <c r="Z85" i="20"/>
  <c r="AA85" i="20"/>
  <c r="A86" i="20"/>
  <c r="B86" i="20"/>
  <c r="C86" i="20"/>
  <c r="D86" i="20"/>
  <c r="E86" i="20"/>
  <c r="F86" i="20"/>
  <c r="G86" i="20"/>
  <c r="H86" i="20"/>
  <c r="I86" i="20"/>
  <c r="J86" i="20"/>
  <c r="K86" i="20"/>
  <c r="L86" i="20"/>
  <c r="M86" i="20"/>
  <c r="N86" i="20"/>
  <c r="O86" i="20"/>
  <c r="P86" i="20"/>
  <c r="Q86" i="20"/>
  <c r="R86" i="20"/>
  <c r="S86" i="20"/>
  <c r="T86" i="20"/>
  <c r="U86" i="20"/>
  <c r="V86" i="20"/>
  <c r="W86" i="20"/>
  <c r="X86" i="20"/>
  <c r="Y86" i="20"/>
  <c r="Z86" i="20"/>
  <c r="AA86" i="20"/>
  <c r="A87" i="20"/>
  <c r="B87" i="20"/>
  <c r="C87" i="20"/>
  <c r="D87" i="20"/>
  <c r="E87" i="20"/>
  <c r="F87" i="20"/>
  <c r="G87" i="20"/>
  <c r="H87" i="20"/>
  <c r="I87" i="20"/>
  <c r="J87" i="20"/>
  <c r="K87" i="20"/>
  <c r="L87" i="20"/>
  <c r="M87" i="20"/>
  <c r="N87" i="20"/>
  <c r="O87" i="20"/>
  <c r="P87" i="20"/>
  <c r="Q87" i="20"/>
  <c r="R87" i="20"/>
  <c r="S87" i="20"/>
  <c r="T87" i="20"/>
  <c r="U87" i="20"/>
  <c r="V87" i="20"/>
  <c r="W87" i="20"/>
  <c r="X87" i="20"/>
  <c r="Y87" i="20"/>
  <c r="Z87" i="20"/>
  <c r="AA87" i="20"/>
  <c r="A88" i="20"/>
  <c r="B88" i="20"/>
  <c r="C88" i="20"/>
  <c r="D88" i="20"/>
  <c r="E88" i="20"/>
  <c r="F88" i="20"/>
  <c r="G88" i="20"/>
  <c r="H88" i="20"/>
  <c r="I88" i="20"/>
  <c r="J88" i="20"/>
  <c r="K88" i="20"/>
  <c r="L88" i="20"/>
  <c r="M88" i="20"/>
  <c r="N88" i="20"/>
  <c r="O88" i="20"/>
  <c r="P88" i="20"/>
  <c r="Q88" i="20"/>
  <c r="R88" i="20"/>
  <c r="S88" i="20"/>
  <c r="T88" i="20"/>
  <c r="U88" i="20"/>
  <c r="V88" i="20"/>
  <c r="W88" i="20"/>
  <c r="X88" i="20"/>
  <c r="Y88" i="20"/>
  <c r="Z88" i="20"/>
  <c r="AA88" i="20"/>
  <c r="A89" i="20"/>
  <c r="B89" i="20"/>
  <c r="C89" i="20"/>
  <c r="D89" i="20"/>
  <c r="E89" i="20"/>
  <c r="F89" i="20"/>
  <c r="G89" i="20"/>
  <c r="H89" i="20"/>
  <c r="I89" i="20"/>
  <c r="J89" i="20"/>
  <c r="K89" i="20"/>
  <c r="L89" i="20"/>
  <c r="M89" i="20"/>
  <c r="N89" i="20"/>
  <c r="O89" i="20"/>
  <c r="P89" i="20"/>
  <c r="Q89" i="20"/>
  <c r="R89" i="20"/>
  <c r="S89" i="20"/>
  <c r="T89" i="20"/>
  <c r="U89" i="20"/>
  <c r="V89" i="20"/>
  <c r="W89" i="20"/>
  <c r="X89" i="20"/>
  <c r="Y89" i="20"/>
  <c r="Z89" i="20"/>
  <c r="AA89" i="20"/>
  <c r="A90" i="20"/>
  <c r="B90" i="20"/>
  <c r="C90" i="20"/>
  <c r="D90" i="20"/>
  <c r="E90" i="20"/>
  <c r="F90" i="20"/>
  <c r="G90" i="20"/>
  <c r="H90" i="20"/>
  <c r="I90" i="20"/>
  <c r="J90" i="20"/>
  <c r="K90" i="20"/>
  <c r="L90" i="20"/>
  <c r="M90" i="20"/>
  <c r="N90" i="20"/>
  <c r="O90" i="20"/>
  <c r="P90" i="20"/>
  <c r="Q90" i="20"/>
  <c r="R90" i="20"/>
  <c r="S90" i="20"/>
  <c r="T90" i="20"/>
  <c r="U90" i="20"/>
  <c r="V90" i="20"/>
  <c r="W90" i="20"/>
  <c r="X90" i="20"/>
  <c r="Y90" i="20"/>
  <c r="Z90" i="20"/>
  <c r="AA90" i="20"/>
  <c r="A91" i="20"/>
  <c r="B91" i="20"/>
  <c r="C91" i="20"/>
  <c r="D91" i="20"/>
  <c r="E91" i="20"/>
  <c r="F91" i="20"/>
  <c r="G91" i="20"/>
  <c r="H91" i="20"/>
  <c r="I91" i="20"/>
  <c r="J91" i="20"/>
  <c r="K91" i="20"/>
  <c r="L91" i="20"/>
  <c r="M91" i="20"/>
  <c r="N91" i="20"/>
  <c r="O91" i="20"/>
  <c r="P91" i="20"/>
  <c r="Q91" i="20"/>
  <c r="R91" i="20"/>
  <c r="S91" i="20"/>
  <c r="T91" i="20"/>
  <c r="U91" i="20"/>
  <c r="V91" i="20"/>
  <c r="W91" i="20"/>
  <c r="X91" i="20"/>
  <c r="Y91" i="20"/>
  <c r="Z91" i="20"/>
  <c r="AA91" i="20"/>
  <c r="A92" i="20"/>
  <c r="B92" i="20"/>
  <c r="C92" i="20"/>
  <c r="D92" i="20"/>
  <c r="E92" i="20"/>
  <c r="F92" i="20"/>
  <c r="G92" i="20"/>
  <c r="H92" i="20"/>
  <c r="I92" i="20"/>
  <c r="J92" i="20"/>
  <c r="K92" i="20"/>
  <c r="L92" i="20"/>
  <c r="M92" i="20"/>
  <c r="N92" i="20"/>
  <c r="O92" i="20"/>
  <c r="P92" i="20"/>
  <c r="Q92" i="20"/>
  <c r="R92" i="20"/>
  <c r="S92" i="20"/>
  <c r="T92" i="20"/>
  <c r="U92" i="20"/>
  <c r="V92" i="20"/>
  <c r="W92" i="20"/>
  <c r="X92" i="20"/>
  <c r="Y92" i="20"/>
  <c r="Z92" i="20"/>
  <c r="AA92" i="20"/>
  <c r="A93" i="20"/>
  <c r="B93" i="20"/>
  <c r="C93" i="20"/>
  <c r="D93" i="20"/>
  <c r="E93" i="20"/>
  <c r="F93" i="20"/>
  <c r="G93" i="20"/>
  <c r="H93" i="20"/>
  <c r="I93" i="20"/>
  <c r="J93" i="20"/>
  <c r="K93" i="20"/>
  <c r="L93" i="20"/>
  <c r="M93" i="20"/>
  <c r="N93" i="20"/>
  <c r="O93" i="20"/>
  <c r="P93" i="20"/>
  <c r="Q93" i="20"/>
  <c r="R93" i="20"/>
  <c r="S93" i="20"/>
  <c r="T93" i="20"/>
  <c r="U93" i="20"/>
  <c r="V93" i="20"/>
  <c r="W93" i="20"/>
  <c r="X93" i="20"/>
  <c r="Y93" i="20"/>
  <c r="Z93" i="20"/>
  <c r="AA93" i="20"/>
  <c r="A94" i="20"/>
  <c r="B94" i="20"/>
  <c r="C94" i="20"/>
  <c r="D94" i="20"/>
  <c r="E94" i="20"/>
  <c r="F94" i="20"/>
  <c r="G94" i="20"/>
  <c r="H94" i="20"/>
  <c r="I94" i="20"/>
  <c r="J94" i="20"/>
  <c r="K94" i="20"/>
  <c r="L94" i="20"/>
  <c r="M94" i="20"/>
  <c r="N94" i="20"/>
  <c r="O94" i="20"/>
  <c r="P94" i="20"/>
  <c r="Q94" i="20"/>
  <c r="R94" i="20"/>
  <c r="S94" i="20"/>
  <c r="T94" i="20"/>
  <c r="U94" i="20"/>
  <c r="V94" i="20"/>
  <c r="W94" i="20"/>
  <c r="X94" i="20"/>
  <c r="Y94" i="20"/>
  <c r="Z94" i="20"/>
  <c r="AA94" i="20"/>
  <c r="A95" i="20"/>
  <c r="B95" i="20"/>
  <c r="C95" i="20"/>
  <c r="D95" i="20"/>
  <c r="E95" i="20"/>
  <c r="F95" i="20"/>
  <c r="G95" i="20"/>
  <c r="H95" i="20"/>
  <c r="I95" i="20"/>
  <c r="J95" i="20"/>
  <c r="K95" i="20"/>
  <c r="L95" i="20"/>
  <c r="M95" i="20"/>
  <c r="N95" i="20"/>
  <c r="O95" i="20"/>
  <c r="P95" i="20"/>
  <c r="Q95" i="20"/>
  <c r="R95" i="20"/>
  <c r="S95" i="20"/>
  <c r="T95" i="20"/>
  <c r="U95" i="20"/>
  <c r="V95" i="20"/>
  <c r="W95" i="20"/>
  <c r="X95" i="20"/>
  <c r="Y95" i="20"/>
  <c r="Z95" i="20"/>
  <c r="AA95" i="20"/>
  <c r="A96" i="20"/>
  <c r="B96" i="20"/>
  <c r="C96" i="20"/>
  <c r="D96" i="20"/>
  <c r="E96" i="20"/>
  <c r="F96" i="20"/>
  <c r="G96" i="20"/>
  <c r="H96" i="20"/>
  <c r="I96" i="20"/>
  <c r="J96" i="20"/>
  <c r="K96" i="20"/>
  <c r="L96" i="20"/>
  <c r="M96" i="20"/>
  <c r="N96" i="20"/>
  <c r="O96" i="20"/>
  <c r="P96" i="20"/>
  <c r="Q96" i="20"/>
  <c r="R96" i="20"/>
  <c r="S96" i="20"/>
  <c r="T96" i="20"/>
  <c r="U96" i="20"/>
  <c r="V96" i="20"/>
  <c r="W96" i="20"/>
  <c r="X96" i="20"/>
  <c r="Y96" i="20"/>
  <c r="Z96" i="20"/>
  <c r="AA96" i="20"/>
  <c r="A97" i="20"/>
  <c r="B97" i="20"/>
  <c r="C97" i="20"/>
  <c r="D97" i="20"/>
  <c r="E97" i="20"/>
  <c r="F97" i="20"/>
  <c r="G97" i="20"/>
  <c r="H97" i="20"/>
  <c r="I97" i="20"/>
  <c r="J97" i="20"/>
  <c r="K97" i="20"/>
  <c r="L97" i="20"/>
  <c r="M97" i="20"/>
  <c r="N97" i="20"/>
  <c r="O97" i="20"/>
  <c r="P97" i="20"/>
  <c r="Q97" i="20"/>
  <c r="R97" i="20"/>
  <c r="S97" i="20"/>
  <c r="T97" i="20"/>
  <c r="U97" i="20"/>
  <c r="V97" i="20"/>
  <c r="W97" i="20"/>
  <c r="X97" i="20"/>
  <c r="Y97" i="20"/>
  <c r="Z97" i="20"/>
  <c r="AA97" i="20"/>
  <c r="A98" i="20"/>
  <c r="B98" i="20"/>
  <c r="C98" i="20"/>
  <c r="D98" i="20"/>
  <c r="E98" i="20"/>
  <c r="F98" i="20"/>
  <c r="G98" i="20"/>
  <c r="H98" i="20"/>
  <c r="I98" i="20"/>
  <c r="J98" i="20"/>
  <c r="K98" i="20"/>
  <c r="L98" i="20"/>
  <c r="M98" i="20"/>
  <c r="N98" i="20"/>
  <c r="O98" i="20"/>
  <c r="P98" i="20"/>
  <c r="Q98" i="20"/>
  <c r="R98" i="20"/>
  <c r="S98" i="20"/>
  <c r="T98" i="20"/>
  <c r="U98" i="20"/>
  <c r="V98" i="20"/>
  <c r="W98" i="20"/>
  <c r="X98" i="20"/>
  <c r="Y98" i="20"/>
  <c r="Z98" i="20"/>
  <c r="AA98" i="20"/>
  <c r="A99" i="20"/>
  <c r="B99" i="20"/>
  <c r="C99" i="20"/>
  <c r="D99" i="20"/>
  <c r="E99" i="20"/>
  <c r="F99" i="20"/>
  <c r="G99" i="20"/>
  <c r="H99" i="20"/>
  <c r="I99" i="20"/>
  <c r="J99" i="20"/>
  <c r="K99" i="20"/>
  <c r="L99" i="20"/>
  <c r="M99" i="20"/>
  <c r="N99" i="20"/>
  <c r="O99" i="20"/>
  <c r="P99" i="20"/>
  <c r="Q99" i="20"/>
  <c r="R99" i="20"/>
  <c r="S99" i="20"/>
  <c r="T99" i="20"/>
  <c r="U99" i="20"/>
  <c r="V99" i="20"/>
  <c r="W99" i="20"/>
  <c r="X99" i="20"/>
  <c r="Y99" i="20"/>
  <c r="Z99" i="20"/>
  <c r="AA99" i="20"/>
  <c r="A100" i="20"/>
  <c r="B100" i="20"/>
  <c r="C100" i="20"/>
  <c r="D100" i="20"/>
  <c r="E100" i="20"/>
  <c r="F100" i="20"/>
  <c r="G100" i="20"/>
  <c r="H100" i="20"/>
  <c r="I100" i="20"/>
  <c r="J100" i="20"/>
  <c r="K100" i="20"/>
  <c r="L100" i="20"/>
  <c r="M100" i="20"/>
  <c r="N100" i="20"/>
  <c r="O100" i="20"/>
  <c r="P100" i="20"/>
  <c r="Q100" i="20"/>
  <c r="R100" i="20"/>
  <c r="S100" i="20"/>
  <c r="T100" i="20"/>
  <c r="U100" i="20"/>
  <c r="V100" i="20"/>
  <c r="W100" i="20"/>
  <c r="X100" i="20"/>
  <c r="Y100" i="20"/>
  <c r="Z100" i="20"/>
  <c r="AA100" i="20"/>
  <c r="A101" i="20"/>
  <c r="B101" i="20"/>
  <c r="C101" i="20"/>
  <c r="D101" i="20"/>
  <c r="E101" i="20"/>
  <c r="F101" i="20"/>
  <c r="G101" i="20"/>
  <c r="H101" i="20"/>
  <c r="I101" i="20"/>
  <c r="J101" i="20"/>
  <c r="K101" i="20"/>
  <c r="L101" i="20"/>
  <c r="M101" i="20"/>
  <c r="N101" i="20"/>
  <c r="O101" i="20"/>
  <c r="P101" i="20"/>
  <c r="Q101" i="20"/>
  <c r="R101" i="20"/>
  <c r="S101" i="20"/>
  <c r="T101" i="20"/>
  <c r="U101" i="20"/>
  <c r="V101" i="20"/>
  <c r="W101" i="20"/>
  <c r="X101" i="20"/>
  <c r="Y101" i="20"/>
  <c r="Z101" i="20"/>
  <c r="AA101" i="20"/>
  <c r="A102" i="20"/>
  <c r="B102" i="20"/>
  <c r="C102" i="20"/>
  <c r="D102" i="20"/>
  <c r="E102" i="20"/>
  <c r="F102" i="20"/>
  <c r="G102" i="20"/>
  <c r="H102" i="20"/>
  <c r="I102" i="20"/>
  <c r="J102" i="20"/>
  <c r="K102" i="20"/>
  <c r="L102" i="20"/>
  <c r="M102" i="20"/>
  <c r="N102" i="20"/>
  <c r="O102" i="20"/>
  <c r="P102" i="20"/>
  <c r="Q102" i="20"/>
  <c r="R102" i="20"/>
  <c r="S102" i="20"/>
  <c r="T102" i="20"/>
  <c r="U102" i="20"/>
  <c r="V102" i="20"/>
  <c r="W102" i="20"/>
  <c r="X102" i="20"/>
  <c r="Y102" i="20"/>
  <c r="Z102" i="20"/>
  <c r="AA102" i="20"/>
  <c r="A103" i="20"/>
  <c r="B103" i="20"/>
  <c r="C103" i="20"/>
  <c r="D103" i="20"/>
  <c r="E103" i="20"/>
  <c r="F103" i="20"/>
  <c r="G103" i="20"/>
  <c r="H103" i="20"/>
  <c r="I103" i="20"/>
  <c r="J103" i="20"/>
  <c r="K103" i="20"/>
  <c r="L103" i="20"/>
  <c r="M103" i="20"/>
  <c r="N103" i="20"/>
  <c r="O103" i="20"/>
  <c r="P103" i="20"/>
  <c r="Q103" i="20"/>
  <c r="R103" i="20"/>
  <c r="S103" i="20"/>
  <c r="T103" i="20"/>
  <c r="U103" i="20"/>
  <c r="V103" i="20"/>
  <c r="W103" i="20"/>
  <c r="X103" i="20"/>
  <c r="Y103" i="20"/>
  <c r="Z103" i="20"/>
  <c r="AA103" i="20"/>
  <c r="A104" i="20"/>
  <c r="B104" i="20"/>
  <c r="C104" i="20"/>
  <c r="D104" i="20"/>
  <c r="E104" i="20"/>
  <c r="F104" i="20"/>
  <c r="G104" i="20"/>
  <c r="H104" i="20"/>
  <c r="I104" i="20"/>
  <c r="J104" i="20"/>
  <c r="K104" i="20"/>
  <c r="L104" i="20"/>
  <c r="M104" i="20"/>
  <c r="N104" i="20"/>
  <c r="O104" i="20"/>
  <c r="P104" i="20"/>
  <c r="Q104" i="20"/>
  <c r="R104" i="20"/>
  <c r="S104" i="20"/>
  <c r="T104" i="20"/>
  <c r="U104" i="20"/>
  <c r="V104" i="20"/>
  <c r="W104" i="20"/>
  <c r="X104" i="20"/>
  <c r="Y104" i="20"/>
  <c r="Z104" i="20"/>
  <c r="AA104" i="20"/>
  <c r="A105" i="20"/>
  <c r="B105" i="20"/>
  <c r="C105" i="20"/>
  <c r="D105" i="20"/>
  <c r="E105" i="20"/>
  <c r="F105" i="20"/>
  <c r="G105" i="20"/>
  <c r="H105" i="20"/>
  <c r="I105" i="20"/>
  <c r="J105" i="20"/>
  <c r="K105" i="20"/>
  <c r="L105" i="20"/>
  <c r="M105" i="20"/>
  <c r="N105" i="20"/>
  <c r="O105" i="20"/>
  <c r="P105" i="20"/>
  <c r="Q105" i="20"/>
  <c r="R105" i="20"/>
  <c r="S105" i="20"/>
  <c r="T105" i="20"/>
  <c r="U105" i="20"/>
  <c r="V105" i="20"/>
  <c r="W105" i="20"/>
  <c r="X105" i="20"/>
  <c r="Y105" i="20"/>
  <c r="Z105" i="20"/>
  <c r="AA105" i="20"/>
  <c r="A106" i="20"/>
  <c r="B106" i="20"/>
  <c r="C106" i="20"/>
  <c r="D106" i="20"/>
  <c r="E106" i="20"/>
  <c r="F106" i="20"/>
  <c r="G106" i="20"/>
  <c r="H106" i="20"/>
  <c r="I106" i="20"/>
  <c r="J106" i="20"/>
  <c r="K106" i="20"/>
  <c r="L106" i="20"/>
  <c r="M106" i="20"/>
  <c r="N106" i="20"/>
  <c r="O106" i="20"/>
  <c r="P106" i="20"/>
  <c r="Q106" i="20"/>
  <c r="R106" i="20"/>
  <c r="S106" i="20"/>
  <c r="T106" i="20"/>
  <c r="U106" i="20"/>
  <c r="V106" i="20"/>
  <c r="W106" i="20"/>
  <c r="X106" i="20"/>
  <c r="Y106" i="20"/>
  <c r="Z106" i="20"/>
  <c r="AA106" i="20"/>
  <c r="A107" i="20"/>
  <c r="B107" i="20"/>
  <c r="C107" i="20"/>
  <c r="D107" i="20"/>
  <c r="E107" i="20"/>
  <c r="F107" i="20"/>
  <c r="G107" i="20"/>
  <c r="H107" i="20"/>
  <c r="I107" i="20"/>
  <c r="J107" i="20"/>
  <c r="K107" i="20"/>
  <c r="L107" i="20"/>
  <c r="M107" i="20"/>
  <c r="N107" i="20"/>
  <c r="O107" i="20"/>
  <c r="P107" i="20"/>
  <c r="Q107" i="20"/>
  <c r="R107" i="20"/>
  <c r="S107" i="20"/>
  <c r="T107" i="20"/>
  <c r="U107" i="20"/>
  <c r="V107" i="20"/>
  <c r="W107" i="20"/>
  <c r="X107" i="20"/>
  <c r="Y107" i="20"/>
  <c r="Z107" i="20"/>
  <c r="AA107" i="20"/>
  <c r="A108" i="20"/>
  <c r="B108" i="20"/>
  <c r="C108" i="20"/>
  <c r="D108" i="20"/>
  <c r="E108" i="20"/>
  <c r="F108" i="20"/>
  <c r="G108" i="20"/>
  <c r="H108" i="20"/>
  <c r="I108" i="20"/>
  <c r="J108" i="20"/>
  <c r="K108" i="20"/>
  <c r="L108" i="20"/>
  <c r="M108" i="20"/>
  <c r="N108" i="20"/>
  <c r="O108" i="20"/>
  <c r="P108" i="20"/>
  <c r="Q108" i="20"/>
  <c r="R108" i="20"/>
  <c r="S108" i="20"/>
  <c r="T108" i="20"/>
  <c r="U108" i="20"/>
  <c r="V108" i="20"/>
  <c r="W108" i="20"/>
  <c r="X108" i="20"/>
  <c r="Y108" i="20"/>
  <c r="Z108" i="20"/>
  <c r="AA108" i="20"/>
  <c r="A109" i="20"/>
  <c r="B109" i="20"/>
  <c r="C109" i="20"/>
  <c r="D109" i="20"/>
  <c r="E109" i="20"/>
  <c r="F109" i="20"/>
  <c r="G109" i="20"/>
  <c r="H109" i="20"/>
  <c r="I109" i="20"/>
  <c r="J109" i="20"/>
  <c r="K109" i="20"/>
  <c r="L109" i="20"/>
  <c r="M109" i="20"/>
  <c r="N109" i="20"/>
  <c r="O109" i="20"/>
  <c r="P109" i="20"/>
  <c r="Q109" i="20"/>
  <c r="R109" i="20"/>
  <c r="S109" i="20"/>
  <c r="T109" i="20"/>
  <c r="U109" i="20"/>
  <c r="V109" i="20"/>
  <c r="W109" i="20"/>
  <c r="X109" i="20"/>
  <c r="Y109" i="20"/>
  <c r="Z109" i="20"/>
  <c r="AA109" i="20"/>
  <c r="A2" i="20"/>
  <c r="B2" i="20"/>
  <c r="C2" i="20"/>
  <c r="D2" i="20"/>
  <c r="E2" i="20"/>
  <c r="F2" i="20"/>
  <c r="G2" i="20"/>
  <c r="H2" i="20"/>
  <c r="I2" i="20"/>
  <c r="J2" i="20"/>
  <c r="K2" i="20"/>
  <c r="L2" i="20"/>
  <c r="M2" i="20"/>
  <c r="N2" i="20"/>
  <c r="O2" i="20"/>
  <c r="P2" i="20"/>
  <c r="Q2" i="20"/>
  <c r="R2" i="20"/>
  <c r="S2" i="20"/>
  <c r="T2" i="20"/>
  <c r="U2" i="20"/>
  <c r="V2" i="20"/>
  <c r="W2" i="20"/>
  <c r="X2" i="20"/>
  <c r="Y2" i="20"/>
  <c r="Z2" i="20"/>
  <c r="AA2" i="20"/>
  <c r="A3" i="20"/>
  <c r="B3" i="20"/>
  <c r="C3" i="20"/>
  <c r="D3" i="20"/>
  <c r="E3" i="20"/>
  <c r="F3" i="20"/>
  <c r="G3" i="20"/>
  <c r="H3" i="20"/>
  <c r="I3" i="20"/>
  <c r="J3" i="20"/>
  <c r="K3" i="20"/>
  <c r="L3" i="20"/>
  <c r="M3" i="20"/>
  <c r="N3" i="20"/>
  <c r="O3" i="20"/>
  <c r="P3" i="20"/>
  <c r="Q3" i="20"/>
  <c r="R3" i="20"/>
  <c r="S3" i="20"/>
  <c r="T3" i="20"/>
  <c r="U3" i="20"/>
  <c r="V3" i="20"/>
  <c r="W3" i="20"/>
  <c r="X3" i="20"/>
  <c r="Y3" i="20"/>
  <c r="Z3" i="20"/>
  <c r="AA3" i="20"/>
  <c r="A4" i="20"/>
  <c r="B4" i="20"/>
  <c r="C4" i="20"/>
  <c r="D4" i="20"/>
  <c r="E4" i="20"/>
  <c r="F4" i="20"/>
  <c r="G4" i="20"/>
  <c r="H4" i="20"/>
  <c r="I4" i="20"/>
  <c r="J4" i="20"/>
  <c r="K4" i="20"/>
  <c r="L4" i="20"/>
  <c r="M4" i="20"/>
  <c r="N4" i="20"/>
  <c r="O4" i="20"/>
  <c r="P4" i="20"/>
  <c r="Q4" i="20"/>
  <c r="R4" i="20"/>
  <c r="S4" i="20"/>
  <c r="T4" i="20"/>
  <c r="U4" i="20"/>
  <c r="V4" i="20"/>
  <c r="W4" i="20"/>
  <c r="X4" i="20"/>
  <c r="Y4" i="20"/>
  <c r="Z4" i="20"/>
  <c r="AA4" i="20"/>
  <c r="A5" i="20"/>
  <c r="B5" i="20"/>
  <c r="C5" i="20"/>
  <c r="D5" i="20"/>
  <c r="E5" i="20"/>
  <c r="F5" i="20"/>
  <c r="G5" i="20"/>
  <c r="H5" i="20"/>
  <c r="I5" i="20"/>
  <c r="J5" i="20"/>
  <c r="K5" i="20"/>
  <c r="L5" i="20"/>
  <c r="M5" i="20"/>
  <c r="N5" i="20"/>
  <c r="O5" i="20"/>
  <c r="P5" i="20"/>
  <c r="Q5" i="20"/>
  <c r="R5" i="20"/>
  <c r="S5" i="20"/>
  <c r="T5" i="20"/>
  <c r="U5" i="20"/>
  <c r="V5" i="20"/>
  <c r="W5" i="20"/>
  <c r="X5" i="20"/>
  <c r="Y5" i="20"/>
  <c r="Z5" i="20"/>
  <c r="AA5" i="20"/>
  <c r="A6" i="20"/>
  <c r="B6" i="20"/>
  <c r="C6" i="20"/>
  <c r="D6" i="20"/>
  <c r="E6" i="20"/>
  <c r="F6" i="20"/>
  <c r="G6" i="20"/>
  <c r="H6" i="20"/>
  <c r="I6" i="20"/>
  <c r="J6" i="20"/>
  <c r="K6" i="20"/>
  <c r="L6" i="20"/>
  <c r="M6" i="20"/>
  <c r="N6" i="20"/>
  <c r="O6" i="20"/>
  <c r="P6" i="20"/>
  <c r="Q6" i="20"/>
  <c r="R6" i="20"/>
  <c r="S6" i="20"/>
  <c r="T6" i="20"/>
  <c r="U6" i="20"/>
  <c r="V6" i="20"/>
  <c r="W6" i="20"/>
  <c r="X6" i="20"/>
  <c r="Y6" i="20"/>
  <c r="Z6" i="20"/>
  <c r="AA6" i="20"/>
  <c r="A7" i="20"/>
  <c r="B7" i="20"/>
  <c r="C7" i="20"/>
  <c r="D7" i="20"/>
  <c r="E7" i="20"/>
  <c r="F7" i="20"/>
  <c r="G7" i="20"/>
  <c r="H7" i="20"/>
  <c r="I7" i="20"/>
  <c r="J7" i="20"/>
  <c r="K7" i="20"/>
  <c r="L7" i="20"/>
  <c r="M7" i="20"/>
  <c r="N7" i="20"/>
  <c r="O7" i="20"/>
  <c r="P7" i="20"/>
  <c r="Q7" i="20"/>
  <c r="R7" i="20"/>
  <c r="S7" i="20"/>
  <c r="T7" i="20"/>
  <c r="U7" i="20"/>
  <c r="V7" i="20"/>
  <c r="W7" i="20"/>
  <c r="X7" i="20"/>
  <c r="Y7" i="20"/>
  <c r="Z7" i="20"/>
  <c r="AA7" i="20"/>
  <c r="A8" i="20"/>
  <c r="B8" i="20"/>
  <c r="C8" i="20"/>
  <c r="D8" i="20"/>
  <c r="E8" i="20"/>
  <c r="F8" i="20"/>
  <c r="G8" i="20"/>
  <c r="H8" i="20"/>
  <c r="I8" i="20"/>
  <c r="J8" i="20"/>
  <c r="K8" i="20"/>
  <c r="L8" i="20"/>
  <c r="M8" i="20"/>
  <c r="N8" i="20"/>
  <c r="O8" i="20"/>
  <c r="P8" i="20"/>
  <c r="Q8" i="20"/>
  <c r="R8" i="20"/>
  <c r="S8" i="20"/>
  <c r="T8" i="20"/>
  <c r="U8" i="20"/>
  <c r="V8" i="20"/>
  <c r="W8" i="20"/>
  <c r="X8" i="20"/>
  <c r="Y8" i="20"/>
  <c r="Z8" i="20"/>
  <c r="AA8" i="20"/>
  <c r="A9" i="20"/>
  <c r="B9" i="20"/>
  <c r="C9" i="20"/>
  <c r="D9" i="20"/>
  <c r="E9" i="20"/>
  <c r="F9" i="20"/>
  <c r="G9" i="20"/>
  <c r="H9" i="20"/>
  <c r="I9" i="20"/>
  <c r="J9" i="20"/>
  <c r="K9" i="20"/>
  <c r="L9" i="20"/>
  <c r="M9" i="20"/>
  <c r="N9" i="20"/>
  <c r="O9" i="20"/>
  <c r="P9" i="20"/>
  <c r="Q9" i="20"/>
  <c r="R9" i="20"/>
  <c r="S9" i="20"/>
  <c r="T9" i="20"/>
  <c r="U9" i="20"/>
  <c r="V9" i="20"/>
  <c r="W9" i="20"/>
  <c r="X9" i="20"/>
  <c r="Y9" i="20"/>
  <c r="Z9" i="20"/>
  <c r="AA9" i="20"/>
  <c r="A10" i="20"/>
  <c r="B10" i="20"/>
  <c r="C10" i="20"/>
  <c r="D10" i="20"/>
  <c r="E10" i="20"/>
  <c r="F10" i="20"/>
  <c r="G10" i="20"/>
  <c r="H10" i="20"/>
  <c r="I10" i="20"/>
  <c r="J10" i="20"/>
  <c r="K10" i="20"/>
  <c r="L10" i="20"/>
  <c r="M10" i="20"/>
  <c r="N10" i="20"/>
  <c r="O10" i="20"/>
  <c r="P10" i="20"/>
  <c r="Q10" i="20"/>
  <c r="R10" i="20"/>
  <c r="S10" i="20"/>
  <c r="T10" i="20"/>
  <c r="U10" i="20"/>
  <c r="V10" i="20"/>
  <c r="W10" i="20"/>
  <c r="X10" i="20"/>
  <c r="Y10" i="20"/>
  <c r="Z10" i="20"/>
  <c r="AA10" i="20"/>
  <c r="A11" i="20"/>
  <c r="B11" i="20"/>
  <c r="C11" i="20"/>
  <c r="D11" i="20"/>
  <c r="E11" i="20"/>
  <c r="F11" i="20"/>
  <c r="G11" i="20"/>
  <c r="H11" i="20"/>
  <c r="I11" i="20"/>
  <c r="J11" i="20"/>
  <c r="K11" i="20"/>
  <c r="L11" i="20"/>
  <c r="M11" i="20"/>
  <c r="N11" i="20"/>
  <c r="O11" i="20"/>
  <c r="P11" i="20"/>
  <c r="Q11" i="20"/>
  <c r="R11" i="20"/>
  <c r="S11" i="20"/>
  <c r="T11" i="20"/>
  <c r="U11" i="20"/>
  <c r="V11" i="20"/>
  <c r="W11" i="20"/>
  <c r="X11" i="20"/>
  <c r="Y11" i="20"/>
  <c r="Z11" i="20"/>
  <c r="AA11" i="20"/>
  <c r="A12" i="20"/>
  <c r="B12" i="20"/>
  <c r="C12" i="20"/>
  <c r="D12" i="20"/>
  <c r="E12" i="20"/>
  <c r="F12" i="20"/>
  <c r="G12" i="20"/>
  <c r="H12" i="20"/>
  <c r="I12" i="20"/>
  <c r="J12" i="20"/>
  <c r="K12" i="20"/>
  <c r="L12" i="20"/>
  <c r="M12" i="20"/>
  <c r="N12" i="20"/>
  <c r="O12" i="20"/>
  <c r="P12" i="20"/>
  <c r="Q12" i="20"/>
  <c r="R12" i="20"/>
  <c r="S12" i="20"/>
  <c r="T12" i="20"/>
  <c r="U12" i="20"/>
  <c r="V12" i="20"/>
  <c r="W12" i="20"/>
  <c r="X12" i="20"/>
  <c r="Y12" i="20"/>
  <c r="Z12" i="20"/>
  <c r="AA12" i="20"/>
  <c r="A13" i="20"/>
  <c r="B13" i="20"/>
  <c r="C13" i="20"/>
  <c r="D13" i="20"/>
  <c r="E13" i="20"/>
  <c r="F13" i="20"/>
  <c r="G13" i="20"/>
  <c r="H13" i="20"/>
  <c r="I13" i="20"/>
  <c r="J13" i="20"/>
  <c r="K13" i="20"/>
  <c r="L13" i="20"/>
  <c r="M13" i="20"/>
  <c r="N13" i="20"/>
  <c r="O13" i="20"/>
  <c r="P13" i="20"/>
  <c r="Q13" i="20"/>
  <c r="R13" i="20"/>
  <c r="S13" i="20"/>
  <c r="T13" i="20"/>
  <c r="U13" i="20"/>
  <c r="V13" i="20"/>
  <c r="W13" i="20"/>
  <c r="X13" i="20"/>
  <c r="Y13" i="20"/>
  <c r="Z13" i="20"/>
  <c r="AA13" i="20"/>
  <c r="A14" i="20"/>
  <c r="B14" i="20"/>
  <c r="C14" i="20"/>
  <c r="D14" i="20"/>
  <c r="E14" i="20"/>
  <c r="F14" i="20"/>
  <c r="G14" i="20"/>
  <c r="H14" i="20"/>
  <c r="I14" i="20"/>
  <c r="J14" i="20"/>
  <c r="K14" i="20"/>
  <c r="L14" i="20"/>
  <c r="M14" i="20"/>
  <c r="N14" i="20"/>
  <c r="O14" i="20"/>
  <c r="P14" i="20"/>
  <c r="Q14" i="20"/>
  <c r="R14" i="20"/>
  <c r="S14" i="20"/>
  <c r="T14" i="20"/>
  <c r="U14" i="20"/>
  <c r="V14" i="20"/>
  <c r="W14" i="20"/>
  <c r="X14" i="20"/>
  <c r="Y14" i="20"/>
  <c r="Z14" i="20"/>
  <c r="AA14" i="20"/>
  <c r="A15" i="20"/>
  <c r="B15" i="20"/>
  <c r="C15" i="20"/>
  <c r="D15" i="20"/>
  <c r="E15" i="20"/>
  <c r="F15" i="20"/>
  <c r="G15" i="20"/>
  <c r="H15" i="20"/>
  <c r="I15" i="20"/>
  <c r="J15" i="20"/>
  <c r="K15" i="20"/>
  <c r="L15" i="20"/>
  <c r="M15" i="20"/>
  <c r="N15" i="20"/>
  <c r="O15" i="20"/>
  <c r="P15" i="20"/>
  <c r="Q15" i="20"/>
  <c r="R15" i="20"/>
  <c r="S15" i="20"/>
  <c r="T15" i="20"/>
  <c r="U15" i="20"/>
  <c r="V15" i="20"/>
  <c r="W15" i="20"/>
  <c r="X15" i="20"/>
  <c r="Y15" i="20"/>
  <c r="Z15" i="20"/>
  <c r="AA15" i="20"/>
  <c r="A16" i="20"/>
  <c r="B16" i="20"/>
  <c r="C16" i="20"/>
  <c r="D16" i="20"/>
  <c r="E16" i="20"/>
  <c r="F16" i="20"/>
  <c r="G16" i="20"/>
  <c r="H16" i="20"/>
  <c r="I16" i="20"/>
  <c r="J16" i="20"/>
  <c r="K16" i="20"/>
  <c r="L16" i="20"/>
  <c r="M16" i="20"/>
  <c r="N16" i="20"/>
  <c r="O16" i="20"/>
  <c r="P16" i="20"/>
  <c r="Q16" i="20"/>
  <c r="R16" i="20"/>
  <c r="S16" i="20"/>
  <c r="T16" i="20"/>
  <c r="U16" i="20"/>
  <c r="V16" i="20"/>
  <c r="W16" i="20"/>
  <c r="X16" i="20"/>
  <c r="Y16" i="20"/>
  <c r="Z16" i="20"/>
  <c r="AA16" i="20"/>
  <c r="A17" i="20"/>
  <c r="B17" i="20"/>
  <c r="C17" i="20"/>
  <c r="D17" i="20"/>
  <c r="E17" i="20"/>
  <c r="F17" i="20"/>
  <c r="G17" i="20"/>
  <c r="H17" i="20"/>
  <c r="I17" i="20"/>
  <c r="J17" i="20"/>
  <c r="K17" i="20"/>
  <c r="L17" i="20"/>
  <c r="M17" i="20"/>
  <c r="N17" i="20"/>
  <c r="O17" i="20"/>
  <c r="P17" i="20"/>
  <c r="Q17" i="20"/>
  <c r="R17" i="20"/>
  <c r="S17" i="20"/>
  <c r="T17" i="20"/>
  <c r="U17" i="20"/>
  <c r="V17" i="20"/>
  <c r="W17" i="20"/>
  <c r="X17" i="20"/>
  <c r="Y17" i="20"/>
  <c r="Z17" i="20"/>
  <c r="AA17" i="20"/>
  <c r="A18" i="20"/>
  <c r="B18" i="20"/>
  <c r="C18" i="20"/>
  <c r="D18" i="20"/>
  <c r="E18" i="20"/>
  <c r="F18" i="20"/>
  <c r="G18" i="20"/>
  <c r="H18" i="20"/>
  <c r="I18" i="20"/>
  <c r="J18" i="20"/>
  <c r="K18" i="20"/>
  <c r="L18" i="20"/>
  <c r="M18" i="20"/>
  <c r="N18" i="20"/>
  <c r="O18" i="20"/>
  <c r="P18" i="20"/>
  <c r="Q18" i="20"/>
  <c r="R18" i="20"/>
  <c r="S18" i="20"/>
  <c r="T18" i="20"/>
  <c r="U18" i="20"/>
  <c r="V18" i="20"/>
  <c r="W18" i="20"/>
  <c r="X18" i="20"/>
  <c r="Y18" i="20"/>
  <c r="Z18" i="20"/>
  <c r="AA18" i="20"/>
  <c r="A19" i="20"/>
  <c r="B19" i="20"/>
  <c r="C19" i="20"/>
  <c r="D19" i="20"/>
  <c r="E19" i="20"/>
  <c r="F19" i="20"/>
  <c r="G19" i="20"/>
  <c r="H19" i="20"/>
  <c r="I19" i="20"/>
  <c r="J19" i="20"/>
  <c r="K19" i="20"/>
  <c r="L19" i="20"/>
  <c r="M19" i="20"/>
  <c r="N19" i="20"/>
  <c r="O19" i="20"/>
  <c r="P19" i="20"/>
  <c r="Q19" i="20"/>
  <c r="R19" i="20"/>
  <c r="S19" i="20"/>
  <c r="T19" i="20"/>
  <c r="U19" i="20"/>
  <c r="V19" i="20"/>
  <c r="W19" i="20"/>
  <c r="X19" i="20"/>
  <c r="Y19" i="20"/>
  <c r="Z19" i="20"/>
  <c r="AA19" i="20"/>
  <c r="A20" i="20"/>
  <c r="B20" i="20"/>
  <c r="C20" i="20"/>
  <c r="D20" i="20"/>
  <c r="E20" i="20"/>
  <c r="F20" i="20"/>
  <c r="G20" i="20"/>
  <c r="H20" i="20"/>
  <c r="I20" i="20"/>
  <c r="J20" i="20"/>
  <c r="K20" i="20"/>
  <c r="L20" i="20"/>
  <c r="M20" i="20"/>
  <c r="N20" i="20"/>
  <c r="O20" i="20"/>
  <c r="P20" i="20"/>
  <c r="Q20" i="20"/>
  <c r="R20" i="20"/>
  <c r="S20" i="20"/>
  <c r="T20" i="20"/>
  <c r="U20" i="20"/>
  <c r="V20" i="20"/>
  <c r="W20" i="20"/>
  <c r="X20" i="20"/>
  <c r="Y20" i="20"/>
  <c r="Z20" i="20"/>
  <c r="AA20" i="20"/>
  <c r="A21" i="20"/>
  <c r="B21" i="20"/>
  <c r="C21" i="20"/>
  <c r="D21" i="20"/>
  <c r="E21" i="20"/>
  <c r="F21" i="20"/>
  <c r="G21" i="20"/>
  <c r="H21" i="20"/>
  <c r="I21" i="20"/>
  <c r="J21" i="20"/>
  <c r="K21" i="20"/>
  <c r="L21" i="20"/>
  <c r="M21" i="20"/>
  <c r="N21" i="20"/>
  <c r="O21" i="20"/>
  <c r="P21" i="20"/>
  <c r="Q21" i="20"/>
  <c r="R21" i="20"/>
  <c r="S21" i="20"/>
  <c r="T21" i="20"/>
  <c r="U21" i="20"/>
  <c r="V21" i="20"/>
  <c r="W21" i="20"/>
  <c r="X21" i="20"/>
  <c r="Y21" i="20"/>
  <c r="Z21" i="20"/>
  <c r="AA21" i="20"/>
  <c r="A22" i="20"/>
  <c r="B22" i="20"/>
  <c r="C22" i="20"/>
  <c r="D22" i="20"/>
  <c r="E22" i="20"/>
  <c r="F22" i="20"/>
  <c r="G22" i="20"/>
  <c r="H22" i="20"/>
  <c r="I22" i="20"/>
  <c r="J22" i="20"/>
  <c r="K22" i="20"/>
  <c r="L22" i="20"/>
  <c r="M22" i="20"/>
  <c r="N22" i="20"/>
  <c r="O22" i="20"/>
  <c r="P22" i="20"/>
  <c r="Q22" i="20"/>
  <c r="R22" i="20"/>
  <c r="S22" i="20"/>
  <c r="T22" i="20"/>
  <c r="U22" i="20"/>
  <c r="V22" i="20"/>
  <c r="W22" i="20"/>
  <c r="X22" i="20"/>
  <c r="Y22" i="20"/>
  <c r="Z22" i="20"/>
  <c r="AA22" i="20"/>
  <c r="A23" i="20"/>
  <c r="B23" i="20"/>
  <c r="C23" i="20"/>
  <c r="D23" i="20"/>
  <c r="E23" i="20"/>
  <c r="F23" i="20"/>
  <c r="G23" i="20"/>
  <c r="H23" i="20"/>
  <c r="I23" i="20"/>
  <c r="J23" i="20"/>
  <c r="K23" i="20"/>
  <c r="L23" i="20"/>
  <c r="M23" i="20"/>
  <c r="N23" i="20"/>
  <c r="O23" i="20"/>
  <c r="P23" i="20"/>
  <c r="Q23" i="20"/>
  <c r="R23" i="20"/>
  <c r="S23" i="20"/>
  <c r="T23" i="20"/>
  <c r="U23" i="20"/>
  <c r="V23" i="20"/>
  <c r="W23" i="20"/>
  <c r="X23" i="20"/>
  <c r="Y23" i="20"/>
  <c r="Z23" i="20"/>
  <c r="AA23" i="20"/>
  <c r="A24" i="20"/>
  <c r="B24" i="20"/>
  <c r="C24" i="20"/>
  <c r="D24" i="20"/>
  <c r="E24" i="20"/>
  <c r="F24" i="20"/>
  <c r="G24" i="20"/>
  <c r="H24" i="20"/>
  <c r="I24" i="20"/>
  <c r="J24" i="20"/>
  <c r="K24" i="20"/>
  <c r="L24" i="20"/>
  <c r="M24" i="20"/>
  <c r="N24" i="20"/>
  <c r="O24" i="20"/>
  <c r="P24" i="20"/>
  <c r="Q24" i="20"/>
  <c r="R24" i="20"/>
  <c r="S24" i="20"/>
  <c r="T24" i="20"/>
  <c r="U24" i="20"/>
  <c r="V24" i="20"/>
  <c r="W24" i="20"/>
  <c r="X24" i="20"/>
  <c r="Y24" i="20"/>
  <c r="Z24" i="20"/>
  <c r="AA24" i="20"/>
  <c r="A25" i="20"/>
  <c r="B25" i="20"/>
  <c r="C25" i="20"/>
  <c r="D25" i="20"/>
  <c r="E25" i="20"/>
  <c r="F25" i="20"/>
  <c r="G25" i="20"/>
  <c r="H25" i="20"/>
  <c r="I25" i="20"/>
  <c r="J25" i="20"/>
  <c r="K25" i="20"/>
  <c r="L25" i="20"/>
  <c r="M25" i="20"/>
  <c r="N25" i="20"/>
  <c r="O25" i="20"/>
  <c r="P25" i="20"/>
  <c r="Q25" i="20"/>
  <c r="R25" i="20"/>
  <c r="S25" i="20"/>
  <c r="T25" i="20"/>
  <c r="U25" i="20"/>
  <c r="V25" i="20"/>
  <c r="W25" i="20"/>
  <c r="X25" i="20"/>
  <c r="Y25" i="20"/>
  <c r="Z25" i="20"/>
  <c r="AA25" i="20"/>
  <c r="A26" i="20"/>
  <c r="B26" i="20"/>
  <c r="C26" i="20"/>
  <c r="D26" i="20"/>
  <c r="E26" i="20"/>
  <c r="F26" i="20"/>
  <c r="G26" i="20"/>
  <c r="H26" i="20"/>
  <c r="I26" i="20"/>
  <c r="J26" i="20"/>
  <c r="K26" i="20"/>
  <c r="L26" i="20"/>
  <c r="M26" i="20"/>
  <c r="N26" i="20"/>
  <c r="O26" i="20"/>
  <c r="P26" i="20"/>
  <c r="Q26" i="20"/>
  <c r="R26" i="20"/>
  <c r="S26" i="20"/>
  <c r="T26" i="20"/>
  <c r="U26" i="20"/>
  <c r="V26" i="20"/>
  <c r="W26" i="20"/>
  <c r="X26" i="20"/>
  <c r="Y26" i="20"/>
  <c r="Z26" i="20"/>
  <c r="AA26" i="20"/>
  <c r="A27" i="20"/>
  <c r="B27" i="20"/>
  <c r="C27" i="20"/>
  <c r="D27" i="20"/>
  <c r="E27" i="20"/>
  <c r="F27" i="20"/>
  <c r="G27" i="20"/>
  <c r="H27" i="20"/>
  <c r="I27" i="20"/>
  <c r="J27" i="20"/>
  <c r="K27" i="20"/>
  <c r="L27" i="20"/>
  <c r="M27" i="20"/>
  <c r="N27" i="20"/>
  <c r="O27" i="20"/>
  <c r="P27" i="20"/>
  <c r="Q27" i="20"/>
  <c r="R27" i="20"/>
  <c r="S27" i="20"/>
  <c r="T27" i="20"/>
  <c r="U27" i="20"/>
  <c r="V27" i="20"/>
  <c r="W27" i="20"/>
  <c r="X27" i="20"/>
  <c r="Y27" i="20"/>
  <c r="Z27" i="20"/>
  <c r="AA27" i="20"/>
  <c r="A28" i="20"/>
  <c r="B28" i="20"/>
  <c r="C28" i="20"/>
  <c r="D28" i="20"/>
  <c r="E28" i="20"/>
  <c r="F28" i="20"/>
  <c r="G28" i="20"/>
  <c r="H28" i="20"/>
  <c r="I28" i="20"/>
  <c r="J28" i="20"/>
  <c r="K28" i="20"/>
  <c r="L28" i="20"/>
  <c r="M28" i="20"/>
  <c r="N28" i="20"/>
  <c r="O28" i="20"/>
  <c r="P28" i="20"/>
  <c r="Q28" i="20"/>
  <c r="R28" i="20"/>
  <c r="S28" i="20"/>
  <c r="T28" i="20"/>
  <c r="U28" i="20"/>
  <c r="V28" i="20"/>
  <c r="W28" i="20"/>
  <c r="X28" i="20"/>
  <c r="Y28" i="20"/>
  <c r="Z28" i="20"/>
  <c r="AA28" i="20"/>
  <c r="A29" i="20"/>
  <c r="B29" i="20"/>
  <c r="C29" i="20"/>
  <c r="D29" i="20"/>
  <c r="E29" i="20"/>
  <c r="F29" i="20"/>
  <c r="G29" i="20"/>
  <c r="H29" i="20"/>
  <c r="I29" i="20"/>
  <c r="J29" i="20"/>
  <c r="K29" i="20"/>
  <c r="L29" i="20"/>
  <c r="M29" i="20"/>
  <c r="N29" i="20"/>
  <c r="O29" i="20"/>
  <c r="P29" i="20"/>
  <c r="Q29" i="20"/>
  <c r="R29" i="20"/>
  <c r="S29" i="20"/>
  <c r="T29" i="20"/>
  <c r="U29" i="20"/>
  <c r="V29" i="20"/>
  <c r="W29" i="20"/>
  <c r="X29" i="20"/>
  <c r="Y29" i="20"/>
  <c r="Z29" i="20"/>
  <c r="AA29" i="20"/>
  <c r="A30" i="20"/>
  <c r="B30" i="20"/>
  <c r="C30" i="20"/>
  <c r="D30" i="20"/>
  <c r="E30" i="20"/>
  <c r="F30" i="20"/>
  <c r="G30" i="20"/>
  <c r="H30" i="20"/>
  <c r="I30" i="20"/>
  <c r="J30" i="20"/>
  <c r="K30" i="20"/>
  <c r="L30" i="20"/>
  <c r="M30" i="20"/>
  <c r="N30" i="20"/>
  <c r="O30" i="20"/>
  <c r="P30" i="20"/>
  <c r="Q30" i="20"/>
  <c r="R30" i="20"/>
  <c r="S30" i="20"/>
  <c r="T30" i="20"/>
  <c r="U30" i="20"/>
  <c r="V30" i="20"/>
  <c r="W30" i="20"/>
  <c r="X30" i="20"/>
  <c r="Y30" i="20"/>
  <c r="Z30" i="20"/>
  <c r="AA30" i="20"/>
  <c r="A31" i="20"/>
  <c r="B31" i="20"/>
  <c r="C31" i="20"/>
  <c r="D31" i="20"/>
  <c r="E31" i="20"/>
  <c r="F31" i="20"/>
  <c r="G31" i="20"/>
  <c r="H31" i="20"/>
  <c r="I31" i="20"/>
  <c r="J31" i="20"/>
  <c r="K31" i="20"/>
  <c r="L31" i="20"/>
  <c r="M31" i="20"/>
  <c r="N31" i="20"/>
  <c r="O31" i="20"/>
  <c r="P31" i="20"/>
  <c r="Q31" i="20"/>
  <c r="R31" i="20"/>
  <c r="S31" i="20"/>
  <c r="T31" i="20"/>
  <c r="U31" i="20"/>
  <c r="V31" i="20"/>
  <c r="W31" i="20"/>
  <c r="X31" i="20"/>
  <c r="Y31" i="20"/>
  <c r="Z31" i="20"/>
  <c r="AA31" i="20"/>
  <c r="A32" i="20"/>
  <c r="B32" i="20"/>
  <c r="C32" i="20"/>
  <c r="D32" i="20"/>
  <c r="E32" i="20"/>
  <c r="F32" i="20"/>
  <c r="G32" i="20"/>
  <c r="H32" i="20"/>
  <c r="I32" i="20"/>
  <c r="J32" i="20"/>
  <c r="K32" i="20"/>
  <c r="L32" i="20"/>
  <c r="M32" i="20"/>
  <c r="N32" i="20"/>
  <c r="O32" i="20"/>
  <c r="P32" i="20"/>
  <c r="Q32" i="20"/>
  <c r="R32" i="20"/>
  <c r="S32" i="20"/>
  <c r="T32" i="20"/>
  <c r="U32" i="20"/>
  <c r="V32" i="20"/>
  <c r="W32" i="20"/>
  <c r="X32" i="20"/>
  <c r="Y32" i="20"/>
  <c r="Z32" i="20"/>
  <c r="AA32" i="20"/>
  <c r="A33" i="20"/>
  <c r="B33" i="20"/>
  <c r="C33" i="20"/>
  <c r="D33" i="20"/>
  <c r="E33" i="20"/>
  <c r="F33" i="20"/>
  <c r="G33" i="20"/>
  <c r="H33" i="20"/>
  <c r="I33" i="20"/>
  <c r="J33" i="20"/>
  <c r="K33" i="20"/>
  <c r="L33" i="20"/>
  <c r="M33" i="20"/>
  <c r="N33" i="20"/>
  <c r="O33" i="20"/>
  <c r="P33" i="20"/>
  <c r="Q33" i="20"/>
  <c r="R33" i="20"/>
  <c r="S33" i="20"/>
  <c r="T33" i="20"/>
  <c r="U33" i="20"/>
  <c r="V33" i="20"/>
  <c r="W33" i="20"/>
  <c r="X33" i="20"/>
  <c r="Y33" i="20"/>
  <c r="Z33" i="20"/>
  <c r="AA33" i="20"/>
  <c r="A34" i="20"/>
  <c r="B34" i="20"/>
  <c r="C34" i="20"/>
  <c r="D34" i="20"/>
  <c r="E34" i="20"/>
  <c r="F34" i="20"/>
  <c r="G34" i="20"/>
  <c r="H34" i="20"/>
  <c r="I34" i="20"/>
  <c r="J34" i="20"/>
  <c r="K34" i="20"/>
  <c r="L34" i="20"/>
  <c r="M34" i="20"/>
  <c r="N34" i="20"/>
  <c r="O34" i="20"/>
  <c r="P34" i="20"/>
  <c r="Q34" i="20"/>
  <c r="R34" i="20"/>
  <c r="S34" i="20"/>
  <c r="T34" i="20"/>
  <c r="U34" i="20"/>
  <c r="V34" i="20"/>
  <c r="W34" i="20"/>
  <c r="X34" i="20"/>
  <c r="Y34" i="20"/>
  <c r="Z34" i="20"/>
  <c r="AA34" i="20"/>
  <c r="A35" i="20"/>
  <c r="B35" i="20"/>
  <c r="C35" i="20"/>
  <c r="D35" i="20"/>
  <c r="E35" i="20"/>
  <c r="F35" i="20"/>
  <c r="G35" i="20"/>
  <c r="H35" i="20"/>
  <c r="I35" i="20"/>
  <c r="J35" i="20"/>
  <c r="K35" i="20"/>
  <c r="L35" i="20"/>
  <c r="M35" i="20"/>
  <c r="N35" i="20"/>
  <c r="O35" i="20"/>
  <c r="P35" i="20"/>
  <c r="Q35" i="20"/>
  <c r="R35" i="20"/>
  <c r="S35" i="20"/>
  <c r="T35" i="20"/>
  <c r="U35" i="20"/>
  <c r="V35" i="20"/>
  <c r="W35" i="20"/>
  <c r="X35" i="20"/>
  <c r="Y35" i="20"/>
  <c r="Z35" i="20"/>
  <c r="AA35" i="20"/>
  <c r="A36" i="20"/>
  <c r="B36" i="20"/>
  <c r="C36" i="20"/>
  <c r="D36" i="20"/>
  <c r="E36" i="20"/>
  <c r="F36" i="20"/>
  <c r="G36" i="20"/>
  <c r="H36" i="20"/>
  <c r="I36" i="20"/>
  <c r="J36" i="20"/>
  <c r="K36" i="20"/>
  <c r="L36" i="20"/>
  <c r="M36" i="20"/>
  <c r="N36" i="20"/>
  <c r="O36" i="20"/>
  <c r="P36" i="20"/>
  <c r="Q36" i="20"/>
  <c r="R36" i="20"/>
  <c r="S36" i="20"/>
  <c r="T36" i="20"/>
  <c r="U36" i="20"/>
  <c r="V36" i="20"/>
  <c r="W36" i="20"/>
  <c r="X36" i="20"/>
  <c r="Y36" i="20"/>
  <c r="Z36" i="20"/>
  <c r="AA36" i="20"/>
  <c r="A37" i="20"/>
  <c r="B37" i="20"/>
  <c r="C37" i="20"/>
  <c r="D37" i="20"/>
  <c r="E37" i="20"/>
  <c r="F37" i="20"/>
  <c r="G37" i="20"/>
  <c r="H37" i="20"/>
  <c r="I37" i="20"/>
  <c r="J37" i="20"/>
  <c r="K37" i="20"/>
  <c r="L37" i="20"/>
  <c r="M37" i="20"/>
  <c r="N37" i="20"/>
  <c r="O37" i="20"/>
  <c r="P37" i="20"/>
  <c r="Q37" i="20"/>
  <c r="R37" i="20"/>
  <c r="S37" i="20"/>
  <c r="T37" i="20"/>
  <c r="U37" i="20"/>
  <c r="V37" i="20"/>
  <c r="W37" i="20"/>
  <c r="X37" i="20"/>
  <c r="Y37" i="20"/>
  <c r="Z37" i="20"/>
  <c r="AA37" i="20"/>
  <c r="A38" i="20"/>
  <c r="B38" i="20"/>
  <c r="C38" i="20"/>
  <c r="D38" i="20"/>
  <c r="E38" i="20"/>
  <c r="F38" i="20"/>
  <c r="G38" i="20"/>
  <c r="H38" i="20"/>
  <c r="I38" i="20"/>
  <c r="J38" i="20"/>
  <c r="K38" i="20"/>
  <c r="L38" i="20"/>
  <c r="M38" i="20"/>
  <c r="N38" i="20"/>
  <c r="O38" i="20"/>
  <c r="P38" i="20"/>
  <c r="Q38" i="20"/>
  <c r="R38" i="20"/>
  <c r="S38" i="20"/>
  <c r="T38" i="20"/>
  <c r="U38" i="20"/>
  <c r="V38" i="20"/>
  <c r="W38" i="20"/>
  <c r="X38" i="20"/>
  <c r="Y38" i="20"/>
  <c r="Z38" i="20"/>
  <c r="AA38" i="20"/>
  <c r="A39" i="20"/>
  <c r="B39" i="20"/>
  <c r="C39" i="20"/>
  <c r="D39" i="20"/>
  <c r="E39" i="20"/>
  <c r="F39" i="20"/>
  <c r="G39" i="20"/>
  <c r="H39" i="20"/>
  <c r="I39" i="20"/>
  <c r="J39" i="20"/>
  <c r="K39" i="20"/>
  <c r="L39" i="20"/>
  <c r="M39" i="20"/>
  <c r="N39" i="20"/>
  <c r="O39" i="20"/>
  <c r="P39" i="20"/>
  <c r="Q39" i="20"/>
  <c r="R39" i="20"/>
  <c r="S39" i="20"/>
  <c r="T39" i="20"/>
  <c r="U39" i="20"/>
  <c r="V39" i="20"/>
  <c r="W39" i="20"/>
  <c r="X39" i="20"/>
  <c r="Y39" i="20"/>
  <c r="Z39" i="20"/>
  <c r="AA39" i="20"/>
  <c r="A40" i="20"/>
  <c r="B40" i="20"/>
  <c r="C40" i="20"/>
  <c r="D40" i="20"/>
  <c r="E40" i="20"/>
  <c r="F40" i="20"/>
  <c r="G40" i="20"/>
  <c r="H40" i="20"/>
  <c r="I40" i="20"/>
  <c r="J40" i="20"/>
  <c r="K40" i="20"/>
  <c r="L40" i="20"/>
  <c r="M40" i="20"/>
  <c r="N40" i="20"/>
  <c r="O40" i="20"/>
  <c r="P40" i="20"/>
  <c r="Q40" i="20"/>
  <c r="R40" i="20"/>
  <c r="S40" i="20"/>
  <c r="T40" i="20"/>
  <c r="U40" i="20"/>
  <c r="V40" i="20"/>
  <c r="W40" i="20"/>
  <c r="X40" i="20"/>
  <c r="Y40" i="20"/>
  <c r="Z40" i="20"/>
  <c r="AA40" i="20"/>
  <c r="A41" i="20"/>
  <c r="B41" i="20"/>
  <c r="C41" i="20"/>
  <c r="D41" i="20"/>
  <c r="E41" i="20"/>
  <c r="F41" i="20"/>
  <c r="G41" i="20"/>
  <c r="H41" i="20"/>
  <c r="I41" i="20"/>
  <c r="J41" i="20"/>
  <c r="K41" i="20"/>
  <c r="L41" i="20"/>
  <c r="M41" i="20"/>
  <c r="N41" i="20"/>
  <c r="O41" i="20"/>
  <c r="P41" i="20"/>
  <c r="Q41" i="20"/>
  <c r="R41" i="20"/>
  <c r="S41" i="20"/>
  <c r="T41" i="20"/>
  <c r="U41" i="20"/>
  <c r="V41" i="20"/>
  <c r="W41" i="20"/>
  <c r="X41" i="20"/>
  <c r="Y41" i="20"/>
  <c r="Z41" i="20"/>
  <c r="AA41" i="20"/>
  <c r="A42" i="20"/>
  <c r="B42" i="20"/>
  <c r="C42" i="20"/>
  <c r="D42" i="20"/>
  <c r="E42" i="20"/>
  <c r="F42" i="20"/>
  <c r="G42" i="20"/>
  <c r="H42" i="20"/>
  <c r="I42" i="20"/>
  <c r="J42" i="20"/>
  <c r="K42" i="20"/>
  <c r="L42" i="20"/>
  <c r="M42" i="20"/>
  <c r="N42" i="20"/>
  <c r="O42" i="20"/>
  <c r="P42" i="20"/>
  <c r="Q42" i="20"/>
  <c r="R42" i="20"/>
  <c r="S42" i="20"/>
  <c r="T42" i="20"/>
  <c r="U42" i="20"/>
  <c r="V42" i="20"/>
  <c r="W42" i="20"/>
  <c r="X42" i="20"/>
  <c r="Y42" i="20"/>
  <c r="Z42" i="20"/>
  <c r="AA42" i="20"/>
  <c r="A43" i="20"/>
  <c r="B43" i="20"/>
  <c r="C43" i="20"/>
  <c r="D43" i="20"/>
  <c r="E43" i="20"/>
  <c r="F43" i="20"/>
  <c r="G43" i="20"/>
  <c r="H43" i="20"/>
  <c r="I43" i="20"/>
  <c r="J43" i="20"/>
  <c r="K43" i="20"/>
  <c r="L43" i="20"/>
  <c r="M43" i="20"/>
  <c r="N43" i="20"/>
  <c r="O43" i="20"/>
  <c r="P43" i="20"/>
  <c r="Q43" i="20"/>
  <c r="R43" i="20"/>
  <c r="S43" i="20"/>
  <c r="T43" i="20"/>
  <c r="U43" i="20"/>
  <c r="V43" i="20"/>
  <c r="W43" i="20"/>
  <c r="X43" i="20"/>
  <c r="Y43" i="20"/>
  <c r="Z43" i="20"/>
  <c r="AA43" i="20"/>
  <c r="A44" i="20"/>
  <c r="B44" i="20"/>
  <c r="C44" i="20"/>
  <c r="D44" i="20"/>
  <c r="E44" i="20"/>
  <c r="F44" i="20"/>
  <c r="G44" i="20"/>
  <c r="H44" i="20"/>
  <c r="I44" i="20"/>
  <c r="J44" i="20"/>
  <c r="K44" i="20"/>
  <c r="L44" i="20"/>
  <c r="M44" i="20"/>
  <c r="N44" i="20"/>
  <c r="O44" i="20"/>
  <c r="P44" i="20"/>
  <c r="Q44" i="20"/>
  <c r="R44" i="20"/>
  <c r="S44" i="20"/>
  <c r="T44" i="20"/>
  <c r="U44" i="20"/>
  <c r="V44" i="20"/>
  <c r="W44" i="20"/>
  <c r="X44" i="20"/>
  <c r="Y44" i="20"/>
  <c r="Z44" i="20"/>
  <c r="AA44" i="20"/>
  <c r="A45" i="20"/>
  <c r="B45" i="20"/>
  <c r="C45" i="20"/>
  <c r="D45" i="20"/>
  <c r="E45" i="20"/>
  <c r="F45" i="20"/>
  <c r="G45" i="20"/>
  <c r="H45" i="20"/>
  <c r="I45" i="20"/>
  <c r="J45" i="20"/>
  <c r="K45" i="20"/>
  <c r="L45" i="20"/>
  <c r="M45" i="20"/>
  <c r="N45" i="20"/>
  <c r="O45" i="20"/>
  <c r="P45" i="20"/>
  <c r="Q45" i="20"/>
  <c r="R45" i="20"/>
  <c r="S45" i="20"/>
  <c r="T45" i="20"/>
  <c r="U45" i="20"/>
  <c r="V45" i="20"/>
  <c r="W45" i="20"/>
  <c r="X45" i="20"/>
  <c r="Y45" i="20"/>
  <c r="Z45" i="20"/>
  <c r="AA45" i="20"/>
  <c r="A46" i="20"/>
  <c r="B46" i="20"/>
  <c r="C46" i="20"/>
  <c r="D46" i="20"/>
  <c r="E46" i="20"/>
  <c r="F46" i="20"/>
  <c r="G46" i="20"/>
  <c r="H46" i="20"/>
  <c r="I46" i="20"/>
  <c r="J46" i="20"/>
  <c r="K46" i="20"/>
  <c r="L46" i="20"/>
  <c r="M46" i="20"/>
  <c r="N46" i="20"/>
  <c r="O46" i="20"/>
  <c r="P46" i="20"/>
  <c r="Q46" i="20"/>
  <c r="R46" i="20"/>
  <c r="S46" i="20"/>
  <c r="T46" i="20"/>
  <c r="U46" i="20"/>
  <c r="V46" i="20"/>
  <c r="W46" i="20"/>
  <c r="X46" i="20"/>
  <c r="Y46" i="20"/>
  <c r="Z46" i="20"/>
  <c r="AA46" i="20"/>
  <c r="A47" i="20"/>
  <c r="B47" i="20"/>
  <c r="C47" i="20"/>
  <c r="D47" i="20"/>
  <c r="E47" i="20"/>
  <c r="F47" i="20"/>
  <c r="G47" i="20"/>
  <c r="H47" i="20"/>
  <c r="I47" i="20"/>
  <c r="J47" i="20"/>
  <c r="K47" i="20"/>
  <c r="L47" i="20"/>
  <c r="M47" i="20"/>
  <c r="N47" i="20"/>
  <c r="O47" i="20"/>
  <c r="P47" i="20"/>
  <c r="Q47" i="20"/>
  <c r="R47" i="20"/>
  <c r="S47" i="20"/>
  <c r="T47" i="20"/>
  <c r="U47" i="20"/>
  <c r="V47" i="20"/>
  <c r="W47" i="20"/>
  <c r="X47" i="20"/>
  <c r="Y47" i="20"/>
  <c r="Z47" i="20"/>
  <c r="AA47" i="20"/>
  <c r="A48" i="20"/>
  <c r="B48" i="20"/>
  <c r="C48" i="20"/>
  <c r="D48" i="20"/>
  <c r="E48" i="20"/>
  <c r="F48" i="20"/>
  <c r="G48" i="20"/>
  <c r="H48" i="20"/>
  <c r="I48" i="20"/>
  <c r="J48" i="20"/>
  <c r="K48" i="20"/>
  <c r="L48" i="20"/>
  <c r="M48" i="20"/>
  <c r="N48" i="20"/>
  <c r="O48" i="20"/>
  <c r="P48" i="20"/>
  <c r="Q48" i="20"/>
  <c r="R48" i="20"/>
  <c r="S48" i="20"/>
  <c r="T48" i="20"/>
  <c r="U48" i="20"/>
  <c r="V48" i="20"/>
  <c r="W48" i="20"/>
  <c r="X48" i="20"/>
  <c r="Y48" i="20"/>
  <c r="Z48" i="20"/>
  <c r="AA48" i="20"/>
  <c r="A49" i="20"/>
  <c r="B49" i="20"/>
  <c r="C49" i="20"/>
  <c r="D49" i="20"/>
  <c r="E49" i="20"/>
  <c r="F49" i="20"/>
  <c r="G49" i="20"/>
  <c r="H49" i="20"/>
  <c r="I49" i="20"/>
  <c r="J49" i="20"/>
  <c r="K49" i="20"/>
  <c r="L49" i="20"/>
  <c r="M49" i="20"/>
  <c r="N49" i="20"/>
  <c r="O49" i="20"/>
  <c r="P49" i="20"/>
  <c r="Q49" i="20"/>
  <c r="R49" i="20"/>
  <c r="S49" i="20"/>
  <c r="T49" i="20"/>
  <c r="U49" i="20"/>
  <c r="V49" i="20"/>
  <c r="W49" i="20"/>
  <c r="X49" i="20"/>
  <c r="Y49" i="20"/>
  <c r="Z49" i="20"/>
  <c r="AA49" i="20"/>
  <c r="A50" i="20"/>
  <c r="B50" i="20"/>
  <c r="C50" i="20"/>
  <c r="D50" i="20"/>
  <c r="E50" i="20"/>
  <c r="F50" i="20"/>
  <c r="G50" i="20"/>
  <c r="H50" i="20"/>
  <c r="I50" i="20"/>
  <c r="J50" i="20"/>
  <c r="K50" i="20"/>
  <c r="L50" i="20"/>
  <c r="M50" i="20"/>
  <c r="N50" i="20"/>
  <c r="O50" i="20"/>
  <c r="P50" i="20"/>
  <c r="Q50" i="20"/>
  <c r="R50" i="20"/>
  <c r="S50" i="20"/>
  <c r="T50" i="20"/>
  <c r="U50" i="20"/>
  <c r="V50" i="20"/>
  <c r="W50" i="20"/>
  <c r="X50" i="20"/>
  <c r="Y50" i="20"/>
  <c r="Z50" i="20"/>
  <c r="AA50" i="20"/>
  <c r="A51" i="20"/>
  <c r="B51" i="20"/>
  <c r="C51" i="20"/>
  <c r="D51" i="20"/>
  <c r="E51" i="20"/>
  <c r="F51" i="20"/>
  <c r="G51" i="20"/>
  <c r="H51" i="20"/>
  <c r="I51" i="20"/>
  <c r="J51" i="20"/>
  <c r="K51" i="20"/>
  <c r="L51" i="20"/>
  <c r="M51" i="20"/>
  <c r="N51" i="20"/>
  <c r="O51" i="20"/>
  <c r="P51" i="20"/>
  <c r="Q51" i="20"/>
  <c r="R51" i="20"/>
  <c r="S51" i="20"/>
  <c r="T51" i="20"/>
  <c r="U51" i="20"/>
  <c r="V51" i="20"/>
  <c r="W51" i="20"/>
  <c r="X51" i="20"/>
  <c r="Y51" i="20"/>
  <c r="Z51" i="20"/>
  <c r="AA51" i="20"/>
  <c r="A52" i="20"/>
  <c r="B52" i="20"/>
  <c r="C52" i="20"/>
  <c r="D52" i="20"/>
  <c r="E52" i="20"/>
  <c r="F52" i="20"/>
  <c r="G52" i="20"/>
  <c r="H52" i="20"/>
  <c r="I52" i="20"/>
  <c r="J52" i="20"/>
  <c r="K52" i="20"/>
  <c r="L52" i="20"/>
  <c r="M52" i="20"/>
  <c r="N52" i="20"/>
  <c r="O52" i="20"/>
  <c r="P52" i="20"/>
  <c r="Q52" i="20"/>
  <c r="R52" i="20"/>
  <c r="S52" i="20"/>
  <c r="T52" i="20"/>
  <c r="U52" i="20"/>
  <c r="V52" i="20"/>
  <c r="W52" i="20"/>
  <c r="X52" i="20"/>
  <c r="Y52" i="20"/>
  <c r="Z52" i="20"/>
  <c r="AA52" i="20"/>
  <c r="A53" i="20"/>
  <c r="B53" i="20"/>
  <c r="C53" i="20"/>
  <c r="D53" i="20"/>
  <c r="E53" i="20"/>
  <c r="F53" i="20"/>
  <c r="G53" i="20"/>
  <c r="H53" i="20"/>
  <c r="I53" i="20"/>
  <c r="J53" i="20"/>
  <c r="K53" i="20"/>
  <c r="L53" i="20"/>
  <c r="M53" i="20"/>
  <c r="N53" i="20"/>
  <c r="O53" i="20"/>
  <c r="P53" i="20"/>
  <c r="Q53" i="20"/>
  <c r="R53" i="20"/>
  <c r="S53" i="20"/>
  <c r="T53" i="20"/>
  <c r="U53" i="20"/>
  <c r="V53" i="20"/>
  <c r="W53" i="20"/>
  <c r="X53" i="20"/>
  <c r="Y53" i="20"/>
  <c r="Z53" i="20"/>
  <c r="AA53" i="20"/>
  <c r="A54" i="20"/>
  <c r="B54" i="20"/>
  <c r="C54" i="20"/>
  <c r="D54" i="20"/>
  <c r="E54" i="20"/>
  <c r="F54" i="20"/>
  <c r="G54" i="20"/>
  <c r="H54" i="20"/>
  <c r="I54" i="20"/>
  <c r="J54" i="20"/>
  <c r="K54" i="20"/>
  <c r="L54" i="20"/>
  <c r="M54" i="20"/>
  <c r="N54" i="20"/>
  <c r="O54" i="20"/>
  <c r="P54" i="20"/>
  <c r="Q54" i="20"/>
  <c r="R54" i="20"/>
  <c r="S54" i="20"/>
  <c r="T54" i="20"/>
  <c r="U54" i="20"/>
  <c r="V54" i="20"/>
  <c r="W54" i="20"/>
  <c r="X54" i="20"/>
  <c r="Y54" i="20"/>
  <c r="Z54" i="20"/>
  <c r="AA54" i="20"/>
  <c r="A55" i="20"/>
  <c r="B55" i="20"/>
  <c r="C55" i="20"/>
  <c r="D55" i="20"/>
  <c r="E55" i="20"/>
  <c r="F55" i="20"/>
  <c r="G55" i="20"/>
  <c r="H55" i="20"/>
  <c r="I55" i="20"/>
  <c r="J55" i="20"/>
  <c r="K55" i="20"/>
  <c r="L55" i="20"/>
  <c r="M55" i="20"/>
  <c r="N55" i="20"/>
  <c r="O55" i="20"/>
  <c r="P55" i="20"/>
  <c r="Q55" i="20"/>
  <c r="R55" i="20"/>
  <c r="S55" i="20"/>
  <c r="T55" i="20"/>
  <c r="U55" i="20"/>
  <c r="V55" i="20"/>
  <c r="W55" i="20"/>
  <c r="X55" i="20"/>
  <c r="Y55" i="20"/>
  <c r="Z55" i="20"/>
  <c r="AA55" i="20"/>
  <c r="D56" i="19"/>
  <c r="E56" i="19"/>
  <c r="F56" i="19"/>
  <c r="G56" i="19"/>
  <c r="H56" i="19"/>
  <c r="I56" i="19"/>
  <c r="J56" i="19"/>
  <c r="K56" i="19"/>
  <c r="L56" i="19"/>
  <c r="M56" i="19"/>
  <c r="N56" i="19"/>
  <c r="O56" i="19"/>
  <c r="P56" i="19"/>
  <c r="Q56" i="19"/>
  <c r="R56" i="19"/>
  <c r="S56" i="19"/>
  <c r="T56" i="19"/>
  <c r="U56" i="19"/>
  <c r="V56" i="19"/>
  <c r="W56" i="19"/>
  <c r="X56" i="19"/>
  <c r="Y56" i="19"/>
  <c r="Z56" i="19"/>
  <c r="AA56" i="19"/>
  <c r="D57" i="19"/>
  <c r="E57" i="19"/>
  <c r="F57" i="19"/>
  <c r="G57" i="19"/>
  <c r="H57" i="19"/>
  <c r="I57" i="19"/>
  <c r="J57" i="19"/>
  <c r="K57" i="19"/>
  <c r="L57" i="19"/>
  <c r="M57" i="19"/>
  <c r="N57" i="19"/>
  <c r="O57" i="19"/>
  <c r="P57" i="19"/>
  <c r="Q57" i="19"/>
  <c r="R57" i="19"/>
  <c r="S57" i="19"/>
  <c r="T57" i="19"/>
  <c r="U57" i="19"/>
  <c r="V57" i="19"/>
  <c r="W57" i="19"/>
  <c r="X57" i="19"/>
  <c r="Y57" i="19"/>
  <c r="Z57" i="19"/>
  <c r="AA57" i="19"/>
  <c r="D58" i="19"/>
  <c r="E58" i="19"/>
  <c r="F58" i="19"/>
  <c r="G58" i="19"/>
  <c r="H58" i="19"/>
  <c r="I58" i="19"/>
  <c r="J58" i="19"/>
  <c r="K58" i="19"/>
  <c r="L58" i="19"/>
  <c r="M58" i="19"/>
  <c r="N58" i="19"/>
  <c r="O58" i="19"/>
  <c r="P58" i="19"/>
  <c r="Q58" i="19"/>
  <c r="R58" i="19"/>
  <c r="S58" i="19"/>
  <c r="T58" i="19"/>
  <c r="U58" i="19"/>
  <c r="V58" i="19"/>
  <c r="W58" i="19"/>
  <c r="X58" i="19"/>
  <c r="Y58" i="19"/>
  <c r="Z58" i="19"/>
  <c r="AA58" i="19"/>
  <c r="D59" i="19"/>
  <c r="E59" i="19"/>
  <c r="F59" i="19"/>
  <c r="G59" i="19"/>
  <c r="H59" i="19"/>
  <c r="I59" i="19"/>
  <c r="J59" i="19"/>
  <c r="K59" i="19"/>
  <c r="L59" i="19"/>
  <c r="M59" i="19"/>
  <c r="N59" i="19"/>
  <c r="O59" i="19"/>
  <c r="P59" i="19"/>
  <c r="Q59" i="19"/>
  <c r="R59" i="19"/>
  <c r="S59" i="19"/>
  <c r="T59" i="19"/>
  <c r="U59" i="19"/>
  <c r="V59" i="19"/>
  <c r="W59" i="19"/>
  <c r="X59" i="19"/>
  <c r="Y59" i="19"/>
  <c r="Z59" i="19"/>
  <c r="AA59" i="19"/>
  <c r="D60" i="19"/>
  <c r="E60" i="19"/>
  <c r="F60" i="19"/>
  <c r="G60" i="19"/>
  <c r="H60" i="19"/>
  <c r="I60" i="19"/>
  <c r="J60" i="19"/>
  <c r="K60" i="19"/>
  <c r="L60" i="19"/>
  <c r="M60" i="19"/>
  <c r="N60" i="19"/>
  <c r="O60" i="19"/>
  <c r="P60" i="19"/>
  <c r="Q60" i="19"/>
  <c r="R60" i="19"/>
  <c r="S60" i="19"/>
  <c r="T60" i="19"/>
  <c r="U60" i="19"/>
  <c r="V60" i="19"/>
  <c r="W60" i="19"/>
  <c r="X60" i="19"/>
  <c r="Y60" i="19"/>
  <c r="Z60" i="19"/>
  <c r="AA60" i="19"/>
  <c r="D61" i="19"/>
  <c r="E61" i="19"/>
  <c r="F61" i="19"/>
  <c r="G61" i="19"/>
  <c r="H61" i="19"/>
  <c r="I61" i="19"/>
  <c r="J61" i="19"/>
  <c r="K61" i="19"/>
  <c r="L61" i="19"/>
  <c r="M61" i="19"/>
  <c r="N61" i="19"/>
  <c r="O61" i="19"/>
  <c r="P61" i="19"/>
  <c r="Q61" i="19"/>
  <c r="R61" i="19"/>
  <c r="S61" i="19"/>
  <c r="T61" i="19"/>
  <c r="U61" i="19"/>
  <c r="V61" i="19"/>
  <c r="W61" i="19"/>
  <c r="X61" i="19"/>
  <c r="Y61" i="19"/>
  <c r="Z61" i="19"/>
  <c r="AA61" i="19"/>
  <c r="D62" i="19"/>
  <c r="E62" i="19"/>
  <c r="F62" i="19"/>
  <c r="G62" i="19"/>
  <c r="H62" i="19"/>
  <c r="I62" i="19"/>
  <c r="J62" i="19"/>
  <c r="K62" i="19"/>
  <c r="L62" i="19"/>
  <c r="M62" i="19"/>
  <c r="N62" i="19"/>
  <c r="O62" i="19"/>
  <c r="P62" i="19"/>
  <c r="Q62" i="19"/>
  <c r="R62" i="19"/>
  <c r="S62" i="19"/>
  <c r="T62" i="19"/>
  <c r="U62" i="19"/>
  <c r="V62" i="19"/>
  <c r="W62" i="19"/>
  <c r="X62" i="19"/>
  <c r="Y62" i="19"/>
  <c r="Z62" i="19"/>
  <c r="AA62" i="19"/>
  <c r="D63" i="19"/>
  <c r="E63" i="19"/>
  <c r="F63" i="19"/>
  <c r="G63" i="19"/>
  <c r="H63" i="19"/>
  <c r="I63" i="19"/>
  <c r="J63" i="19"/>
  <c r="K63" i="19"/>
  <c r="L63" i="19"/>
  <c r="M63" i="19"/>
  <c r="N63" i="19"/>
  <c r="O63" i="19"/>
  <c r="P63" i="19"/>
  <c r="Q63" i="19"/>
  <c r="R63" i="19"/>
  <c r="S63" i="19"/>
  <c r="T63" i="19"/>
  <c r="U63" i="19"/>
  <c r="V63" i="19"/>
  <c r="W63" i="19"/>
  <c r="X63" i="19"/>
  <c r="Y63" i="19"/>
  <c r="Z63" i="19"/>
  <c r="AA63" i="19"/>
  <c r="D64" i="19"/>
  <c r="E64" i="19"/>
  <c r="F64" i="19"/>
  <c r="G64" i="19"/>
  <c r="H64" i="19"/>
  <c r="I64" i="19"/>
  <c r="J64" i="19"/>
  <c r="K64" i="19"/>
  <c r="L64" i="19"/>
  <c r="M64" i="19"/>
  <c r="N64" i="19"/>
  <c r="O64" i="19"/>
  <c r="P64" i="19"/>
  <c r="Q64" i="19"/>
  <c r="R64" i="19"/>
  <c r="S64" i="19"/>
  <c r="T64" i="19"/>
  <c r="U64" i="19"/>
  <c r="V64" i="19"/>
  <c r="W64" i="19"/>
  <c r="X64" i="19"/>
  <c r="Y64" i="19"/>
  <c r="Z64" i="19"/>
  <c r="AA64" i="19"/>
  <c r="D65" i="19"/>
  <c r="E65" i="19"/>
  <c r="F65" i="19"/>
  <c r="G65" i="19"/>
  <c r="H65" i="19"/>
  <c r="I65" i="19"/>
  <c r="J65" i="19"/>
  <c r="K65" i="19"/>
  <c r="L65" i="19"/>
  <c r="M65" i="19"/>
  <c r="N65" i="19"/>
  <c r="O65" i="19"/>
  <c r="P65" i="19"/>
  <c r="Q65" i="19"/>
  <c r="R65" i="19"/>
  <c r="S65" i="19"/>
  <c r="T65" i="19"/>
  <c r="U65" i="19"/>
  <c r="V65" i="19"/>
  <c r="W65" i="19"/>
  <c r="X65" i="19"/>
  <c r="Y65" i="19"/>
  <c r="Z65" i="19"/>
  <c r="AA65" i="19"/>
  <c r="D66" i="19"/>
  <c r="E66" i="19"/>
  <c r="F66" i="19"/>
  <c r="G66" i="19"/>
  <c r="H66" i="19"/>
  <c r="I66" i="19"/>
  <c r="J66" i="19"/>
  <c r="K66" i="19"/>
  <c r="L66" i="19"/>
  <c r="M66" i="19"/>
  <c r="N66" i="19"/>
  <c r="O66" i="19"/>
  <c r="P66" i="19"/>
  <c r="Q66" i="19"/>
  <c r="R66" i="19"/>
  <c r="S66" i="19"/>
  <c r="T66" i="19"/>
  <c r="U66" i="19"/>
  <c r="V66" i="19"/>
  <c r="W66" i="19"/>
  <c r="X66" i="19"/>
  <c r="Y66" i="19"/>
  <c r="Z66" i="19"/>
  <c r="AA66" i="19"/>
  <c r="D67" i="19"/>
  <c r="E67" i="19"/>
  <c r="F67" i="19"/>
  <c r="G67" i="19"/>
  <c r="H67" i="19"/>
  <c r="I67" i="19"/>
  <c r="J67" i="19"/>
  <c r="K67" i="19"/>
  <c r="L67" i="19"/>
  <c r="M67" i="19"/>
  <c r="N67" i="19"/>
  <c r="O67" i="19"/>
  <c r="P67" i="19"/>
  <c r="Q67" i="19"/>
  <c r="R67" i="19"/>
  <c r="S67" i="19"/>
  <c r="T67" i="19"/>
  <c r="U67" i="19"/>
  <c r="V67" i="19"/>
  <c r="W67" i="19"/>
  <c r="X67" i="19"/>
  <c r="Y67" i="19"/>
  <c r="Z67" i="19"/>
  <c r="AA67" i="19"/>
  <c r="D68" i="19"/>
  <c r="E68" i="19"/>
  <c r="F68" i="19"/>
  <c r="G68" i="19"/>
  <c r="H68" i="19"/>
  <c r="I68" i="19"/>
  <c r="J68" i="19"/>
  <c r="K68" i="19"/>
  <c r="L68" i="19"/>
  <c r="M68" i="19"/>
  <c r="N68" i="19"/>
  <c r="O68" i="19"/>
  <c r="P68" i="19"/>
  <c r="Q68" i="19"/>
  <c r="R68" i="19"/>
  <c r="S68" i="19"/>
  <c r="T68" i="19"/>
  <c r="U68" i="19"/>
  <c r="V68" i="19"/>
  <c r="W68" i="19"/>
  <c r="X68" i="19"/>
  <c r="Y68" i="19"/>
  <c r="Z68" i="19"/>
  <c r="AA68" i="19"/>
  <c r="D69" i="19"/>
  <c r="E69" i="19"/>
  <c r="F69" i="19"/>
  <c r="G69" i="19"/>
  <c r="H69" i="19"/>
  <c r="I69" i="19"/>
  <c r="J69" i="19"/>
  <c r="K69" i="19"/>
  <c r="L69" i="19"/>
  <c r="M69" i="19"/>
  <c r="N69" i="19"/>
  <c r="O69" i="19"/>
  <c r="P69" i="19"/>
  <c r="Q69" i="19"/>
  <c r="R69" i="19"/>
  <c r="S69" i="19"/>
  <c r="T69" i="19"/>
  <c r="U69" i="19"/>
  <c r="V69" i="19"/>
  <c r="W69" i="19"/>
  <c r="X69" i="19"/>
  <c r="Y69" i="19"/>
  <c r="Z69" i="19"/>
  <c r="AA69" i="19"/>
  <c r="D70" i="19"/>
  <c r="E70" i="19"/>
  <c r="F70" i="19"/>
  <c r="G70" i="19"/>
  <c r="H70" i="19"/>
  <c r="I70" i="19"/>
  <c r="J70" i="19"/>
  <c r="K70" i="19"/>
  <c r="L70" i="19"/>
  <c r="M70" i="19"/>
  <c r="N70" i="19"/>
  <c r="O70" i="19"/>
  <c r="P70" i="19"/>
  <c r="Q70" i="19"/>
  <c r="R70" i="19"/>
  <c r="S70" i="19"/>
  <c r="T70" i="19"/>
  <c r="U70" i="19"/>
  <c r="V70" i="19"/>
  <c r="W70" i="19"/>
  <c r="X70" i="19"/>
  <c r="Y70" i="19"/>
  <c r="Z70" i="19"/>
  <c r="AA70" i="19"/>
  <c r="D71" i="19"/>
  <c r="E71" i="19"/>
  <c r="F71" i="19"/>
  <c r="G71" i="19"/>
  <c r="H71" i="19"/>
  <c r="I71" i="19"/>
  <c r="J71" i="19"/>
  <c r="K71" i="19"/>
  <c r="L71" i="19"/>
  <c r="M71" i="19"/>
  <c r="N71" i="19"/>
  <c r="O71" i="19"/>
  <c r="P71" i="19"/>
  <c r="Q71" i="19"/>
  <c r="R71" i="19"/>
  <c r="S71" i="19"/>
  <c r="T71" i="19"/>
  <c r="U71" i="19"/>
  <c r="V71" i="19"/>
  <c r="W71" i="19"/>
  <c r="X71" i="19"/>
  <c r="Y71" i="19"/>
  <c r="Z71" i="19"/>
  <c r="AA71" i="19"/>
  <c r="D72" i="19"/>
  <c r="E72" i="19"/>
  <c r="F72" i="19"/>
  <c r="G72" i="19"/>
  <c r="H72" i="19"/>
  <c r="I72" i="19"/>
  <c r="J72" i="19"/>
  <c r="K72" i="19"/>
  <c r="L72" i="19"/>
  <c r="M72" i="19"/>
  <c r="N72" i="19"/>
  <c r="O72" i="19"/>
  <c r="P72" i="19"/>
  <c r="Q72" i="19"/>
  <c r="R72" i="19"/>
  <c r="S72" i="19"/>
  <c r="T72" i="19"/>
  <c r="U72" i="19"/>
  <c r="V72" i="19"/>
  <c r="W72" i="19"/>
  <c r="X72" i="19"/>
  <c r="Y72" i="19"/>
  <c r="Z72" i="19"/>
  <c r="AA72" i="19"/>
  <c r="D73" i="19"/>
  <c r="E73" i="19"/>
  <c r="F73" i="19"/>
  <c r="G73" i="19"/>
  <c r="H73" i="19"/>
  <c r="I73" i="19"/>
  <c r="J73" i="19"/>
  <c r="K73" i="19"/>
  <c r="L73" i="19"/>
  <c r="M73" i="19"/>
  <c r="N73" i="19"/>
  <c r="O73" i="19"/>
  <c r="P73" i="19"/>
  <c r="Q73" i="19"/>
  <c r="R73" i="19"/>
  <c r="S73" i="19"/>
  <c r="T73" i="19"/>
  <c r="U73" i="19"/>
  <c r="V73" i="19"/>
  <c r="W73" i="19"/>
  <c r="X73" i="19"/>
  <c r="Y73" i="19"/>
  <c r="Z73" i="19"/>
  <c r="AA73" i="19"/>
  <c r="D74" i="19"/>
  <c r="E74" i="19"/>
  <c r="F74" i="19"/>
  <c r="G74" i="19"/>
  <c r="H74" i="19"/>
  <c r="I74" i="19"/>
  <c r="J74" i="19"/>
  <c r="K74" i="19"/>
  <c r="L74" i="19"/>
  <c r="M74" i="19"/>
  <c r="N74" i="19"/>
  <c r="O74" i="19"/>
  <c r="P74" i="19"/>
  <c r="Q74" i="19"/>
  <c r="R74" i="19"/>
  <c r="S74" i="19"/>
  <c r="T74" i="19"/>
  <c r="U74" i="19"/>
  <c r="V74" i="19"/>
  <c r="W74" i="19"/>
  <c r="X74" i="19"/>
  <c r="Y74" i="19"/>
  <c r="Z74" i="19"/>
  <c r="AA74" i="19"/>
  <c r="D75" i="19"/>
  <c r="E75" i="19"/>
  <c r="F75" i="19"/>
  <c r="G75" i="19"/>
  <c r="H75" i="19"/>
  <c r="I75" i="19"/>
  <c r="J75" i="19"/>
  <c r="K75" i="19"/>
  <c r="L75" i="19"/>
  <c r="M75" i="19"/>
  <c r="N75" i="19"/>
  <c r="O75" i="19"/>
  <c r="P75" i="19"/>
  <c r="Q75" i="19"/>
  <c r="R75" i="19"/>
  <c r="S75" i="19"/>
  <c r="T75" i="19"/>
  <c r="U75" i="19"/>
  <c r="V75" i="19"/>
  <c r="W75" i="19"/>
  <c r="X75" i="19"/>
  <c r="Y75" i="19"/>
  <c r="Z75" i="19"/>
  <c r="AA75" i="19"/>
  <c r="D76" i="19"/>
  <c r="E76" i="19"/>
  <c r="F76" i="19"/>
  <c r="G76" i="19"/>
  <c r="H76" i="19"/>
  <c r="I76" i="19"/>
  <c r="J76" i="19"/>
  <c r="K76" i="19"/>
  <c r="L76" i="19"/>
  <c r="M76" i="19"/>
  <c r="N76" i="19"/>
  <c r="O76" i="19"/>
  <c r="P76" i="19"/>
  <c r="Q76" i="19"/>
  <c r="R76" i="19"/>
  <c r="S76" i="19"/>
  <c r="T76" i="19"/>
  <c r="U76" i="19"/>
  <c r="V76" i="19"/>
  <c r="W76" i="19"/>
  <c r="X76" i="19"/>
  <c r="Y76" i="19"/>
  <c r="Z76" i="19"/>
  <c r="AA76" i="19"/>
  <c r="D77" i="19"/>
  <c r="E77" i="19"/>
  <c r="F77" i="19"/>
  <c r="G77" i="19"/>
  <c r="H77" i="19"/>
  <c r="I77" i="19"/>
  <c r="J77" i="19"/>
  <c r="K77" i="19"/>
  <c r="L77" i="19"/>
  <c r="M77" i="19"/>
  <c r="N77" i="19"/>
  <c r="O77" i="19"/>
  <c r="P77" i="19"/>
  <c r="Q77" i="19"/>
  <c r="R77" i="19"/>
  <c r="S77" i="19"/>
  <c r="T77" i="19"/>
  <c r="U77" i="19"/>
  <c r="V77" i="19"/>
  <c r="W77" i="19"/>
  <c r="X77" i="19"/>
  <c r="Y77" i="19"/>
  <c r="Z77" i="19"/>
  <c r="AA77" i="19"/>
  <c r="D78" i="19"/>
  <c r="E78" i="19"/>
  <c r="F78" i="19"/>
  <c r="G78" i="19"/>
  <c r="H78" i="19"/>
  <c r="I78" i="19"/>
  <c r="J78" i="19"/>
  <c r="K78" i="19"/>
  <c r="L78" i="19"/>
  <c r="M78" i="19"/>
  <c r="N78" i="19"/>
  <c r="O78" i="19"/>
  <c r="P78" i="19"/>
  <c r="Q78" i="19"/>
  <c r="R78" i="19"/>
  <c r="S78" i="19"/>
  <c r="T78" i="19"/>
  <c r="U78" i="19"/>
  <c r="V78" i="19"/>
  <c r="W78" i="19"/>
  <c r="X78" i="19"/>
  <c r="Y78" i="19"/>
  <c r="Z78" i="19"/>
  <c r="AA78" i="19"/>
  <c r="D79" i="19"/>
  <c r="E79" i="19"/>
  <c r="F79" i="19"/>
  <c r="G79" i="19"/>
  <c r="H79" i="19"/>
  <c r="I79" i="19"/>
  <c r="J79" i="19"/>
  <c r="K79" i="19"/>
  <c r="L79" i="19"/>
  <c r="M79" i="19"/>
  <c r="N79" i="19"/>
  <c r="O79" i="19"/>
  <c r="P79" i="19"/>
  <c r="Q79" i="19"/>
  <c r="R79" i="19"/>
  <c r="S79" i="19"/>
  <c r="T79" i="19"/>
  <c r="U79" i="19"/>
  <c r="V79" i="19"/>
  <c r="W79" i="19"/>
  <c r="X79" i="19"/>
  <c r="Y79" i="19"/>
  <c r="Z79" i="19"/>
  <c r="AA79" i="19"/>
  <c r="D80" i="19"/>
  <c r="E80" i="19"/>
  <c r="F80" i="19"/>
  <c r="G80" i="19"/>
  <c r="H80" i="19"/>
  <c r="I80" i="19"/>
  <c r="J80" i="19"/>
  <c r="K80" i="19"/>
  <c r="L80" i="19"/>
  <c r="M80" i="19"/>
  <c r="N80" i="19"/>
  <c r="O80" i="19"/>
  <c r="P80" i="19"/>
  <c r="Q80" i="19"/>
  <c r="R80" i="19"/>
  <c r="S80" i="19"/>
  <c r="T80" i="19"/>
  <c r="U80" i="19"/>
  <c r="V80" i="19"/>
  <c r="W80" i="19"/>
  <c r="X80" i="19"/>
  <c r="Y80" i="19"/>
  <c r="Z80" i="19"/>
  <c r="AA80" i="19"/>
  <c r="D81" i="19"/>
  <c r="E81" i="19"/>
  <c r="F81" i="19"/>
  <c r="G81" i="19"/>
  <c r="H81" i="19"/>
  <c r="I81" i="19"/>
  <c r="J81" i="19"/>
  <c r="K81" i="19"/>
  <c r="L81" i="19"/>
  <c r="M81" i="19"/>
  <c r="N81" i="19"/>
  <c r="O81" i="19"/>
  <c r="P81" i="19"/>
  <c r="Q81" i="19"/>
  <c r="R81" i="19"/>
  <c r="S81" i="19"/>
  <c r="T81" i="19"/>
  <c r="U81" i="19"/>
  <c r="V81" i="19"/>
  <c r="W81" i="19"/>
  <c r="X81" i="19"/>
  <c r="Y81" i="19"/>
  <c r="Z81" i="19"/>
  <c r="AA81" i="19"/>
  <c r="D82" i="19"/>
  <c r="E82" i="19"/>
  <c r="F82" i="19"/>
  <c r="G82" i="19"/>
  <c r="H82" i="19"/>
  <c r="I82" i="19"/>
  <c r="J82" i="19"/>
  <c r="K82" i="19"/>
  <c r="L82" i="19"/>
  <c r="M82" i="19"/>
  <c r="N82" i="19"/>
  <c r="O82" i="19"/>
  <c r="P82" i="19"/>
  <c r="Q82" i="19"/>
  <c r="R82" i="19"/>
  <c r="S82" i="19"/>
  <c r="T82" i="19"/>
  <c r="U82" i="19"/>
  <c r="V82" i="19"/>
  <c r="W82" i="19"/>
  <c r="X82" i="19"/>
  <c r="Y82" i="19"/>
  <c r="Z82" i="19"/>
  <c r="AA82" i="19"/>
  <c r="D83" i="19"/>
  <c r="E83" i="19"/>
  <c r="F83" i="19"/>
  <c r="G83" i="19"/>
  <c r="H83" i="19"/>
  <c r="I83" i="19"/>
  <c r="J83" i="19"/>
  <c r="K83" i="19"/>
  <c r="L83" i="19"/>
  <c r="M83" i="19"/>
  <c r="N83" i="19"/>
  <c r="O83" i="19"/>
  <c r="P83" i="19"/>
  <c r="Q83" i="19"/>
  <c r="R83" i="19"/>
  <c r="S83" i="19"/>
  <c r="T83" i="19"/>
  <c r="U83" i="19"/>
  <c r="V83" i="19"/>
  <c r="W83" i="19"/>
  <c r="X83" i="19"/>
  <c r="Y83" i="19"/>
  <c r="Z83" i="19"/>
  <c r="AA83" i="19"/>
  <c r="D84" i="19"/>
  <c r="E84" i="19"/>
  <c r="F84" i="19"/>
  <c r="G84" i="19"/>
  <c r="H84" i="19"/>
  <c r="I84" i="19"/>
  <c r="J84" i="19"/>
  <c r="K84" i="19"/>
  <c r="L84" i="19"/>
  <c r="M84" i="19"/>
  <c r="N84" i="19"/>
  <c r="O84" i="19"/>
  <c r="P84" i="19"/>
  <c r="Q84" i="19"/>
  <c r="R84" i="19"/>
  <c r="S84" i="19"/>
  <c r="T84" i="19"/>
  <c r="U84" i="19"/>
  <c r="V84" i="19"/>
  <c r="W84" i="19"/>
  <c r="X84" i="19"/>
  <c r="Y84" i="19"/>
  <c r="Z84" i="19"/>
  <c r="AA84" i="19"/>
  <c r="D85" i="19"/>
  <c r="E85" i="19"/>
  <c r="F85" i="19"/>
  <c r="G85" i="19"/>
  <c r="H85" i="19"/>
  <c r="I85" i="19"/>
  <c r="J85" i="19"/>
  <c r="K85" i="19"/>
  <c r="L85" i="19"/>
  <c r="M85" i="19"/>
  <c r="N85" i="19"/>
  <c r="O85" i="19"/>
  <c r="P85" i="19"/>
  <c r="Q85" i="19"/>
  <c r="R85" i="19"/>
  <c r="S85" i="19"/>
  <c r="T85" i="19"/>
  <c r="U85" i="19"/>
  <c r="V85" i="19"/>
  <c r="W85" i="19"/>
  <c r="X85" i="19"/>
  <c r="Y85" i="19"/>
  <c r="Z85" i="19"/>
  <c r="AA85" i="19"/>
  <c r="D86" i="19"/>
  <c r="E86" i="19"/>
  <c r="F86" i="19"/>
  <c r="G86" i="19"/>
  <c r="H86" i="19"/>
  <c r="I86" i="19"/>
  <c r="J86" i="19"/>
  <c r="K86" i="19"/>
  <c r="L86" i="19"/>
  <c r="M86" i="19"/>
  <c r="N86" i="19"/>
  <c r="O86" i="19"/>
  <c r="P86" i="19"/>
  <c r="Q86" i="19"/>
  <c r="R86" i="19"/>
  <c r="S86" i="19"/>
  <c r="T86" i="19"/>
  <c r="U86" i="19"/>
  <c r="V86" i="19"/>
  <c r="W86" i="19"/>
  <c r="X86" i="19"/>
  <c r="Y86" i="19"/>
  <c r="Z86" i="19"/>
  <c r="AA86" i="19"/>
  <c r="D87" i="19"/>
  <c r="E87" i="19"/>
  <c r="F87" i="19"/>
  <c r="G87" i="19"/>
  <c r="H87" i="19"/>
  <c r="I87" i="19"/>
  <c r="J87" i="19"/>
  <c r="K87" i="19"/>
  <c r="L87" i="19"/>
  <c r="M87" i="19"/>
  <c r="N87" i="19"/>
  <c r="O87" i="19"/>
  <c r="P87" i="19"/>
  <c r="Q87" i="19"/>
  <c r="R87" i="19"/>
  <c r="S87" i="19"/>
  <c r="T87" i="19"/>
  <c r="U87" i="19"/>
  <c r="V87" i="19"/>
  <c r="W87" i="19"/>
  <c r="X87" i="19"/>
  <c r="Y87" i="19"/>
  <c r="Z87" i="19"/>
  <c r="AA87" i="19"/>
  <c r="D88" i="19"/>
  <c r="E88" i="19"/>
  <c r="F88" i="19"/>
  <c r="G88" i="19"/>
  <c r="H88" i="19"/>
  <c r="I88" i="19"/>
  <c r="J88" i="19"/>
  <c r="K88" i="19"/>
  <c r="L88" i="19"/>
  <c r="M88" i="19"/>
  <c r="N88" i="19"/>
  <c r="O88" i="19"/>
  <c r="P88" i="19"/>
  <c r="Q88" i="19"/>
  <c r="R88" i="19"/>
  <c r="S88" i="19"/>
  <c r="T88" i="19"/>
  <c r="U88" i="19"/>
  <c r="V88" i="19"/>
  <c r="W88" i="19"/>
  <c r="X88" i="19"/>
  <c r="Y88" i="19"/>
  <c r="Z88" i="19"/>
  <c r="AA88" i="19"/>
  <c r="D89" i="19"/>
  <c r="E89" i="19"/>
  <c r="F89" i="19"/>
  <c r="G89" i="19"/>
  <c r="H89" i="19"/>
  <c r="I89" i="19"/>
  <c r="J89" i="19"/>
  <c r="K89" i="19"/>
  <c r="L89" i="19"/>
  <c r="M89" i="19"/>
  <c r="N89" i="19"/>
  <c r="O89" i="19"/>
  <c r="P89" i="19"/>
  <c r="Q89" i="19"/>
  <c r="R89" i="19"/>
  <c r="S89" i="19"/>
  <c r="T89" i="19"/>
  <c r="U89" i="19"/>
  <c r="V89" i="19"/>
  <c r="W89" i="19"/>
  <c r="X89" i="19"/>
  <c r="Y89" i="19"/>
  <c r="Z89" i="19"/>
  <c r="AA89" i="19"/>
  <c r="D90" i="19"/>
  <c r="E90" i="19"/>
  <c r="F90" i="19"/>
  <c r="G90" i="19"/>
  <c r="H90" i="19"/>
  <c r="I90" i="19"/>
  <c r="J90" i="19"/>
  <c r="K90" i="19"/>
  <c r="L90" i="19"/>
  <c r="M90" i="19"/>
  <c r="N90" i="19"/>
  <c r="O90" i="19"/>
  <c r="P90" i="19"/>
  <c r="Q90" i="19"/>
  <c r="R90" i="19"/>
  <c r="S90" i="19"/>
  <c r="T90" i="19"/>
  <c r="U90" i="19"/>
  <c r="V90" i="19"/>
  <c r="W90" i="19"/>
  <c r="X90" i="19"/>
  <c r="Y90" i="19"/>
  <c r="Z90" i="19"/>
  <c r="AA90" i="19"/>
  <c r="D91" i="19"/>
  <c r="E91" i="19"/>
  <c r="F91" i="19"/>
  <c r="G91" i="19"/>
  <c r="H91" i="19"/>
  <c r="I91" i="19"/>
  <c r="J91" i="19"/>
  <c r="K91" i="19"/>
  <c r="L91" i="19"/>
  <c r="M91" i="19"/>
  <c r="N91" i="19"/>
  <c r="O91" i="19"/>
  <c r="P91" i="19"/>
  <c r="Q91" i="19"/>
  <c r="R91" i="19"/>
  <c r="S91" i="19"/>
  <c r="T91" i="19"/>
  <c r="U91" i="19"/>
  <c r="V91" i="19"/>
  <c r="W91" i="19"/>
  <c r="X91" i="19"/>
  <c r="Y91" i="19"/>
  <c r="Z91" i="19"/>
  <c r="AA91" i="19"/>
  <c r="D92" i="19"/>
  <c r="E92" i="19"/>
  <c r="F92" i="19"/>
  <c r="G92" i="19"/>
  <c r="H92" i="19"/>
  <c r="I92" i="19"/>
  <c r="J92" i="19"/>
  <c r="K92" i="19"/>
  <c r="L92" i="19"/>
  <c r="M92" i="19"/>
  <c r="N92" i="19"/>
  <c r="O92" i="19"/>
  <c r="P92" i="19"/>
  <c r="Q92" i="19"/>
  <c r="R92" i="19"/>
  <c r="S92" i="19"/>
  <c r="T92" i="19"/>
  <c r="U92" i="19"/>
  <c r="V92" i="19"/>
  <c r="W92" i="19"/>
  <c r="X92" i="19"/>
  <c r="Y92" i="19"/>
  <c r="Z92" i="19"/>
  <c r="AA92" i="19"/>
  <c r="D93" i="19"/>
  <c r="E93" i="19"/>
  <c r="F93" i="19"/>
  <c r="G93" i="19"/>
  <c r="H93" i="19"/>
  <c r="I93" i="19"/>
  <c r="J93" i="19"/>
  <c r="K93" i="19"/>
  <c r="L93" i="19"/>
  <c r="M93" i="19"/>
  <c r="N93" i="19"/>
  <c r="O93" i="19"/>
  <c r="P93" i="19"/>
  <c r="Q93" i="19"/>
  <c r="R93" i="19"/>
  <c r="S93" i="19"/>
  <c r="T93" i="19"/>
  <c r="U93" i="19"/>
  <c r="V93" i="19"/>
  <c r="W93" i="19"/>
  <c r="X93" i="19"/>
  <c r="Y93" i="19"/>
  <c r="Z93" i="19"/>
  <c r="AA93" i="19"/>
  <c r="D94" i="19"/>
  <c r="E94" i="19"/>
  <c r="F94" i="19"/>
  <c r="G94" i="19"/>
  <c r="H94" i="19"/>
  <c r="I94" i="19"/>
  <c r="J94" i="19"/>
  <c r="K94" i="19"/>
  <c r="L94" i="19"/>
  <c r="M94" i="19"/>
  <c r="N94" i="19"/>
  <c r="O94" i="19"/>
  <c r="P94" i="19"/>
  <c r="Q94" i="19"/>
  <c r="R94" i="19"/>
  <c r="S94" i="19"/>
  <c r="T94" i="19"/>
  <c r="U94" i="19"/>
  <c r="V94" i="19"/>
  <c r="W94" i="19"/>
  <c r="X94" i="19"/>
  <c r="Y94" i="19"/>
  <c r="Z94" i="19"/>
  <c r="AA94" i="19"/>
  <c r="D95" i="19"/>
  <c r="E95" i="19"/>
  <c r="F95" i="19"/>
  <c r="G95" i="19"/>
  <c r="H95" i="19"/>
  <c r="I95" i="19"/>
  <c r="J95" i="19"/>
  <c r="K95" i="19"/>
  <c r="L95" i="19"/>
  <c r="M95" i="19"/>
  <c r="N95" i="19"/>
  <c r="O95" i="19"/>
  <c r="P95" i="19"/>
  <c r="Q95" i="19"/>
  <c r="R95" i="19"/>
  <c r="S95" i="19"/>
  <c r="T95" i="19"/>
  <c r="U95" i="19"/>
  <c r="V95" i="19"/>
  <c r="W95" i="19"/>
  <c r="X95" i="19"/>
  <c r="Y95" i="19"/>
  <c r="Z95" i="19"/>
  <c r="AA95" i="19"/>
  <c r="D96" i="19"/>
  <c r="E96" i="19"/>
  <c r="F96" i="19"/>
  <c r="G96" i="19"/>
  <c r="H96" i="19"/>
  <c r="I96" i="19"/>
  <c r="J96" i="19"/>
  <c r="K96" i="19"/>
  <c r="L96" i="19"/>
  <c r="M96" i="19"/>
  <c r="N96" i="19"/>
  <c r="O96" i="19"/>
  <c r="P96" i="19"/>
  <c r="Q96" i="19"/>
  <c r="R96" i="19"/>
  <c r="S96" i="19"/>
  <c r="T96" i="19"/>
  <c r="U96" i="19"/>
  <c r="V96" i="19"/>
  <c r="W96" i="19"/>
  <c r="X96" i="19"/>
  <c r="Y96" i="19"/>
  <c r="Z96" i="19"/>
  <c r="AA96" i="19"/>
  <c r="D97" i="19"/>
  <c r="E97" i="19"/>
  <c r="F97" i="19"/>
  <c r="G97" i="19"/>
  <c r="H97" i="19"/>
  <c r="I97" i="19"/>
  <c r="J97" i="19"/>
  <c r="K97" i="19"/>
  <c r="L97" i="19"/>
  <c r="M97" i="19"/>
  <c r="N97" i="19"/>
  <c r="O97" i="19"/>
  <c r="P97" i="19"/>
  <c r="Q97" i="19"/>
  <c r="R97" i="19"/>
  <c r="S97" i="19"/>
  <c r="T97" i="19"/>
  <c r="U97" i="19"/>
  <c r="V97" i="19"/>
  <c r="W97" i="19"/>
  <c r="X97" i="19"/>
  <c r="Y97" i="19"/>
  <c r="Z97" i="19"/>
  <c r="AA97" i="19"/>
  <c r="D98" i="19"/>
  <c r="E98" i="19"/>
  <c r="F98" i="19"/>
  <c r="G98" i="19"/>
  <c r="H98" i="19"/>
  <c r="I98" i="19"/>
  <c r="J98" i="19"/>
  <c r="K98" i="19"/>
  <c r="L98" i="19"/>
  <c r="M98" i="19"/>
  <c r="N98" i="19"/>
  <c r="O98" i="19"/>
  <c r="P98" i="19"/>
  <c r="Q98" i="19"/>
  <c r="R98" i="19"/>
  <c r="S98" i="19"/>
  <c r="T98" i="19"/>
  <c r="U98" i="19"/>
  <c r="V98" i="19"/>
  <c r="W98" i="19"/>
  <c r="X98" i="19"/>
  <c r="Y98" i="19"/>
  <c r="Z98" i="19"/>
  <c r="AA98" i="19"/>
  <c r="D99" i="19"/>
  <c r="E99" i="19"/>
  <c r="F99" i="19"/>
  <c r="G99" i="19"/>
  <c r="H99" i="19"/>
  <c r="I99" i="19"/>
  <c r="J99" i="19"/>
  <c r="K99" i="19"/>
  <c r="L99" i="19"/>
  <c r="M99" i="19"/>
  <c r="N99" i="19"/>
  <c r="O99" i="19"/>
  <c r="P99" i="19"/>
  <c r="Q99" i="19"/>
  <c r="R99" i="19"/>
  <c r="S99" i="19"/>
  <c r="T99" i="19"/>
  <c r="U99" i="19"/>
  <c r="V99" i="19"/>
  <c r="W99" i="19"/>
  <c r="X99" i="19"/>
  <c r="Y99" i="19"/>
  <c r="Z99" i="19"/>
  <c r="AA99" i="19"/>
  <c r="D100" i="19"/>
  <c r="E100" i="19"/>
  <c r="F100" i="19"/>
  <c r="G100" i="19"/>
  <c r="H100" i="19"/>
  <c r="I100" i="19"/>
  <c r="J100" i="19"/>
  <c r="K100" i="19"/>
  <c r="L100" i="19"/>
  <c r="M100" i="19"/>
  <c r="N100" i="19"/>
  <c r="O100" i="19"/>
  <c r="P100" i="19"/>
  <c r="Q100" i="19"/>
  <c r="R100" i="19"/>
  <c r="S100" i="19"/>
  <c r="T100" i="19"/>
  <c r="U100" i="19"/>
  <c r="V100" i="19"/>
  <c r="W100" i="19"/>
  <c r="X100" i="19"/>
  <c r="Y100" i="19"/>
  <c r="Z100" i="19"/>
  <c r="AA100" i="19"/>
  <c r="D2" i="19"/>
  <c r="E2" i="19"/>
  <c r="F2" i="19"/>
  <c r="G2" i="19"/>
  <c r="H2" i="19"/>
  <c r="I2" i="19"/>
  <c r="J2" i="19"/>
  <c r="K2" i="19"/>
  <c r="L2" i="19"/>
  <c r="M2" i="19"/>
  <c r="N2" i="19"/>
  <c r="O2" i="19"/>
  <c r="P2" i="19"/>
  <c r="Q2" i="19"/>
  <c r="R2" i="19"/>
  <c r="S2" i="19"/>
  <c r="T2" i="19"/>
  <c r="U2" i="19"/>
  <c r="V2" i="19"/>
  <c r="W2" i="19"/>
  <c r="X2" i="19"/>
  <c r="Y2" i="19"/>
  <c r="Z2" i="19"/>
  <c r="AA2" i="19"/>
  <c r="D3" i="19"/>
  <c r="E3" i="19"/>
  <c r="F3" i="19"/>
  <c r="G3" i="19"/>
  <c r="H3" i="19"/>
  <c r="I3" i="19"/>
  <c r="J3" i="19"/>
  <c r="K3" i="19"/>
  <c r="L3" i="19"/>
  <c r="M3" i="19"/>
  <c r="N3" i="19"/>
  <c r="O3" i="19"/>
  <c r="P3" i="19"/>
  <c r="Q3" i="19"/>
  <c r="R3" i="19"/>
  <c r="S3" i="19"/>
  <c r="T3" i="19"/>
  <c r="U3" i="19"/>
  <c r="V3" i="19"/>
  <c r="W3" i="19"/>
  <c r="X3" i="19"/>
  <c r="Y3" i="19"/>
  <c r="Z3" i="19"/>
  <c r="AA3" i="19"/>
  <c r="D4" i="19"/>
  <c r="E4" i="19"/>
  <c r="F4" i="19"/>
  <c r="G4" i="19"/>
  <c r="H4" i="19"/>
  <c r="I4" i="19"/>
  <c r="J4" i="19"/>
  <c r="K4" i="19"/>
  <c r="L4" i="19"/>
  <c r="M4" i="19"/>
  <c r="N4" i="19"/>
  <c r="O4" i="19"/>
  <c r="P4" i="19"/>
  <c r="Q4" i="19"/>
  <c r="R4" i="19"/>
  <c r="S4" i="19"/>
  <c r="T4" i="19"/>
  <c r="U4" i="19"/>
  <c r="V4" i="19"/>
  <c r="W4" i="19"/>
  <c r="X4" i="19"/>
  <c r="Y4" i="19"/>
  <c r="Z4" i="19"/>
  <c r="AA4" i="19"/>
  <c r="D5" i="19"/>
  <c r="E5" i="19"/>
  <c r="F5" i="19"/>
  <c r="G5" i="19"/>
  <c r="H5" i="19"/>
  <c r="I5" i="19"/>
  <c r="J5" i="19"/>
  <c r="K5" i="19"/>
  <c r="L5" i="19"/>
  <c r="M5" i="19"/>
  <c r="N5" i="19"/>
  <c r="O5" i="19"/>
  <c r="P5" i="19"/>
  <c r="Q5" i="19"/>
  <c r="R5" i="19"/>
  <c r="S5" i="19"/>
  <c r="T5" i="19"/>
  <c r="U5" i="19"/>
  <c r="V5" i="19"/>
  <c r="W5" i="19"/>
  <c r="X5" i="19"/>
  <c r="Y5" i="19"/>
  <c r="Z5" i="19"/>
  <c r="AA5" i="19"/>
  <c r="D6" i="19"/>
  <c r="E6" i="19"/>
  <c r="F6" i="19"/>
  <c r="G6" i="19"/>
  <c r="H6" i="19"/>
  <c r="I6" i="19"/>
  <c r="J6" i="19"/>
  <c r="K6" i="19"/>
  <c r="L6" i="19"/>
  <c r="M6" i="19"/>
  <c r="N6" i="19"/>
  <c r="O6" i="19"/>
  <c r="P6" i="19"/>
  <c r="Q6" i="19"/>
  <c r="R6" i="19"/>
  <c r="S6" i="19"/>
  <c r="T6" i="19"/>
  <c r="U6" i="19"/>
  <c r="V6" i="19"/>
  <c r="W6" i="19"/>
  <c r="X6" i="19"/>
  <c r="Y6" i="19"/>
  <c r="Z6" i="19"/>
  <c r="AA6" i="19"/>
  <c r="D7" i="19"/>
  <c r="E7" i="19"/>
  <c r="F7" i="19"/>
  <c r="G7" i="19"/>
  <c r="H7" i="19"/>
  <c r="I7" i="19"/>
  <c r="J7" i="19"/>
  <c r="K7" i="19"/>
  <c r="L7" i="19"/>
  <c r="M7" i="19"/>
  <c r="N7" i="19"/>
  <c r="O7" i="19"/>
  <c r="P7" i="19"/>
  <c r="Q7" i="19"/>
  <c r="R7" i="19"/>
  <c r="S7" i="19"/>
  <c r="T7" i="19"/>
  <c r="U7" i="19"/>
  <c r="V7" i="19"/>
  <c r="W7" i="19"/>
  <c r="X7" i="19"/>
  <c r="Y7" i="19"/>
  <c r="Z7" i="19"/>
  <c r="AA7" i="19"/>
  <c r="D8" i="19"/>
  <c r="E8" i="19"/>
  <c r="F8" i="19"/>
  <c r="G8" i="19"/>
  <c r="H8" i="19"/>
  <c r="I8" i="19"/>
  <c r="J8" i="19"/>
  <c r="K8" i="19"/>
  <c r="L8" i="19"/>
  <c r="M8" i="19"/>
  <c r="N8" i="19"/>
  <c r="O8" i="19"/>
  <c r="P8" i="19"/>
  <c r="Q8" i="19"/>
  <c r="R8" i="19"/>
  <c r="S8" i="19"/>
  <c r="T8" i="19"/>
  <c r="U8" i="19"/>
  <c r="V8" i="19"/>
  <c r="W8" i="19"/>
  <c r="X8" i="19"/>
  <c r="Y8" i="19"/>
  <c r="Z8" i="19"/>
  <c r="AA8" i="19"/>
  <c r="D9" i="19"/>
  <c r="E9" i="19"/>
  <c r="F9" i="19"/>
  <c r="G9" i="19"/>
  <c r="H9" i="19"/>
  <c r="I9" i="19"/>
  <c r="J9" i="19"/>
  <c r="K9" i="19"/>
  <c r="L9" i="19"/>
  <c r="M9" i="19"/>
  <c r="N9" i="19"/>
  <c r="O9" i="19"/>
  <c r="P9" i="19"/>
  <c r="Q9" i="19"/>
  <c r="R9" i="19"/>
  <c r="S9" i="19"/>
  <c r="T9" i="19"/>
  <c r="U9" i="19"/>
  <c r="V9" i="19"/>
  <c r="W9" i="19"/>
  <c r="X9" i="19"/>
  <c r="Y9" i="19"/>
  <c r="Z9" i="19"/>
  <c r="AA9" i="19"/>
  <c r="D10" i="19"/>
  <c r="E10" i="19"/>
  <c r="F10" i="19"/>
  <c r="G10" i="19"/>
  <c r="H10" i="19"/>
  <c r="I10" i="19"/>
  <c r="J10" i="19"/>
  <c r="K10" i="19"/>
  <c r="L10" i="19"/>
  <c r="M10" i="19"/>
  <c r="N10" i="19"/>
  <c r="O10" i="19"/>
  <c r="P10" i="19"/>
  <c r="Q10" i="19"/>
  <c r="R10" i="19"/>
  <c r="S10" i="19"/>
  <c r="T10" i="19"/>
  <c r="U10" i="19"/>
  <c r="V10" i="19"/>
  <c r="W10" i="19"/>
  <c r="X10" i="19"/>
  <c r="Y10" i="19"/>
  <c r="Z10" i="19"/>
  <c r="AA10" i="19"/>
  <c r="D11" i="19"/>
  <c r="E11" i="19"/>
  <c r="F11" i="19"/>
  <c r="G11" i="19"/>
  <c r="H11" i="19"/>
  <c r="I11" i="19"/>
  <c r="J11" i="19"/>
  <c r="K11" i="19"/>
  <c r="L11" i="19"/>
  <c r="M11" i="19"/>
  <c r="N11" i="19"/>
  <c r="O11" i="19"/>
  <c r="P11" i="19"/>
  <c r="Q11" i="19"/>
  <c r="R11" i="19"/>
  <c r="S11" i="19"/>
  <c r="T11" i="19"/>
  <c r="U11" i="19"/>
  <c r="V11" i="19"/>
  <c r="W11" i="19"/>
  <c r="X11" i="19"/>
  <c r="Y11" i="19"/>
  <c r="Z11" i="19"/>
  <c r="AA11" i="19"/>
  <c r="D12" i="19"/>
  <c r="E12" i="19"/>
  <c r="F12" i="19"/>
  <c r="G12" i="19"/>
  <c r="H12" i="19"/>
  <c r="I12" i="19"/>
  <c r="J12" i="19"/>
  <c r="K12" i="19"/>
  <c r="L12" i="19"/>
  <c r="M12" i="19"/>
  <c r="N12" i="19"/>
  <c r="O12" i="19"/>
  <c r="P12" i="19"/>
  <c r="Q12" i="19"/>
  <c r="R12" i="19"/>
  <c r="S12" i="19"/>
  <c r="T12" i="19"/>
  <c r="U12" i="19"/>
  <c r="V12" i="19"/>
  <c r="W12" i="19"/>
  <c r="X12" i="19"/>
  <c r="Y12" i="19"/>
  <c r="Z12" i="19"/>
  <c r="AA12" i="19"/>
  <c r="D13" i="19"/>
  <c r="E13" i="19"/>
  <c r="F13" i="19"/>
  <c r="G13" i="19"/>
  <c r="H13" i="19"/>
  <c r="I13" i="19"/>
  <c r="J13" i="19"/>
  <c r="K13" i="19"/>
  <c r="L13" i="19"/>
  <c r="M13" i="19"/>
  <c r="N13" i="19"/>
  <c r="O13" i="19"/>
  <c r="P13" i="19"/>
  <c r="Q13" i="19"/>
  <c r="R13" i="19"/>
  <c r="S13" i="19"/>
  <c r="T13" i="19"/>
  <c r="U13" i="19"/>
  <c r="V13" i="19"/>
  <c r="W13" i="19"/>
  <c r="X13" i="19"/>
  <c r="Y13" i="19"/>
  <c r="Z13" i="19"/>
  <c r="AA13" i="19"/>
  <c r="D14" i="19"/>
  <c r="E14" i="19"/>
  <c r="F14" i="19"/>
  <c r="G14" i="19"/>
  <c r="H14" i="19"/>
  <c r="I14" i="19"/>
  <c r="J14" i="19"/>
  <c r="K14" i="19"/>
  <c r="L14" i="19"/>
  <c r="M14" i="19"/>
  <c r="N14" i="19"/>
  <c r="O14" i="19"/>
  <c r="P14" i="19"/>
  <c r="Q14" i="19"/>
  <c r="R14" i="19"/>
  <c r="S14" i="19"/>
  <c r="T14" i="19"/>
  <c r="U14" i="19"/>
  <c r="V14" i="19"/>
  <c r="W14" i="19"/>
  <c r="X14" i="19"/>
  <c r="Y14" i="19"/>
  <c r="Z14" i="19"/>
  <c r="AA14" i="19"/>
  <c r="D15" i="19"/>
  <c r="E15" i="19"/>
  <c r="F15" i="19"/>
  <c r="G15" i="19"/>
  <c r="H15" i="19"/>
  <c r="I15" i="19"/>
  <c r="J15" i="19"/>
  <c r="K15" i="19"/>
  <c r="L15" i="19"/>
  <c r="M15" i="19"/>
  <c r="N15" i="19"/>
  <c r="O15" i="19"/>
  <c r="P15" i="19"/>
  <c r="Q15" i="19"/>
  <c r="R15" i="19"/>
  <c r="S15" i="19"/>
  <c r="T15" i="19"/>
  <c r="U15" i="19"/>
  <c r="V15" i="19"/>
  <c r="W15" i="19"/>
  <c r="X15" i="19"/>
  <c r="Y15" i="19"/>
  <c r="Z15" i="19"/>
  <c r="AA15" i="19"/>
  <c r="D16" i="19"/>
  <c r="E16" i="19"/>
  <c r="F16" i="19"/>
  <c r="G16" i="19"/>
  <c r="H16" i="19"/>
  <c r="I16" i="19"/>
  <c r="J16" i="19"/>
  <c r="K16" i="19"/>
  <c r="L16" i="19"/>
  <c r="M16" i="19"/>
  <c r="N16" i="19"/>
  <c r="O16" i="19"/>
  <c r="P16" i="19"/>
  <c r="Q16" i="19"/>
  <c r="R16" i="19"/>
  <c r="S16" i="19"/>
  <c r="T16" i="19"/>
  <c r="U16" i="19"/>
  <c r="V16" i="19"/>
  <c r="W16" i="19"/>
  <c r="X16" i="19"/>
  <c r="Y16" i="19"/>
  <c r="Z16" i="19"/>
  <c r="AA16" i="19"/>
  <c r="D17" i="19"/>
  <c r="E17" i="19"/>
  <c r="F17" i="19"/>
  <c r="G17" i="19"/>
  <c r="H17" i="19"/>
  <c r="I17" i="19"/>
  <c r="J17" i="19"/>
  <c r="K17" i="19"/>
  <c r="L17" i="19"/>
  <c r="M17" i="19"/>
  <c r="N17" i="19"/>
  <c r="O17" i="19"/>
  <c r="P17" i="19"/>
  <c r="Q17" i="19"/>
  <c r="R17" i="19"/>
  <c r="S17" i="19"/>
  <c r="T17" i="19"/>
  <c r="U17" i="19"/>
  <c r="V17" i="19"/>
  <c r="W17" i="19"/>
  <c r="X17" i="19"/>
  <c r="Y17" i="19"/>
  <c r="Z17" i="19"/>
  <c r="AA17" i="19"/>
  <c r="D18" i="19"/>
  <c r="E18" i="19"/>
  <c r="F18" i="19"/>
  <c r="G18" i="19"/>
  <c r="H18" i="19"/>
  <c r="I18" i="19"/>
  <c r="J18" i="19"/>
  <c r="K18" i="19"/>
  <c r="L18" i="19"/>
  <c r="M18" i="19"/>
  <c r="N18" i="19"/>
  <c r="O18" i="19"/>
  <c r="P18" i="19"/>
  <c r="Q18" i="19"/>
  <c r="R18" i="19"/>
  <c r="S18" i="19"/>
  <c r="T18" i="19"/>
  <c r="U18" i="19"/>
  <c r="V18" i="19"/>
  <c r="W18" i="19"/>
  <c r="X18" i="19"/>
  <c r="Y18" i="19"/>
  <c r="Z18" i="19"/>
  <c r="AA18" i="19"/>
  <c r="D19" i="19"/>
  <c r="E19" i="19"/>
  <c r="F19" i="19"/>
  <c r="G19" i="19"/>
  <c r="H19" i="19"/>
  <c r="I19" i="19"/>
  <c r="J19" i="19"/>
  <c r="K19" i="19"/>
  <c r="L19" i="19"/>
  <c r="M19" i="19"/>
  <c r="N19" i="19"/>
  <c r="O19" i="19"/>
  <c r="P19" i="19"/>
  <c r="Q19" i="19"/>
  <c r="R19" i="19"/>
  <c r="S19" i="19"/>
  <c r="T19" i="19"/>
  <c r="U19" i="19"/>
  <c r="V19" i="19"/>
  <c r="W19" i="19"/>
  <c r="X19" i="19"/>
  <c r="Y19" i="19"/>
  <c r="Z19" i="19"/>
  <c r="AA19" i="19"/>
  <c r="D20" i="19"/>
  <c r="E20" i="19"/>
  <c r="F20" i="19"/>
  <c r="G20" i="19"/>
  <c r="H20" i="19"/>
  <c r="I20" i="19"/>
  <c r="J20" i="19"/>
  <c r="K20" i="19"/>
  <c r="L20" i="19"/>
  <c r="M20" i="19"/>
  <c r="N20" i="19"/>
  <c r="O20" i="19"/>
  <c r="P20" i="19"/>
  <c r="Q20" i="19"/>
  <c r="R20" i="19"/>
  <c r="S20" i="19"/>
  <c r="T20" i="19"/>
  <c r="U20" i="19"/>
  <c r="V20" i="19"/>
  <c r="W20" i="19"/>
  <c r="X20" i="19"/>
  <c r="Y20" i="19"/>
  <c r="Z20" i="19"/>
  <c r="AA20" i="19"/>
  <c r="D21" i="19"/>
  <c r="E21" i="19"/>
  <c r="F21" i="19"/>
  <c r="G21" i="19"/>
  <c r="H21" i="19"/>
  <c r="I21" i="19"/>
  <c r="J21" i="19"/>
  <c r="K21" i="19"/>
  <c r="L21" i="19"/>
  <c r="M21" i="19"/>
  <c r="N21" i="19"/>
  <c r="O21" i="19"/>
  <c r="P21" i="19"/>
  <c r="Q21" i="19"/>
  <c r="R21" i="19"/>
  <c r="S21" i="19"/>
  <c r="T21" i="19"/>
  <c r="U21" i="19"/>
  <c r="V21" i="19"/>
  <c r="W21" i="19"/>
  <c r="X21" i="19"/>
  <c r="Y21" i="19"/>
  <c r="Z21" i="19"/>
  <c r="AA21" i="19"/>
  <c r="D22" i="19"/>
  <c r="E22" i="19"/>
  <c r="F22" i="19"/>
  <c r="G22" i="19"/>
  <c r="H22" i="19"/>
  <c r="I22" i="19"/>
  <c r="J22" i="19"/>
  <c r="K22" i="19"/>
  <c r="L22" i="19"/>
  <c r="M22" i="19"/>
  <c r="N22" i="19"/>
  <c r="O22" i="19"/>
  <c r="P22" i="19"/>
  <c r="Q22" i="19"/>
  <c r="R22" i="19"/>
  <c r="S22" i="19"/>
  <c r="T22" i="19"/>
  <c r="U22" i="19"/>
  <c r="V22" i="19"/>
  <c r="W22" i="19"/>
  <c r="X22" i="19"/>
  <c r="Y22" i="19"/>
  <c r="Z22" i="19"/>
  <c r="AA22" i="19"/>
  <c r="D23" i="19"/>
  <c r="E23" i="19"/>
  <c r="F23" i="19"/>
  <c r="G23" i="19"/>
  <c r="H23" i="19"/>
  <c r="I23" i="19"/>
  <c r="J23" i="19"/>
  <c r="K23" i="19"/>
  <c r="L23" i="19"/>
  <c r="M23" i="19"/>
  <c r="N23" i="19"/>
  <c r="O23" i="19"/>
  <c r="P23" i="19"/>
  <c r="Q23" i="19"/>
  <c r="R23" i="19"/>
  <c r="S23" i="19"/>
  <c r="T23" i="19"/>
  <c r="U23" i="19"/>
  <c r="V23" i="19"/>
  <c r="W23" i="19"/>
  <c r="X23" i="19"/>
  <c r="Y23" i="19"/>
  <c r="Z23" i="19"/>
  <c r="AA23" i="19"/>
  <c r="D24" i="19"/>
  <c r="E24" i="19"/>
  <c r="F24" i="19"/>
  <c r="G24" i="19"/>
  <c r="H24" i="19"/>
  <c r="I24" i="19"/>
  <c r="J24" i="19"/>
  <c r="K24" i="19"/>
  <c r="L24" i="19"/>
  <c r="M24" i="19"/>
  <c r="N24" i="19"/>
  <c r="O24" i="19"/>
  <c r="P24" i="19"/>
  <c r="Q24" i="19"/>
  <c r="R24" i="19"/>
  <c r="S24" i="19"/>
  <c r="T24" i="19"/>
  <c r="U24" i="19"/>
  <c r="V24" i="19"/>
  <c r="W24" i="19"/>
  <c r="X24" i="19"/>
  <c r="Y24" i="19"/>
  <c r="Z24" i="19"/>
  <c r="AA24" i="19"/>
  <c r="D25" i="19"/>
  <c r="E25" i="19"/>
  <c r="F25" i="19"/>
  <c r="G25" i="19"/>
  <c r="H25" i="19"/>
  <c r="I25" i="19"/>
  <c r="J25" i="19"/>
  <c r="K25" i="19"/>
  <c r="L25" i="19"/>
  <c r="M25" i="19"/>
  <c r="N25" i="19"/>
  <c r="O25" i="19"/>
  <c r="P25" i="19"/>
  <c r="Q25" i="19"/>
  <c r="R25" i="19"/>
  <c r="S25" i="19"/>
  <c r="T25" i="19"/>
  <c r="U25" i="19"/>
  <c r="V25" i="19"/>
  <c r="W25" i="19"/>
  <c r="X25" i="19"/>
  <c r="Y25" i="19"/>
  <c r="Z25" i="19"/>
  <c r="AA25" i="19"/>
  <c r="D26" i="19"/>
  <c r="E26" i="19"/>
  <c r="F26" i="19"/>
  <c r="G26" i="19"/>
  <c r="H26" i="19"/>
  <c r="I26" i="19"/>
  <c r="J26" i="19"/>
  <c r="K26" i="19"/>
  <c r="L26" i="19"/>
  <c r="M26" i="19"/>
  <c r="N26" i="19"/>
  <c r="O26" i="19"/>
  <c r="P26" i="19"/>
  <c r="Q26" i="19"/>
  <c r="R26" i="19"/>
  <c r="S26" i="19"/>
  <c r="T26" i="19"/>
  <c r="U26" i="19"/>
  <c r="V26" i="19"/>
  <c r="W26" i="19"/>
  <c r="X26" i="19"/>
  <c r="Y26" i="19"/>
  <c r="Z26" i="19"/>
  <c r="AA26" i="19"/>
  <c r="D27" i="19"/>
  <c r="E27" i="19"/>
  <c r="F27" i="19"/>
  <c r="G27" i="19"/>
  <c r="H27" i="19"/>
  <c r="I27" i="19"/>
  <c r="J27" i="19"/>
  <c r="K27" i="19"/>
  <c r="L27" i="19"/>
  <c r="M27" i="19"/>
  <c r="N27" i="19"/>
  <c r="O27" i="19"/>
  <c r="P27" i="19"/>
  <c r="Q27" i="19"/>
  <c r="R27" i="19"/>
  <c r="S27" i="19"/>
  <c r="T27" i="19"/>
  <c r="U27" i="19"/>
  <c r="V27" i="19"/>
  <c r="W27" i="19"/>
  <c r="X27" i="19"/>
  <c r="Y27" i="19"/>
  <c r="Z27" i="19"/>
  <c r="AA27" i="19"/>
  <c r="D28" i="19"/>
  <c r="E28" i="19"/>
  <c r="F28" i="19"/>
  <c r="G28" i="19"/>
  <c r="H28" i="19"/>
  <c r="I28" i="19"/>
  <c r="J28" i="19"/>
  <c r="K28" i="19"/>
  <c r="L28" i="19"/>
  <c r="M28" i="19"/>
  <c r="N28" i="19"/>
  <c r="O28" i="19"/>
  <c r="P28" i="19"/>
  <c r="Q28" i="19"/>
  <c r="R28" i="19"/>
  <c r="S28" i="19"/>
  <c r="T28" i="19"/>
  <c r="U28" i="19"/>
  <c r="V28" i="19"/>
  <c r="W28" i="19"/>
  <c r="X28" i="19"/>
  <c r="Y28" i="19"/>
  <c r="Z28" i="19"/>
  <c r="AA28" i="19"/>
  <c r="D29" i="19"/>
  <c r="E29" i="19"/>
  <c r="F29" i="19"/>
  <c r="G29" i="19"/>
  <c r="H29" i="19"/>
  <c r="I29" i="19"/>
  <c r="J29" i="19"/>
  <c r="K29" i="19"/>
  <c r="L29" i="19"/>
  <c r="M29" i="19"/>
  <c r="N29" i="19"/>
  <c r="O29" i="19"/>
  <c r="P29" i="19"/>
  <c r="Q29" i="19"/>
  <c r="R29" i="19"/>
  <c r="S29" i="19"/>
  <c r="T29" i="19"/>
  <c r="U29" i="19"/>
  <c r="V29" i="19"/>
  <c r="W29" i="19"/>
  <c r="X29" i="19"/>
  <c r="Y29" i="19"/>
  <c r="Z29" i="19"/>
  <c r="AA29" i="19"/>
  <c r="D30" i="19"/>
  <c r="E30" i="19"/>
  <c r="F30" i="19"/>
  <c r="G30" i="19"/>
  <c r="H30" i="19"/>
  <c r="I30" i="19"/>
  <c r="J30" i="19"/>
  <c r="K30" i="19"/>
  <c r="L30" i="19"/>
  <c r="M30" i="19"/>
  <c r="N30" i="19"/>
  <c r="O30" i="19"/>
  <c r="P30" i="19"/>
  <c r="Q30" i="19"/>
  <c r="R30" i="19"/>
  <c r="S30" i="19"/>
  <c r="T30" i="19"/>
  <c r="U30" i="19"/>
  <c r="V30" i="19"/>
  <c r="W30" i="19"/>
  <c r="X30" i="19"/>
  <c r="Y30" i="19"/>
  <c r="Z30" i="19"/>
  <c r="AA30" i="19"/>
  <c r="D31" i="19"/>
  <c r="E31" i="19"/>
  <c r="F31" i="19"/>
  <c r="G31" i="19"/>
  <c r="H31" i="19"/>
  <c r="I31" i="19"/>
  <c r="J31" i="19"/>
  <c r="K31" i="19"/>
  <c r="L31" i="19"/>
  <c r="M31" i="19"/>
  <c r="N31" i="19"/>
  <c r="O31" i="19"/>
  <c r="P31" i="19"/>
  <c r="Q31" i="19"/>
  <c r="R31" i="19"/>
  <c r="S31" i="19"/>
  <c r="T31" i="19"/>
  <c r="U31" i="19"/>
  <c r="V31" i="19"/>
  <c r="W31" i="19"/>
  <c r="X31" i="19"/>
  <c r="Y31" i="19"/>
  <c r="Z31" i="19"/>
  <c r="AA31" i="19"/>
  <c r="D32" i="19"/>
  <c r="E32" i="19"/>
  <c r="F32" i="19"/>
  <c r="G32" i="19"/>
  <c r="H32" i="19"/>
  <c r="I32" i="19"/>
  <c r="J32" i="19"/>
  <c r="K32" i="19"/>
  <c r="L32" i="19"/>
  <c r="M32" i="19"/>
  <c r="N32" i="19"/>
  <c r="O32" i="19"/>
  <c r="P32" i="19"/>
  <c r="Q32" i="19"/>
  <c r="R32" i="19"/>
  <c r="S32" i="19"/>
  <c r="T32" i="19"/>
  <c r="U32" i="19"/>
  <c r="V32" i="19"/>
  <c r="W32" i="19"/>
  <c r="X32" i="19"/>
  <c r="Y32" i="19"/>
  <c r="Z32" i="19"/>
  <c r="AA32" i="19"/>
  <c r="D33" i="19"/>
  <c r="E33" i="19"/>
  <c r="F33" i="19"/>
  <c r="G33" i="19"/>
  <c r="H33" i="19"/>
  <c r="I33" i="19"/>
  <c r="J33" i="19"/>
  <c r="K33" i="19"/>
  <c r="L33" i="19"/>
  <c r="M33" i="19"/>
  <c r="N33" i="19"/>
  <c r="O33" i="19"/>
  <c r="P33" i="19"/>
  <c r="Q33" i="19"/>
  <c r="R33" i="19"/>
  <c r="S33" i="19"/>
  <c r="T33" i="19"/>
  <c r="U33" i="19"/>
  <c r="V33" i="19"/>
  <c r="W33" i="19"/>
  <c r="X33" i="19"/>
  <c r="Y33" i="19"/>
  <c r="Z33" i="19"/>
  <c r="AA33" i="19"/>
  <c r="D34" i="19"/>
  <c r="E34" i="19"/>
  <c r="F34" i="19"/>
  <c r="G34" i="19"/>
  <c r="H34" i="19"/>
  <c r="I34" i="19"/>
  <c r="J34" i="19"/>
  <c r="K34" i="19"/>
  <c r="L34" i="19"/>
  <c r="M34" i="19"/>
  <c r="N34" i="19"/>
  <c r="O34" i="19"/>
  <c r="P34" i="19"/>
  <c r="Q34" i="19"/>
  <c r="R34" i="19"/>
  <c r="S34" i="19"/>
  <c r="T34" i="19"/>
  <c r="U34" i="19"/>
  <c r="V34" i="19"/>
  <c r="W34" i="19"/>
  <c r="X34" i="19"/>
  <c r="Y34" i="19"/>
  <c r="Z34" i="19"/>
  <c r="AA34" i="19"/>
  <c r="D35" i="19"/>
  <c r="E35" i="19"/>
  <c r="F35" i="19"/>
  <c r="G35" i="19"/>
  <c r="H35" i="19"/>
  <c r="I35" i="19"/>
  <c r="J35" i="19"/>
  <c r="K35" i="19"/>
  <c r="L35" i="19"/>
  <c r="M35" i="19"/>
  <c r="N35" i="19"/>
  <c r="O35" i="19"/>
  <c r="P35" i="19"/>
  <c r="Q35" i="19"/>
  <c r="R35" i="19"/>
  <c r="S35" i="19"/>
  <c r="T35" i="19"/>
  <c r="U35" i="19"/>
  <c r="V35" i="19"/>
  <c r="W35" i="19"/>
  <c r="X35" i="19"/>
  <c r="Y35" i="19"/>
  <c r="Z35" i="19"/>
  <c r="AA35" i="19"/>
  <c r="D36" i="19"/>
  <c r="E36" i="19"/>
  <c r="F36" i="19"/>
  <c r="G36" i="19"/>
  <c r="H36" i="19"/>
  <c r="I36" i="19"/>
  <c r="J36" i="19"/>
  <c r="K36" i="19"/>
  <c r="L36" i="19"/>
  <c r="M36" i="19"/>
  <c r="N36" i="19"/>
  <c r="O36" i="19"/>
  <c r="P36" i="19"/>
  <c r="Q36" i="19"/>
  <c r="R36" i="19"/>
  <c r="S36" i="19"/>
  <c r="T36" i="19"/>
  <c r="U36" i="19"/>
  <c r="V36" i="19"/>
  <c r="W36" i="19"/>
  <c r="X36" i="19"/>
  <c r="Y36" i="19"/>
  <c r="Z36" i="19"/>
  <c r="AA36" i="19"/>
  <c r="D37" i="19"/>
  <c r="E37" i="19"/>
  <c r="F37" i="19"/>
  <c r="G37" i="19"/>
  <c r="H37" i="19"/>
  <c r="I37" i="19"/>
  <c r="J37" i="19"/>
  <c r="K37" i="19"/>
  <c r="L37" i="19"/>
  <c r="M37" i="19"/>
  <c r="N37" i="19"/>
  <c r="O37" i="19"/>
  <c r="P37" i="19"/>
  <c r="Q37" i="19"/>
  <c r="R37" i="19"/>
  <c r="S37" i="19"/>
  <c r="T37" i="19"/>
  <c r="U37" i="19"/>
  <c r="V37" i="19"/>
  <c r="W37" i="19"/>
  <c r="X37" i="19"/>
  <c r="Y37" i="19"/>
  <c r="Z37" i="19"/>
  <c r="AA37" i="19"/>
  <c r="D38" i="19"/>
  <c r="E38" i="19"/>
  <c r="F38" i="19"/>
  <c r="G38" i="19"/>
  <c r="H38" i="19"/>
  <c r="I38" i="19"/>
  <c r="J38" i="19"/>
  <c r="K38" i="19"/>
  <c r="L38" i="19"/>
  <c r="M38" i="19"/>
  <c r="N38" i="19"/>
  <c r="O38" i="19"/>
  <c r="P38" i="19"/>
  <c r="Q38" i="19"/>
  <c r="R38" i="19"/>
  <c r="S38" i="19"/>
  <c r="T38" i="19"/>
  <c r="U38" i="19"/>
  <c r="V38" i="19"/>
  <c r="W38" i="19"/>
  <c r="X38" i="19"/>
  <c r="Y38" i="19"/>
  <c r="Z38" i="19"/>
  <c r="AA38" i="19"/>
  <c r="D39" i="19"/>
  <c r="E39" i="19"/>
  <c r="F39" i="19"/>
  <c r="G39" i="19"/>
  <c r="H39" i="19"/>
  <c r="I39" i="19"/>
  <c r="J39" i="19"/>
  <c r="K39" i="19"/>
  <c r="L39" i="19"/>
  <c r="M39" i="19"/>
  <c r="N39" i="19"/>
  <c r="O39" i="19"/>
  <c r="P39" i="19"/>
  <c r="Q39" i="19"/>
  <c r="R39" i="19"/>
  <c r="S39" i="19"/>
  <c r="T39" i="19"/>
  <c r="U39" i="19"/>
  <c r="V39" i="19"/>
  <c r="W39" i="19"/>
  <c r="X39" i="19"/>
  <c r="Y39" i="19"/>
  <c r="Z39" i="19"/>
  <c r="AA39" i="19"/>
  <c r="D40" i="19"/>
  <c r="E40" i="19"/>
  <c r="F40" i="19"/>
  <c r="G40" i="19"/>
  <c r="H40" i="19"/>
  <c r="I40" i="19"/>
  <c r="J40" i="19"/>
  <c r="K40" i="19"/>
  <c r="L40" i="19"/>
  <c r="M40" i="19"/>
  <c r="N40" i="19"/>
  <c r="O40" i="19"/>
  <c r="P40" i="19"/>
  <c r="Q40" i="19"/>
  <c r="R40" i="19"/>
  <c r="S40" i="19"/>
  <c r="T40" i="19"/>
  <c r="U40" i="19"/>
  <c r="V40" i="19"/>
  <c r="W40" i="19"/>
  <c r="X40" i="19"/>
  <c r="Y40" i="19"/>
  <c r="Z40" i="19"/>
  <c r="AA40" i="19"/>
  <c r="D41" i="19"/>
  <c r="E41" i="19"/>
  <c r="F41" i="19"/>
  <c r="G41" i="19"/>
  <c r="H41" i="19"/>
  <c r="I41" i="19"/>
  <c r="J41" i="19"/>
  <c r="K41" i="19"/>
  <c r="L41" i="19"/>
  <c r="M41" i="19"/>
  <c r="N41" i="19"/>
  <c r="O41" i="19"/>
  <c r="P41" i="19"/>
  <c r="Q41" i="19"/>
  <c r="R41" i="19"/>
  <c r="S41" i="19"/>
  <c r="T41" i="19"/>
  <c r="U41" i="19"/>
  <c r="V41" i="19"/>
  <c r="W41" i="19"/>
  <c r="X41" i="19"/>
  <c r="Y41" i="19"/>
  <c r="Z41" i="19"/>
  <c r="AA41" i="19"/>
  <c r="D42" i="19"/>
  <c r="E42" i="19"/>
  <c r="F42" i="19"/>
  <c r="G42" i="19"/>
  <c r="H42" i="19"/>
  <c r="I42" i="19"/>
  <c r="J42" i="19"/>
  <c r="K42" i="19"/>
  <c r="L42" i="19"/>
  <c r="M42" i="19"/>
  <c r="N42" i="19"/>
  <c r="O42" i="19"/>
  <c r="P42" i="19"/>
  <c r="Q42" i="19"/>
  <c r="R42" i="19"/>
  <c r="S42" i="19"/>
  <c r="T42" i="19"/>
  <c r="U42" i="19"/>
  <c r="V42" i="19"/>
  <c r="W42" i="19"/>
  <c r="X42" i="19"/>
  <c r="Y42" i="19"/>
  <c r="Z42" i="19"/>
  <c r="AA42" i="19"/>
  <c r="D43" i="19"/>
  <c r="E43" i="19"/>
  <c r="F43" i="19"/>
  <c r="G43" i="19"/>
  <c r="H43" i="19"/>
  <c r="I43" i="19"/>
  <c r="J43" i="19"/>
  <c r="K43" i="19"/>
  <c r="L43" i="19"/>
  <c r="M43" i="19"/>
  <c r="N43" i="19"/>
  <c r="O43" i="19"/>
  <c r="P43" i="19"/>
  <c r="Q43" i="19"/>
  <c r="R43" i="19"/>
  <c r="S43" i="19"/>
  <c r="T43" i="19"/>
  <c r="U43" i="19"/>
  <c r="V43" i="19"/>
  <c r="W43" i="19"/>
  <c r="X43" i="19"/>
  <c r="Y43" i="19"/>
  <c r="Z43" i="19"/>
  <c r="AA43" i="19"/>
  <c r="D44" i="19"/>
  <c r="E44" i="19"/>
  <c r="F44" i="19"/>
  <c r="G44" i="19"/>
  <c r="H44" i="19"/>
  <c r="I44" i="19"/>
  <c r="J44" i="19"/>
  <c r="K44" i="19"/>
  <c r="L44" i="19"/>
  <c r="M44" i="19"/>
  <c r="N44" i="19"/>
  <c r="O44" i="19"/>
  <c r="P44" i="19"/>
  <c r="Q44" i="19"/>
  <c r="R44" i="19"/>
  <c r="S44" i="19"/>
  <c r="T44" i="19"/>
  <c r="U44" i="19"/>
  <c r="V44" i="19"/>
  <c r="W44" i="19"/>
  <c r="X44" i="19"/>
  <c r="Y44" i="19"/>
  <c r="Z44" i="19"/>
  <c r="AA44" i="19"/>
  <c r="D45" i="19"/>
  <c r="E45" i="19"/>
  <c r="F45" i="19"/>
  <c r="G45" i="19"/>
  <c r="H45" i="19"/>
  <c r="I45" i="19"/>
  <c r="J45" i="19"/>
  <c r="K45" i="19"/>
  <c r="L45" i="19"/>
  <c r="M45" i="19"/>
  <c r="N45" i="19"/>
  <c r="O45" i="19"/>
  <c r="P45" i="19"/>
  <c r="Q45" i="19"/>
  <c r="R45" i="19"/>
  <c r="S45" i="19"/>
  <c r="T45" i="19"/>
  <c r="U45" i="19"/>
  <c r="V45" i="19"/>
  <c r="W45" i="19"/>
  <c r="X45" i="19"/>
  <c r="Y45" i="19"/>
  <c r="Z45" i="19"/>
  <c r="AA45" i="19"/>
  <c r="D46" i="19"/>
  <c r="E46" i="19"/>
  <c r="F46" i="19"/>
  <c r="G46" i="19"/>
  <c r="H46" i="19"/>
  <c r="I46" i="19"/>
  <c r="J46" i="19"/>
  <c r="K46" i="19"/>
  <c r="L46" i="19"/>
  <c r="M46" i="19"/>
  <c r="N46" i="19"/>
  <c r="O46" i="19"/>
  <c r="P46" i="19"/>
  <c r="Q46" i="19"/>
  <c r="R46" i="19"/>
  <c r="S46" i="19"/>
  <c r="T46" i="19"/>
  <c r="U46" i="19"/>
  <c r="V46" i="19"/>
  <c r="W46" i="19"/>
  <c r="X46" i="19"/>
  <c r="Y46" i="19"/>
  <c r="Z46" i="19"/>
  <c r="AA46" i="19"/>
  <c r="D47" i="19"/>
  <c r="E47" i="19"/>
  <c r="F47" i="19"/>
  <c r="G47" i="19"/>
  <c r="H47" i="19"/>
  <c r="I47" i="19"/>
  <c r="J47" i="19"/>
  <c r="K47" i="19"/>
  <c r="L47" i="19"/>
  <c r="M47" i="19"/>
  <c r="N47" i="19"/>
  <c r="O47" i="19"/>
  <c r="P47" i="19"/>
  <c r="Q47" i="19"/>
  <c r="R47" i="19"/>
  <c r="S47" i="19"/>
  <c r="T47" i="19"/>
  <c r="U47" i="19"/>
  <c r="V47" i="19"/>
  <c r="W47" i="19"/>
  <c r="X47" i="19"/>
  <c r="Y47" i="19"/>
  <c r="Z47" i="19"/>
  <c r="AA47" i="19"/>
  <c r="D48" i="19"/>
  <c r="E48" i="19"/>
  <c r="F48" i="19"/>
  <c r="G48" i="19"/>
  <c r="H48" i="19"/>
  <c r="I48" i="19"/>
  <c r="J48" i="19"/>
  <c r="K48" i="19"/>
  <c r="L48" i="19"/>
  <c r="M48" i="19"/>
  <c r="N48" i="19"/>
  <c r="O48" i="19"/>
  <c r="P48" i="19"/>
  <c r="Q48" i="19"/>
  <c r="R48" i="19"/>
  <c r="S48" i="19"/>
  <c r="T48" i="19"/>
  <c r="U48" i="19"/>
  <c r="V48" i="19"/>
  <c r="W48" i="19"/>
  <c r="X48" i="19"/>
  <c r="Y48" i="19"/>
  <c r="Z48" i="19"/>
  <c r="AA48" i="19"/>
  <c r="D49" i="19"/>
  <c r="E49" i="19"/>
  <c r="F49" i="19"/>
  <c r="G49" i="19"/>
  <c r="H49" i="19"/>
  <c r="I49" i="19"/>
  <c r="J49" i="19"/>
  <c r="K49" i="19"/>
  <c r="L49" i="19"/>
  <c r="M49" i="19"/>
  <c r="N49" i="19"/>
  <c r="O49" i="19"/>
  <c r="P49" i="19"/>
  <c r="Q49" i="19"/>
  <c r="R49" i="19"/>
  <c r="S49" i="19"/>
  <c r="T49" i="19"/>
  <c r="U49" i="19"/>
  <c r="V49" i="19"/>
  <c r="W49" i="19"/>
  <c r="X49" i="19"/>
  <c r="Y49" i="19"/>
  <c r="Z49" i="19"/>
  <c r="AA49" i="19"/>
  <c r="D50" i="19"/>
  <c r="E50" i="19"/>
  <c r="F50" i="19"/>
  <c r="G50" i="19"/>
  <c r="H50" i="19"/>
  <c r="I50" i="19"/>
  <c r="J50" i="19"/>
  <c r="K50" i="19"/>
  <c r="L50" i="19"/>
  <c r="M50" i="19"/>
  <c r="N50" i="19"/>
  <c r="O50" i="19"/>
  <c r="P50" i="19"/>
  <c r="Q50" i="19"/>
  <c r="R50" i="19"/>
  <c r="S50" i="19"/>
  <c r="T50" i="19"/>
  <c r="U50" i="19"/>
  <c r="V50" i="19"/>
  <c r="W50" i="19"/>
  <c r="X50" i="19"/>
  <c r="Y50" i="19"/>
  <c r="Z50" i="19"/>
  <c r="AA50" i="19"/>
  <c r="D51" i="19"/>
  <c r="E51" i="19"/>
  <c r="F51" i="19"/>
  <c r="G51" i="19"/>
  <c r="H51" i="19"/>
  <c r="I51" i="19"/>
  <c r="J51" i="19"/>
  <c r="K51" i="19"/>
  <c r="L51" i="19"/>
  <c r="M51" i="19"/>
  <c r="N51" i="19"/>
  <c r="O51" i="19"/>
  <c r="P51" i="19"/>
  <c r="Q51" i="19"/>
  <c r="R51" i="19"/>
  <c r="S51" i="19"/>
  <c r="T51" i="19"/>
  <c r="U51" i="19"/>
  <c r="V51" i="19"/>
  <c r="W51" i="19"/>
  <c r="X51" i="19"/>
  <c r="Y51" i="19"/>
  <c r="Z51" i="19"/>
  <c r="AA51" i="19"/>
  <c r="D52" i="19"/>
  <c r="E52" i="19"/>
  <c r="F52" i="19"/>
  <c r="G52" i="19"/>
  <c r="H52" i="19"/>
  <c r="I52" i="19"/>
  <c r="J52" i="19"/>
  <c r="K52" i="19"/>
  <c r="L52" i="19"/>
  <c r="M52" i="19"/>
  <c r="N52" i="19"/>
  <c r="O52" i="19"/>
  <c r="P52" i="19"/>
  <c r="Q52" i="19"/>
  <c r="R52" i="19"/>
  <c r="S52" i="19"/>
  <c r="T52" i="19"/>
  <c r="U52" i="19"/>
  <c r="V52" i="19"/>
  <c r="W52" i="19"/>
  <c r="X52" i="19"/>
  <c r="Y52" i="19"/>
  <c r="Z52" i="19"/>
  <c r="AA52" i="19"/>
  <c r="D53" i="19"/>
  <c r="E53" i="19"/>
  <c r="F53" i="19"/>
  <c r="G53" i="19"/>
  <c r="H53" i="19"/>
  <c r="I53" i="19"/>
  <c r="J53" i="19"/>
  <c r="K53" i="19"/>
  <c r="L53" i="19"/>
  <c r="M53" i="19"/>
  <c r="N53" i="19"/>
  <c r="O53" i="19"/>
  <c r="P53" i="19"/>
  <c r="Q53" i="19"/>
  <c r="R53" i="19"/>
  <c r="S53" i="19"/>
  <c r="T53" i="19"/>
  <c r="U53" i="19"/>
  <c r="V53" i="19"/>
  <c r="W53" i="19"/>
  <c r="X53" i="19"/>
  <c r="Y53" i="19"/>
  <c r="Z53" i="19"/>
  <c r="AA53" i="19"/>
  <c r="D54" i="19"/>
  <c r="E54" i="19"/>
  <c r="F54" i="19"/>
  <c r="G54" i="19"/>
  <c r="H54" i="19"/>
  <c r="I54" i="19"/>
  <c r="J54" i="19"/>
  <c r="K54" i="19"/>
  <c r="L54" i="19"/>
  <c r="M54" i="19"/>
  <c r="N54" i="19"/>
  <c r="O54" i="19"/>
  <c r="P54" i="19"/>
  <c r="Q54" i="19"/>
  <c r="R54" i="19"/>
  <c r="S54" i="19"/>
  <c r="T54" i="19"/>
  <c r="U54" i="19"/>
  <c r="V54" i="19"/>
  <c r="W54" i="19"/>
  <c r="X54" i="19"/>
  <c r="Y54" i="19"/>
  <c r="Z54" i="19"/>
  <c r="AA54" i="19"/>
  <c r="D55" i="19"/>
  <c r="E55" i="19"/>
  <c r="F55" i="19"/>
  <c r="G55" i="19"/>
  <c r="H55" i="19"/>
  <c r="I55" i="19"/>
  <c r="J55" i="19"/>
  <c r="K55" i="19"/>
  <c r="L55" i="19"/>
  <c r="M55" i="19"/>
  <c r="N55" i="19"/>
  <c r="O55" i="19"/>
  <c r="P55" i="19"/>
  <c r="Q55" i="19"/>
  <c r="R55" i="19"/>
  <c r="S55" i="19"/>
  <c r="T55" i="19"/>
  <c r="U55" i="19"/>
  <c r="V55" i="19"/>
  <c r="W55" i="19"/>
  <c r="X55" i="19"/>
  <c r="Y55" i="19"/>
  <c r="Z55" i="19"/>
  <c r="AA55" i="19"/>
  <c r="D110" i="18"/>
  <c r="E110" i="18"/>
  <c r="F110" i="18"/>
  <c r="G110" i="18"/>
  <c r="H110" i="18"/>
  <c r="I110" i="18"/>
  <c r="J110" i="18"/>
  <c r="K110" i="18"/>
  <c r="L110" i="18"/>
  <c r="M110" i="18"/>
  <c r="N110" i="18"/>
  <c r="O110" i="18"/>
  <c r="P110" i="18"/>
  <c r="Q110" i="18"/>
  <c r="R110" i="18"/>
  <c r="S110" i="18"/>
  <c r="T110" i="18"/>
  <c r="U110" i="18"/>
  <c r="V110" i="18"/>
  <c r="W110" i="18"/>
  <c r="X110" i="18"/>
  <c r="Y110" i="18"/>
  <c r="Z110" i="18"/>
  <c r="AA110" i="18"/>
  <c r="D111" i="18"/>
  <c r="E111" i="18"/>
  <c r="F111" i="18"/>
  <c r="G111" i="18"/>
  <c r="H111" i="18"/>
  <c r="I111" i="18"/>
  <c r="J111" i="18"/>
  <c r="K111" i="18"/>
  <c r="L111" i="18"/>
  <c r="M111" i="18"/>
  <c r="N111" i="18"/>
  <c r="O111" i="18"/>
  <c r="P111" i="18"/>
  <c r="Q111" i="18"/>
  <c r="R111" i="18"/>
  <c r="S111" i="18"/>
  <c r="T111" i="18"/>
  <c r="U111" i="18"/>
  <c r="V111" i="18"/>
  <c r="W111" i="18"/>
  <c r="X111" i="18"/>
  <c r="Y111" i="18"/>
  <c r="Z111" i="18"/>
  <c r="AA111" i="18"/>
  <c r="D112" i="18"/>
  <c r="E112" i="18"/>
  <c r="F112" i="18"/>
  <c r="G112" i="18"/>
  <c r="H112" i="18"/>
  <c r="I112" i="18"/>
  <c r="J112" i="18"/>
  <c r="K112" i="18"/>
  <c r="L112" i="18"/>
  <c r="M112" i="18"/>
  <c r="N112" i="18"/>
  <c r="O112" i="18"/>
  <c r="P112" i="18"/>
  <c r="Q112" i="18"/>
  <c r="R112" i="18"/>
  <c r="S112" i="18"/>
  <c r="T112" i="18"/>
  <c r="U112" i="18"/>
  <c r="V112" i="18"/>
  <c r="W112" i="18"/>
  <c r="X112" i="18"/>
  <c r="Y112" i="18"/>
  <c r="Z112" i="18"/>
  <c r="AA112" i="18"/>
  <c r="D113" i="18"/>
  <c r="E113" i="18"/>
  <c r="F113" i="18"/>
  <c r="G113" i="18"/>
  <c r="H113" i="18"/>
  <c r="I113" i="18"/>
  <c r="J113" i="18"/>
  <c r="K113" i="18"/>
  <c r="L113" i="18"/>
  <c r="M113" i="18"/>
  <c r="N113" i="18"/>
  <c r="O113" i="18"/>
  <c r="P113" i="18"/>
  <c r="Q113" i="18"/>
  <c r="R113" i="18"/>
  <c r="S113" i="18"/>
  <c r="T113" i="18"/>
  <c r="U113" i="18"/>
  <c r="V113" i="18"/>
  <c r="W113" i="18"/>
  <c r="X113" i="18"/>
  <c r="Y113" i="18"/>
  <c r="Z113" i="18"/>
  <c r="AA113" i="18"/>
  <c r="D114" i="18"/>
  <c r="E114" i="18"/>
  <c r="F114" i="18"/>
  <c r="G114" i="18"/>
  <c r="H114" i="18"/>
  <c r="I114" i="18"/>
  <c r="J114" i="18"/>
  <c r="K114" i="18"/>
  <c r="L114" i="18"/>
  <c r="M114" i="18"/>
  <c r="N114" i="18"/>
  <c r="O114" i="18"/>
  <c r="P114" i="18"/>
  <c r="Q114" i="18"/>
  <c r="R114" i="18"/>
  <c r="S114" i="18"/>
  <c r="T114" i="18"/>
  <c r="U114" i="18"/>
  <c r="V114" i="18"/>
  <c r="W114" i="18"/>
  <c r="X114" i="18"/>
  <c r="Y114" i="18"/>
  <c r="Z114" i="18"/>
  <c r="AA114" i="18"/>
  <c r="D56" i="18"/>
  <c r="E56" i="18"/>
  <c r="F56" i="18"/>
  <c r="G56" i="18"/>
  <c r="H56" i="18"/>
  <c r="I56" i="18"/>
  <c r="J56" i="18"/>
  <c r="K56" i="18"/>
  <c r="L56" i="18"/>
  <c r="M56" i="18"/>
  <c r="N56" i="18"/>
  <c r="O56" i="18"/>
  <c r="P56" i="18"/>
  <c r="Q56" i="18"/>
  <c r="R56" i="18"/>
  <c r="S56" i="18"/>
  <c r="T56" i="18"/>
  <c r="U56" i="18"/>
  <c r="V56" i="18"/>
  <c r="W56" i="18"/>
  <c r="X56" i="18"/>
  <c r="Y56" i="18"/>
  <c r="Z56" i="18"/>
  <c r="AA56" i="18"/>
  <c r="D57" i="18"/>
  <c r="E57" i="18"/>
  <c r="F57" i="18"/>
  <c r="G57" i="18"/>
  <c r="H57" i="18"/>
  <c r="I57" i="18"/>
  <c r="J57" i="18"/>
  <c r="K57" i="18"/>
  <c r="L57" i="18"/>
  <c r="M57" i="18"/>
  <c r="N57" i="18"/>
  <c r="O57" i="18"/>
  <c r="P57" i="18"/>
  <c r="Q57" i="18"/>
  <c r="R57" i="18"/>
  <c r="S57" i="18"/>
  <c r="T57" i="18"/>
  <c r="U57" i="18"/>
  <c r="V57" i="18"/>
  <c r="W57" i="18"/>
  <c r="X57" i="18"/>
  <c r="Y57" i="18"/>
  <c r="Z57" i="18"/>
  <c r="AA57" i="18"/>
  <c r="D58" i="18"/>
  <c r="E58" i="18"/>
  <c r="F58" i="18"/>
  <c r="G58" i="18"/>
  <c r="H58" i="18"/>
  <c r="I58" i="18"/>
  <c r="J58" i="18"/>
  <c r="K58" i="18"/>
  <c r="L58" i="18"/>
  <c r="M58" i="18"/>
  <c r="N58" i="18"/>
  <c r="O58" i="18"/>
  <c r="P58" i="18"/>
  <c r="Q58" i="18"/>
  <c r="R58" i="18"/>
  <c r="S58" i="18"/>
  <c r="T58" i="18"/>
  <c r="U58" i="18"/>
  <c r="V58" i="18"/>
  <c r="W58" i="18"/>
  <c r="X58" i="18"/>
  <c r="Y58" i="18"/>
  <c r="Z58" i="18"/>
  <c r="AA58" i="18"/>
  <c r="D59" i="18"/>
  <c r="E59" i="18"/>
  <c r="F59" i="18"/>
  <c r="G59" i="18"/>
  <c r="H59" i="18"/>
  <c r="I59" i="18"/>
  <c r="J59" i="18"/>
  <c r="K59" i="18"/>
  <c r="L59" i="18"/>
  <c r="M59" i="18"/>
  <c r="N59" i="18"/>
  <c r="O59" i="18"/>
  <c r="P59" i="18"/>
  <c r="Q59" i="18"/>
  <c r="R59" i="18"/>
  <c r="S59" i="18"/>
  <c r="T59" i="18"/>
  <c r="U59" i="18"/>
  <c r="V59" i="18"/>
  <c r="W59" i="18"/>
  <c r="X59" i="18"/>
  <c r="Y59" i="18"/>
  <c r="Z59" i="18"/>
  <c r="AA59" i="18"/>
  <c r="D60" i="18"/>
  <c r="E60" i="18"/>
  <c r="F60" i="18"/>
  <c r="G60" i="18"/>
  <c r="H60" i="18"/>
  <c r="I60" i="18"/>
  <c r="J60" i="18"/>
  <c r="K60" i="18"/>
  <c r="L60" i="18"/>
  <c r="M60" i="18"/>
  <c r="N60" i="18"/>
  <c r="O60" i="18"/>
  <c r="P60" i="18"/>
  <c r="Q60" i="18"/>
  <c r="R60" i="18"/>
  <c r="S60" i="18"/>
  <c r="T60" i="18"/>
  <c r="U60" i="18"/>
  <c r="V60" i="18"/>
  <c r="W60" i="18"/>
  <c r="X60" i="18"/>
  <c r="Y60" i="18"/>
  <c r="Z60" i="18"/>
  <c r="AA60" i="18"/>
  <c r="D61" i="18"/>
  <c r="E61" i="18"/>
  <c r="F61" i="18"/>
  <c r="G61" i="18"/>
  <c r="H61" i="18"/>
  <c r="I61" i="18"/>
  <c r="J61" i="18"/>
  <c r="K61" i="18"/>
  <c r="L61" i="18"/>
  <c r="M61" i="18"/>
  <c r="N61" i="18"/>
  <c r="O61" i="18"/>
  <c r="P61" i="18"/>
  <c r="Q61" i="18"/>
  <c r="R61" i="18"/>
  <c r="S61" i="18"/>
  <c r="T61" i="18"/>
  <c r="U61" i="18"/>
  <c r="V61" i="18"/>
  <c r="W61" i="18"/>
  <c r="X61" i="18"/>
  <c r="Y61" i="18"/>
  <c r="Z61" i="18"/>
  <c r="AA61" i="18"/>
  <c r="D62" i="18"/>
  <c r="E62" i="18"/>
  <c r="F62" i="18"/>
  <c r="G62" i="18"/>
  <c r="H62" i="18"/>
  <c r="I62" i="18"/>
  <c r="J62" i="18"/>
  <c r="K62" i="18"/>
  <c r="L62" i="18"/>
  <c r="M62" i="18"/>
  <c r="N62" i="18"/>
  <c r="O62" i="18"/>
  <c r="P62" i="18"/>
  <c r="Q62" i="18"/>
  <c r="R62" i="18"/>
  <c r="S62" i="18"/>
  <c r="T62" i="18"/>
  <c r="U62" i="18"/>
  <c r="V62" i="18"/>
  <c r="W62" i="18"/>
  <c r="X62" i="18"/>
  <c r="Y62" i="18"/>
  <c r="Z62" i="18"/>
  <c r="AA62" i="18"/>
  <c r="D63" i="18"/>
  <c r="E63" i="18"/>
  <c r="F63" i="18"/>
  <c r="G63" i="18"/>
  <c r="H63" i="18"/>
  <c r="I63" i="18"/>
  <c r="J63" i="18"/>
  <c r="K63" i="18"/>
  <c r="L63" i="18"/>
  <c r="M63" i="18"/>
  <c r="N63" i="18"/>
  <c r="O63" i="18"/>
  <c r="P63" i="18"/>
  <c r="Q63" i="18"/>
  <c r="R63" i="18"/>
  <c r="S63" i="18"/>
  <c r="T63" i="18"/>
  <c r="U63" i="18"/>
  <c r="V63" i="18"/>
  <c r="W63" i="18"/>
  <c r="X63" i="18"/>
  <c r="Y63" i="18"/>
  <c r="Z63" i="18"/>
  <c r="AA63" i="18"/>
  <c r="D64" i="18"/>
  <c r="E64" i="18"/>
  <c r="F64" i="18"/>
  <c r="G64" i="18"/>
  <c r="H64" i="18"/>
  <c r="I64" i="18"/>
  <c r="J64" i="18"/>
  <c r="K64" i="18"/>
  <c r="L64" i="18"/>
  <c r="M64" i="18"/>
  <c r="N64" i="18"/>
  <c r="O64" i="18"/>
  <c r="P64" i="18"/>
  <c r="Q64" i="18"/>
  <c r="R64" i="18"/>
  <c r="S64" i="18"/>
  <c r="T64" i="18"/>
  <c r="U64" i="18"/>
  <c r="V64" i="18"/>
  <c r="W64" i="18"/>
  <c r="X64" i="18"/>
  <c r="Y64" i="18"/>
  <c r="Z64" i="18"/>
  <c r="AA64" i="18"/>
  <c r="D65" i="18"/>
  <c r="E65" i="18"/>
  <c r="F65" i="18"/>
  <c r="G65" i="18"/>
  <c r="H65" i="18"/>
  <c r="I65" i="18"/>
  <c r="J65" i="18"/>
  <c r="K65" i="18"/>
  <c r="L65" i="18"/>
  <c r="M65" i="18"/>
  <c r="N65" i="18"/>
  <c r="O65" i="18"/>
  <c r="P65" i="18"/>
  <c r="Q65" i="18"/>
  <c r="R65" i="18"/>
  <c r="S65" i="18"/>
  <c r="T65" i="18"/>
  <c r="U65" i="18"/>
  <c r="V65" i="18"/>
  <c r="W65" i="18"/>
  <c r="X65" i="18"/>
  <c r="Y65" i="18"/>
  <c r="Z65" i="18"/>
  <c r="AA65" i="18"/>
  <c r="D66" i="18"/>
  <c r="E66" i="18"/>
  <c r="F66" i="18"/>
  <c r="G66" i="18"/>
  <c r="H66" i="18"/>
  <c r="I66" i="18"/>
  <c r="J66" i="18"/>
  <c r="K66" i="18"/>
  <c r="L66" i="18"/>
  <c r="M66" i="18"/>
  <c r="N66" i="18"/>
  <c r="O66" i="18"/>
  <c r="P66" i="18"/>
  <c r="Q66" i="18"/>
  <c r="R66" i="18"/>
  <c r="S66" i="18"/>
  <c r="T66" i="18"/>
  <c r="U66" i="18"/>
  <c r="V66" i="18"/>
  <c r="W66" i="18"/>
  <c r="X66" i="18"/>
  <c r="Y66" i="18"/>
  <c r="Z66" i="18"/>
  <c r="AA66" i="18"/>
  <c r="D67" i="18"/>
  <c r="E67" i="18"/>
  <c r="F67" i="18"/>
  <c r="G67" i="18"/>
  <c r="H67" i="18"/>
  <c r="I67" i="18"/>
  <c r="J67" i="18"/>
  <c r="K67" i="18"/>
  <c r="L67" i="18"/>
  <c r="M67" i="18"/>
  <c r="N67" i="18"/>
  <c r="O67" i="18"/>
  <c r="P67" i="18"/>
  <c r="Q67" i="18"/>
  <c r="R67" i="18"/>
  <c r="S67" i="18"/>
  <c r="T67" i="18"/>
  <c r="U67" i="18"/>
  <c r="V67" i="18"/>
  <c r="W67" i="18"/>
  <c r="X67" i="18"/>
  <c r="Y67" i="18"/>
  <c r="Z67" i="18"/>
  <c r="AA67" i="18"/>
  <c r="D68" i="18"/>
  <c r="E68" i="18"/>
  <c r="F68" i="18"/>
  <c r="G68" i="18"/>
  <c r="H68" i="18"/>
  <c r="I68" i="18"/>
  <c r="J68" i="18"/>
  <c r="K68" i="18"/>
  <c r="L68" i="18"/>
  <c r="M68" i="18"/>
  <c r="N68" i="18"/>
  <c r="O68" i="18"/>
  <c r="P68" i="18"/>
  <c r="Q68" i="18"/>
  <c r="R68" i="18"/>
  <c r="S68" i="18"/>
  <c r="T68" i="18"/>
  <c r="U68" i="18"/>
  <c r="V68" i="18"/>
  <c r="W68" i="18"/>
  <c r="X68" i="18"/>
  <c r="Y68" i="18"/>
  <c r="Z68" i="18"/>
  <c r="AA68" i="18"/>
  <c r="D69" i="18"/>
  <c r="E69" i="18"/>
  <c r="F69" i="18"/>
  <c r="G69" i="18"/>
  <c r="H69" i="18"/>
  <c r="I69" i="18"/>
  <c r="J69" i="18"/>
  <c r="K69" i="18"/>
  <c r="L69" i="18"/>
  <c r="M69" i="18"/>
  <c r="N69" i="18"/>
  <c r="O69" i="18"/>
  <c r="P69" i="18"/>
  <c r="Q69" i="18"/>
  <c r="R69" i="18"/>
  <c r="S69" i="18"/>
  <c r="T69" i="18"/>
  <c r="U69" i="18"/>
  <c r="V69" i="18"/>
  <c r="W69" i="18"/>
  <c r="X69" i="18"/>
  <c r="Y69" i="18"/>
  <c r="Z69" i="18"/>
  <c r="AA69" i="18"/>
  <c r="D70" i="18"/>
  <c r="E70" i="18"/>
  <c r="F70" i="18"/>
  <c r="G70" i="18"/>
  <c r="H70" i="18"/>
  <c r="I70" i="18"/>
  <c r="J70" i="18"/>
  <c r="K70" i="18"/>
  <c r="L70" i="18"/>
  <c r="M70" i="18"/>
  <c r="N70" i="18"/>
  <c r="O70" i="18"/>
  <c r="P70" i="18"/>
  <c r="Q70" i="18"/>
  <c r="R70" i="18"/>
  <c r="S70" i="18"/>
  <c r="T70" i="18"/>
  <c r="U70" i="18"/>
  <c r="V70" i="18"/>
  <c r="W70" i="18"/>
  <c r="X70" i="18"/>
  <c r="Y70" i="18"/>
  <c r="Z70" i="18"/>
  <c r="AA70" i="18"/>
  <c r="D71" i="18"/>
  <c r="E71" i="18"/>
  <c r="F71" i="18"/>
  <c r="G71" i="18"/>
  <c r="H71" i="18"/>
  <c r="I71" i="18"/>
  <c r="J71" i="18"/>
  <c r="K71" i="18"/>
  <c r="L71" i="18"/>
  <c r="M71" i="18"/>
  <c r="N71" i="18"/>
  <c r="O71" i="18"/>
  <c r="P71" i="18"/>
  <c r="Q71" i="18"/>
  <c r="R71" i="18"/>
  <c r="S71" i="18"/>
  <c r="T71" i="18"/>
  <c r="U71" i="18"/>
  <c r="V71" i="18"/>
  <c r="W71" i="18"/>
  <c r="X71" i="18"/>
  <c r="Y71" i="18"/>
  <c r="Z71" i="18"/>
  <c r="AA71" i="18"/>
  <c r="D72" i="18"/>
  <c r="E72" i="18"/>
  <c r="F72" i="18"/>
  <c r="G72" i="18"/>
  <c r="H72" i="18"/>
  <c r="I72" i="18"/>
  <c r="J72" i="18"/>
  <c r="K72" i="18"/>
  <c r="L72" i="18"/>
  <c r="M72" i="18"/>
  <c r="N72" i="18"/>
  <c r="O72" i="18"/>
  <c r="P72" i="18"/>
  <c r="Q72" i="18"/>
  <c r="R72" i="18"/>
  <c r="S72" i="18"/>
  <c r="T72" i="18"/>
  <c r="U72" i="18"/>
  <c r="V72" i="18"/>
  <c r="W72" i="18"/>
  <c r="X72" i="18"/>
  <c r="Y72" i="18"/>
  <c r="Z72" i="18"/>
  <c r="AA72" i="18"/>
  <c r="D73" i="18"/>
  <c r="E73" i="18"/>
  <c r="F73" i="18"/>
  <c r="G73" i="18"/>
  <c r="H73" i="18"/>
  <c r="I73" i="18"/>
  <c r="J73" i="18"/>
  <c r="K73" i="18"/>
  <c r="L73" i="18"/>
  <c r="M73" i="18"/>
  <c r="N73" i="18"/>
  <c r="O73" i="18"/>
  <c r="P73" i="18"/>
  <c r="Q73" i="18"/>
  <c r="R73" i="18"/>
  <c r="S73" i="18"/>
  <c r="T73" i="18"/>
  <c r="U73" i="18"/>
  <c r="V73" i="18"/>
  <c r="W73" i="18"/>
  <c r="X73" i="18"/>
  <c r="Y73" i="18"/>
  <c r="Z73" i="18"/>
  <c r="AA73" i="18"/>
  <c r="D74" i="18"/>
  <c r="E74" i="18"/>
  <c r="F74" i="18"/>
  <c r="G74" i="18"/>
  <c r="H74" i="18"/>
  <c r="I74" i="18"/>
  <c r="J74" i="18"/>
  <c r="K74" i="18"/>
  <c r="L74" i="18"/>
  <c r="M74" i="18"/>
  <c r="N74" i="18"/>
  <c r="O74" i="18"/>
  <c r="P74" i="18"/>
  <c r="Q74" i="18"/>
  <c r="R74" i="18"/>
  <c r="S74" i="18"/>
  <c r="T74" i="18"/>
  <c r="U74" i="18"/>
  <c r="V74" i="18"/>
  <c r="W74" i="18"/>
  <c r="X74" i="18"/>
  <c r="Y74" i="18"/>
  <c r="Z74" i="18"/>
  <c r="AA74" i="18"/>
  <c r="D75" i="18"/>
  <c r="E75" i="18"/>
  <c r="F75" i="18"/>
  <c r="G75" i="18"/>
  <c r="H75" i="18"/>
  <c r="I75" i="18"/>
  <c r="J75" i="18"/>
  <c r="K75" i="18"/>
  <c r="L75" i="18"/>
  <c r="M75" i="18"/>
  <c r="N75" i="18"/>
  <c r="O75" i="18"/>
  <c r="P75" i="18"/>
  <c r="Q75" i="18"/>
  <c r="R75" i="18"/>
  <c r="S75" i="18"/>
  <c r="T75" i="18"/>
  <c r="U75" i="18"/>
  <c r="V75" i="18"/>
  <c r="W75" i="18"/>
  <c r="X75" i="18"/>
  <c r="Y75" i="18"/>
  <c r="Z75" i="18"/>
  <c r="AA75" i="18"/>
  <c r="D76" i="18"/>
  <c r="E76" i="18"/>
  <c r="F76" i="18"/>
  <c r="G76" i="18"/>
  <c r="H76" i="18"/>
  <c r="I76" i="18"/>
  <c r="J76" i="18"/>
  <c r="K76" i="18"/>
  <c r="L76" i="18"/>
  <c r="M76" i="18"/>
  <c r="N76" i="18"/>
  <c r="O76" i="18"/>
  <c r="P76" i="18"/>
  <c r="Q76" i="18"/>
  <c r="R76" i="18"/>
  <c r="S76" i="18"/>
  <c r="T76" i="18"/>
  <c r="U76" i="18"/>
  <c r="V76" i="18"/>
  <c r="W76" i="18"/>
  <c r="X76" i="18"/>
  <c r="Y76" i="18"/>
  <c r="Z76" i="18"/>
  <c r="AA76" i="18"/>
  <c r="D77" i="18"/>
  <c r="E77" i="18"/>
  <c r="F77" i="18"/>
  <c r="G77" i="18"/>
  <c r="H77" i="18"/>
  <c r="I77" i="18"/>
  <c r="J77" i="18"/>
  <c r="K77" i="18"/>
  <c r="L77" i="18"/>
  <c r="M77" i="18"/>
  <c r="N77" i="18"/>
  <c r="O77" i="18"/>
  <c r="P77" i="18"/>
  <c r="Q77" i="18"/>
  <c r="R77" i="18"/>
  <c r="S77" i="18"/>
  <c r="T77" i="18"/>
  <c r="U77" i="18"/>
  <c r="V77" i="18"/>
  <c r="W77" i="18"/>
  <c r="X77" i="18"/>
  <c r="Y77" i="18"/>
  <c r="Z77" i="18"/>
  <c r="AA77" i="18"/>
  <c r="D78" i="18"/>
  <c r="E78" i="18"/>
  <c r="F78" i="18"/>
  <c r="G78" i="18"/>
  <c r="H78" i="18"/>
  <c r="I78" i="18"/>
  <c r="J78" i="18"/>
  <c r="K78" i="18"/>
  <c r="L78" i="18"/>
  <c r="M78" i="18"/>
  <c r="N78" i="18"/>
  <c r="O78" i="18"/>
  <c r="P78" i="18"/>
  <c r="Q78" i="18"/>
  <c r="R78" i="18"/>
  <c r="S78" i="18"/>
  <c r="T78" i="18"/>
  <c r="U78" i="18"/>
  <c r="V78" i="18"/>
  <c r="W78" i="18"/>
  <c r="X78" i="18"/>
  <c r="Y78" i="18"/>
  <c r="Z78" i="18"/>
  <c r="AA78" i="18"/>
  <c r="D79" i="18"/>
  <c r="E79" i="18"/>
  <c r="F79" i="18"/>
  <c r="G79" i="18"/>
  <c r="H79" i="18"/>
  <c r="I79" i="18"/>
  <c r="J79" i="18"/>
  <c r="K79" i="18"/>
  <c r="L79" i="18"/>
  <c r="M79" i="18"/>
  <c r="N79" i="18"/>
  <c r="O79" i="18"/>
  <c r="P79" i="18"/>
  <c r="Q79" i="18"/>
  <c r="R79" i="18"/>
  <c r="S79" i="18"/>
  <c r="T79" i="18"/>
  <c r="U79" i="18"/>
  <c r="V79" i="18"/>
  <c r="W79" i="18"/>
  <c r="X79" i="18"/>
  <c r="Y79" i="18"/>
  <c r="Z79" i="18"/>
  <c r="AA79" i="18"/>
  <c r="D80" i="18"/>
  <c r="E80" i="18"/>
  <c r="F80" i="18"/>
  <c r="G80" i="18"/>
  <c r="H80" i="18"/>
  <c r="I80" i="18"/>
  <c r="J80" i="18"/>
  <c r="K80" i="18"/>
  <c r="L80" i="18"/>
  <c r="M80" i="18"/>
  <c r="N80" i="18"/>
  <c r="O80" i="18"/>
  <c r="P80" i="18"/>
  <c r="Q80" i="18"/>
  <c r="R80" i="18"/>
  <c r="S80" i="18"/>
  <c r="T80" i="18"/>
  <c r="U80" i="18"/>
  <c r="V80" i="18"/>
  <c r="W80" i="18"/>
  <c r="X80" i="18"/>
  <c r="Y80" i="18"/>
  <c r="Z80" i="18"/>
  <c r="AA80" i="18"/>
  <c r="D81" i="18"/>
  <c r="E81" i="18"/>
  <c r="F81" i="18"/>
  <c r="G81" i="18"/>
  <c r="H81" i="18"/>
  <c r="I81" i="18"/>
  <c r="J81" i="18"/>
  <c r="K81" i="18"/>
  <c r="L81" i="18"/>
  <c r="M81" i="18"/>
  <c r="N81" i="18"/>
  <c r="O81" i="18"/>
  <c r="P81" i="18"/>
  <c r="Q81" i="18"/>
  <c r="R81" i="18"/>
  <c r="S81" i="18"/>
  <c r="T81" i="18"/>
  <c r="U81" i="18"/>
  <c r="V81" i="18"/>
  <c r="W81" i="18"/>
  <c r="X81" i="18"/>
  <c r="Y81" i="18"/>
  <c r="Z81" i="18"/>
  <c r="AA81" i="18"/>
  <c r="D82" i="18"/>
  <c r="E82" i="18"/>
  <c r="F82" i="18"/>
  <c r="G82" i="18"/>
  <c r="H82" i="18"/>
  <c r="I82" i="18"/>
  <c r="J82" i="18"/>
  <c r="K82" i="18"/>
  <c r="L82" i="18"/>
  <c r="M82" i="18"/>
  <c r="N82" i="18"/>
  <c r="O82" i="18"/>
  <c r="P82" i="18"/>
  <c r="Q82" i="18"/>
  <c r="R82" i="18"/>
  <c r="S82" i="18"/>
  <c r="T82" i="18"/>
  <c r="U82" i="18"/>
  <c r="V82" i="18"/>
  <c r="W82" i="18"/>
  <c r="X82" i="18"/>
  <c r="Y82" i="18"/>
  <c r="Z82" i="18"/>
  <c r="AA82" i="18"/>
  <c r="D83" i="18"/>
  <c r="E83" i="18"/>
  <c r="F83" i="18"/>
  <c r="G83" i="18"/>
  <c r="H83" i="18"/>
  <c r="I83" i="18"/>
  <c r="J83" i="18"/>
  <c r="K83" i="18"/>
  <c r="L83" i="18"/>
  <c r="M83" i="18"/>
  <c r="N83" i="18"/>
  <c r="O83" i="18"/>
  <c r="P83" i="18"/>
  <c r="Q83" i="18"/>
  <c r="R83" i="18"/>
  <c r="S83" i="18"/>
  <c r="T83" i="18"/>
  <c r="U83" i="18"/>
  <c r="V83" i="18"/>
  <c r="W83" i="18"/>
  <c r="X83" i="18"/>
  <c r="Y83" i="18"/>
  <c r="Z83" i="18"/>
  <c r="AA83" i="18"/>
  <c r="D84" i="18"/>
  <c r="E84" i="18"/>
  <c r="F84" i="18"/>
  <c r="G84" i="18"/>
  <c r="H84" i="18"/>
  <c r="I84" i="18"/>
  <c r="J84" i="18"/>
  <c r="K84" i="18"/>
  <c r="L84" i="18"/>
  <c r="M84" i="18"/>
  <c r="N84" i="18"/>
  <c r="O84" i="18"/>
  <c r="P84" i="18"/>
  <c r="Q84" i="18"/>
  <c r="R84" i="18"/>
  <c r="S84" i="18"/>
  <c r="T84" i="18"/>
  <c r="U84" i="18"/>
  <c r="V84" i="18"/>
  <c r="W84" i="18"/>
  <c r="X84" i="18"/>
  <c r="Y84" i="18"/>
  <c r="Z84" i="18"/>
  <c r="AA84" i="18"/>
  <c r="D85" i="18"/>
  <c r="E85" i="18"/>
  <c r="F85" i="18"/>
  <c r="G85" i="18"/>
  <c r="H85" i="18"/>
  <c r="I85" i="18"/>
  <c r="J85" i="18"/>
  <c r="K85" i="18"/>
  <c r="L85" i="18"/>
  <c r="M85" i="18"/>
  <c r="N85" i="18"/>
  <c r="O85" i="18"/>
  <c r="P85" i="18"/>
  <c r="Q85" i="18"/>
  <c r="R85" i="18"/>
  <c r="S85" i="18"/>
  <c r="T85" i="18"/>
  <c r="U85" i="18"/>
  <c r="V85" i="18"/>
  <c r="W85" i="18"/>
  <c r="X85" i="18"/>
  <c r="Y85" i="18"/>
  <c r="Z85" i="18"/>
  <c r="AA85" i="18"/>
  <c r="D86" i="18"/>
  <c r="E86" i="18"/>
  <c r="F86" i="18"/>
  <c r="G86" i="18"/>
  <c r="H86" i="18"/>
  <c r="I86" i="18"/>
  <c r="J86" i="18"/>
  <c r="K86" i="18"/>
  <c r="L86" i="18"/>
  <c r="M86" i="18"/>
  <c r="N86" i="18"/>
  <c r="O86" i="18"/>
  <c r="P86" i="18"/>
  <c r="Q86" i="18"/>
  <c r="R86" i="18"/>
  <c r="S86" i="18"/>
  <c r="T86" i="18"/>
  <c r="U86" i="18"/>
  <c r="V86" i="18"/>
  <c r="W86" i="18"/>
  <c r="X86" i="18"/>
  <c r="Y86" i="18"/>
  <c r="Z86" i="18"/>
  <c r="AA86" i="18"/>
  <c r="D87" i="18"/>
  <c r="E87" i="18"/>
  <c r="F87" i="18"/>
  <c r="G87" i="18"/>
  <c r="H87" i="18"/>
  <c r="I87" i="18"/>
  <c r="J87" i="18"/>
  <c r="K87" i="18"/>
  <c r="L87" i="18"/>
  <c r="M87" i="18"/>
  <c r="N87" i="18"/>
  <c r="O87" i="18"/>
  <c r="P87" i="18"/>
  <c r="Q87" i="18"/>
  <c r="R87" i="18"/>
  <c r="S87" i="18"/>
  <c r="T87" i="18"/>
  <c r="U87" i="18"/>
  <c r="V87" i="18"/>
  <c r="W87" i="18"/>
  <c r="X87" i="18"/>
  <c r="Y87" i="18"/>
  <c r="Z87" i="18"/>
  <c r="AA87" i="18"/>
  <c r="D88" i="18"/>
  <c r="E88" i="18"/>
  <c r="F88" i="18"/>
  <c r="G88" i="18"/>
  <c r="H88" i="18"/>
  <c r="I88" i="18"/>
  <c r="J88" i="18"/>
  <c r="K88" i="18"/>
  <c r="L88" i="18"/>
  <c r="M88" i="18"/>
  <c r="N88" i="18"/>
  <c r="O88" i="18"/>
  <c r="P88" i="18"/>
  <c r="Q88" i="18"/>
  <c r="R88" i="18"/>
  <c r="S88" i="18"/>
  <c r="T88" i="18"/>
  <c r="U88" i="18"/>
  <c r="V88" i="18"/>
  <c r="W88" i="18"/>
  <c r="X88" i="18"/>
  <c r="Y88" i="18"/>
  <c r="Z88" i="18"/>
  <c r="AA88" i="18"/>
  <c r="D89" i="18"/>
  <c r="E89" i="18"/>
  <c r="F89" i="18"/>
  <c r="G89" i="18"/>
  <c r="H89" i="18"/>
  <c r="I89" i="18"/>
  <c r="J89" i="18"/>
  <c r="K89" i="18"/>
  <c r="L89" i="18"/>
  <c r="M89" i="18"/>
  <c r="N89" i="18"/>
  <c r="O89" i="18"/>
  <c r="P89" i="18"/>
  <c r="Q89" i="18"/>
  <c r="R89" i="18"/>
  <c r="S89" i="18"/>
  <c r="T89" i="18"/>
  <c r="U89" i="18"/>
  <c r="V89" i="18"/>
  <c r="W89" i="18"/>
  <c r="X89" i="18"/>
  <c r="Y89" i="18"/>
  <c r="Z89" i="18"/>
  <c r="AA89" i="18"/>
  <c r="D90" i="18"/>
  <c r="E90" i="18"/>
  <c r="F90" i="18"/>
  <c r="G90" i="18"/>
  <c r="H90" i="18"/>
  <c r="I90" i="18"/>
  <c r="J90" i="18"/>
  <c r="K90" i="18"/>
  <c r="L90" i="18"/>
  <c r="M90" i="18"/>
  <c r="N90" i="18"/>
  <c r="O90" i="18"/>
  <c r="P90" i="18"/>
  <c r="Q90" i="18"/>
  <c r="R90" i="18"/>
  <c r="S90" i="18"/>
  <c r="T90" i="18"/>
  <c r="U90" i="18"/>
  <c r="V90" i="18"/>
  <c r="W90" i="18"/>
  <c r="X90" i="18"/>
  <c r="Y90" i="18"/>
  <c r="Z90" i="18"/>
  <c r="AA90" i="18"/>
  <c r="D91" i="18"/>
  <c r="E91" i="18"/>
  <c r="F91" i="18"/>
  <c r="G91" i="18"/>
  <c r="H91" i="18"/>
  <c r="I91" i="18"/>
  <c r="J91" i="18"/>
  <c r="K91" i="18"/>
  <c r="L91" i="18"/>
  <c r="M91" i="18"/>
  <c r="N91" i="18"/>
  <c r="O91" i="18"/>
  <c r="P91" i="18"/>
  <c r="Q91" i="18"/>
  <c r="R91" i="18"/>
  <c r="S91" i="18"/>
  <c r="T91" i="18"/>
  <c r="U91" i="18"/>
  <c r="V91" i="18"/>
  <c r="W91" i="18"/>
  <c r="X91" i="18"/>
  <c r="Y91" i="18"/>
  <c r="Z91" i="18"/>
  <c r="AA91" i="18"/>
  <c r="D92" i="18"/>
  <c r="E92" i="18"/>
  <c r="F92" i="18"/>
  <c r="G92" i="18"/>
  <c r="H92" i="18"/>
  <c r="I92" i="18"/>
  <c r="J92" i="18"/>
  <c r="K92" i="18"/>
  <c r="L92" i="18"/>
  <c r="M92" i="18"/>
  <c r="N92" i="18"/>
  <c r="O92" i="18"/>
  <c r="P92" i="18"/>
  <c r="Q92" i="18"/>
  <c r="R92" i="18"/>
  <c r="S92" i="18"/>
  <c r="T92" i="18"/>
  <c r="U92" i="18"/>
  <c r="V92" i="18"/>
  <c r="W92" i="18"/>
  <c r="X92" i="18"/>
  <c r="Y92" i="18"/>
  <c r="Z92" i="18"/>
  <c r="AA92" i="18"/>
  <c r="D93" i="18"/>
  <c r="E93" i="18"/>
  <c r="F93" i="18"/>
  <c r="G93" i="18"/>
  <c r="H93" i="18"/>
  <c r="I93" i="18"/>
  <c r="J93" i="18"/>
  <c r="K93" i="18"/>
  <c r="L93" i="18"/>
  <c r="M93" i="18"/>
  <c r="N93" i="18"/>
  <c r="O93" i="18"/>
  <c r="P93" i="18"/>
  <c r="Q93" i="18"/>
  <c r="R93" i="18"/>
  <c r="S93" i="18"/>
  <c r="T93" i="18"/>
  <c r="U93" i="18"/>
  <c r="V93" i="18"/>
  <c r="W93" i="18"/>
  <c r="X93" i="18"/>
  <c r="Y93" i="18"/>
  <c r="Z93" i="18"/>
  <c r="AA93" i="18"/>
  <c r="D94" i="18"/>
  <c r="E94" i="18"/>
  <c r="F94" i="18"/>
  <c r="G94" i="18"/>
  <c r="H94" i="18"/>
  <c r="I94" i="18"/>
  <c r="J94" i="18"/>
  <c r="K94" i="18"/>
  <c r="L94" i="18"/>
  <c r="M94" i="18"/>
  <c r="N94" i="18"/>
  <c r="O94" i="18"/>
  <c r="P94" i="18"/>
  <c r="Q94" i="18"/>
  <c r="R94" i="18"/>
  <c r="S94" i="18"/>
  <c r="T94" i="18"/>
  <c r="U94" i="18"/>
  <c r="V94" i="18"/>
  <c r="W94" i="18"/>
  <c r="X94" i="18"/>
  <c r="Y94" i="18"/>
  <c r="Z94" i="18"/>
  <c r="AA94" i="18"/>
  <c r="D95" i="18"/>
  <c r="E95" i="18"/>
  <c r="F95" i="18"/>
  <c r="G95" i="18"/>
  <c r="H95" i="18"/>
  <c r="I95" i="18"/>
  <c r="J95" i="18"/>
  <c r="K95" i="18"/>
  <c r="L95" i="18"/>
  <c r="M95" i="18"/>
  <c r="N95" i="18"/>
  <c r="O95" i="18"/>
  <c r="P95" i="18"/>
  <c r="Q95" i="18"/>
  <c r="R95" i="18"/>
  <c r="S95" i="18"/>
  <c r="T95" i="18"/>
  <c r="U95" i="18"/>
  <c r="V95" i="18"/>
  <c r="W95" i="18"/>
  <c r="X95" i="18"/>
  <c r="Y95" i="18"/>
  <c r="Z95" i="18"/>
  <c r="AA95" i="18"/>
  <c r="D96" i="18"/>
  <c r="E96" i="18"/>
  <c r="F96" i="18"/>
  <c r="G96" i="18"/>
  <c r="H96" i="18"/>
  <c r="I96" i="18"/>
  <c r="J96" i="18"/>
  <c r="K96" i="18"/>
  <c r="L96" i="18"/>
  <c r="M96" i="18"/>
  <c r="N96" i="18"/>
  <c r="O96" i="18"/>
  <c r="P96" i="18"/>
  <c r="Q96" i="18"/>
  <c r="R96" i="18"/>
  <c r="S96" i="18"/>
  <c r="T96" i="18"/>
  <c r="U96" i="18"/>
  <c r="V96" i="18"/>
  <c r="W96" i="18"/>
  <c r="X96" i="18"/>
  <c r="Y96" i="18"/>
  <c r="Z96" i="18"/>
  <c r="AA96" i="18"/>
  <c r="D97" i="18"/>
  <c r="E97" i="18"/>
  <c r="F97" i="18"/>
  <c r="G97" i="18"/>
  <c r="H97" i="18"/>
  <c r="I97" i="18"/>
  <c r="J97" i="18"/>
  <c r="K97" i="18"/>
  <c r="L97" i="18"/>
  <c r="M97" i="18"/>
  <c r="N97" i="18"/>
  <c r="O97" i="18"/>
  <c r="P97" i="18"/>
  <c r="Q97" i="18"/>
  <c r="R97" i="18"/>
  <c r="S97" i="18"/>
  <c r="T97" i="18"/>
  <c r="U97" i="18"/>
  <c r="V97" i="18"/>
  <c r="W97" i="18"/>
  <c r="X97" i="18"/>
  <c r="Y97" i="18"/>
  <c r="Z97" i="18"/>
  <c r="AA97" i="18"/>
  <c r="D98" i="18"/>
  <c r="E98" i="18"/>
  <c r="F98" i="18"/>
  <c r="G98" i="18"/>
  <c r="H98" i="18"/>
  <c r="I98" i="18"/>
  <c r="J98" i="18"/>
  <c r="K98" i="18"/>
  <c r="L98" i="18"/>
  <c r="M98" i="18"/>
  <c r="N98" i="18"/>
  <c r="O98" i="18"/>
  <c r="P98" i="18"/>
  <c r="Q98" i="18"/>
  <c r="R98" i="18"/>
  <c r="S98" i="18"/>
  <c r="T98" i="18"/>
  <c r="U98" i="18"/>
  <c r="V98" i="18"/>
  <c r="W98" i="18"/>
  <c r="X98" i="18"/>
  <c r="Y98" i="18"/>
  <c r="Z98" i="18"/>
  <c r="AA98" i="18"/>
  <c r="D99" i="18"/>
  <c r="E99" i="18"/>
  <c r="F99" i="18"/>
  <c r="G99" i="18"/>
  <c r="H99" i="18"/>
  <c r="I99" i="18"/>
  <c r="J99" i="18"/>
  <c r="K99" i="18"/>
  <c r="L99" i="18"/>
  <c r="M99" i="18"/>
  <c r="N99" i="18"/>
  <c r="O99" i="18"/>
  <c r="P99" i="18"/>
  <c r="Q99" i="18"/>
  <c r="R99" i="18"/>
  <c r="S99" i="18"/>
  <c r="T99" i="18"/>
  <c r="U99" i="18"/>
  <c r="V99" i="18"/>
  <c r="W99" i="18"/>
  <c r="X99" i="18"/>
  <c r="Y99" i="18"/>
  <c r="Z99" i="18"/>
  <c r="AA99" i="18"/>
  <c r="D100" i="18"/>
  <c r="E100" i="18"/>
  <c r="F100" i="18"/>
  <c r="G100" i="18"/>
  <c r="H100" i="18"/>
  <c r="I100" i="18"/>
  <c r="J100" i="18"/>
  <c r="K100" i="18"/>
  <c r="L100" i="18"/>
  <c r="M100" i="18"/>
  <c r="N100" i="18"/>
  <c r="O100" i="18"/>
  <c r="P100" i="18"/>
  <c r="Q100" i="18"/>
  <c r="R100" i="18"/>
  <c r="S100" i="18"/>
  <c r="T100" i="18"/>
  <c r="U100" i="18"/>
  <c r="V100" i="18"/>
  <c r="W100" i="18"/>
  <c r="X100" i="18"/>
  <c r="Y100" i="18"/>
  <c r="Z100" i="18"/>
  <c r="AA100" i="18"/>
  <c r="D101" i="18"/>
  <c r="E101" i="18"/>
  <c r="F101" i="18"/>
  <c r="G101" i="18"/>
  <c r="H101" i="18"/>
  <c r="I101" i="18"/>
  <c r="J101" i="18"/>
  <c r="K101" i="18"/>
  <c r="L101" i="18"/>
  <c r="M101" i="18"/>
  <c r="N101" i="18"/>
  <c r="O101" i="18"/>
  <c r="P101" i="18"/>
  <c r="Q101" i="18"/>
  <c r="R101" i="18"/>
  <c r="S101" i="18"/>
  <c r="T101" i="18"/>
  <c r="U101" i="18"/>
  <c r="V101" i="18"/>
  <c r="W101" i="18"/>
  <c r="X101" i="18"/>
  <c r="Y101" i="18"/>
  <c r="Z101" i="18"/>
  <c r="AA101" i="18"/>
  <c r="D102" i="18"/>
  <c r="E102" i="18"/>
  <c r="F102" i="18"/>
  <c r="G102" i="18"/>
  <c r="H102" i="18"/>
  <c r="I102" i="18"/>
  <c r="J102" i="18"/>
  <c r="K102" i="18"/>
  <c r="L102" i="18"/>
  <c r="M102" i="18"/>
  <c r="N102" i="18"/>
  <c r="O102" i="18"/>
  <c r="P102" i="18"/>
  <c r="Q102" i="18"/>
  <c r="R102" i="18"/>
  <c r="S102" i="18"/>
  <c r="T102" i="18"/>
  <c r="U102" i="18"/>
  <c r="V102" i="18"/>
  <c r="W102" i="18"/>
  <c r="X102" i="18"/>
  <c r="Y102" i="18"/>
  <c r="Z102" i="18"/>
  <c r="AA102" i="18"/>
  <c r="D103" i="18"/>
  <c r="E103" i="18"/>
  <c r="F103" i="18"/>
  <c r="G103" i="18"/>
  <c r="H103" i="18"/>
  <c r="I103" i="18"/>
  <c r="J103" i="18"/>
  <c r="K103" i="18"/>
  <c r="L103" i="18"/>
  <c r="M103" i="18"/>
  <c r="N103" i="18"/>
  <c r="O103" i="18"/>
  <c r="P103" i="18"/>
  <c r="Q103" i="18"/>
  <c r="R103" i="18"/>
  <c r="S103" i="18"/>
  <c r="T103" i="18"/>
  <c r="U103" i="18"/>
  <c r="V103" i="18"/>
  <c r="W103" i="18"/>
  <c r="X103" i="18"/>
  <c r="Y103" i="18"/>
  <c r="Z103" i="18"/>
  <c r="AA103" i="18"/>
  <c r="D104" i="18"/>
  <c r="E104" i="18"/>
  <c r="F104" i="18"/>
  <c r="G104" i="18"/>
  <c r="H104" i="18"/>
  <c r="I104" i="18"/>
  <c r="J104" i="18"/>
  <c r="K104" i="18"/>
  <c r="L104" i="18"/>
  <c r="M104" i="18"/>
  <c r="N104" i="18"/>
  <c r="O104" i="18"/>
  <c r="P104" i="18"/>
  <c r="Q104" i="18"/>
  <c r="R104" i="18"/>
  <c r="S104" i="18"/>
  <c r="T104" i="18"/>
  <c r="U104" i="18"/>
  <c r="V104" i="18"/>
  <c r="W104" i="18"/>
  <c r="X104" i="18"/>
  <c r="Y104" i="18"/>
  <c r="Z104" i="18"/>
  <c r="AA104" i="18"/>
  <c r="D105" i="18"/>
  <c r="E105" i="18"/>
  <c r="F105" i="18"/>
  <c r="G105" i="18"/>
  <c r="H105" i="18"/>
  <c r="I105" i="18"/>
  <c r="J105" i="18"/>
  <c r="K105" i="18"/>
  <c r="L105" i="18"/>
  <c r="M105" i="18"/>
  <c r="N105" i="18"/>
  <c r="O105" i="18"/>
  <c r="P105" i="18"/>
  <c r="Q105" i="18"/>
  <c r="R105" i="18"/>
  <c r="S105" i="18"/>
  <c r="T105" i="18"/>
  <c r="U105" i="18"/>
  <c r="V105" i="18"/>
  <c r="W105" i="18"/>
  <c r="X105" i="18"/>
  <c r="Y105" i="18"/>
  <c r="Z105" i="18"/>
  <c r="AA105" i="18"/>
  <c r="D106" i="18"/>
  <c r="E106" i="18"/>
  <c r="F106" i="18"/>
  <c r="G106" i="18"/>
  <c r="H106" i="18"/>
  <c r="I106" i="18"/>
  <c r="J106" i="18"/>
  <c r="K106" i="18"/>
  <c r="L106" i="18"/>
  <c r="M106" i="18"/>
  <c r="N106" i="18"/>
  <c r="O106" i="18"/>
  <c r="P106" i="18"/>
  <c r="Q106" i="18"/>
  <c r="R106" i="18"/>
  <c r="S106" i="18"/>
  <c r="T106" i="18"/>
  <c r="U106" i="18"/>
  <c r="V106" i="18"/>
  <c r="W106" i="18"/>
  <c r="X106" i="18"/>
  <c r="Y106" i="18"/>
  <c r="Z106" i="18"/>
  <c r="AA106" i="18"/>
  <c r="D107" i="18"/>
  <c r="E107" i="18"/>
  <c r="F107" i="18"/>
  <c r="G107" i="18"/>
  <c r="H107" i="18"/>
  <c r="I107" i="18"/>
  <c r="J107" i="18"/>
  <c r="K107" i="18"/>
  <c r="L107" i="18"/>
  <c r="M107" i="18"/>
  <c r="N107" i="18"/>
  <c r="O107" i="18"/>
  <c r="P107" i="18"/>
  <c r="Q107" i="18"/>
  <c r="R107" i="18"/>
  <c r="S107" i="18"/>
  <c r="T107" i="18"/>
  <c r="U107" i="18"/>
  <c r="V107" i="18"/>
  <c r="W107" i="18"/>
  <c r="X107" i="18"/>
  <c r="Y107" i="18"/>
  <c r="Z107" i="18"/>
  <c r="AA107" i="18"/>
  <c r="D108" i="18"/>
  <c r="E108" i="18"/>
  <c r="F108" i="18"/>
  <c r="G108" i="18"/>
  <c r="H108" i="18"/>
  <c r="I108" i="18"/>
  <c r="J108" i="18"/>
  <c r="K108" i="18"/>
  <c r="L108" i="18"/>
  <c r="M108" i="18"/>
  <c r="N108" i="18"/>
  <c r="O108" i="18"/>
  <c r="P108" i="18"/>
  <c r="Q108" i="18"/>
  <c r="R108" i="18"/>
  <c r="S108" i="18"/>
  <c r="T108" i="18"/>
  <c r="U108" i="18"/>
  <c r="V108" i="18"/>
  <c r="W108" i="18"/>
  <c r="X108" i="18"/>
  <c r="Y108" i="18"/>
  <c r="Z108" i="18"/>
  <c r="AA108" i="18"/>
  <c r="D109" i="18"/>
  <c r="E109" i="18"/>
  <c r="F109" i="18"/>
  <c r="G109" i="18"/>
  <c r="H109" i="18"/>
  <c r="I109" i="18"/>
  <c r="J109" i="18"/>
  <c r="K109" i="18"/>
  <c r="L109" i="18"/>
  <c r="M109" i="18"/>
  <c r="N109" i="18"/>
  <c r="O109" i="18"/>
  <c r="P109" i="18"/>
  <c r="Q109" i="18"/>
  <c r="R109" i="18"/>
  <c r="S109" i="18"/>
  <c r="T109" i="18"/>
  <c r="U109" i="18"/>
  <c r="V109" i="18"/>
  <c r="W109" i="18"/>
  <c r="X109" i="18"/>
  <c r="Y109" i="18"/>
  <c r="Z109" i="18"/>
  <c r="AA109" i="18"/>
  <c r="D2" i="18"/>
  <c r="E2" i="18"/>
  <c r="F2" i="18"/>
  <c r="G2" i="18"/>
  <c r="H2" i="18"/>
  <c r="I2" i="18"/>
  <c r="J2" i="18"/>
  <c r="K2" i="18"/>
  <c r="L2" i="18"/>
  <c r="M2" i="18"/>
  <c r="N2" i="18"/>
  <c r="O2" i="18"/>
  <c r="P2" i="18"/>
  <c r="Q2" i="18"/>
  <c r="R2" i="18"/>
  <c r="S2" i="18"/>
  <c r="T2" i="18"/>
  <c r="U2" i="18"/>
  <c r="V2" i="18"/>
  <c r="W2" i="18"/>
  <c r="X2" i="18"/>
  <c r="Y2" i="18"/>
  <c r="Z2" i="18"/>
  <c r="AA2" i="18"/>
  <c r="D3" i="18"/>
  <c r="E3" i="18"/>
  <c r="F3" i="18"/>
  <c r="G3" i="18"/>
  <c r="H3" i="18"/>
  <c r="I3" i="18"/>
  <c r="J3" i="18"/>
  <c r="K3" i="18"/>
  <c r="L3" i="18"/>
  <c r="M3" i="18"/>
  <c r="N3" i="18"/>
  <c r="O3" i="18"/>
  <c r="P3" i="18"/>
  <c r="Q3" i="18"/>
  <c r="R3" i="18"/>
  <c r="S3" i="18"/>
  <c r="T3" i="18"/>
  <c r="U3" i="18"/>
  <c r="V3" i="18"/>
  <c r="W3" i="18"/>
  <c r="X3" i="18"/>
  <c r="Y3" i="18"/>
  <c r="Z3" i="18"/>
  <c r="AA3" i="18"/>
  <c r="D4" i="18"/>
  <c r="E4" i="18"/>
  <c r="F4" i="18"/>
  <c r="G4" i="18"/>
  <c r="H4" i="18"/>
  <c r="I4" i="18"/>
  <c r="J4" i="18"/>
  <c r="K4" i="18"/>
  <c r="L4" i="18"/>
  <c r="M4" i="18"/>
  <c r="N4" i="18"/>
  <c r="O4" i="18"/>
  <c r="P4" i="18"/>
  <c r="Q4" i="18"/>
  <c r="R4" i="18"/>
  <c r="S4" i="18"/>
  <c r="T4" i="18"/>
  <c r="U4" i="18"/>
  <c r="V4" i="18"/>
  <c r="W4" i="18"/>
  <c r="X4" i="18"/>
  <c r="Y4" i="18"/>
  <c r="Z4" i="18"/>
  <c r="AA4" i="18"/>
  <c r="D5" i="18"/>
  <c r="E5" i="18"/>
  <c r="F5" i="18"/>
  <c r="G5" i="18"/>
  <c r="H5" i="18"/>
  <c r="I5" i="18"/>
  <c r="J5" i="18"/>
  <c r="K5" i="18"/>
  <c r="L5" i="18"/>
  <c r="M5" i="18"/>
  <c r="N5" i="18"/>
  <c r="O5" i="18"/>
  <c r="P5" i="18"/>
  <c r="Q5" i="18"/>
  <c r="R5" i="18"/>
  <c r="S5" i="18"/>
  <c r="T5" i="18"/>
  <c r="U5" i="18"/>
  <c r="V5" i="18"/>
  <c r="W5" i="18"/>
  <c r="X5" i="18"/>
  <c r="Y5" i="18"/>
  <c r="Z5" i="18"/>
  <c r="AA5" i="18"/>
  <c r="D6" i="18"/>
  <c r="E6" i="18"/>
  <c r="F6" i="18"/>
  <c r="G6" i="18"/>
  <c r="H6" i="18"/>
  <c r="I6" i="18"/>
  <c r="J6" i="18"/>
  <c r="K6" i="18"/>
  <c r="L6" i="18"/>
  <c r="M6" i="18"/>
  <c r="N6" i="18"/>
  <c r="O6" i="18"/>
  <c r="P6" i="18"/>
  <c r="Q6" i="18"/>
  <c r="R6" i="18"/>
  <c r="S6" i="18"/>
  <c r="T6" i="18"/>
  <c r="U6" i="18"/>
  <c r="V6" i="18"/>
  <c r="W6" i="18"/>
  <c r="X6" i="18"/>
  <c r="Y6" i="18"/>
  <c r="Z6" i="18"/>
  <c r="AA6" i="18"/>
  <c r="D7" i="18"/>
  <c r="E7" i="18"/>
  <c r="F7" i="18"/>
  <c r="G7" i="18"/>
  <c r="H7" i="18"/>
  <c r="I7" i="18"/>
  <c r="J7" i="18"/>
  <c r="K7" i="18"/>
  <c r="L7" i="18"/>
  <c r="M7" i="18"/>
  <c r="N7" i="18"/>
  <c r="O7" i="18"/>
  <c r="P7" i="18"/>
  <c r="Q7" i="18"/>
  <c r="R7" i="18"/>
  <c r="S7" i="18"/>
  <c r="T7" i="18"/>
  <c r="U7" i="18"/>
  <c r="V7" i="18"/>
  <c r="W7" i="18"/>
  <c r="X7" i="18"/>
  <c r="Y7" i="18"/>
  <c r="Z7" i="18"/>
  <c r="AA7" i="18"/>
  <c r="D8" i="18"/>
  <c r="E8" i="18"/>
  <c r="F8" i="18"/>
  <c r="G8" i="18"/>
  <c r="H8" i="18"/>
  <c r="I8" i="18"/>
  <c r="J8" i="18"/>
  <c r="K8" i="18"/>
  <c r="L8" i="18"/>
  <c r="M8" i="18"/>
  <c r="N8" i="18"/>
  <c r="O8" i="18"/>
  <c r="P8" i="18"/>
  <c r="Q8" i="18"/>
  <c r="R8" i="18"/>
  <c r="S8" i="18"/>
  <c r="T8" i="18"/>
  <c r="U8" i="18"/>
  <c r="V8" i="18"/>
  <c r="W8" i="18"/>
  <c r="X8" i="18"/>
  <c r="Y8" i="18"/>
  <c r="Z8" i="18"/>
  <c r="AA8" i="18"/>
  <c r="D9" i="18"/>
  <c r="E9" i="18"/>
  <c r="F9" i="18"/>
  <c r="G9" i="18"/>
  <c r="H9" i="18"/>
  <c r="I9" i="18"/>
  <c r="J9" i="18"/>
  <c r="K9" i="18"/>
  <c r="L9" i="18"/>
  <c r="M9" i="18"/>
  <c r="N9" i="18"/>
  <c r="O9" i="18"/>
  <c r="P9" i="18"/>
  <c r="Q9" i="18"/>
  <c r="R9" i="18"/>
  <c r="S9" i="18"/>
  <c r="T9" i="18"/>
  <c r="U9" i="18"/>
  <c r="V9" i="18"/>
  <c r="W9" i="18"/>
  <c r="X9" i="18"/>
  <c r="Y9" i="18"/>
  <c r="Z9" i="18"/>
  <c r="AA9" i="18"/>
  <c r="D10" i="18"/>
  <c r="E10" i="18"/>
  <c r="F10" i="18"/>
  <c r="G10" i="18"/>
  <c r="H10" i="18"/>
  <c r="I10" i="18"/>
  <c r="J10" i="18"/>
  <c r="K10" i="18"/>
  <c r="L10" i="18"/>
  <c r="M10" i="18"/>
  <c r="N10" i="18"/>
  <c r="O10" i="18"/>
  <c r="P10" i="18"/>
  <c r="Q10" i="18"/>
  <c r="R10" i="18"/>
  <c r="S10" i="18"/>
  <c r="T10" i="18"/>
  <c r="U10" i="18"/>
  <c r="V10" i="18"/>
  <c r="W10" i="18"/>
  <c r="X10" i="18"/>
  <c r="Y10" i="18"/>
  <c r="Z10" i="18"/>
  <c r="AA10" i="18"/>
  <c r="D11" i="18"/>
  <c r="E11" i="18"/>
  <c r="F11" i="18"/>
  <c r="G11" i="18"/>
  <c r="H11" i="18"/>
  <c r="I11" i="18"/>
  <c r="J11" i="18"/>
  <c r="K11" i="18"/>
  <c r="L11" i="18"/>
  <c r="M11" i="18"/>
  <c r="N11" i="18"/>
  <c r="O11" i="18"/>
  <c r="P11" i="18"/>
  <c r="Q11" i="18"/>
  <c r="R11" i="18"/>
  <c r="S11" i="18"/>
  <c r="T11" i="18"/>
  <c r="U11" i="18"/>
  <c r="V11" i="18"/>
  <c r="W11" i="18"/>
  <c r="X11" i="18"/>
  <c r="Y11" i="18"/>
  <c r="Z11" i="18"/>
  <c r="AA11" i="18"/>
  <c r="D12" i="18"/>
  <c r="E12" i="18"/>
  <c r="F12" i="18"/>
  <c r="G12" i="18"/>
  <c r="H12" i="18"/>
  <c r="I12" i="18"/>
  <c r="J12" i="18"/>
  <c r="K12" i="18"/>
  <c r="L12" i="18"/>
  <c r="M12" i="18"/>
  <c r="N12" i="18"/>
  <c r="O12" i="18"/>
  <c r="P12" i="18"/>
  <c r="Q12" i="18"/>
  <c r="R12" i="18"/>
  <c r="S12" i="18"/>
  <c r="T12" i="18"/>
  <c r="U12" i="18"/>
  <c r="V12" i="18"/>
  <c r="W12" i="18"/>
  <c r="X12" i="18"/>
  <c r="Y12" i="18"/>
  <c r="Z12" i="18"/>
  <c r="AA12" i="18"/>
  <c r="D13" i="18"/>
  <c r="E13" i="18"/>
  <c r="F13" i="18"/>
  <c r="G13" i="18"/>
  <c r="H13" i="18"/>
  <c r="I13" i="18"/>
  <c r="J13" i="18"/>
  <c r="K13" i="18"/>
  <c r="L13" i="18"/>
  <c r="M13" i="18"/>
  <c r="N13" i="18"/>
  <c r="O13" i="18"/>
  <c r="P13" i="18"/>
  <c r="Q13" i="18"/>
  <c r="R13" i="18"/>
  <c r="S13" i="18"/>
  <c r="T13" i="18"/>
  <c r="U13" i="18"/>
  <c r="V13" i="18"/>
  <c r="W13" i="18"/>
  <c r="X13" i="18"/>
  <c r="Y13" i="18"/>
  <c r="Z13" i="18"/>
  <c r="AA13" i="18"/>
  <c r="D14" i="18"/>
  <c r="E14" i="18"/>
  <c r="F14" i="18"/>
  <c r="G14" i="18"/>
  <c r="H14" i="18"/>
  <c r="I14" i="18"/>
  <c r="J14" i="18"/>
  <c r="K14" i="18"/>
  <c r="L14" i="18"/>
  <c r="M14" i="18"/>
  <c r="N14" i="18"/>
  <c r="O14" i="18"/>
  <c r="P14" i="18"/>
  <c r="Q14" i="18"/>
  <c r="R14" i="18"/>
  <c r="S14" i="18"/>
  <c r="T14" i="18"/>
  <c r="U14" i="18"/>
  <c r="V14" i="18"/>
  <c r="W14" i="18"/>
  <c r="X14" i="18"/>
  <c r="Y14" i="18"/>
  <c r="Z14" i="18"/>
  <c r="AA14" i="18"/>
  <c r="D15" i="18"/>
  <c r="E15" i="18"/>
  <c r="F15" i="18"/>
  <c r="G15" i="18"/>
  <c r="H15" i="18"/>
  <c r="I15" i="18"/>
  <c r="J15" i="18"/>
  <c r="K15" i="18"/>
  <c r="L15" i="18"/>
  <c r="M15" i="18"/>
  <c r="N15" i="18"/>
  <c r="O15" i="18"/>
  <c r="P15" i="18"/>
  <c r="Q15" i="18"/>
  <c r="R15" i="18"/>
  <c r="S15" i="18"/>
  <c r="T15" i="18"/>
  <c r="U15" i="18"/>
  <c r="V15" i="18"/>
  <c r="W15" i="18"/>
  <c r="X15" i="18"/>
  <c r="Y15" i="18"/>
  <c r="Z15" i="18"/>
  <c r="AA15" i="18"/>
  <c r="D16" i="18"/>
  <c r="E16" i="18"/>
  <c r="F16" i="18"/>
  <c r="G16" i="18"/>
  <c r="H16" i="18"/>
  <c r="I16" i="18"/>
  <c r="J16" i="18"/>
  <c r="K16" i="18"/>
  <c r="L16" i="18"/>
  <c r="M16" i="18"/>
  <c r="N16" i="18"/>
  <c r="O16" i="18"/>
  <c r="P16" i="18"/>
  <c r="Q16" i="18"/>
  <c r="R16" i="18"/>
  <c r="S16" i="18"/>
  <c r="T16" i="18"/>
  <c r="U16" i="18"/>
  <c r="V16" i="18"/>
  <c r="W16" i="18"/>
  <c r="X16" i="18"/>
  <c r="Y16" i="18"/>
  <c r="Z16" i="18"/>
  <c r="AA16" i="18"/>
  <c r="D17" i="18"/>
  <c r="E17" i="18"/>
  <c r="F17" i="18"/>
  <c r="G17" i="18"/>
  <c r="H17" i="18"/>
  <c r="I17" i="18"/>
  <c r="J17" i="18"/>
  <c r="K17" i="18"/>
  <c r="L17" i="18"/>
  <c r="M17" i="18"/>
  <c r="N17" i="18"/>
  <c r="O17" i="18"/>
  <c r="P17" i="18"/>
  <c r="Q17" i="18"/>
  <c r="R17" i="18"/>
  <c r="S17" i="18"/>
  <c r="T17" i="18"/>
  <c r="U17" i="18"/>
  <c r="V17" i="18"/>
  <c r="W17" i="18"/>
  <c r="X17" i="18"/>
  <c r="Y17" i="18"/>
  <c r="Z17" i="18"/>
  <c r="AA17" i="18"/>
  <c r="D18" i="18"/>
  <c r="E18" i="18"/>
  <c r="F18" i="18"/>
  <c r="G18" i="18"/>
  <c r="H18" i="18"/>
  <c r="I18" i="18"/>
  <c r="J18" i="18"/>
  <c r="K18" i="18"/>
  <c r="L18" i="18"/>
  <c r="M18" i="18"/>
  <c r="N18" i="18"/>
  <c r="O18" i="18"/>
  <c r="P18" i="18"/>
  <c r="Q18" i="18"/>
  <c r="R18" i="18"/>
  <c r="S18" i="18"/>
  <c r="T18" i="18"/>
  <c r="U18" i="18"/>
  <c r="V18" i="18"/>
  <c r="W18" i="18"/>
  <c r="X18" i="18"/>
  <c r="Y18" i="18"/>
  <c r="Z18" i="18"/>
  <c r="AA18" i="18"/>
  <c r="D19" i="18"/>
  <c r="E19" i="18"/>
  <c r="F19" i="18"/>
  <c r="G19" i="18"/>
  <c r="H19" i="18"/>
  <c r="I19" i="18"/>
  <c r="J19" i="18"/>
  <c r="K19" i="18"/>
  <c r="L19" i="18"/>
  <c r="M19" i="18"/>
  <c r="N19" i="18"/>
  <c r="O19" i="18"/>
  <c r="P19" i="18"/>
  <c r="Q19" i="18"/>
  <c r="R19" i="18"/>
  <c r="S19" i="18"/>
  <c r="T19" i="18"/>
  <c r="U19" i="18"/>
  <c r="V19" i="18"/>
  <c r="W19" i="18"/>
  <c r="X19" i="18"/>
  <c r="Y19" i="18"/>
  <c r="Z19" i="18"/>
  <c r="AA19" i="18"/>
  <c r="D20" i="18"/>
  <c r="E20" i="18"/>
  <c r="F20" i="18"/>
  <c r="G20" i="18"/>
  <c r="H20" i="18"/>
  <c r="I20" i="18"/>
  <c r="J20" i="18"/>
  <c r="K20" i="18"/>
  <c r="L20" i="18"/>
  <c r="M20" i="18"/>
  <c r="N20" i="18"/>
  <c r="O20" i="18"/>
  <c r="P20" i="18"/>
  <c r="Q20" i="18"/>
  <c r="R20" i="18"/>
  <c r="S20" i="18"/>
  <c r="T20" i="18"/>
  <c r="U20" i="18"/>
  <c r="V20" i="18"/>
  <c r="W20" i="18"/>
  <c r="X20" i="18"/>
  <c r="Y20" i="18"/>
  <c r="Z20" i="18"/>
  <c r="AA20" i="18"/>
  <c r="D21" i="18"/>
  <c r="E21" i="18"/>
  <c r="F21" i="18"/>
  <c r="G21" i="18"/>
  <c r="H21" i="18"/>
  <c r="I21" i="18"/>
  <c r="J21" i="18"/>
  <c r="K21" i="18"/>
  <c r="L21" i="18"/>
  <c r="M21" i="18"/>
  <c r="N21" i="18"/>
  <c r="O21" i="18"/>
  <c r="P21" i="18"/>
  <c r="Q21" i="18"/>
  <c r="R21" i="18"/>
  <c r="S21" i="18"/>
  <c r="T21" i="18"/>
  <c r="U21" i="18"/>
  <c r="V21" i="18"/>
  <c r="W21" i="18"/>
  <c r="X21" i="18"/>
  <c r="Y21" i="18"/>
  <c r="Z21" i="18"/>
  <c r="AA21" i="18"/>
  <c r="D22" i="18"/>
  <c r="E22" i="18"/>
  <c r="F22" i="18"/>
  <c r="G22" i="18"/>
  <c r="H22" i="18"/>
  <c r="I22" i="18"/>
  <c r="J22" i="18"/>
  <c r="K22" i="18"/>
  <c r="L22" i="18"/>
  <c r="M22" i="18"/>
  <c r="N22" i="18"/>
  <c r="O22" i="18"/>
  <c r="P22" i="18"/>
  <c r="Q22" i="18"/>
  <c r="R22" i="18"/>
  <c r="S22" i="18"/>
  <c r="T22" i="18"/>
  <c r="U22" i="18"/>
  <c r="V22" i="18"/>
  <c r="W22" i="18"/>
  <c r="X22" i="18"/>
  <c r="Y22" i="18"/>
  <c r="Z22" i="18"/>
  <c r="AA22" i="18"/>
  <c r="D23" i="18"/>
  <c r="E23" i="18"/>
  <c r="F23" i="18"/>
  <c r="G23" i="18"/>
  <c r="H23" i="18"/>
  <c r="I23" i="18"/>
  <c r="J23" i="18"/>
  <c r="K23" i="18"/>
  <c r="L23" i="18"/>
  <c r="M23" i="18"/>
  <c r="N23" i="18"/>
  <c r="O23" i="18"/>
  <c r="P23" i="18"/>
  <c r="Q23" i="18"/>
  <c r="R23" i="18"/>
  <c r="S23" i="18"/>
  <c r="T23" i="18"/>
  <c r="U23" i="18"/>
  <c r="V23" i="18"/>
  <c r="W23" i="18"/>
  <c r="X23" i="18"/>
  <c r="Y23" i="18"/>
  <c r="Z23" i="18"/>
  <c r="AA23" i="18"/>
  <c r="D24" i="18"/>
  <c r="E24" i="18"/>
  <c r="F24" i="18"/>
  <c r="G24" i="18"/>
  <c r="H24" i="18"/>
  <c r="I24" i="18"/>
  <c r="J24" i="18"/>
  <c r="K24" i="18"/>
  <c r="L24" i="18"/>
  <c r="M24" i="18"/>
  <c r="N24" i="18"/>
  <c r="O24" i="18"/>
  <c r="P24" i="18"/>
  <c r="Q24" i="18"/>
  <c r="R24" i="18"/>
  <c r="S24" i="18"/>
  <c r="T24" i="18"/>
  <c r="U24" i="18"/>
  <c r="V24" i="18"/>
  <c r="W24" i="18"/>
  <c r="X24" i="18"/>
  <c r="Y24" i="18"/>
  <c r="Z24" i="18"/>
  <c r="AA24" i="18"/>
  <c r="D25" i="18"/>
  <c r="E25" i="18"/>
  <c r="F25" i="18"/>
  <c r="G25" i="18"/>
  <c r="H25" i="18"/>
  <c r="I25" i="18"/>
  <c r="J25" i="18"/>
  <c r="K25" i="18"/>
  <c r="L25" i="18"/>
  <c r="M25" i="18"/>
  <c r="N25" i="18"/>
  <c r="O25" i="18"/>
  <c r="P25" i="18"/>
  <c r="Q25" i="18"/>
  <c r="R25" i="18"/>
  <c r="S25" i="18"/>
  <c r="T25" i="18"/>
  <c r="U25" i="18"/>
  <c r="V25" i="18"/>
  <c r="W25" i="18"/>
  <c r="X25" i="18"/>
  <c r="Y25" i="18"/>
  <c r="Z25" i="18"/>
  <c r="AA25" i="18"/>
  <c r="D26" i="18"/>
  <c r="E26" i="18"/>
  <c r="F26" i="18"/>
  <c r="G26" i="18"/>
  <c r="H26" i="18"/>
  <c r="I26" i="18"/>
  <c r="J26" i="18"/>
  <c r="K26" i="18"/>
  <c r="L26" i="18"/>
  <c r="M26" i="18"/>
  <c r="N26" i="18"/>
  <c r="O26" i="18"/>
  <c r="P26" i="18"/>
  <c r="Q26" i="18"/>
  <c r="R26" i="18"/>
  <c r="S26" i="18"/>
  <c r="T26" i="18"/>
  <c r="U26" i="18"/>
  <c r="V26" i="18"/>
  <c r="W26" i="18"/>
  <c r="X26" i="18"/>
  <c r="Y26" i="18"/>
  <c r="Z26" i="18"/>
  <c r="AA26" i="18"/>
  <c r="D27" i="18"/>
  <c r="E27" i="18"/>
  <c r="F27" i="18"/>
  <c r="G27" i="18"/>
  <c r="H27" i="18"/>
  <c r="I27" i="18"/>
  <c r="J27" i="18"/>
  <c r="K27" i="18"/>
  <c r="L27" i="18"/>
  <c r="M27" i="18"/>
  <c r="N27" i="18"/>
  <c r="O27" i="18"/>
  <c r="P27" i="18"/>
  <c r="Q27" i="18"/>
  <c r="R27" i="18"/>
  <c r="S27" i="18"/>
  <c r="T27" i="18"/>
  <c r="U27" i="18"/>
  <c r="V27" i="18"/>
  <c r="W27" i="18"/>
  <c r="X27" i="18"/>
  <c r="Y27" i="18"/>
  <c r="Z27" i="18"/>
  <c r="AA27" i="18"/>
  <c r="D28" i="18"/>
  <c r="E28" i="18"/>
  <c r="F28" i="18"/>
  <c r="G28" i="18"/>
  <c r="H28" i="18"/>
  <c r="I28" i="18"/>
  <c r="J28" i="18"/>
  <c r="K28" i="18"/>
  <c r="L28" i="18"/>
  <c r="M28" i="18"/>
  <c r="N28" i="18"/>
  <c r="O28" i="18"/>
  <c r="P28" i="18"/>
  <c r="Q28" i="18"/>
  <c r="R28" i="18"/>
  <c r="S28" i="18"/>
  <c r="T28" i="18"/>
  <c r="U28" i="18"/>
  <c r="V28" i="18"/>
  <c r="W28" i="18"/>
  <c r="X28" i="18"/>
  <c r="Y28" i="18"/>
  <c r="Z28" i="18"/>
  <c r="AA28" i="18"/>
  <c r="D29" i="18"/>
  <c r="E29" i="18"/>
  <c r="F29" i="18"/>
  <c r="G29" i="18"/>
  <c r="H29" i="18"/>
  <c r="I29" i="18"/>
  <c r="J29" i="18"/>
  <c r="K29" i="18"/>
  <c r="L29" i="18"/>
  <c r="M29" i="18"/>
  <c r="N29" i="18"/>
  <c r="O29" i="18"/>
  <c r="P29" i="18"/>
  <c r="Q29" i="18"/>
  <c r="R29" i="18"/>
  <c r="S29" i="18"/>
  <c r="T29" i="18"/>
  <c r="U29" i="18"/>
  <c r="V29" i="18"/>
  <c r="W29" i="18"/>
  <c r="X29" i="18"/>
  <c r="Y29" i="18"/>
  <c r="Z29" i="18"/>
  <c r="AA29" i="18"/>
  <c r="D30" i="18"/>
  <c r="E30" i="18"/>
  <c r="F30" i="18"/>
  <c r="G30" i="18"/>
  <c r="H30" i="18"/>
  <c r="I30" i="18"/>
  <c r="J30" i="18"/>
  <c r="K30" i="18"/>
  <c r="L30" i="18"/>
  <c r="M30" i="18"/>
  <c r="N30" i="18"/>
  <c r="O30" i="18"/>
  <c r="P30" i="18"/>
  <c r="Q30" i="18"/>
  <c r="R30" i="18"/>
  <c r="S30" i="18"/>
  <c r="T30" i="18"/>
  <c r="U30" i="18"/>
  <c r="V30" i="18"/>
  <c r="W30" i="18"/>
  <c r="X30" i="18"/>
  <c r="Y30" i="18"/>
  <c r="Z30" i="18"/>
  <c r="AA30" i="18"/>
  <c r="D31" i="18"/>
  <c r="E31" i="18"/>
  <c r="F31" i="18"/>
  <c r="G31" i="18"/>
  <c r="H31" i="18"/>
  <c r="I31" i="18"/>
  <c r="J31" i="18"/>
  <c r="K31" i="18"/>
  <c r="L31" i="18"/>
  <c r="M31" i="18"/>
  <c r="N31" i="18"/>
  <c r="O31" i="18"/>
  <c r="P31" i="18"/>
  <c r="Q31" i="18"/>
  <c r="R31" i="18"/>
  <c r="S31" i="18"/>
  <c r="T31" i="18"/>
  <c r="U31" i="18"/>
  <c r="V31" i="18"/>
  <c r="W31" i="18"/>
  <c r="X31" i="18"/>
  <c r="Y31" i="18"/>
  <c r="Z31" i="18"/>
  <c r="AA31" i="18"/>
  <c r="D32" i="18"/>
  <c r="E32" i="18"/>
  <c r="F32" i="18"/>
  <c r="G32" i="18"/>
  <c r="H32" i="18"/>
  <c r="I32" i="18"/>
  <c r="J32" i="18"/>
  <c r="K32" i="18"/>
  <c r="L32" i="18"/>
  <c r="M32" i="18"/>
  <c r="N32" i="18"/>
  <c r="O32" i="18"/>
  <c r="P32" i="18"/>
  <c r="Q32" i="18"/>
  <c r="R32" i="18"/>
  <c r="S32" i="18"/>
  <c r="T32" i="18"/>
  <c r="U32" i="18"/>
  <c r="V32" i="18"/>
  <c r="W32" i="18"/>
  <c r="X32" i="18"/>
  <c r="Y32" i="18"/>
  <c r="Z32" i="18"/>
  <c r="AA32" i="18"/>
  <c r="D33" i="18"/>
  <c r="E33" i="18"/>
  <c r="F33" i="18"/>
  <c r="G33" i="18"/>
  <c r="H33" i="18"/>
  <c r="I33" i="18"/>
  <c r="J33" i="18"/>
  <c r="K33" i="18"/>
  <c r="L33" i="18"/>
  <c r="M33" i="18"/>
  <c r="N33" i="18"/>
  <c r="O33" i="18"/>
  <c r="P33" i="18"/>
  <c r="Q33" i="18"/>
  <c r="R33" i="18"/>
  <c r="S33" i="18"/>
  <c r="T33" i="18"/>
  <c r="U33" i="18"/>
  <c r="V33" i="18"/>
  <c r="W33" i="18"/>
  <c r="X33" i="18"/>
  <c r="Y33" i="18"/>
  <c r="Z33" i="18"/>
  <c r="AA33" i="18"/>
  <c r="D34" i="18"/>
  <c r="E34" i="18"/>
  <c r="F34" i="18"/>
  <c r="G34" i="18"/>
  <c r="H34" i="18"/>
  <c r="I34" i="18"/>
  <c r="J34" i="18"/>
  <c r="K34" i="18"/>
  <c r="L34" i="18"/>
  <c r="M34" i="18"/>
  <c r="N34" i="18"/>
  <c r="O34" i="18"/>
  <c r="P34" i="18"/>
  <c r="Q34" i="18"/>
  <c r="R34" i="18"/>
  <c r="S34" i="18"/>
  <c r="T34" i="18"/>
  <c r="U34" i="18"/>
  <c r="V34" i="18"/>
  <c r="W34" i="18"/>
  <c r="X34" i="18"/>
  <c r="Y34" i="18"/>
  <c r="Z34" i="18"/>
  <c r="AA34" i="18"/>
  <c r="D35" i="18"/>
  <c r="E35" i="18"/>
  <c r="F35" i="18"/>
  <c r="G35" i="18"/>
  <c r="H35" i="18"/>
  <c r="I35" i="18"/>
  <c r="J35" i="18"/>
  <c r="K35" i="18"/>
  <c r="L35" i="18"/>
  <c r="M35" i="18"/>
  <c r="N35" i="18"/>
  <c r="O35" i="18"/>
  <c r="P35" i="18"/>
  <c r="Q35" i="18"/>
  <c r="R35" i="18"/>
  <c r="S35" i="18"/>
  <c r="T35" i="18"/>
  <c r="U35" i="18"/>
  <c r="V35" i="18"/>
  <c r="W35" i="18"/>
  <c r="X35" i="18"/>
  <c r="Y35" i="18"/>
  <c r="Z35" i="18"/>
  <c r="AA35" i="18"/>
  <c r="D36" i="18"/>
  <c r="E36" i="18"/>
  <c r="F36" i="18"/>
  <c r="G36" i="18"/>
  <c r="H36" i="18"/>
  <c r="I36" i="18"/>
  <c r="J36" i="18"/>
  <c r="K36" i="18"/>
  <c r="L36" i="18"/>
  <c r="M36" i="18"/>
  <c r="N36" i="18"/>
  <c r="O36" i="18"/>
  <c r="P36" i="18"/>
  <c r="Q36" i="18"/>
  <c r="R36" i="18"/>
  <c r="S36" i="18"/>
  <c r="T36" i="18"/>
  <c r="U36" i="18"/>
  <c r="V36" i="18"/>
  <c r="W36" i="18"/>
  <c r="X36" i="18"/>
  <c r="Y36" i="18"/>
  <c r="Z36" i="18"/>
  <c r="AA36" i="18"/>
  <c r="D37" i="18"/>
  <c r="E37" i="18"/>
  <c r="F37" i="18"/>
  <c r="G37" i="18"/>
  <c r="H37" i="18"/>
  <c r="I37" i="18"/>
  <c r="J37" i="18"/>
  <c r="K37" i="18"/>
  <c r="L37" i="18"/>
  <c r="M37" i="18"/>
  <c r="N37" i="18"/>
  <c r="O37" i="18"/>
  <c r="P37" i="18"/>
  <c r="Q37" i="18"/>
  <c r="R37" i="18"/>
  <c r="S37" i="18"/>
  <c r="T37" i="18"/>
  <c r="U37" i="18"/>
  <c r="V37" i="18"/>
  <c r="W37" i="18"/>
  <c r="X37" i="18"/>
  <c r="Y37" i="18"/>
  <c r="Z37" i="18"/>
  <c r="AA37" i="18"/>
  <c r="D38" i="18"/>
  <c r="E38" i="18"/>
  <c r="F38" i="18"/>
  <c r="G38" i="18"/>
  <c r="H38" i="18"/>
  <c r="I38" i="18"/>
  <c r="J38" i="18"/>
  <c r="K38" i="18"/>
  <c r="L38" i="18"/>
  <c r="M38" i="18"/>
  <c r="N38" i="18"/>
  <c r="O38" i="18"/>
  <c r="P38" i="18"/>
  <c r="Q38" i="18"/>
  <c r="R38" i="18"/>
  <c r="S38" i="18"/>
  <c r="T38" i="18"/>
  <c r="U38" i="18"/>
  <c r="V38" i="18"/>
  <c r="W38" i="18"/>
  <c r="X38" i="18"/>
  <c r="Y38" i="18"/>
  <c r="Z38" i="18"/>
  <c r="AA38" i="18"/>
  <c r="D39" i="18"/>
  <c r="E39" i="18"/>
  <c r="F39" i="18"/>
  <c r="G39" i="18"/>
  <c r="H39" i="18"/>
  <c r="I39" i="18"/>
  <c r="J39" i="18"/>
  <c r="K39" i="18"/>
  <c r="L39" i="18"/>
  <c r="M39" i="18"/>
  <c r="N39" i="18"/>
  <c r="O39" i="18"/>
  <c r="P39" i="18"/>
  <c r="Q39" i="18"/>
  <c r="R39" i="18"/>
  <c r="S39" i="18"/>
  <c r="T39" i="18"/>
  <c r="U39" i="18"/>
  <c r="V39" i="18"/>
  <c r="W39" i="18"/>
  <c r="X39" i="18"/>
  <c r="Y39" i="18"/>
  <c r="Z39" i="18"/>
  <c r="AA39" i="18"/>
  <c r="D40" i="18"/>
  <c r="E40" i="18"/>
  <c r="F40" i="18"/>
  <c r="G40" i="18"/>
  <c r="H40" i="18"/>
  <c r="I40" i="18"/>
  <c r="J40" i="18"/>
  <c r="K40" i="18"/>
  <c r="L40" i="18"/>
  <c r="M40" i="18"/>
  <c r="N40" i="18"/>
  <c r="O40" i="18"/>
  <c r="P40" i="18"/>
  <c r="Q40" i="18"/>
  <c r="R40" i="18"/>
  <c r="S40" i="18"/>
  <c r="T40" i="18"/>
  <c r="U40" i="18"/>
  <c r="V40" i="18"/>
  <c r="W40" i="18"/>
  <c r="X40" i="18"/>
  <c r="Y40" i="18"/>
  <c r="Z40" i="18"/>
  <c r="AA40" i="18"/>
  <c r="D41" i="18"/>
  <c r="E41" i="18"/>
  <c r="F41" i="18"/>
  <c r="G41" i="18"/>
  <c r="H41" i="18"/>
  <c r="I41" i="18"/>
  <c r="J41" i="18"/>
  <c r="K41" i="18"/>
  <c r="L41" i="18"/>
  <c r="M41" i="18"/>
  <c r="N41" i="18"/>
  <c r="O41" i="18"/>
  <c r="P41" i="18"/>
  <c r="Q41" i="18"/>
  <c r="R41" i="18"/>
  <c r="S41" i="18"/>
  <c r="T41" i="18"/>
  <c r="U41" i="18"/>
  <c r="V41" i="18"/>
  <c r="W41" i="18"/>
  <c r="X41" i="18"/>
  <c r="Y41" i="18"/>
  <c r="Z41" i="18"/>
  <c r="AA41" i="18"/>
  <c r="D42" i="18"/>
  <c r="E42" i="18"/>
  <c r="F42" i="18"/>
  <c r="G42" i="18"/>
  <c r="H42" i="18"/>
  <c r="I42" i="18"/>
  <c r="J42" i="18"/>
  <c r="K42" i="18"/>
  <c r="L42" i="18"/>
  <c r="M42" i="18"/>
  <c r="N42" i="18"/>
  <c r="O42" i="18"/>
  <c r="P42" i="18"/>
  <c r="Q42" i="18"/>
  <c r="R42" i="18"/>
  <c r="S42" i="18"/>
  <c r="T42" i="18"/>
  <c r="U42" i="18"/>
  <c r="V42" i="18"/>
  <c r="W42" i="18"/>
  <c r="X42" i="18"/>
  <c r="Y42" i="18"/>
  <c r="Z42" i="18"/>
  <c r="AA42" i="18"/>
  <c r="D43" i="18"/>
  <c r="E43" i="18"/>
  <c r="F43" i="18"/>
  <c r="G43" i="18"/>
  <c r="H43" i="18"/>
  <c r="I43" i="18"/>
  <c r="J43" i="18"/>
  <c r="K43" i="18"/>
  <c r="L43" i="18"/>
  <c r="M43" i="18"/>
  <c r="N43" i="18"/>
  <c r="O43" i="18"/>
  <c r="P43" i="18"/>
  <c r="Q43" i="18"/>
  <c r="R43" i="18"/>
  <c r="S43" i="18"/>
  <c r="T43" i="18"/>
  <c r="U43" i="18"/>
  <c r="V43" i="18"/>
  <c r="W43" i="18"/>
  <c r="X43" i="18"/>
  <c r="Y43" i="18"/>
  <c r="Z43" i="18"/>
  <c r="AA43" i="18"/>
  <c r="D44" i="18"/>
  <c r="E44" i="18"/>
  <c r="F44" i="18"/>
  <c r="G44" i="18"/>
  <c r="H44" i="18"/>
  <c r="I44" i="18"/>
  <c r="J44" i="18"/>
  <c r="K44" i="18"/>
  <c r="L44" i="18"/>
  <c r="M44" i="18"/>
  <c r="N44" i="18"/>
  <c r="O44" i="18"/>
  <c r="P44" i="18"/>
  <c r="Q44" i="18"/>
  <c r="R44" i="18"/>
  <c r="S44" i="18"/>
  <c r="T44" i="18"/>
  <c r="U44" i="18"/>
  <c r="V44" i="18"/>
  <c r="W44" i="18"/>
  <c r="X44" i="18"/>
  <c r="Y44" i="18"/>
  <c r="Z44" i="18"/>
  <c r="AA44" i="18"/>
  <c r="D45" i="18"/>
  <c r="E45" i="18"/>
  <c r="F45" i="18"/>
  <c r="G45" i="18"/>
  <c r="H45" i="18"/>
  <c r="I45" i="18"/>
  <c r="J45" i="18"/>
  <c r="K45" i="18"/>
  <c r="L45" i="18"/>
  <c r="M45" i="18"/>
  <c r="N45" i="18"/>
  <c r="O45" i="18"/>
  <c r="P45" i="18"/>
  <c r="Q45" i="18"/>
  <c r="R45" i="18"/>
  <c r="S45" i="18"/>
  <c r="T45" i="18"/>
  <c r="U45" i="18"/>
  <c r="V45" i="18"/>
  <c r="W45" i="18"/>
  <c r="X45" i="18"/>
  <c r="Y45" i="18"/>
  <c r="Z45" i="18"/>
  <c r="AA45" i="18"/>
  <c r="D46" i="18"/>
  <c r="E46" i="18"/>
  <c r="F46" i="18"/>
  <c r="G46" i="18"/>
  <c r="H46" i="18"/>
  <c r="I46" i="18"/>
  <c r="J46" i="18"/>
  <c r="K46" i="18"/>
  <c r="L46" i="18"/>
  <c r="M46" i="18"/>
  <c r="N46" i="18"/>
  <c r="O46" i="18"/>
  <c r="P46" i="18"/>
  <c r="Q46" i="18"/>
  <c r="R46" i="18"/>
  <c r="S46" i="18"/>
  <c r="T46" i="18"/>
  <c r="U46" i="18"/>
  <c r="V46" i="18"/>
  <c r="W46" i="18"/>
  <c r="X46" i="18"/>
  <c r="Y46" i="18"/>
  <c r="Z46" i="18"/>
  <c r="AA46" i="18"/>
  <c r="D47" i="18"/>
  <c r="E47" i="18"/>
  <c r="F47" i="18"/>
  <c r="G47" i="18"/>
  <c r="H47" i="18"/>
  <c r="I47" i="18"/>
  <c r="J47" i="18"/>
  <c r="K47" i="18"/>
  <c r="L47" i="18"/>
  <c r="M47" i="18"/>
  <c r="N47" i="18"/>
  <c r="O47" i="18"/>
  <c r="P47" i="18"/>
  <c r="Q47" i="18"/>
  <c r="R47" i="18"/>
  <c r="S47" i="18"/>
  <c r="T47" i="18"/>
  <c r="U47" i="18"/>
  <c r="V47" i="18"/>
  <c r="W47" i="18"/>
  <c r="X47" i="18"/>
  <c r="Y47" i="18"/>
  <c r="Z47" i="18"/>
  <c r="AA47" i="18"/>
  <c r="D48" i="18"/>
  <c r="E48" i="18"/>
  <c r="F48" i="18"/>
  <c r="G48" i="18"/>
  <c r="H48" i="18"/>
  <c r="I48" i="18"/>
  <c r="J48" i="18"/>
  <c r="K48" i="18"/>
  <c r="L48" i="18"/>
  <c r="M48" i="18"/>
  <c r="N48" i="18"/>
  <c r="O48" i="18"/>
  <c r="P48" i="18"/>
  <c r="Q48" i="18"/>
  <c r="R48" i="18"/>
  <c r="S48" i="18"/>
  <c r="T48" i="18"/>
  <c r="U48" i="18"/>
  <c r="V48" i="18"/>
  <c r="W48" i="18"/>
  <c r="X48" i="18"/>
  <c r="Y48" i="18"/>
  <c r="Z48" i="18"/>
  <c r="AA48" i="18"/>
  <c r="D49" i="18"/>
  <c r="E49" i="18"/>
  <c r="F49" i="18"/>
  <c r="G49" i="18"/>
  <c r="H49" i="18"/>
  <c r="I49" i="18"/>
  <c r="J49" i="18"/>
  <c r="K49" i="18"/>
  <c r="L49" i="18"/>
  <c r="M49" i="18"/>
  <c r="N49" i="18"/>
  <c r="O49" i="18"/>
  <c r="P49" i="18"/>
  <c r="Q49" i="18"/>
  <c r="R49" i="18"/>
  <c r="S49" i="18"/>
  <c r="T49" i="18"/>
  <c r="U49" i="18"/>
  <c r="V49" i="18"/>
  <c r="W49" i="18"/>
  <c r="X49" i="18"/>
  <c r="Y49" i="18"/>
  <c r="Z49" i="18"/>
  <c r="AA49" i="18"/>
  <c r="D50" i="18"/>
  <c r="E50" i="18"/>
  <c r="F50" i="18"/>
  <c r="G50" i="18"/>
  <c r="H50" i="18"/>
  <c r="I50" i="18"/>
  <c r="J50" i="18"/>
  <c r="K50" i="18"/>
  <c r="L50" i="18"/>
  <c r="M50" i="18"/>
  <c r="N50" i="18"/>
  <c r="O50" i="18"/>
  <c r="P50" i="18"/>
  <c r="Q50" i="18"/>
  <c r="R50" i="18"/>
  <c r="S50" i="18"/>
  <c r="T50" i="18"/>
  <c r="U50" i="18"/>
  <c r="V50" i="18"/>
  <c r="W50" i="18"/>
  <c r="X50" i="18"/>
  <c r="Y50" i="18"/>
  <c r="Z50" i="18"/>
  <c r="AA50" i="18"/>
  <c r="D51" i="18"/>
  <c r="E51" i="18"/>
  <c r="F51" i="18"/>
  <c r="G51" i="18"/>
  <c r="H51" i="18"/>
  <c r="I51" i="18"/>
  <c r="J51" i="18"/>
  <c r="K51" i="18"/>
  <c r="L51" i="18"/>
  <c r="M51" i="18"/>
  <c r="N51" i="18"/>
  <c r="O51" i="18"/>
  <c r="P51" i="18"/>
  <c r="Q51" i="18"/>
  <c r="R51" i="18"/>
  <c r="S51" i="18"/>
  <c r="T51" i="18"/>
  <c r="U51" i="18"/>
  <c r="V51" i="18"/>
  <c r="W51" i="18"/>
  <c r="X51" i="18"/>
  <c r="Y51" i="18"/>
  <c r="Z51" i="18"/>
  <c r="AA51" i="18"/>
  <c r="D52" i="18"/>
  <c r="E52" i="18"/>
  <c r="F52" i="18"/>
  <c r="G52" i="18"/>
  <c r="H52" i="18"/>
  <c r="I52" i="18"/>
  <c r="J52" i="18"/>
  <c r="K52" i="18"/>
  <c r="L52" i="18"/>
  <c r="M52" i="18"/>
  <c r="N52" i="18"/>
  <c r="O52" i="18"/>
  <c r="P52" i="18"/>
  <c r="Q52" i="18"/>
  <c r="R52" i="18"/>
  <c r="S52" i="18"/>
  <c r="T52" i="18"/>
  <c r="U52" i="18"/>
  <c r="V52" i="18"/>
  <c r="W52" i="18"/>
  <c r="X52" i="18"/>
  <c r="Y52" i="18"/>
  <c r="Z52" i="18"/>
  <c r="AA52" i="18"/>
  <c r="D53" i="18"/>
  <c r="E53" i="18"/>
  <c r="F53" i="18"/>
  <c r="G53" i="18"/>
  <c r="H53" i="18"/>
  <c r="I53" i="18"/>
  <c r="J53" i="18"/>
  <c r="K53" i="18"/>
  <c r="L53" i="18"/>
  <c r="M53" i="18"/>
  <c r="N53" i="18"/>
  <c r="O53" i="18"/>
  <c r="P53" i="18"/>
  <c r="Q53" i="18"/>
  <c r="R53" i="18"/>
  <c r="S53" i="18"/>
  <c r="T53" i="18"/>
  <c r="U53" i="18"/>
  <c r="V53" i="18"/>
  <c r="W53" i="18"/>
  <c r="X53" i="18"/>
  <c r="Y53" i="18"/>
  <c r="Z53" i="18"/>
  <c r="AA53" i="18"/>
  <c r="D54" i="18"/>
  <c r="E54" i="18"/>
  <c r="F54" i="18"/>
  <c r="G54" i="18"/>
  <c r="H54" i="18"/>
  <c r="I54" i="18"/>
  <c r="J54" i="18"/>
  <c r="K54" i="18"/>
  <c r="L54" i="18"/>
  <c r="M54" i="18"/>
  <c r="N54" i="18"/>
  <c r="O54" i="18"/>
  <c r="P54" i="18"/>
  <c r="Q54" i="18"/>
  <c r="R54" i="18"/>
  <c r="S54" i="18"/>
  <c r="T54" i="18"/>
  <c r="U54" i="18"/>
  <c r="V54" i="18"/>
  <c r="W54" i="18"/>
  <c r="X54" i="18"/>
  <c r="Y54" i="18"/>
  <c r="Z54" i="18"/>
  <c r="AA54" i="18"/>
  <c r="D55" i="18"/>
  <c r="E55" i="18"/>
  <c r="F55" i="18"/>
  <c r="G55" i="18"/>
  <c r="H55" i="18"/>
  <c r="I55" i="18"/>
  <c r="J55" i="18"/>
  <c r="K55" i="18"/>
  <c r="L55" i="18"/>
  <c r="M55" i="18"/>
  <c r="N55" i="18"/>
  <c r="O55" i="18"/>
  <c r="P55" i="18"/>
  <c r="Q55" i="18"/>
  <c r="R55" i="18"/>
  <c r="S55" i="18"/>
  <c r="T55" i="18"/>
  <c r="U55" i="18"/>
  <c r="V55" i="18"/>
  <c r="W55" i="18"/>
  <c r="X55" i="18"/>
  <c r="Y55" i="18"/>
  <c r="Z55" i="18"/>
  <c r="AA55" i="18"/>
  <c r="B2" i="17"/>
  <c r="C2" i="17"/>
  <c r="D2" i="17"/>
  <c r="E2" i="17"/>
  <c r="F2" i="17"/>
  <c r="G2" i="17"/>
  <c r="H2" i="17"/>
  <c r="I2" i="17"/>
  <c r="J2" i="17"/>
  <c r="K2" i="17"/>
  <c r="L2" i="17"/>
  <c r="M2" i="17"/>
  <c r="N2" i="17"/>
  <c r="O2" i="17"/>
  <c r="P2" i="17"/>
  <c r="Q2" i="17"/>
  <c r="R2" i="17"/>
  <c r="S2" i="17"/>
  <c r="T2" i="17"/>
  <c r="U2" i="17"/>
  <c r="V2" i="17"/>
  <c r="W2" i="17"/>
  <c r="X2" i="17"/>
  <c r="Y2" i="17"/>
  <c r="Z2" i="17"/>
  <c r="AA2" i="17"/>
  <c r="B3" i="17"/>
  <c r="C3" i="17"/>
  <c r="D3" i="17"/>
  <c r="E3" i="17"/>
  <c r="F3" i="17"/>
  <c r="G3" i="17"/>
  <c r="H3" i="17"/>
  <c r="I3" i="17"/>
  <c r="J3" i="17"/>
  <c r="K3" i="17"/>
  <c r="L3" i="17"/>
  <c r="M3" i="17"/>
  <c r="N3" i="17"/>
  <c r="O3" i="17"/>
  <c r="P3" i="17"/>
  <c r="Q3" i="17"/>
  <c r="R3" i="17"/>
  <c r="S3" i="17"/>
  <c r="T3" i="17"/>
  <c r="U3" i="17"/>
  <c r="V3" i="17"/>
  <c r="W3" i="17"/>
  <c r="X3" i="17"/>
  <c r="Y3" i="17"/>
  <c r="Z3" i="17"/>
  <c r="AA3" i="17"/>
  <c r="B4" i="17"/>
  <c r="C4" i="17"/>
  <c r="D4" i="17"/>
  <c r="E4" i="17"/>
  <c r="F4" i="17"/>
  <c r="G4" i="17"/>
  <c r="H4" i="17"/>
  <c r="I4" i="17"/>
  <c r="J4" i="17"/>
  <c r="K4" i="17"/>
  <c r="L4" i="17"/>
  <c r="M4" i="17"/>
  <c r="N4" i="17"/>
  <c r="O4" i="17"/>
  <c r="P4" i="17"/>
  <c r="Q4" i="17"/>
  <c r="R4" i="17"/>
  <c r="S4" i="17"/>
  <c r="T4" i="17"/>
  <c r="U4" i="17"/>
  <c r="V4" i="17"/>
  <c r="W4" i="17"/>
  <c r="X4" i="17"/>
  <c r="Y4" i="17"/>
  <c r="Z4" i="17"/>
  <c r="AA4" i="17"/>
  <c r="B5" i="17"/>
  <c r="C5" i="17"/>
  <c r="D5" i="17"/>
  <c r="E5" i="17"/>
  <c r="F5" i="17"/>
  <c r="G5" i="17"/>
  <c r="H5" i="17"/>
  <c r="I5" i="17"/>
  <c r="J5" i="17"/>
  <c r="K5" i="17"/>
  <c r="L5" i="17"/>
  <c r="M5" i="17"/>
  <c r="N5" i="17"/>
  <c r="O5" i="17"/>
  <c r="P5" i="17"/>
  <c r="Q5" i="17"/>
  <c r="R5" i="17"/>
  <c r="S5" i="17"/>
  <c r="T5" i="17"/>
  <c r="U5" i="17"/>
  <c r="V5" i="17"/>
  <c r="W5" i="17"/>
  <c r="X5" i="17"/>
  <c r="Y5" i="17"/>
  <c r="Z5" i="17"/>
  <c r="AA5" i="17"/>
  <c r="B6" i="17"/>
  <c r="C6" i="17"/>
  <c r="D6" i="17"/>
  <c r="E6" i="17"/>
  <c r="F6" i="17"/>
  <c r="G6" i="17"/>
  <c r="H6" i="17"/>
  <c r="I6" i="17"/>
  <c r="J6" i="17"/>
  <c r="K6" i="17"/>
  <c r="L6" i="17"/>
  <c r="M6" i="17"/>
  <c r="N6" i="17"/>
  <c r="O6" i="17"/>
  <c r="P6" i="17"/>
  <c r="Q6" i="17"/>
  <c r="R6" i="17"/>
  <c r="S6" i="17"/>
  <c r="T6" i="17"/>
  <c r="U6" i="17"/>
  <c r="V6" i="17"/>
  <c r="W6" i="17"/>
  <c r="X6" i="17"/>
  <c r="Y6" i="17"/>
  <c r="Z6" i="17"/>
  <c r="AA6" i="17"/>
  <c r="B7" i="17"/>
  <c r="C7" i="17"/>
  <c r="D7" i="17"/>
  <c r="E7" i="17"/>
  <c r="F7" i="17"/>
  <c r="G7" i="17"/>
  <c r="H7" i="17"/>
  <c r="I7" i="17"/>
  <c r="J7" i="17"/>
  <c r="K7" i="17"/>
  <c r="L7" i="17"/>
  <c r="M7" i="17"/>
  <c r="N7" i="17"/>
  <c r="O7" i="17"/>
  <c r="P7" i="17"/>
  <c r="Q7" i="17"/>
  <c r="R7" i="17"/>
  <c r="S7" i="17"/>
  <c r="T7" i="17"/>
  <c r="U7" i="17"/>
  <c r="V7" i="17"/>
  <c r="W7" i="17"/>
  <c r="X7" i="17"/>
  <c r="Y7" i="17"/>
  <c r="Z7" i="17"/>
  <c r="AA7" i="17"/>
  <c r="B8" i="17"/>
  <c r="C8" i="17"/>
  <c r="D8" i="17"/>
  <c r="E8" i="17"/>
  <c r="F8" i="17"/>
  <c r="G8" i="17"/>
  <c r="H8" i="17"/>
  <c r="I8" i="17"/>
  <c r="J8" i="17"/>
  <c r="K8" i="17"/>
  <c r="L8" i="17"/>
  <c r="M8" i="17"/>
  <c r="N8" i="17"/>
  <c r="O8" i="17"/>
  <c r="P8" i="17"/>
  <c r="Q8" i="17"/>
  <c r="R8" i="17"/>
  <c r="S8" i="17"/>
  <c r="T8" i="17"/>
  <c r="U8" i="17"/>
  <c r="V8" i="17"/>
  <c r="W8" i="17"/>
  <c r="X8" i="17"/>
  <c r="Y8" i="17"/>
  <c r="Z8" i="17"/>
  <c r="AA8" i="17"/>
  <c r="B9" i="17"/>
  <c r="C9" i="17"/>
  <c r="D9" i="17"/>
  <c r="E9" i="17"/>
  <c r="F9" i="17"/>
  <c r="G9" i="17"/>
  <c r="H9" i="17"/>
  <c r="I9" i="17"/>
  <c r="J9" i="17"/>
  <c r="K9" i="17"/>
  <c r="L9" i="17"/>
  <c r="M9" i="17"/>
  <c r="N9" i="17"/>
  <c r="O9" i="17"/>
  <c r="P9" i="17"/>
  <c r="Q9" i="17"/>
  <c r="R9" i="17"/>
  <c r="S9" i="17"/>
  <c r="T9" i="17"/>
  <c r="U9" i="17"/>
  <c r="V9" i="17"/>
  <c r="W9" i="17"/>
  <c r="X9" i="17"/>
  <c r="Y9" i="17"/>
  <c r="Z9" i="17"/>
  <c r="AA9" i="17"/>
  <c r="B10" i="17"/>
  <c r="C10" i="17"/>
  <c r="D10" i="17"/>
  <c r="E10" i="17"/>
  <c r="F10" i="17"/>
  <c r="G10" i="17"/>
  <c r="H10" i="17"/>
  <c r="I10" i="17"/>
  <c r="J10" i="17"/>
  <c r="K10" i="17"/>
  <c r="L10" i="17"/>
  <c r="M10" i="17"/>
  <c r="N10" i="17"/>
  <c r="O10" i="17"/>
  <c r="P10" i="17"/>
  <c r="Q10" i="17"/>
  <c r="R10" i="17"/>
  <c r="S10" i="17"/>
  <c r="T10" i="17"/>
  <c r="U10" i="17"/>
  <c r="V10" i="17"/>
  <c r="W10" i="17"/>
  <c r="X10" i="17"/>
  <c r="Y10" i="17"/>
  <c r="Z10" i="17"/>
  <c r="AA10" i="17"/>
  <c r="B11" i="17"/>
  <c r="C11" i="17"/>
  <c r="D11" i="17"/>
  <c r="E11" i="17"/>
  <c r="F11" i="17"/>
  <c r="G11" i="17"/>
  <c r="H11" i="17"/>
  <c r="I11" i="17"/>
  <c r="J11" i="17"/>
  <c r="K11" i="17"/>
  <c r="L11" i="17"/>
  <c r="M11" i="17"/>
  <c r="N11" i="17"/>
  <c r="O11" i="17"/>
  <c r="P11" i="17"/>
  <c r="Q11" i="17"/>
  <c r="R11" i="17"/>
  <c r="S11" i="17"/>
  <c r="T11" i="17"/>
  <c r="U11" i="17"/>
  <c r="V11" i="17"/>
  <c r="W11" i="17"/>
  <c r="X11" i="17"/>
  <c r="Y11" i="17"/>
  <c r="Z11" i="17"/>
  <c r="AA11" i="17"/>
  <c r="B12" i="17"/>
  <c r="C12" i="17"/>
  <c r="D12" i="17"/>
  <c r="E12" i="17"/>
  <c r="F12" i="17"/>
  <c r="G12" i="17"/>
  <c r="H12" i="17"/>
  <c r="I12" i="17"/>
  <c r="J12" i="17"/>
  <c r="K12" i="17"/>
  <c r="L12" i="17"/>
  <c r="M12" i="17"/>
  <c r="N12" i="17"/>
  <c r="O12" i="17"/>
  <c r="P12" i="17"/>
  <c r="Q12" i="17"/>
  <c r="R12" i="17"/>
  <c r="S12" i="17"/>
  <c r="T12" i="17"/>
  <c r="U12" i="17"/>
  <c r="V12" i="17"/>
  <c r="W12" i="17"/>
  <c r="X12" i="17"/>
  <c r="Y12" i="17"/>
  <c r="Z12" i="17"/>
  <c r="AA12" i="17"/>
  <c r="B13" i="17"/>
  <c r="C13" i="17"/>
  <c r="D13" i="17"/>
  <c r="E13" i="17"/>
  <c r="F13" i="17"/>
  <c r="G13" i="17"/>
  <c r="H13" i="17"/>
  <c r="I13" i="17"/>
  <c r="J13" i="17"/>
  <c r="K13" i="17"/>
  <c r="L13" i="17"/>
  <c r="M13" i="17"/>
  <c r="N13" i="17"/>
  <c r="O13" i="17"/>
  <c r="P13" i="17"/>
  <c r="Q13" i="17"/>
  <c r="R13" i="17"/>
  <c r="S13" i="17"/>
  <c r="T13" i="17"/>
  <c r="U13" i="17"/>
  <c r="V13" i="17"/>
  <c r="W13" i="17"/>
  <c r="X13" i="17"/>
  <c r="Y13" i="17"/>
  <c r="Z13" i="17"/>
  <c r="AA13" i="17"/>
  <c r="B14" i="17"/>
  <c r="C14" i="17"/>
  <c r="D14" i="17"/>
  <c r="E14" i="17"/>
  <c r="F14" i="17"/>
  <c r="G14" i="17"/>
  <c r="H14" i="17"/>
  <c r="I14" i="17"/>
  <c r="J14" i="17"/>
  <c r="K14" i="17"/>
  <c r="L14" i="17"/>
  <c r="M14" i="17"/>
  <c r="N14" i="17"/>
  <c r="O14" i="17"/>
  <c r="P14" i="17"/>
  <c r="Q14" i="17"/>
  <c r="R14" i="17"/>
  <c r="S14" i="17"/>
  <c r="T14" i="17"/>
  <c r="U14" i="17"/>
  <c r="V14" i="17"/>
  <c r="W14" i="17"/>
  <c r="X14" i="17"/>
  <c r="Y14" i="17"/>
  <c r="Z14" i="17"/>
  <c r="AA14" i="17"/>
  <c r="B15" i="17"/>
  <c r="C15" i="17"/>
  <c r="D15" i="17"/>
  <c r="E15" i="17"/>
  <c r="F15" i="17"/>
  <c r="G15" i="17"/>
  <c r="H15" i="17"/>
  <c r="I15" i="17"/>
  <c r="J15" i="17"/>
  <c r="K15" i="17"/>
  <c r="L15" i="17"/>
  <c r="M15" i="17"/>
  <c r="N15" i="17"/>
  <c r="O15" i="17"/>
  <c r="P15" i="17"/>
  <c r="Q15" i="17"/>
  <c r="R15" i="17"/>
  <c r="S15" i="17"/>
  <c r="T15" i="17"/>
  <c r="U15" i="17"/>
  <c r="V15" i="17"/>
  <c r="W15" i="17"/>
  <c r="X15" i="17"/>
  <c r="Y15" i="17"/>
  <c r="Z15" i="17"/>
  <c r="AA15" i="17"/>
  <c r="B16" i="17"/>
  <c r="C16" i="17"/>
  <c r="D16" i="17"/>
  <c r="E16" i="17"/>
  <c r="F16" i="17"/>
  <c r="G16" i="17"/>
  <c r="H16" i="17"/>
  <c r="I16" i="17"/>
  <c r="J16" i="17"/>
  <c r="K16" i="17"/>
  <c r="L16" i="17"/>
  <c r="M16" i="17"/>
  <c r="N16" i="17"/>
  <c r="O16" i="17"/>
  <c r="P16" i="17"/>
  <c r="Q16" i="17"/>
  <c r="R16" i="17"/>
  <c r="S16" i="17"/>
  <c r="T16" i="17"/>
  <c r="U16" i="17"/>
  <c r="V16" i="17"/>
  <c r="W16" i="17"/>
  <c r="X16" i="17"/>
  <c r="Y16" i="17"/>
  <c r="Z16" i="17"/>
  <c r="AA16" i="17"/>
  <c r="B17" i="17"/>
  <c r="C17" i="17"/>
  <c r="D17" i="17"/>
  <c r="E17" i="17"/>
  <c r="F17" i="17"/>
  <c r="G17" i="17"/>
  <c r="H17" i="17"/>
  <c r="I17" i="17"/>
  <c r="J17" i="17"/>
  <c r="K17" i="17"/>
  <c r="L17" i="17"/>
  <c r="M17" i="17"/>
  <c r="N17" i="17"/>
  <c r="O17" i="17"/>
  <c r="P17" i="17"/>
  <c r="Q17" i="17"/>
  <c r="R17" i="17"/>
  <c r="S17" i="17"/>
  <c r="T17" i="17"/>
  <c r="U17" i="17"/>
  <c r="V17" i="17"/>
  <c r="W17" i="17"/>
  <c r="X17" i="17"/>
  <c r="Y17" i="17"/>
  <c r="Z17" i="17"/>
  <c r="AA17" i="17"/>
  <c r="A2" i="16"/>
  <c r="C2" i="16"/>
  <c r="D2" i="16"/>
  <c r="E2" i="16"/>
  <c r="F2" i="16"/>
  <c r="G2" i="16"/>
  <c r="H2" i="16"/>
  <c r="I2" i="16"/>
  <c r="J2" i="16"/>
  <c r="K2" i="16"/>
  <c r="L2" i="16"/>
  <c r="M2" i="16"/>
  <c r="N2" i="16"/>
  <c r="O2" i="16"/>
  <c r="P2" i="16"/>
  <c r="Q2" i="16"/>
  <c r="R2" i="16"/>
  <c r="S2" i="16"/>
  <c r="T2" i="16"/>
  <c r="U2" i="16"/>
  <c r="V2" i="16"/>
  <c r="W2" i="16"/>
  <c r="X2" i="16"/>
  <c r="Y2" i="16"/>
  <c r="Z2" i="16"/>
  <c r="AA2" i="16"/>
  <c r="A3" i="16"/>
  <c r="C3" i="16"/>
  <c r="D3" i="16"/>
  <c r="E3" i="16"/>
  <c r="F3" i="16"/>
  <c r="G3" i="16"/>
  <c r="H3" i="16"/>
  <c r="I3" i="16"/>
  <c r="J3" i="16"/>
  <c r="K3" i="16"/>
  <c r="L3" i="16"/>
  <c r="M3" i="16"/>
  <c r="N3" i="16"/>
  <c r="O3" i="16"/>
  <c r="P3" i="16"/>
  <c r="Q3" i="16"/>
  <c r="R3" i="16"/>
  <c r="S3" i="16"/>
  <c r="T3" i="16"/>
  <c r="U3" i="16"/>
  <c r="V3" i="16"/>
  <c r="W3" i="16"/>
  <c r="X3" i="16"/>
  <c r="Y3" i="16"/>
  <c r="Z3" i="16"/>
  <c r="AA3" i="16"/>
  <c r="A4" i="16"/>
  <c r="C4" i="16"/>
  <c r="D4" i="16"/>
  <c r="E4" i="16"/>
  <c r="F4" i="16"/>
  <c r="G4" i="16"/>
  <c r="H4" i="16"/>
  <c r="I4" i="16"/>
  <c r="J4" i="16"/>
  <c r="K4" i="16"/>
  <c r="L4" i="16"/>
  <c r="M4" i="16"/>
  <c r="N4" i="16"/>
  <c r="O4" i="16"/>
  <c r="P4" i="16"/>
  <c r="Q4" i="16"/>
  <c r="R4" i="16"/>
  <c r="S4" i="16"/>
  <c r="T4" i="16"/>
  <c r="U4" i="16"/>
  <c r="V4" i="16"/>
  <c r="W4" i="16"/>
  <c r="X4" i="16"/>
  <c r="Y4" i="16"/>
  <c r="Z4" i="16"/>
  <c r="AA4" i="16"/>
  <c r="A5" i="16"/>
  <c r="C5" i="16"/>
  <c r="D5" i="16"/>
  <c r="E5" i="16"/>
  <c r="F5" i="16"/>
  <c r="G5" i="16"/>
  <c r="H5" i="16"/>
  <c r="I5" i="16"/>
  <c r="J5" i="16"/>
  <c r="K5" i="16"/>
  <c r="L5" i="16"/>
  <c r="M5" i="16"/>
  <c r="N5" i="16"/>
  <c r="O5" i="16"/>
  <c r="P5" i="16"/>
  <c r="Q5" i="16"/>
  <c r="R5" i="16"/>
  <c r="S5" i="16"/>
  <c r="T5" i="16"/>
  <c r="U5" i="16"/>
  <c r="V5" i="16"/>
  <c r="W5" i="16"/>
  <c r="X5" i="16"/>
  <c r="Y5" i="16"/>
  <c r="Z5" i="16"/>
  <c r="AA5" i="16"/>
  <c r="A6" i="16"/>
  <c r="C6" i="16"/>
  <c r="D6" i="16"/>
  <c r="E6" i="16"/>
  <c r="F6" i="16"/>
  <c r="G6" i="16"/>
  <c r="H6" i="16"/>
  <c r="I6" i="16"/>
  <c r="J6" i="16"/>
  <c r="K6" i="16"/>
  <c r="L6" i="16"/>
  <c r="M6" i="16"/>
  <c r="N6" i="16"/>
  <c r="O6" i="16"/>
  <c r="P6" i="16"/>
  <c r="Q6" i="16"/>
  <c r="R6" i="16"/>
  <c r="S6" i="16"/>
  <c r="T6" i="16"/>
  <c r="U6" i="16"/>
  <c r="V6" i="16"/>
  <c r="W6" i="16"/>
  <c r="X6" i="16"/>
  <c r="Y6" i="16"/>
  <c r="Z6" i="16"/>
  <c r="AA6" i="16"/>
  <c r="A7" i="16"/>
  <c r="C7" i="16"/>
  <c r="D7" i="16"/>
  <c r="E7" i="16"/>
  <c r="F7" i="16"/>
  <c r="G7" i="16"/>
  <c r="H7" i="16"/>
  <c r="I7" i="16"/>
  <c r="J7" i="16"/>
  <c r="K7" i="16"/>
  <c r="L7" i="16"/>
  <c r="M7" i="16"/>
  <c r="N7" i="16"/>
  <c r="O7" i="16"/>
  <c r="P7" i="16"/>
  <c r="Q7" i="16"/>
  <c r="R7" i="16"/>
  <c r="S7" i="16"/>
  <c r="T7" i="16"/>
  <c r="U7" i="16"/>
  <c r="V7" i="16"/>
  <c r="W7" i="16"/>
  <c r="X7" i="16"/>
  <c r="Y7" i="16"/>
  <c r="Z7" i="16"/>
  <c r="AA7" i="16"/>
  <c r="A8" i="16"/>
  <c r="C8" i="16"/>
  <c r="D8" i="16"/>
  <c r="E8" i="16"/>
  <c r="F8" i="16"/>
  <c r="G8" i="16"/>
  <c r="H8" i="16"/>
  <c r="I8" i="16"/>
  <c r="J8" i="16"/>
  <c r="K8" i="16"/>
  <c r="L8" i="16"/>
  <c r="M8" i="16"/>
  <c r="N8" i="16"/>
  <c r="O8" i="16"/>
  <c r="P8" i="16"/>
  <c r="Q8" i="16"/>
  <c r="R8" i="16"/>
  <c r="S8" i="16"/>
  <c r="T8" i="16"/>
  <c r="U8" i="16"/>
  <c r="V8" i="16"/>
  <c r="W8" i="16"/>
  <c r="X8" i="16"/>
  <c r="Y8" i="16"/>
  <c r="Z8" i="16"/>
  <c r="AA8" i="16"/>
  <c r="A9" i="16"/>
  <c r="C9" i="16"/>
  <c r="D9" i="16"/>
  <c r="E9" i="16"/>
  <c r="F9" i="16"/>
  <c r="G9" i="16"/>
  <c r="H9" i="16"/>
  <c r="I9" i="16"/>
  <c r="J9" i="16"/>
  <c r="K9" i="16"/>
  <c r="L9" i="16"/>
  <c r="M9" i="16"/>
  <c r="N9" i="16"/>
  <c r="O9" i="16"/>
  <c r="P9" i="16"/>
  <c r="Q9" i="16"/>
  <c r="R9" i="16"/>
  <c r="S9" i="16"/>
  <c r="T9" i="16"/>
  <c r="U9" i="16"/>
  <c r="V9" i="16"/>
  <c r="W9" i="16"/>
  <c r="X9" i="16"/>
  <c r="Y9" i="16"/>
  <c r="Z9" i="16"/>
  <c r="AA9" i="16"/>
  <c r="A10" i="16"/>
  <c r="C10" i="16"/>
  <c r="D10" i="16"/>
  <c r="E10" i="16"/>
  <c r="F10" i="16"/>
  <c r="G10" i="16"/>
  <c r="H10" i="16"/>
  <c r="I10" i="16"/>
  <c r="J10" i="16"/>
  <c r="K10" i="16"/>
  <c r="L10" i="16"/>
  <c r="M10" i="16"/>
  <c r="N10" i="16"/>
  <c r="O10" i="16"/>
  <c r="P10" i="16"/>
  <c r="Q10" i="16"/>
  <c r="R10" i="16"/>
  <c r="S10" i="16"/>
  <c r="T10" i="16"/>
  <c r="U10" i="16"/>
  <c r="V10" i="16"/>
  <c r="W10" i="16"/>
  <c r="X10" i="16"/>
  <c r="Y10" i="16"/>
  <c r="Z10" i="16"/>
  <c r="AA10" i="16"/>
  <c r="A11" i="16"/>
  <c r="C11" i="16"/>
  <c r="D11" i="16"/>
  <c r="E11" i="16"/>
  <c r="F11" i="16"/>
  <c r="G11" i="16"/>
  <c r="H11" i="16"/>
  <c r="I11" i="16"/>
  <c r="J11" i="16"/>
  <c r="K11" i="16"/>
  <c r="L11" i="16"/>
  <c r="M11" i="16"/>
  <c r="N11" i="16"/>
  <c r="O11" i="16"/>
  <c r="P11" i="16"/>
  <c r="Q11" i="16"/>
  <c r="R11" i="16"/>
  <c r="S11" i="16"/>
  <c r="T11" i="16"/>
  <c r="U11" i="16"/>
  <c r="V11" i="16"/>
  <c r="W11" i="16"/>
  <c r="X11" i="16"/>
  <c r="Y11" i="16"/>
  <c r="Z11" i="16"/>
  <c r="AA11" i="16"/>
  <c r="A12" i="16"/>
  <c r="C12" i="16"/>
  <c r="D12" i="16"/>
  <c r="E12" i="16"/>
  <c r="F12" i="16"/>
  <c r="G12" i="16"/>
  <c r="H12" i="16"/>
  <c r="I12" i="16"/>
  <c r="J12" i="16"/>
  <c r="K12" i="16"/>
  <c r="L12" i="16"/>
  <c r="M12" i="16"/>
  <c r="N12" i="16"/>
  <c r="O12" i="16"/>
  <c r="P12" i="16"/>
  <c r="Q12" i="16"/>
  <c r="R12" i="16"/>
  <c r="S12" i="16"/>
  <c r="T12" i="16"/>
  <c r="U12" i="16"/>
  <c r="V12" i="16"/>
  <c r="W12" i="16"/>
  <c r="X12" i="16"/>
  <c r="Y12" i="16"/>
  <c r="Z12" i="16"/>
  <c r="AA12" i="16"/>
  <c r="A13" i="16"/>
  <c r="C13" i="16"/>
  <c r="D13" i="16"/>
  <c r="E13" i="16"/>
  <c r="F13" i="16"/>
  <c r="G13" i="16"/>
  <c r="H13" i="16"/>
  <c r="I13" i="16"/>
  <c r="J13" i="16"/>
  <c r="K13" i="16"/>
  <c r="L13" i="16"/>
  <c r="M13" i="16"/>
  <c r="N13" i="16"/>
  <c r="O13" i="16"/>
  <c r="P13" i="16"/>
  <c r="Q13" i="16"/>
  <c r="R13" i="16"/>
  <c r="S13" i="16"/>
  <c r="T13" i="16"/>
  <c r="U13" i="16"/>
  <c r="V13" i="16"/>
  <c r="W13" i="16"/>
  <c r="X13" i="16"/>
  <c r="Y13" i="16"/>
  <c r="Z13" i="16"/>
  <c r="AA13" i="16"/>
  <c r="A14" i="16"/>
  <c r="C14" i="16"/>
  <c r="D14" i="16"/>
  <c r="E14" i="16"/>
  <c r="F14" i="16"/>
  <c r="G14" i="16"/>
  <c r="H14" i="16"/>
  <c r="I14" i="16"/>
  <c r="J14" i="16"/>
  <c r="K14" i="16"/>
  <c r="L14" i="16"/>
  <c r="M14" i="16"/>
  <c r="N14" i="16"/>
  <c r="O14" i="16"/>
  <c r="P14" i="16"/>
  <c r="Q14" i="16"/>
  <c r="R14" i="16"/>
  <c r="S14" i="16"/>
  <c r="T14" i="16"/>
  <c r="U14" i="16"/>
  <c r="V14" i="16"/>
  <c r="W14" i="16"/>
  <c r="X14" i="16"/>
  <c r="Y14" i="16"/>
  <c r="Z14" i="16"/>
  <c r="AA14" i="16"/>
  <c r="A15" i="16"/>
  <c r="C15" i="16"/>
  <c r="D15" i="16"/>
  <c r="E15" i="16"/>
  <c r="F15" i="16"/>
  <c r="G15" i="16"/>
  <c r="H15" i="16"/>
  <c r="I15" i="16"/>
  <c r="J15" i="16"/>
  <c r="K15" i="16"/>
  <c r="L15" i="16"/>
  <c r="M15" i="16"/>
  <c r="N15" i="16"/>
  <c r="O15" i="16"/>
  <c r="P15" i="16"/>
  <c r="Q15" i="16"/>
  <c r="R15" i="16"/>
  <c r="S15" i="16"/>
  <c r="T15" i="16"/>
  <c r="U15" i="16"/>
  <c r="V15" i="16"/>
  <c r="W15" i="16"/>
  <c r="X15" i="16"/>
  <c r="Y15" i="16"/>
  <c r="Z15" i="16"/>
  <c r="AA15" i="16"/>
  <c r="A16" i="16"/>
  <c r="C16" i="16"/>
  <c r="D16" i="16"/>
  <c r="E16" i="16"/>
  <c r="F16" i="16"/>
  <c r="G16" i="16"/>
  <c r="H16" i="16"/>
  <c r="I16" i="16"/>
  <c r="J16" i="16"/>
  <c r="K16" i="16"/>
  <c r="L16" i="16"/>
  <c r="M16" i="16"/>
  <c r="N16" i="16"/>
  <c r="O16" i="16"/>
  <c r="P16" i="16"/>
  <c r="Q16" i="16"/>
  <c r="R16" i="16"/>
  <c r="S16" i="16"/>
  <c r="T16" i="16"/>
  <c r="U16" i="16"/>
  <c r="V16" i="16"/>
  <c r="W16" i="16"/>
  <c r="X16" i="16"/>
  <c r="Y16" i="16"/>
  <c r="Z16" i="16"/>
  <c r="AA16" i="16"/>
  <c r="A17"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D2" i="9"/>
  <c r="E2" i="9"/>
  <c r="F2" i="9"/>
  <c r="G2" i="9"/>
  <c r="H2" i="9"/>
  <c r="I2" i="9"/>
  <c r="J2" i="9"/>
  <c r="K2" i="9"/>
  <c r="L2" i="9"/>
  <c r="M2" i="9"/>
  <c r="N2" i="9"/>
  <c r="O2" i="9"/>
  <c r="P2" i="9"/>
  <c r="Q2" i="9"/>
  <c r="R2" i="9"/>
  <c r="S2" i="9"/>
  <c r="T2" i="9"/>
  <c r="U2" i="9"/>
  <c r="V2" i="9"/>
  <c r="W2" i="9"/>
  <c r="X2" i="9"/>
  <c r="Y2" i="9"/>
  <c r="Z2" i="9"/>
  <c r="AA2" i="9"/>
  <c r="D3" i="9"/>
  <c r="E3" i="9"/>
  <c r="F3" i="9"/>
  <c r="G3" i="9"/>
  <c r="H3" i="9"/>
  <c r="I3" i="9"/>
  <c r="J3" i="9"/>
  <c r="K3" i="9"/>
  <c r="L3" i="9"/>
  <c r="M3" i="9"/>
  <c r="N3" i="9"/>
  <c r="O3" i="9"/>
  <c r="P3" i="9"/>
  <c r="Q3" i="9"/>
  <c r="R3" i="9"/>
  <c r="S3" i="9"/>
  <c r="T3" i="9"/>
  <c r="U3" i="9"/>
  <c r="V3" i="9"/>
  <c r="W3" i="9"/>
  <c r="X3" i="9"/>
  <c r="Y3" i="9"/>
  <c r="Z3" i="9"/>
  <c r="AA3" i="9"/>
  <c r="D4" i="9"/>
  <c r="E4" i="9"/>
  <c r="F4" i="9"/>
  <c r="G4" i="9"/>
  <c r="H4" i="9"/>
  <c r="I4" i="9"/>
  <c r="J4" i="9"/>
  <c r="K4" i="9"/>
  <c r="L4" i="9"/>
  <c r="M4" i="9"/>
  <c r="N4" i="9"/>
  <c r="O4" i="9"/>
  <c r="P4" i="9"/>
  <c r="Q4" i="9"/>
  <c r="R4" i="9"/>
  <c r="S4" i="9"/>
  <c r="T4" i="9"/>
  <c r="U4" i="9"/>
  <c r="V4" i="9"/>
  <c r="W4" i="9"/>
  <c r="X4" i="9"/>
  <c r="Y4" i="9"/>
  <c r="Z4" i="9"/>
  <c r="AA4" i="9"/>
  <c r="D5" i="9"/>
  <c r="E5" i="9"/>
  <c r="F5" i="9"/>
  <c r="G5" i="9"/>
  <c r="H5" i="9"/>
  <c r="I5" i="9"/>
  <c r="J5" i="9"/>
  <c r="K5" i="9"/>
  <c r="L5" i="9"/>
  <c r="M5" i="9"/>
  <c r="N5" i="9"/>
  <c r="O5" i="9"/>
  <c r="P5" i="9"/>
  <c r="Q5" i="9"/>
  <c r="R5" i="9"/>
  <c r="S5" i="9"/>
  <c r="T5" i="9"/>
  <c r="U5" i="9"/>
  <c r="V5" i="9"/>
  <c r="W5" i="9"/>
  <c r="X5" i="9"/>
  <c r="Y5" i="9"/>
  <c r="Z5" i="9"/>
  <c r="AA5" i="9"/>
  <c r="D6" i="9"/>
  <c r="E6" i="9"/>
  <c r="F6" i="9"/>
  <c r="G6" i="9"/>
  <c r="H6" i="9"/>
  <c r="I6" i="9"/>
  <c r="J6" i="9"/>
  <c r="K6" i="9"/>
  <c r="L6" i="9"/>
  <c r="M6" i="9"/>
  <c r="N6" i="9"/>
  <c r="O6" i="9"/>
  <c r="P6" i="9"/>
  <c r="Q6" i="9"/>
  <c r="R6" i="9"/>
  <c r="S6" i="9"/>
  <c r="T6" i="9"/>
  <c r="U6" i="9"/>
  <c r="V6" i="9"/>
  <c r="W6" i="9"/>
  <c r="X6" i="9"/>
  <c r="Y6" i="9"/>
  <c r="Z6" i="9"/>
  <c r="AA6" i="9"/>
  <c r="D7" i="9"/>
  <c r="E7" i="9"/>
  <c r="F7" i="9"/>
  <c r="G7" i="9"/>
  <c r="H7" i="9"/>
  <c r="I7" i="9"/>
  <c r="J7" i="9"/>
  <c r="K7" i="9"/>
  <c r="L7" i="9"/>
  <c r="M7" i="9"/>
  <c r="N7" i="9"/>
  <c r="O7" i="9"/>
  <c r="P7" i="9"/>
  <c r="Q7" i="9"/>
  <c r="R7" i="9"/>
  <c r="S7" i="9"/>
  <c r="T7" i="9"/>
  <c r="U7" i="9"/>
  <c r="V7" i="9"/>
  <c r="W7" i="9"/>
  <c r="X7" i="9"/>
  <c r="Y7" i="9"/>
  <c r="Z7" i="9"/>
  <c r="AA7" i="9"/>
  <c r="D8" i="9"/>
  <c r="E8" i="9"/>
  <c r="F8" i="9"/>
  <c r="G8" i="9"/>
  <c r="H8" i="9"/>
  <c r="I8" i="9"/>
  <c r="J8" i="9"/>
  <c r="K8" i="9"/>
  <c r="L8" i="9"/>
  <c r="M8" i="9"/>
  <c r="N8" i="9"/>
  <c r="O8" i="9"/>
  <c r="P8" i="9"/>
  <c r="Q8" i="9"/>
  <c r="R8" i="9"/>
  <c r="S8" i="9"/>
  <c r="T8" i="9"/>
  <c r="U8" i="9"/>
  <c r="V8" i="9"/>
  <c r="W8" i="9"/>
  <c r="X8" i="9"/>
  <c r="Y8" i="9"/>
  <c r="Z8" i="9"/>
  <c r="AA8" i="9"/>
  <c r="D9" i="9"/>
  <c r="E9" i="9"/>
  <c r="F9" i="9"/>
  <c r="G9" i="9"/>
  <c r="H9" i="9"/>
  <c r="I9" i="9"/>
  <c r="J9" i="9"/>
  <c r="K9" i="9"/>
  <c r="L9" i="9"/>
  <c r="M9" i="9"/>
  <c r="N9" i="9"/>
  <c r="O9" i="9"/>
  <c r="P9" i="9"/>
  <c r="Q9" i="9"/>
  <c r="R9" i="9"/>
  <c r="S9" i="9"/>
  <c r="T9" i="9"/>
  <c r="U9" i="9"/>
  <c r="V9" i="9"/>
  <c r="W9" i="9"/>
  <c r="X9" i="9"/>
  <c r="Y9" i="9"/>
  <c r="Z9" i="9"/>
  <c r="AA9" i="9"/>
  <c r="D10" i="9"/>
  <c r="E10" i="9"/>
  <c r="F10" i="9"/>
  <c r="G10" i="9"/>
  <c r="H10" i="9"/>
  <c r="I10" i="9"/>
  <c r="J10" i="9"/>
  <c r="K10" i="9"/>
  <c r="L10" i="9"/>
  <c r="M10" i="9"/>
  <c r="N10" i="9"/>
  <c r="O10" i="9"/>
  <c r="P10" i="9"/>
  <c r="Q10" i="9"/>
  <c r="R10" i="9"/>
  <c r="S10" i="9"/>
  <c r="T10" i="9"/>
  <c r="U10" i="9"/>
  <c r="V10" i="9"/>
  <c r="W10" i="9"/>
  <c r="X10" i="9"/>
  <c r="Y10" i="9"/>
  <c r="Z10" i="9"/>
  <c r="AA10" i="9"/>
  <c r="D11" i="9"/>
  <c r="E11" i="9"/>
  <c r="F11" i="9"/>
  <c r="G11" i="9"/>
  <c r="H11" i="9"/>
  <c r="I11" i="9"/>
  <c r="J11" i="9"/>
  <c r="K11" i="9"/>
  <c r="L11" i="9"/>
  <c r="M11" i="9"/>
  <c r="N11" i="9"/>
  <c r="O11" i="9"/>
  <c r="P11" i="9"/>
  <c r="Q11" i="9"/>
  <c r="R11" i="9"/>
  <c r="S11" i="9"/>
  <c r="T11" i="9"/>
  <c r="U11" i="9"/>
  <c r="V11" i="9"/>
  <c r="W11" i="9"/>
  <c r="X11" i="9"/>
  <c r="Y11" i="9"/>
  <c r="Z11" i="9"/>
  <c r="AA11" i="9"/>
  <c r="D12" i="9"/>
  <c r="E12" i="9"/>
  <c r="F12" i="9"/>
  <c r="G12" i="9"/>
  <c r="H12" i="9"/>
  <c r="I12" i="9"/>
  <c r="J12" i="9"/>
  <c r="K12" i="9"/>
  <c r="L12" i="9"/>
  <c r="M12" i="9"/>
  <c r="N12" i="9"/>
  <c r="O12" i="9"/>
  <c r="P12" i="9"/>
  <c r="Q12" i="9"/>
  <c r="R12" i="9"/>
  <c r="S12" i="9"/>
  <c r="T12" i="9"/>
  <c r="U12" i="9"/>
  <c r="V12" i="9"/>
  <c r="W12" i="9"/>
  <c r="X12" i="9"/>
  <c r="Y12" i="9"/>
  <c r="Z12" i="9"/>
  <c r="AA12" i="9"/>
  <c r="D13" i="9"/>
  <c r="E13" i="9"/>
  <c r="F13" i="9"/>
  <c r="G13" i="9"/>
  <c r="H13" i="9"/>
  <c r="I13" i="9"/>
  <c r="J13" i="9"/>
  <c r="K13" i="9"/>
  <c r="L13" i="9"/>
  <c r="M13" i="9"/>
  <c r="N13" i="9"/>
  <c r="O13" i="9"/>
  <c r="P13" i="9"/>
  <c r="Q13" i="9"/>
  <c r="R13" i="9"/>
  <c r="S13" i="9"/>
  <c r="T13" i="9"/>
  <c r="U13" i="9"/>
  <c r="V13" i="9"/>
  <c r="W13" i="9"/>
  <c r="X13" i="9"/>
  <c r="Y13" i="9"/>
  <c r="Z13" i="9"/>
  <c r="AA13" i="9"/>
  <c r="D14" i="9"/>
  <c r="E14" i="9"/>
  <c r="F14" i="9"/>
  <c r="G14" i="9"/>
  <c r="H14" i="9"/>
  <c r="I14" i="9"/>
  <c r="J14" i="9"/>
  <c r="K14" i="9"/>
  <c r="L14" i="9"/>
  <c r="M14" i="9"/>
  <c r="N14" i="9"/>
  <c r="O14" i="9"/>
  <c r="P14" i="9"/>
  <c r="Q14" i="9"/>
  <c r="R14" i="9"/>
  <c r="S14" i="9"/>
  <c r="T14" i="9"/>
  <c r="U14" i="9"/>
  <c r="V14" i="9"/>
  <c r="W14" i="9"/>
  <c r="X14" i="9"/>
  <c r="Y14" i="9"/>
  <c r="Z14" i="9"/>
  <c r="AA14" i="9"/>
  <c r="D15" i="9"/>
  <c r="E15" i="9"/>
  <c r="F15" i="9"/>
  <c r="G15" i="9"/>
  <c r="H15" i="9"/>
  <c r="I15" i="9"/>
  <c r="J15" i="9"/>
  <c r="K15" i="9"/>
  <c r="L15" i="9"/>
  <c r="M15" i="9"/>
  <c r="N15" i="9"/>
  <c r="O15" i="9"/>
  <c r="P15" i="9"/>
  <c r="Q15" i="9"/>
  <c r="R15" i="9"/>
  <c r="S15" i="9"/>
  <c r="T15" i="9"/>
  <c r="U15" i="9"/>
  <c r="V15" i="9"/>
  <c r="W15" i="9"/>
  <c r="X15" i="9"/>
  <c r="Y15" i="9"/>
  <c r="Z15" i="9"/>
  <c r="AA15" i="9"/>
  <c r="D16" i="9"/>
  <c r="E16" i="9"/>
  <c r="F16" i="9"/>
  <c r="G16" i="9"/>
  <c r="H16" i="9"/>
  <c r="I16" i="9"/>
  <c r="J16" i="9"/>
  <c r="K16" i="9"/>
  <c r="L16" i="9"/>
  <c r="M16" i="9"/>
  <c r="N16" i="9"/>
  <c r="O16" i="9"/>
  <c r="P16" i="9"/>
  <c r="Q16" i="9"/>
  <c r="R16" i="9"/>
  <c r="S16" i="9"/>
  <c r="T16" i="9"/>
  <c r="U16" i="9"/>
  <c r="V16" i="9"/>
  <c r="W16" i="9"/>
  <c r="X16" i="9"/>
  <c r="Y16" i="9"/>
  <c r="Z16" i="9"/>
  <c r="AA16" i="9"/>
  <c r="D17" i="9"/>
  <c r="E17" i="9"/>
  <c r="F17" i="9"/>
  <c r="G17" i="9"/>
  <c r="H17" i="9"/>
  <c r="I17" i="9"/>
  <c r="J17" i="9"/>
  <c r="K17" i="9"/>
  <c r="L17" i="9"/>
  <c r="M17" i="9"/>
  <c r="N17" i="9"/>
  <c r="O17" i="9"/>
  <c r="P17" i="9"/>
  <c r="Q17" i="9"/>
  <c r="R17" i="9"/>
  <c r="S17" i="9"/>
  <c r="T17" i="9"/>
  <c r="U17" i="9"/>
  <c r="V17" i="9"/>
  <c r="W17" i="9"/>
  <c r="X17" i="9"/>
  <c r="Y17" i="9"/>
  <c r="Z17" i="9"/>
  <c r="AA17" i="9"/>
  <c r="D18" i="9"/>
  <c r="E18" i="9"/>
  <c r="F18" i="9"/>
  <c r="G18" i="9"/>
  <c r="H18" i="9"/>
  <c r="I18" i="9"/>
  <c r="J18" i="9"/>
  <c r="K18" i="9"/>
  <c r="L18" i="9"/>
  <c r="M18" i="9"/>
  <c r="N18" i="9"/>
  <c r="O18" i="9"/>
  <c r="P18" i="9"/>
  <c r="Q18" i="9"/>
  <c r="R18" i="9"/>
  <c r="S18" i="9"/>
  <c r="T18" i="9"/>
  <c r="U18" i="9"/>
  <c r="V18" i="9"/>
  <c r="W18" i="9"/>
  <c r="X18" i="9"/>
  <c r="Y18" i="9"/>
  <c r="Z18" i="9"/>
  <c r="AA18" i="9"/>
  <c r="D19" i="9"/>
  <c r="E19" i="9"/>
  <c r="F19" i="9"/>
  <c r="G19" i="9"/>
  <c r="H19" i="9"/>
  <c r="I19" i="9"/>
  <c r="J19" i="9"/>
  <c r="K19" i="9"/>
  <c r="L19" i="9"/>
  <c r="M19" i="9"/>
  <c r="N19" i="9"/>
  <c r="O19" i="9"/>
  <c r="P19" i="9"/>
  <c r="Q19" i="9"/>
  <c r="R19" i="9"/>
  <c r="S19" i="9"/>
  <c r="T19" i="9"/>
  <c r="U19" i="9"/>
  <c r="V19" i="9"/>
  <c r="W19" i="9"/>
  <c r="X19" i="9"/>
  <c r="Y19" i="9"/>
  <c r="Z19" i="9"/>
  <c r="AA19" i="9"/>
  <c r="D20" i="9"/>
  <c r="E20" i="9"/>
  <c r="F20" i="9"/>
  <c r="G20" i="9"/>
  <c r="H20" i="9"/>
  <c r="I20" i="9"/>
  <c r="J20" i="9"/>
  <c r="K20" i="9"/>
  <c r="L20" i="9"/>
  <c r="M20" i="9"/>
  <c r="N20" i="9"/>
  <c r="O20" i="9"/>
  <c r="P20" i="9"/>
  <c r="Q20" i="9"/>
  <c r="R20" i="9"/>
  <c r="S20" i="9"/>
  <c r="T20" i="9"/>
  <c r="U20" i="9"/>
  <c r="V20" i="9"/>
  <c r="W20" i="9"/>
  <c r="X20" i="9"/>
  <c r="Y20" i="9"/>
  <c r="Z20" i="9"/>
  <c r="AA20" i="9"/>
  <c r="D21" i="9"/>
  <c r="E21" i="9"/>
  <c r="F21" i="9"/>
  <c r="G21" i="9"/>
  <c r="H21" i="9"/>
  <c r="I21" i="9"/>
  <c r="J21" i="9"/>
  <c r="K21" i="9"/>
  <c r="L21" i="9"/>
  <c r="M21" i="9"/>
  <c r="N21" i="9"/>
  <c r="O21" i="9"/>
  <c r="P21" i="9"/>
  <c r="Q21" i="9"/>
  <c r="R21" i="9"/>
  <c r="S21" i="9"/>
  <c r="T21" i="9"/>
  <c r="U21" i="9"/>
  <c r="V21" i="9"/>
  <c r="W21" i="9"/>
  <c r="X21" i="9"/>
  <c r="Y21" i="9"/>
  <c r="Z21" i="9"/>
  <c r="AA21" i="9"/>
  <c r="D22" i="9"/>
  <c r="E22" i="9"/>
  <c r="F22" i="9"/>
  <c r="G22" i="9"/>
  <c r="H22" i="9"/>
  <c r="I22" i="9"/>
  <c r="J22" i="9"/>
  <c r="K22" i="9"/>
  <c r="L22" i="9"/>
  <c r="M22" i="9"/>
  <c r="N22" i="9"/>
  <c r="O22" i="9"/>
  <c r="P22" i="9"/>
  <c r="Q22" i="9"/>
  <c r="R22" i="9"/>
  <c r="S22" i="9"/>
  <c r="T22" i="9"/>
  <c r="U22" i="9"/>
  <c r="V22" i="9"/>
  <c r="W22" i="9"/>
  <c r="X22" i="9"/>
  <c r="Y22" i="9"/>
  <c r="Z22" i="9"/>
  <c r="AA22" i="9"/>
  <c r="D23" i="9"/>
  <c r="E23" i="9"/>
  <c r="F23" i="9"/>
  <c r="G23" i="9"/>
  <c r="H23" i="9"/>
  <c r="I23" i="9"/>
  <c r="J23" i="9"/>
  <c r="K23" i="9"/>
  <c r="L23" i="9"/>
  <c r="M23" i="9"/>
  <c r="N23" i="9"/>
  <c r="O23" i="9"/>
  <c r="P23" i="9"/>
  <c r="Q23" i="9"/>
  <c r="R23" i="9"/>
  <c r="S23" i="9"/>
  <c r="T23" i="9"/>
  <c r="U23" i="9"/>
  <c r="V23" i="9"/>
  <c r="W23" i="9"/>
  <c r="X23" i="9"/>
  <c r="Y23" i="9"/>
  <c r="Z23" i="9"/>
  <c r="AA23" i="9"/>
  <c r="D24" i="9"/>
  <c r="E24" i="9"/>
  <c r="F24" i="9"/>
  <c r="G24" i="9"/>
  <c r="H24" i="9"/>
  <c r="I24" i="9"/>
  <c r="J24" i="9"/>
  <c r="K24" i="9"/>
  <c r="L24" i="9"/>
  <c r="M24" i="9"/>
  <c r="N24" i="9"/>
  <c r="O24" i="9"/>
  <c r="P24" i="9"/>
  <c r="Q24" i="9"/>
  <c r="R24" i="9"/>
  <c r="S24" i="9"/>
  <c r="T24" i="9"/>
  <c r="U24" i="9"/>
  <c r="V24" i="9"/>
  <c r="W24" i="9"/>
  <c r="X24" i="9"/>
  <c r="Y24" i="9"/>
  <c r="Z24" i="9"/>
  <c r="AA24" i="9"/>
  <c r="D25" i="9"/>
  <c r="E25" i="9"/>
  <c r="F25" i="9"/>
  <c r="G25" i="9"/>
  <c r="H25" i="9"/>
  <c r="I25" i="9"/>
  <c r="J25" i="9"/>
  <c r="K25" i="9"/>
  <c r="L25" i="9"/>
  <c r="M25" i="9"/>
  <c r="N25" i="9"/>
  <c r="O25" i="9"/>
  <c r="P25" i="9"/>
  <c r="Q25" i="9"/>
  <c r="R25" i="9"/>
  <c r="S25" i="9"/>
  <c r="T25" i="9"/>
  <c r="U25" i="9"/>
  <c r="V25" i="9"/>
  <c r="W25" i="9"/>
  <c r="X25" i="9"/>
  <c r="Y25" i="9"/>
  <c r="Z25" i="9"/>
  <c r="AA25" i="9"/>
  <c r="D26" i="9"/>
  <c r="E26" i="9"/>
  <c r="F26" i="9"/>
  <c r="G26" i="9"/>
  <c r="H26" i="9"/>
  <c r="I26" i="9"/>
  <c r="J26" i="9"/>
  <c r="K26" i="9"/>
  <c r="L26" i="9"/>
  <c r="M26" i="9"/>
  <c r="N26" i="9"/>
  <c r="O26" i="9"/>
  <c r="P26" i="9"/>
  <c r="Q26" i="9"/>
  <c r="R26" i="9"/>
  <c r="S26" i="9"/>
  <c r="T26" i="9"/>
  <c r="U26" i="9"/>
  <c r="V26" i="9"/>
  <c r="W26" i="9"/>
  <c r="X26" i="9"/>
  <c r="Y26" i="9"/>
  <c r="Z26" i="9"/>
  <c r="AA26" i="9"/>
  <c r="D27" i="9"/>
  <c r="E27" i="9"/>
  <c r="F27" i="9"/>
  <c r="G27" i="9"/>
  <c r="H27" i="9"/>
  <c r="I27" i="9"/>
  <c r="J27" i="9"/>
  <c r="K27" i="9"/>
  <c r="L27" i="9"/>
  <c r="M27" i="9"/>
  <c r="N27" i="9"/>
  <c r="O27" i="9"/>
  <c r="P27" i="9"/>
  <c r="Q27" i="9"/>
  <c r="R27" i="9"/>
  <c r="S27" i="9"/>
  <c r="T27" i="9"/>
  <c r="U27" i="9"/>
  <c r="V27" i="9"/>
  <c r="W27" i="9"/>
  <c r="X27" i="9"/>
  <c r="Y27" i="9"/>
  <c r="Z27" i="9"/>
  <c r="AA27" i="9"/>
  <c r="D28" i="9"/>
  <c r="E28" i="9"/>
  <c r="F28" i="9"/>
  <c r="G28" i="9"/>
  <c r="H28" i="9"/>
  <c r="I28" i="9"/>
  <c r="J28" i="9"/>
  <c r="K28" i="9"/>
  <c r="L28" i="9"/>
  <c r="M28" i="9"/>
  <c r="N28" i="9"/>
  <c r="O28" i="9"/>
  <c r="P28" i="9"/>
  <c r="Q28" i="9"/>
  <c r="R28" i="9"/>
  <c r="S28" i="9"/>
  <c r="T28" i="9"/>
  <c r="U28" i="9"/>
  <c r="V28" i="9"/>
  <c r="W28" i="9"/>
  <c r="X28" i="9"/>
  <c r="Y28" i="9"/>
  <c r="Z28" i="9"/>
  <c r="AA28" i="9"/>
  <c r="D29" i="9"/>
  <c r="E29" i="9"/>
  <c r="F29" i="9"/>
  <c r="G29" i="9"/>
  <c r="H29" i="9"/>
  <c r="I29" i="9"/>
  <c r="J29" i="9"/>
  <c r="K29" i="9"/>
  <c r="L29" i="9"/>
  <c r="M29" i="9"/>
  <c r="N29" i="9"/>
  <c r="O29" i="9"/>
  <c r="P29" i="9"/>
  <c r="Q29" i="9"/>
  <c r="R29" i="9"/>
  <c r="S29" i="9"/>
  <c r="T29" i="9"/>
  <c r="U29" i="9"/>
  <c r="V29" i="9"/>
  <c r="W29" i="9"/>
  <c r="X29" i="9"/>
  <c r="Y29" i="9"/>
  <c r="Z29" i="9"/>
  <c r="AA29" i="9"/>
  <c r="D30" i="9"/>
  <c r="E30" i="9"/>
  <c r="F30" i="9"/>
  <c r="G30" i="9"/>
  <c r="H30" i="9"/>
  <c r="I30" i="9"/>
  <c r="J30" i="9"/>
  <c r="K30" i="9"/>
  <c r="L30" i="9"/>
  <c r="M30" i="9"/>
  <c r="N30" i="9"/>
  <c r="O30" i="9"/>
  <c r="P30" i="9"/>
  <c r="Q30" i="9"/>
  <c r="R30" i="9"/>
  <c r="S30" i="9"/>
  <c r="T30" i="9"/>
  <c r="U30" i="9"/>
  <c r="V30" i="9"/>
  <c r="W30" i="9"/>
  <c r="X30" i="9"/>
  <c r="Y30" i="9"/>
  <c r="Z30" i="9"/>
  <c r="AA30" i="9"/>
  <c r="D31" i="9"/>
  <c r="E31" i="9"/>
  <c r="F31" i="9"/>
  <c r="G31" i="9"/>
  <c r="H31" i="9"/>
  <c r="I31" i="9"/>
  <c r="J31" i="9"/>
  <c r="K31" i="9"/>
  <c r="L31" i="9"/>
  <c r="M31" i="9"/>
  <c r="N31" i="9"/>
  <c r="O31" i="9"/>
  <c r="P31" i="9"/>
  <c r="Q31" i="9"/>
  <c r="R31" i="9"/>
  <c r="S31" i="9"/>
  <c r="T31" i="9"/>
  <c r="U31" i="9"/>
  <c r="V31" i="9"/>
  <c r="W31" i="9"/>
  <c r="X31" i="9"/>
  <c r="Y31" i="9"/>
  <c r="Z31" i="9"/>
  <c r="AA31" i="9"/>
  <c r="D32" i="9"/>
  <c r="E32" i="9"/>
  <c r="F32" i="9"/>
  <c r="G32" i="9"/>
  <c r="H32" i="9"/>
  <c r="I32" i="9"/>
  <c r="J32" i="9"/>
  <c r="K32" i="9"/>
  <c r="L32" i="9"/>
  <c r="M32" i="9"/>
  <c r="N32" i="9"/>
  <c r="O32" i="9"/>
  <c r="P32" i="9"/>
  <c r="Q32" i="9"/>
  <c r="R32" i="9"/>
  <c r="S32" i="9"/>
  <c r="T32" i="9"/>
  <c r="U32" i="9"/>
  <c r="V32" i="9"/>
  <c r="W32" i="9"/>
  <c r="X32" i="9"/>
  <c r="Y32" i="9"/>
  <c r="Z32" i="9"/>
  <c r="AA32" i="9"/>
  <c r="D33" i="9"/>
  <c r="E33" i="9"/>
  <c r="F33" i="9"/>
  <c r="G33" i="9"/>
  <c r="H33" i="9"/>
  <c r="I33" i="9"/>
  <c r="J33" i="9"/>
  <c r="K33" i="9"/>
  <c r="L33" i="9"/>
  <c r="M33" i="9"/>
  <c r="N33" i="9"/>
  <c r="O33" i="9"/>
  <c r="P33" i="9"/>
  <c r="Q33" i="9"/>
  <c r="R33" i="9"/>
  <c r="S33" i="9"/>
  <c r="T33" i="9"/>
  <c r="U33" i="9"/>
  <c r="V33" i="9"/>
  <c r="W33" i="9"/>
  <c r="X33" i="9"/>
  <c r="Y33" i="9"/>
  <c r="Z33" i="9"/>
  <c r="AA33" i="9"/>
  <c r="D34" i="9"/>
  <c r="E34" i="9"/>
  <c r="F34" i="9"/>
  <c r="G34" i="9"/>
  <c r="H34" i="9"/>
  <c r="I34" i="9"/>
  <c r="J34" i="9"/>
  <c r="K34" i="9"/>
  <c r="L34" i="9"/>
  <c r="M34" i="9"/>
  <c r="N34" i="9"/>
  <c r="O34" i="9"/>
  <c r="P34" i="9"/>
  <c r="Q34" i="9"/>
  <c r="R34" i="9"/>
  <c r="S34" i="9"/>
  <c r="T34" i="9"/>
  <c r="U34" i="9"/>
  <c r="V34" i="9"/>
  <c r="W34" i="9"/>
  <c r="X34" i="9"/>
  <c r="Y34" i="9"/>
  <c r="Z34" i="9"/>
  <c r="AA34" i="9"/>
  <c r="D35" i="9"/>
  <c r="E35" i="9"/>
  <c r="F35" i="9"/>
  <c r="G35" i="9"/>
  <c r="H35" i="9"/>
  <c r="I35" i="9"/>
  <c r="J35" i="9"/>
  <c r="K35" i="9"/>
  <c r="L35" i="9"/>
  <c r="M35" i="9"/>
  <c r="N35" i="9"/>
  <c r="O35" i="9"/>
  <c r="P35" i="9"/>
  <c r="Q35" i="9"/>
  <c r="R35" i="9"/>
  <c r="S35" i="9"/>
  <c r="T35" i="9"/>
  <c r="U35" i="9"/>
  <c r="V35" i="9"/>
  <c r="W35" i="9"/>
  <c r="X35" i="9"/>
  <c r="Y35" i="9"/>
  <c r="Z35" i="9"/>
  <c r="AA35" i="9"/>
  <c r="D36" i="9"/>
  <c r="E36" i="9"/>
  <c r="F36" i="9"/>
  <c r="G36" i="9"/>
  <c r="H36" i="9"/>
  <c r="I36" i="9"/>
  <c r="J36" i="9"/>
  <c r="K36" i="9"/>
  <c r="L36" i="9"/>
  <c r="M36" i="9"/>
  <c r="N36" i="9"/>
  <c r="O36" i="9"/>
  <c r="P36" i="9"/>
  <c r="Q36" i="9"/>
  <c r="R36" i="9"/>
  <c r="S36" i="9"/>
  <c r="T36" i="9"/>
  <c r="U36" i="9"/>
  <c r="V36" i="9"/>
  <c r="W36" i="9"/>
  <c r="X36" i="9"/>
  <c r="Y36" i="9"/>
  <c r="Z36" i="9"/>
  <c r="AA36" i="9"/>
  <c r="D37" i="9"/>
  <c r="E37" i="9"/>
  <c r="F37" i="9"/>
  <c r="G37" i="9"/>
  <c r="H37" i="9"/>
  <c r="I37" i="9"/>
  <c r="J37" i="9"/>
  <c r="K37" i="9"/>
  <c r="L37" i="9"/>
  <c r="M37" i="9"/>
  <c r="N37" i="9"/>
  <c r="O37" i="9"/>
  <c r="P37" i="9"/>
  <c r="Q37" i="9"/>
  <c r="R37" i="9"/>
  <c r="S37" i="9"/>
  <c r="T37" i="9"/>
  <c r="U37" i="9"/>
  <c r="V37" i="9"/>
  <c r="W37" i="9"/>
  <c r="X37" i="9"/>
  <c r="Y37" i="9"/>
  <c r="Z37" i="9"/>
  <c r="AA37" i="9"/>
  <c r="D38" i="9"/>
  <c r="E38" i="9"/>
  <c r="F38" i="9"/>
  <c r="G38" i="9"/>
  <c r="H38" i="9"/>
  <c r="I38" i="9"/>
  <c r="J38" i="9"/>
  <c r="K38" i="9"/>
  <c r="L38" i="9"/>
  <c r="M38" i="9"/>
  <c r="N38" i="9"/>
  <c r="O38" i="9"/>
  <c r="P38" i="9"/>
  <c r="Q38" i="9"/>
  <c r="R38" i="9"/>
  <c r="S38" i="9"/>
  <c r="T38" i="9"/>
  <c r="U38" i="9"/>
  <c r="V38" i="9"/>
  <c r="W38" i="9"/>
  <c r="X38" i="9"/>
  <c r="Y38" i="9"/>
  <c r="Z38" i="9"/>
  <c r="AA38" i="9"/>
  <c r="D39" i="9"/>
  <c r="E39" i="9"/>
  <c r="F39" i="9"/>
  <c r="G39" i="9"/>
  <c r="H39" i="9"/>
  <c r="I39" i="9"/>
  <c r="J39" i="9"/>
  <c r="K39" i="9"/>
  <c r="L39" i="9"/>
  <c r="M39" i="9"/>
  <c r="N39" i="9"/>
  <c r="O39" i="9"/>
  <c r="P39" i="9"/>
  <c r="Q39" i="9"/>
  <c r="R39" i="9"/>
  <c r="S39" i="9"/>
  <c r="T39" i="9"/>
  <c r="U39" i="9"/>
  <c r="V39" i="9"/>
  <c r="W39" i="9"/>
  <c r="X39" i="9"/>
  <c r="Y39" i="9"/>
  <c r="Z39" i="9"/>
  <c r="AA39" i="9"/>
  <c r="D40" i="9"/>
  <c r="E40" i="9"/>
  <c r="F40" i="9"/>
  <c r="G40" i="9"/>
  <c r="H40" i="9"/>
  <c r="I40" i="9"/>
  <c r="J40" i="9"/>
  <c r="K40" i="9"/>
  <c r="L40" i="9"/>
  <c r="M40" i="9"/>
  <c r="N40" i="9"/>
  <c r="O40" i="9"/>
  <c r="P40" i="9"/>
  <c r="Q40" i="9"/>
  <c r="R40" i="9"/>
  <c r="S40" i="9"/>
  <c r="T40" i="9"/>
  <c r="U40" i="9"/>
  <c r="V40" i="9"/>
  <c r="W40" i="9"/>
  <c r="X40" i="9"/>
  <c r="Y40" i="9"/>
  <c r="Z40" i="9"/>
  <c r="AA40" i="9"/>
  <c r="D56" i="14"/>
  <c r="E56" i="14"/>
  <c r="F56" i="14"/>
  <c r="G56" i="14"/>
  <c r="H56" i="14"/>
  <c r="I56" i="14"/>
  <c r="J56" i="14"/>
  <c r="K56" i="14"/>
  <c r="L56" i="14"/>
  <c r="M56" i="14"/>
  <c r="N56" i="14"/>
  <c r="O56" i="14"/>
  <c r="P56" i="14"/>
  <c r="Q56" i="14"/>
  <c r="R56" i="14"/>
  <c r="S56" i="14"/>
  <c r="T56" i="14"/>
  <c r="U56" i="14"/>
  <c r="V56" i="14"/>
  <c r="W56" i="14"/>
  <c r="X56" i="14"/>
  <c r="Y56" i="14"/>
  <c r="Z56" i="14"/>
  <c r="AA56" i="14"/>
  <c r="D57" i="14"/>
  <c r="E57" i="14"/>
  <c r="F57" i="14"/>
  <c r="G57" i="14"/>
  <c r="H57" i="14"/>
  <c r="I57" i="14"/>
  <c r="J57" i="14"/>
  <c r="K57" i="14"/>
  <c r="L57" i="14"/>
  <c r="M57" i="14"/>
  <c r="N57" i="14"/>
  <c r="O57" i="14"/>
  <c r="P57" i="14"/>
  <c r="Q57" i="14"/>
  <c r="R57" i="14"/>
  <c r="S57" i="14"/>
  <c r="T57" i="14"/>
  <c r="U57" i="14"/>
  <c r="V57" i="14"/>
  <c r="W57" i="14"/>
  <c r="X57" i="14"/>
  <c r="Y57" i="14"/>
  <c r="Z57" i="14"/>
  <c r="AA57" i="14"/>
  <c r="D58" i="14"/>
  <c r="E58" i="14"/>
  <c r="F58" i="14"/>
  <c r="G58" i="14"/>
  <c r="H58" i="14"/>
  <c r="I58" i="14"/>
  <c r="J58" i="14"/>
  <c r="K58" i="14"/>
  <c r="L58" i="14"/>
  <c r="M58" i="14"/>
  <c r="N58" i="14"/>
  <c r="O58" i="14"/>
  <c r="P58" i="14"/>
  <c r="Q58" i="14"/>
  <c r="R58" i="14"/>
  <c r="S58" i="14"/>
  <c r="T58" i="14"/>
  <c r="U58" i="14"/>
  <c r="V58" i="14"/>
  <c r="W58" i="14"/>
  <c r="X58" i="14"/>
  <c r="Y58" i="14"/>
  <c r="Z58" i="14"/>
  <c r="AA58" i="14"/>
  <c r="D59" i="14"/>
  <c r="E59" i="14"/>
  <c r="F59" i="14"/>
  <c r="G59" i="14"/>
  <c r="H59" i="14"/>
  <c r="I59" i="14"/>
  <c r="J59" i="14"/>
  <c r="K59" i="14"/>
  <c r="L59" i="14"/>
  <c r="M59" i="14"/>
  <c r="N59" i="14"/>
  <c r="O59" i="14"/>
  <c r="P59" i="14"/>
  <c r="Q59" i="14"/>
  <c r="R59" i="14"/>
  <c r="S59" i="14"/>
  <c r="T59" i="14"/>
  <c r="U59" i="14"/>
  <c r="V59" i="14"/>
  <c r="W59" i="14"/>
  <c r="X59" i="14"/>
  <c r="Y59" i="14"/>
  <c r="Z59" i="14"/>
  <c r="AA59" i="14"/>
  <c r="D60" i="14"/>
  <c r="E60" i="14"/>
  <c r="F60" i="14"/>
  <c r="G60" i="14"/>
  <c r="H60" i="14"/>
  <c r="I60" i="14"/>
  <c r="J60" i="14"/>
  <c r="K60" i="14"/>
  <c r="L60" i="14"/>
  <c r="M60" i="14"/>
  <c r="N60" i="14"/>
  <c r="O60" i="14"/>
  <c r="P60" i="14"/>
  <c r="Q60" i="14"/>
  <c r="R60" i="14"/>
  <c r="S60" i="14"/>
  <c r="T60" i="14"/>
  <c r="U60" i="14"/>
  <c r="V60" i="14"/>
  <c r="W60" i="14"/>
  <c r="X60" i="14"/>
  <c r="Y60" i="14"/>
  <c r="Z60" i="14"/>
  <c r="AA60" i="14"/>
  <c r="D61" i="14"/>
  <c r="E61" i="14"/>
  <c r="F61" i="14"/>
  <c r="G61" i="14"/>
  <c r="H61" i="14"/>
  <c r="I61" i="14"/>
  <c r="J61" i="14"/>
  <c r="K61" i="14"/>
  <c r="L61" i="14"/>
  <c r="M61" i="14"/>
  <c r="N61" i="14"/>
  <c r="O61" i="14"/>
  <c r="P61" i="14"/>
  <c r="Q61" i="14"/>
  <c r="R61" i="14"/>
  <c r="S61" i="14"/>
  <c r="T61" i="14"/>
  <c r="U61" i="14"/>
  <c r="V61" i="14"/>
  <c r="W61" i="14"/>
  <c r="X61" i="14"/>
  <c r="Y61" i="14"/>
  <c r="Z61" i="14"/>
  <c r="AA61" i="14"/>
  <c r="D62" i="14"/>
  <c r="E62" i="14"/>
  <c r="F62" i="14"/>
  <c r="G62" i="14"/>
  <c r="H62" i="14"/>
  <c r="I62" i="14"/>
  <c r="J62" i="14"/>
  <c r="K62" i="14"/>
  <c r="L62" i="14"/>
  <c r="M62" i="14"/>
  <c r="N62" i="14"/>
  <c r="O62" i="14"/>
  <c r="P62" i="14"/>
  <c r="Q62" i="14"/>
  <c r="R62" i="14"/>
  <c r="S62" i="14"/>
  <c r="T62" i="14"/>
  <c r="U62" i="14"/>
  <c r="V62" i="14"/>
  <c r="W62" i="14"/>
  <c r="X62" i="14"/>
  <c r="Y62" i="14"/>
  <c r="Z62" i="14"/>
  <c r="AA62" i="14"/>
  <c r="D63" i="14"/>
  <c r="E63" i="14"/>
  <c r="F63" i="14"/>
  <c r="G63" i="14"/>
  <c r="H63" i="14"/>
  <c r="I63" i="14"/>
  <c r="J63" i="14"/>
  <c r="K63" i="14"/>
  <c r="L63" i="14"/>
  <c r="M63" i="14"/>
  <c r="N63" i="14"/>
  <c r="O63" i="14"/>
  <c r="P63" i="14"/>
  <c r="Q63" i="14"/>
  <c r="R63" i="14"/>
  <c r="S63" i="14"/>
  <c r="T63" i="14"/>
  <c r="U63" i="14"/>
  <c r="V63" i="14"/>
  <c r="W63" i="14"/>
  <c r="X63" i="14"/>
  <c r="Y63" i="14"/>
  <c r="Z63" i="14"/>
  <c r="AA63" i="14"/>
  <c r="D64" i="14"/>
  <c r="E64" i="14"/>
  <c r="F64" i="14"/>
  <c r="G64" i="14"/>
  <c r="H64" i="14"/>
  <c r="I64" i="14"/>
  <c r="J64" i="14"/>
  <c r="K64" i="14"/>
  <c r="L64" i="14"/>
  <c r="M64" i="14"/>
  <c r="N64" i="14"/>
  <c r="O64" i="14"/>
  <c r="P64" i="14"/>
  <c r="Q64" i="14"/>
  <c r="R64" i="14"/>
  <c r="S64" i="14"/>
  <c r="T64" i="14"/>
  <c r="U64" i="14"/>
  <c r="V64" i="14"/>
  <c r="W64" i="14"/>
  <c r="X64" i="14"/>
  <c r="Y64" i="14"/>
  <c r="Z64" i="14"/>
  <c r="AA64" i="14"/>
  <c r="D65" i="14"/>
  <c r="E65" i="14"/>
  <c r="F65" i="14"/>
  <c r="G65" i="14"/>
  <c r="H65" i="14"/>
  <c r="I65" i="14"/>
  <c r="J65" i="14"/>
  <c r="K65" i="14"/>
  <c r="L65" i="14"/>
  <c r="M65" i="14"/>
  <c r="N65" i="14"/>
  <c r="O65" i="14"/>
  <c r="P65" i="14"/>
  <c r="Q65" i="14"/>
  <c r="R65" i="14"/>
  <c r="S65" i="14"/>
  <c r="T65" i="14"/>
  <c r="U65" i="14"/>
  <c r="V65" i="14"/>
  <c r="W65" i="14"/>
  <c r="X65" i="14"/>
  <c r="Y65" i="14"/>
  <c r="Z65" i="14"/>
  <c r="AA65" i="14"/>
  <c r="D66" i="14"/>
  <c r="E66" i="14"/>
  <c r="F66" i="14"/>
  <c r="G66" i="14"/>
  <c r="H66" i="14"/>
  <c r="I66" i="14"/>
  <c r="J66" i="14"/>
  <c r="K66" i="14"/>
  <c r="L66" i="14"/>
  <c r="M66" i="14"/>
  <c r="N66" i="14"/>
  <c r="O66" i="14"/>
  <c r="P66" i="14"/>
  <c r="Q66" i="14"/>
  <c r="R66" i="14"/>
  <c r="S66" i="14"/>
  <c r="T66" i="14"/>
  <c r="U66" i="14"/>
  <c r="V66" i="14"/>
  <c r="W66" i="14"/>
  <c r="X66" i="14"/>
  <c r="Y66" i="14"/>
  <c r="Z66" i="14"/>
  <c r="AA66" i="14"/>
  <c r="D67" i="14"/>
  <c r="E67" i="14"/>
  <c r="F67" i="14"/>
  <c r="G67" i="14"/>
  <c r="H67" i="14"/>
  <c r="I67" i="14"/>
  <c r="J67" i="14"/>
  <c r="K67" i="14"/>
  <c r="L67" i="14"/>
  <c r="M67" i="14"/>
  <c r="N67" i="14"/>
  <c r="O67" i="14"/>
  <c r="P67" i="14"/>
  <c r="Q67" i="14"/>
  <c r="R67" i="14"/>
  <c r="S67" i="14"/>
  <c r="T67" i="14"/>
  <c r="U67" i="14"/>
  <c r="V67" i="14"/>
  <c r="W67" i="14"/>
  <c r="X67" i="14"/>
  <c r="Y67" i="14"/>
  <c r="Z67" i="14"/>
  <c r="AA67" i="14"/>
  <c r="D68" i="14"/>
  <c r="E68" i="14"/>
  <c r="F68" i="14"/>
  <c r="G68" i="14"/>
  <c r="H68" i="14"/>
  <c r="I68" i="14"/>
  <c r="J68" i="14"/>
  <c r="K68" i="14"/>
  <c r="L68" i="14"/>
  <c r="M68" i="14"/>
  <c r="N68" i="14"/>
  <c r="O68" i="14"/>
  <c r="P68" i="14"/>
  <c r="Q68" i="14"/>
  <c r="R68" i="14"/>
  <c r="S68" i="14"/>
  <c r="T68" i="14"/>
  <c r="U68" i="14"/>
  <c r="V68" i="14"/>
  <c r="W68" i="14"/>
  <c r="X68" i="14"/>
  <c r="Y68" i="14"/>
  <c r="Z68" i="14"/>
  <c r="AA68" i="14"/>
  <c r="D69" i="14"/>
  <c r="E69" i="14"/>
  <c r="F69" i="14"/>
  <c r="G69" i="14"/>
  <c r="H69" i="14"/>
  <c r="I69" i="14"/>
  <c r="J69" i="14"/>
  <c r="K69" i="14"/>
  <c r="L69" i="14"/>
  <c r="M69" i="14"/>
  <c r="N69" i="14"/>
  <c r="O69" i="14"/>
  <c r="P69" i="14"/>
  <c r="Q69" i="14"/>
  <c r="R69" i="14"/>
  <c r="S69" i="14"/>
  <c r="T69" i="14"/>
  <c r="U69" i="14"/>
  <c r="V69" i="14"/>
  <c r="W69" i="14"/>
  <c r="X69" i="14"/>
  <c r="Y69" i="14"/>
  <c r="Z69" i="14"/>
  <c r="AA69" i="14"/>
  <c r="D70" i="14"/>
  <c r="E70" i="14"/>
  <c r="F70" i="14"/>
  <c r="G70" i="14"/>
  <c r="H70" i="14"/>
  <c r="I70" i="14"/>
  <c r="J70" i="14"/>
  <c r="K70" i="14"/>
  <c r="L70" i="14"/>
  <c r="M70" i="14"/>
  <c r="N70" i="14"/>
  <c r="O70" i="14"/>
  <c r="P70" i="14"/>
  <c r="Q70" i="14"/>
  <c r="R70" i="14"/>
  <c r="S70" i="14"/>
  <c r="T70" i="14"/>
  <c r="U70" i="14"/>
  <c r="V70" i="14"/>
  <c r="W70" i="14"/>
  <c r="X70" i="14"/>
  <c r="Y70" i="14"/>
  <c r="Z70" i="14"/>
  <c r="AA70" i="14"/>
  <c r="D71" i="14"/>
  <c r="E71" i="14"/>
  <c r="F71" i="14"/>
  <c r="G71" i="14"/>
  <c r="H71" i="14"/>
  <c r="I71" i="14"/>
  <c r="J71" i="14"/>
  <c r="K71" i="14"/>
  <c r="L71" i="14"/>
  <c r="M71" i="14"/>
  <c r="N71" i="14"/>
  <c r="O71" i="14"/>
  <c r="P71" i="14"/>
  <c r="Q71" i="14"/>
  <c r="R71" i="14"/>
  <c r="S71" i="14"/>
  <c r="T71" i="14"/>
  <c r="U71" i="14"/>
  <c r="V71" i="14"/>
  <c r="W71" i="14"/>
  <c r="X71" i="14"/>
  <c r="Y71" i="14"/>
  <c r="Z71" i="14"/>
  <c r="AA71" i="14"/>
  <c r="D72" i="14"/>
  <c r="E72" i="14"/>
  <c r="F72" i="14"/>
  <c r="G72" i="14"/>
  <c r="H72" i="14"/>
  <c r="I72" i="14"/>
  <c r="J72" i="14"/>
  <c r="K72" i="14"/>
  <c r="L72" i="14"/>
  <c r="M72" i="14"/>
  <c r="N72" i="14"/>
  <c r="O72" i="14"/>
  <c r="P72" i="14"/>
  <c r="Q72" i="14"/>
  <c r="R72" i="14"/>
  <c r="S72" i="14"/>
  <c r="T72" i="14"/>
  <c r="U72" i="14"/>
  <c r="V72" i="14"/>
  <c r="W72" i="14"/>
  <c r="X72" i="14"/>
  <c r="Y72" i="14"/>
  <c r="Z72" i="14"/>
  <c r="AA72" i="14"/>
  <c r="D73" i="14"/>
  <c r="E73" i="14"/>
  <c r="F73" i="14"/>
  <c r="G73" i="14"/>
  <c r="H73" i="14"/>
  <c r="I73" i="14"/>
  <c r="J73" i="14"/>
  <c r="K73" i="14"/>
  <c r="L73" i="14"/>
  <c r="M73" i="14"/>
  <c r="N73" i="14"/>
  <c r="O73" i="14"/>
  <c r="P73" i="14"/>
  <c r="Q73" i="14"/>
  <c r="R73" i="14"/>
  <c r="S73" i="14"/>
  <c r="T73" i="14"/>
  <c r="U73" i="14"/>
  <c r="V73" i="14"/>
  <c r="W73" i="14"/>
  <c r="X73" i="14"/>
  <c r="Y73" i="14"/>
  <c r="Z73" i="14"/>
  <c r="AA73" i="14"/>
  <c r="D74" i="14"/>
  <c r="E74" i="14"/>
  <c r="F74" i="14"/>
  <c r="G74" i="14"/>
  <c r="H74" i="14"/>
  <c r="I74" i="14"/>
  <c r="J74" i="14"/>
  <c r="K74" i="14"/>
  <c r="L74" i="14"/>
  <c r="M74" i="14"/>
  <c r="N74" i="14"/>
  <c r="O74" i="14"/>
  <c r="P74" i="14"/>
  <c r="Q74" i="14"/>
  <c r="R74" i="14"/>
  <c r="S74" i="14"/>
  <c r="T74" i="14"/>
  <c r="U74" i="14"/>
  <c r="V74" i="14"/>
  <c r="W74" i="14"/>
  <c r="X74" i="14"/>
  <c r="Y74" i="14"/>
  <c r="Z74" i="14"/>
  <c r="AA74" i="14"/>
  <c r="D75" i="14"/>
  <c r="E75" i="14"/>
  <c r="F75" i="14"/>
  <c r="G75" i="14"/>
  <c r="H75" i="14"/>
  <c r="I75" i="14"/>
  <c r="J75" i="14"/>
  <c r="K75" i="14"/>
  <c r="L75" i="14"/>
  <c r="M75" i="14"/>
  <c r="N75" i="14"/>
  <c r="O75" i="14"/>
  <c r="P75" i="14"/>
  <c r="Q75" i="14"/>
  <c r="R75" i="14"/>
  <c r="S75" i="14"/>
  <c r="T75" i="14"/>
  <c r="U75" i="14"/>
  <c r="V75" i="14"/>
  <c r="W75" i="14"/>
  <c r="X75" i="14"/>
  <c r="Y75" i="14"/>
  <c r="Z75" i="14"/>
  <c r="AA75" i="14"/>
  <c r="D76" i="14"/>
  <c r="E76" i="14"/>
  <c r="F76" i="14"/>
  <c r="G76" i="14"/>
  <c r="H76" i="14"/>
  <c r="I76" i="14"/>
  <c r="J76" i="14"/>
  <c r="K76" i="14"/>
  <c r="L76" i="14"/>
  <c r="M76" i="14"/>
  <c r="N76" i="14"/>
  <c r="O76" i="14"/>
  <c r="P76" i="14"/>
  <c r="Q76" i="14"/>
  <c r="R76" i="14"/>
  <c r="S76" i="14"/>
  <c r="T76" i="14"/>
  <c r="U76" i="14"/>
  <c r="V76" i="14"/>
  <c r="W76" i="14"/>
  <c r="X76" i="14"/>
  <c r="Y76" i="14"/>
  <c r="Z76" i="14"/>
  <c r="AA76" i="14"/>
  <c r="D77" i="14"/>
  <c r="E77" i="14"/>
  <c r="F77" i="14"/>
  <c r="G77" i="14"/>
  <c r="H77" i="14"/>
  <c r="I77" i="14"/>
  <c r="J77" i="14"/>
  <c r="K77" i="14"/>
  <c r="L77" i="14"/>
  <c r="M77" i="14"/>
  <c r="N77" i="14"/>
  <c r="O77" i="14"/>
  <c r="P77" i="14"/>
  <c r="Q77" i="14"/>
  <c r="R77" i="14"/>
  <c r="S77" i="14"/>
  <c r="T77" i="14"/>
  <c r="U77" i="14"/>
  <c r="V77" i="14"/>
  <c r="W77" i="14"/>
  <c r="X77" i="14"/>
  <c r="Y77" i="14"/>
  <c r="Z77" i="14"/>
  <c r="AA77" i="14"/>
  <c r="D78" i="14"/>
  <c r="E78" i="14"/>
  <c r="F78" i="14"/>
  <c r="G78" i="14"/>
  <c r="H78" i="14"/>
  <c r="I78" i="14"/>
  <c r="J78" i="14"/>
  <c r="K78" i="14"/>
  <c r="L78" i="14"/>
  <c r="M78" i="14"/>
  <c r="N78" i="14"/>
  <c r="O78" i="14"/>
  <c r="P78" i="14"/>
  <c r="Q78" i="14"/>
  <c r="R78" i="14"/>
  <c r="S78" i="14"/>
  <c r="T78" i="14"/>
  <c r="U78" i="14"/>
  <c r="V78" i="14"/>
  <c r="W78" i="14"/>
  <c r="X78" i="14"/>
  <c r="Y78" i="14"/>
  <c r="Z78" i="14"/>
  <c r="AA78" i="14"/>
  <c r="D79" i="14"/>
  <c r="E79" i="14"/>
  <c r="F79" i="14"/>
  <c r="G79" i="14"/>
  <c r="H79" i="14"/>
  <c r="I79" i="14"/>
  <c r="J79" i="14"/>
  <c r="K79" i="14"/>
  <c r="L79" i="14"/>
  <c r="M79" i="14"/>
  <c r="N79" i="14"/>
  <c r="O79" i="14"/>
  <c r="P79" i="14"/>
  <c r="Q79" i="14"/>
  <c r="R79" i="14"/>
  <c r="S79" i="14"/>
  <c r="T79" i="14"/>
  <c r="U79" i="14"/>
  <c r="V79" i="14"/>
  <c r="W79" i="14"/>
  <c r="X79" i="14"/>
  <c r="Y79" i="14"/>
  <c r="Z79" i="14"/>
  <c r="AA79" i="14"/>
  <c r="D80" i="14"/>
  <c r="E80" i="14"/>
  <c r="F80" i="14"/>
  <c r="G80" i="14"/>
  <c r="H80" i="14"/>
  <c r="I80" i="14"/>
  <c r="J80" i="14"/>
  <c r="K80" i="14"/>
  <c r="L80" i="14"/>
  <c r="M80" i="14"/>
  <c r="N80" i="14"/>
  <c r="O80" i="14"/>
  <c r="P80" i="14"/>
  <c r="Q80" i="14"/>
  <c r="R80" i="14"/>
  <c r="S80" i="14"/>
  <c r="T80" i="14"/>
  <c r="U80" i="14"/>
  <c r="V80" i="14"/>
  <c r="W80" i="14"/>
  <c r="X80" i="14"/>
  <c r="Y80" i="14"/>
  <c r="Z80" i="14"/>
  <c r="AA80" i="14"/>
  <c r="D81" i="14"/>
  <c r="E81" i="14"/>
  <c r="F81" i="14"/>
  <c r="G81" i="14"/>
  <c r="H81" i="14"/>
  <c r="I81" i="14"/>
  <c r="J81" i="14"/>
  <c r="K81" i="14"/>
  <c r="L81" i="14"/>
  <c r="M81" i="14"/>
  <c r="N81" i="14"/>
  <c r="O81" i="14"/>
  <c r="P81" i="14"/>
  <c r="Q81" i="14"/>
  <c r="R81" i="14"/>
  <c r="S81" i="14"/>
  <c r="T81" i="14"/>
  <c r="U81" i="14"/>
  <c r="V81" i="14"/>
  <c r="W81" i="14"/>
  <c r="X81" i="14"/>
  <c r="Y81" i="14"/>
  <c r="Z81" i="14"/>
  <c r="AA81" i="14"/>
  <c r="D82" i="14"/>
  <c r="E82" i="14"/>
  <c r="F82" i="14"/>
  <c r="G82" i="14"/>
  <c r="H82" i="14"/>
  <c r="I82" i="14"/>
  <c r="J82" i="14"/>
  <c r="K82" i="14"/>
  <c r="L82" i="14"/>
  <c r="M82" i="14"/>
  <c r="N82" i="14"/>
  <c r="O82" i="14"/>
  <c r="P82" i="14"/>
  <c r="Q82" i="14"/>
  <c r="R82" i="14"/>
  <c r="S82" i="14"/>
  <c r="T82" i="14"/>
  <c r="U82" i="14"/>
  <c r="V82" i="14"/>
  <c r="W82" i="14"/>
  <c r="X82" i="14"/>
  <c r="Y82" i="14"/>
  <c r="Z82" i="14"/>
  <c r="AA82" i="14"/>
  <c r="D83" i="14"/>
  <c r="E83" i="14"/>
  <c r="F83" i="14"/>
  <c r="G83" i="14"/>
  <c r="H83" i="14"/>
  <c r="I83" i="14"/>
  <c r="J83" i="14"/>
  <c r="K83" i="14"/>
  <c r="L83" i="14"/>
  <c r="M83" i="14"/>
  <c r="N83" i="14"/>
  <c r="O83" i="14"/>
  <c r="P83" i="14"/>
  <c r="Q83" i="14"/>
  <c r="R83" i="14"/>
  <c r="S83" i="14"/>
  <c r="T83" i="14"/>
  <c r="U83" i="14"/>
  <c r="V83" i="14"/>
  <c r="W83" i="14"/>
  <c r="X83" i="14"/>
  <c r="Y83" i="14"/>
  <c r="Z83" i="14"/>
  <c r="AA83" i="14"/>
  <c r="D84" i="14"/>
  <c r="E84" i="14"/>
  <c r="F84" i="14"/>
  <c r="G84" i="14"/>
  <c r="H84" i="14"/>
  <c r="I84" i="14"/>
  <c r="J84" i="14"/>
  <c r="K84" i="14"/>
  <c r="L84" i="14"/>
  <c r="M84" i="14"/>
  <c r="N84" i="14"/>
  <c r="O84" i="14"/>
  <c r="P84" i="14"/>
  <c r="Q84" i="14"/>
  <c r="R84" i="14"/>
  <c r="S84" i="14"/>
  <c r="T84" i="14"/>
  <c r="U84" i="14"/>
  <c r="V84" i="14"/>
  <c r="W84" i="14"/>
  <c r="X84" i="14"/>
  <c r="Y84" i="14"/>
  <c r="Z84" i="14"/>
  <c r="AA84" i="14"/>
  <c r="D85" i="14"/>
  <c r="E85" i="14"/>
  <c r="F85" i="14"/>
  <c r="G85" i="14"/>
  <c r="H85" i="14"/>
  <c r="I85" i="14"/>
  <c r="J85" i="14"/>
  <c r="K85" i="14"/>
  <c r="L85" i="14"/>
  <c r="M85" i="14"/>
  <c r="N85" i="14"/>
  <c r="O85" i="14"/>
  <c r="P85" i="14"/>
  <c r="Q85" i="14"/>
  <c r="R85" i="14"/>
  <c r="S85" i="14"/>
  <c r="T85" i="14"/>
  <c r="U85" i="14"/>
  <c r="V85" i="14"/>
  <c r="W85" i="14"/>
  <c r="X85" i="14"/>
  <c r="Y85" i="14"/>
  <c r="Z85" i="14"/>
  <c r="AA85" i="14"/>
  <c r="D86" i="14"/>
  <c r="E86" i="14"/>
  <c r="F86" i="14"/>
  <c r="G86" i="14"/>
  <c r="H86" i="14"/>
  <c r="I86" i="14"/>
  <c r="J86" i="14"/>
  <c r="K86" i="14"/>
  <c r="L86" i="14"/>
  <c r="M86" i="14"/>
  <c r="N86" i="14"/>
  <c r="O86" i="14"/>
  <c r="P86" i="14"/>
  <c r="Q86" i="14"/>
  <c r="R86" i="14"/>
  <c r="S86" i="14"/>
  <c r="T86" i="14"/>
  <c r="U86" i="14"/>
  <c r="V86" i="14"/>
  <c r="W86" i="14"/>
  <c r="X86" i="14"/>
  <c r="Y86" i="14"/>
  <c r="Z86" i="14"/>
  <c r="AA86" i="14"/>
  <c r="D87" i="14"/>
  <c r="E87" i="14"/>
  <c r="F87" i="14"/>
  <c r="G87" i="14"/>
  <c r="H87" i="14"/>
  <c r="I87" i="14"/>
  <c r="J87" i="14"/>
  <c r="K87" i="14"/>
  <c r="L87" i="14"/>
  <c r="M87" i="14"/>
  <c r="N87" i="14"/>
  <c r="O87" i="14"/>
  <c r="P87" i="14"/>
  <c r="Q87" i="14"/>
  <c r="R87" i="14"/>
  <c r="S87" i="14"/>
  <c r="T87" i="14"/>
  <c r="U87" i="14"/>
  <c r="V87" i="14"/>
  <c r="W87" i="14"/>
  <c r="X87" i="14"/>
  <c r="Y87" i="14"/>
  <c r="Z87" i="14"/>
  <c r="AA87" i="14"/>
  <c r="D88" i="14"/>
  <c r="E88" i="14"/>
  <c r="F88" i="14"/>
  <c r="G88" i="14"/>
  <c r="H88" i="14"/>
  <c r="I88" i="14"/>
  <c r="J88" i="14"/>
  <c r="K88" i="14"/>
  <c r="L88" i="14"/>
  <c r="M88" i="14"/>
  <c r="N88" i="14"/>
  <c r="O88" i="14"/>
  <c r="P88" i="14"/>
  <c r="Q88" i="14"/>
  <c r="R88" i="14"/>
  <c r="S88" i="14"/>
  <c r="T88" i="14"/>
  <c r="U88" i="14"/>
  <c r="V88" i="14"/>
  <c r="W88" i="14"/>
  <c r="X88" i="14"/>
  <c r="Y88" i="14"/>
  <c r="Z88" i="14"/>
  <c r="AA88" i="14"/>
  <c r="D89" i="14"/>
  <c r="E89" i="14"/>
  <c r="F89" i="14"/>
  <c r="G89" i="14"/>
  <c r="H89" i="14"/>
  <c r="I89" i="14"/>
  <c r="J89" i="14"/>
  <c r="K89" i="14"/>
  <c r="L89" i="14"/>
  <c r="M89" i="14"/>
  <c r="N89" i="14"/>
  <c r="O89" i="14"/>
  <c r="P89" i="14"/>
  <c r="Q89" i="14"/>
  <c r="R89" i="14"/>
  <c r="S89" i="14"/>
  <c r="T89" i="14"/>
  <c r="U89" i="14"/>
  <c r="V89" i="14"/>
  <c r="W89" i="14"/>
  <c r="X89" i="14"/>
  <c r="Y89" i="14"/>
  <c r="Z89" i="14"/>
  <c r="AA89" i="14"/>
  <c r="D90" i="14"/>
  <c r="E90" i="14"/>
  <c r="F90" i="14"/>
  <c r="G90" i="14"/>
  <c r="H90" i="14"/>
  <c r="I90" i="14"/>
  <c r="J90" i="14"/>
  <c r="K90" i="14"/>
  <c r="L90" i="14"/>
  <c r="M90" i="14"/>
  <c r="N90" i="14"/>
  <c r="O90" i="14"/>
  <c r="P90" i="14"/>
  <c r="Q90" i="14"/>
  <c r="R90" i="14"/>
  <c r="S90" i="14"/>
  <c r="T90" i="14"/>
  <c r="U90" i="14"/>
  <c r="V90" i="14"/>
  <c r="W90" i="14"/>
  <c r="X90" i="14"/>
  <c r="Y90" i="14"/>
  <c r="Z90" i="14"/>
  <c r="AA90" i="14"/>
  <c r="D91" i="14"/>
  <c r="E91" i="14"/>
  <c r="F91" i="14"/>
  <c r="G91" i="14"/>
  <c r="H91" i="14"/>
  <c r="I91" i="14"/>
  <c r="J91" i="14"/>
  <c r="K91" i="14"/>
  <c r="L91" i="14"/>
  <c r="M91" i="14"/>
  <c r="N91" i="14"/>
  <c r="O91" i="14"/>
  <c r="P91" i="14"/>
  <c r="Q91" i="14"/>
  <c r="R91" i="14"/>
  <c r="S91" i="14"/>
  <c r="T91" i="14"/>
  <c r="U91" i="14"/>
  <c r="V91" i="14"/>
  <c r="W91" i="14"/>
  <c r="X91" i="14"/>
  <c r="Y91" i="14"/>
  <c r="Z91" i="14"/>
  <c r="AA91" i="14"/>
  <c r="D92" i="14"/>
  <c r="E92" i="14"/>
  <c r="F92" i="14"/>
  <c r="G92" i="14"/>
  <c r="H92" i="14"/>
  <c r="I92" i="14"/>
  <c r="J92" i="14"/>
  <c r="K92" i="14"/>
  <c r="L92" i="14"/>
  <c r="M92" i="14"/>
  <c r="N92" i="14"/>
  <c r="O92" i="14"/>
  <c r="P92" i="14"/>
  <c r="Q92" i="14"/>
  <c r="R92" i="14"/>
  <c r="S92" i="14"/>
  <c r="T92" i="14"/>
  <c r="U92" i="14"/>
  <c r="V92" i="14"/>
  <c r="W92" i="14"/>
  <c r="X92" i="14"/>
  <c r="Y92" i="14"/>
  <c r="Z92" i="14"/>
  <c r="AA92" i="14"/>
  <c r="D93" i="14"/>
  <c r="E93" i="14"/>
  <c r="F93" i="14"/>
  <c r="G93" i="14"/>
  <c r="H93" i="14"/>
  <c r="I93" i="14"/>
  <c r="J93" i="14"/>
  <c r="K93" i="14"/>
  <c r="L93" i="14"/>
  <c r="M93" i="14"/>
  <c r="N93" i="14"/>
  <c r="O93" i="14"/>
  <c r="P93" i="14"/>
  <c r="Q93" i="14"/>
  <c r="R93" i="14"/>
  <c r="S93" i="14"/>
  <c r="T93" i="14"/>
  <c r="U93" i="14"/>
  <c r="V93" i="14"/>
  <c r="W93" i="14"/>
  <c r="X93" i="14"/>
  <c r="Y93" i="14"/>
  <c r="Z93" i="14"/>
  <c r="AA93" i="14"/>
  <c r="D2" i="14"/>
  <c r="E2" i="14"/>
  <c r="F2" i="14"/>
  <c r="G2" i="14"/>
  <c r="H2" i="14"/>
  <c r="I2" i="14"/>
  <c r="J2" i="14"/>
  <c r="K2" i="14"/>
  <c r="L2" i="14"/>
  <c r="M2" i="14"/>
  <c r="N2" i="14"/>
  <c r="O2" i="14"/>
  <c r="P2" i="14"/>
  <c r="Q2" i="14"/>
  <c r="R2" i="14"/>
  <c r="S2" i="14"/>
  <c r="T2" i="14"/>
  <c r="U2" i="14"/>
  <c r="V2" i="14"/>
  <c r="W2" i="14"/>
  <c r="X2" i="14"/>
  <c r="Y2" i="14"/>
  <c r="Z2" i="14"/>
  <c r="AA2" i="14"/>
  <c r="D3" i="14"/>
  <c r="E3" i="14"/>
  <c r="F3" i="14"/>
  <c r="G3" i="14"/>
  <c r="H3" i="14"/>
  <c r="I3" i="14"/>
  <c r="J3" i="14"/>
  <c r="K3" i="14"/>
  <c r="L3" i="14"/>
  <c r="M3" i="14"/>
  <c r="N3" i="14"/>
  <c r="O3" i="14"/>
  <c r="P3" i="14"/>
  <c r="Q3" i="14"/>
  <c r="R3" i="14"/>
  <c r="S3" i="14"/>
  <c r="T3" i="14"/>
  <c r="U3" i="14"/>
  <c r="V3" i="14"/>
  <c r="W3" i="14"/>
  <c r="X3" i="14"/>
  <c r="Y3" i="14"/>
  <c r="Z3" i="14"/>
  <c r="AA3" i="14"/>
  <c r="D4" i="14"/>
  <c r="E4" i="14"/>
  <c r="F4" i="14"/>
  <c r="G4" i="14"/>
  <c r="H4" i="14"/>
  <c r="I4" i="14"/>
  <c r="J4" i="14"/>
  <c r="K4" i="14"/>
  <c r="L4" i="14"/>
  <c r="M4" i="14"/>
  <c r="N4" i="14"/>
  <c r="O4" i="14"/>
  <c r="P4" i="14"/>
  <c r="Q4" i="14"/>
  <c r="R4" i="14"/>
  <c r="S4" i="14"/>
  <c r="T4" i="14"/>
  <c r="U4" i="14"/>
  <c r="V4" i="14"/>
  <c r="W4" i="14"/>
  <c r="X4" i="14"/>
  <c r="Y4" i="14"/>
  <c r="Z4" i="14"/>
  <c r="AA4" i="14"/>
  <c r="D5" i="14"/>
  <c r="E5" i="14"/>
  <c r="F5" i="14"/>
  <c r="G5" i="14"/>
  <c r="H5" i="14"/>
  <c r="I5" i="14"/>
  <c r="J5" i="14"/>
  <c r="K5" i="14"/>
  <c r="L5" i="14"/>
  <c r="M5" i="14"/>
  <c r="N5" i="14"/>
  <c r="O5" i="14"/>
  <c r="P5" i="14"/>
  <c r="Q5" i="14"/>
  <c r="R5" i="14"/>
  <c r="S5" i="14"/>
  <c r="T5" i="14"/>
  <c r="U5" i="14"/>
  <c r="V5" i="14"/>
  <c r="W5" i="14"/>
  <c r="X5" i="14"/>
  <c r="Y5" i="14"/>
  <c r="Z5" i="14"/>
  <c r="AA5" i="14"/>
  <c r="D6" i="14"/>
  <c r="E6" i="14"/>
  <c r="F6" i="14"/>
  <c r="G6" i="14"/>
  <c r="H6" i="14"/>
  <c r="I6" i="14"/>
  <c r="J6" i="14"/>
  <c r="K6" i="14"/>
  <c r="L6" i="14"/>
  <c r="M6" i="14"/>
  <c r="N6" i="14"/>
  <c r="O6" i="14"/>
  <c r="P6" i="14"/>
  <c r="Q6" i="14"/>
  <c r="R6" i="14"/>
  <c r="S6" i="14"/>
  <c r="T6" i="14"/>
  <c r="U6" i="14"/>
  <c r="V6" i="14"/>
  <c r="W6" i="14"/>
  <c r="X6" i="14"/>
  <c r="Y6" i="14"/>
  <c r="Z6" i="14"/>
  <c r="AA6" i="14"/>
  <c r="D7" i="14"/>
  <c r="E7" i="14"/>
  <c r="F7" i="14"/>
  <c r="G7" i="14"/>
  <c r="H7" i="14"/>
  <c r="I7" i="14"/>
  <c r="J7" i="14"/>
  <c r="K7" i="14"/>
  <c r="L7" i="14"/>
  <c r="M7" i="14"/>
  <c r="N7" i="14"/>
  <c r="O7" i="14"/>
  <c r="P7" i="14"/>
  <c r="Q7" i="14"/>
  <c r="R7" i="14"/>
  <c r="S7" i="14"/>
  <c r="T7" i="14"/>
  <c r="U7" i="14"/>
  <c r="V7" i="14"/>
  <c r="W7" i="14"/>
  <c r="X7" i="14"/>
  <c r="Y7" i="14"/>
  <c r="Z7" i="14"/>
  <c r="AA7" i="14"/>
  <c r="D8" i="14"/>
  <c r="E8" i="14"/>
  <c r="F8" i="14"/>
  <c r="G8" i="14"/>
  <c r="H8" i="14"/>
  <c r="I8" i="14"/>
  <c r="J8" i="14"/>
  <c r="K8" i="14"/>
  <c r="L8" i="14"/>
  <c r="M8" i="14"/>
  <c r="N8" i="14"/>
  <c r="O8" i="14"/>
  <c r="P8" i="14"/>
  <c r="Q8" i="14"/>
  <c r="R8" i="14"/>
  <c r="S8" i="14"/>
  <c r="T8" i="14"/>
  <c r="U8" i="14"/>
  <c r="V8" i="14"/>
  <c r="W8" i="14"/>
  <c r="X8" i="14"/>
  <c r="Y8" i="14"/>
  <c r="Z8" i="14"/>
  <c r="AA8" i="14"/>
  <c r="D9" i="14"/>
  <c r="E9" i="14"/>
  <c r="F9" i="14"/>
  <c r="G9" i="14"/>
  <c r="H9" i="14"/>
  <c r="I9" i="14"/>
  <c r="J9" i="14"/>
  <c r="K9" i="14"/>
  <c r="L9" i="14"/>
  <c r="M9" i="14"/>
  <c r="N9" i="14"/>
  <c r="O9" i="14"/>
  <c r="P9" i="14"/>
  <c r="Q9" i="14"/>
  <c r="R9" i="14"/>
  <c r="S9" i="14"/>
  <c r="T9" i="14"/>
  <c r="U9" i="14"/>
  <c r="V9" i="14"/>
  <c r="W9" i="14"/>
  <c r="X9" i="14"/>
  <c r="Y9" i="14"/>
  <c r="Z9" i="14"/>
  <c r="AA9" i="14"/>
  <c r="D10" i="14"/>
  <c r="E10" i="14"/>
  <c r="F10" i="14"/>
  <c r="G10" i="14"/>
  <c r="H10" i="14"/>
  <c r="I10" i="14"/>
  <c r="J10" i="14"/>
  <c r="K10" i="14"/>
  <c r="L10" i="14"/>
  <c r="M10" i="14"/>
  <c r="N10" i="14"/>
  <c r="O10" i="14"/>
  <c r="P10" i="14"/>
  <c r="Q10" i="14"/>
  <c r="R10" i="14"/>
  <c r="S10" i="14"/>
  <c r="T10" i="14"/>
  <c r="U10" i="14"/>
  <c r="V10" i="14"/>
  <c r="W10" i="14"/>
  <c r="X10" i="14"/>
  <c r="Y10" i="14"/>
  <c r="Z10" i="14"/>
  <c r="AA10" i="14"/>
  <c r="D11" i="14"/>
  <c r="E11" i="14"/>
  <c r="F11" i="14"/>
  <c r="G11" i="14"/>
  <c r="H11" i="14"/>
  <c r="I11" i="14"/>
  <c r="J11" i="14"/>
  <c r="K11" i="14"/>
  <c r="L11" i="14"/>
  <c r="M11" i="14"/>
  <c r="N11" i="14"/>
  <c r="O11" i="14"/>
  <c r="P11" i="14"/>
  <c r="Q11" i="14"/>
  <c r="R11" i="14"/>
  <c r="S11" i="14"/>
  <c r="T11" i="14"/>
  <c r="U11" i="14"/>
  <c r="V11" i="14"/>
  <c r="W11" i="14"/>
  <c r="X11" i="14"/>
  <c r="Y11" i="14"/>
  <c r="Z11" i="14"/>
  <c r="AA11" i="14"/>
  <c r="D12" i="14"/>
  <c r="E12" i="14"/>
  <c r="F12" i="14"/>
  <c r="G12" i="14"/>
  <c r="H12" i="14"/>
  <c r="I12" i="14"/>
  <c r="J12" i="14"/>
  <c r="K12" i="14"/>
  <c r="L12" i="14"/>
  <c r="M12" i="14"/>
  <c r="N12" i="14"/>
  <c r="O12" i="14"/>
  <c r="P12" i="14"/>
  <c r="Q12" i="14"/>
  <c r="R12" i="14"/>
  <c r="S12" i="14"/>
  <c r="T12" i="14"/>
  <c r="U12" i="14"/>
  <c r="V12" i="14"/>
  <c r="W12" i="14"/>
  <c r="X12" i="14"/>
  <c r="Y12" i="14"/>
  <c r="Z12" i="14"/>
  <c r="AA12" i="14"/>
  <c r="D13" i="14"/>
  <c r="E13" i="14"/>
  <c r="F13" i="14"/>
  <c r="G13" i="14"/>
  <c r="H13" i="14"/>
  <c r="I13" i="14"/>
  <c r="J13" i="14"/>
  <c r="K13" i="14"/>
  <c r="L13" i="14"/>
  <c r="M13" i="14"/>
  <c r="N13" i="14"/>
  <c r="O13" i="14"/>
  <c r="P13" i="14"/>
  <c r="Q13" i="14"/>
  <c r="R13" i="14"/>
  <c r="S13" i="14"/>
  <c r="T13" i="14"/>
  <c r="U13" i="14"/>
  <c r="V13" i="14"/>
  <c r="W13" i="14"/>
  <c r="X13" i="14"/>
  <c r="Y13" i="14"/>
  <c r="Z13" i="14"/>
  <c r="AA13" i="14"/>
  <c r="D14" i="14"/>
  <c r="E14" i="14"/>
  <c r="F14" i="14"/>
  <c r="G14" i="14"/>
  <c r="H14" i="14"/>
  <c r="I14" i="14"/>
  <c r="J14" i="14"/>
  <c r="K14" i="14"/>
  <c r="L14" i="14"/>
  <c r="M14" i="14"/>
  <c r="N14" i="14"/>
  <c r="O14" i="14"/>
  <c r="P14" i="14"/>
  <c r="Q14" i="14"/>
  <c r="R14" i="14"/>
  <c r="S14" i="14"/>
  <c r="T14" i="14"/>
  <c r="U14" i="14"/>
  <c r="V14" i="14"/>
  <c r="W14" i="14"/>
  <c r="X14" i="14"/>
  <c r="Y14" i="14"/>
  <c r="Z14" i="14"/>
  <c r="AA14" i="14"/>
  <c r="D15" i="14"/>
  <c r="E15" i="14"/>
  <c r="F15" i="14"/>
  <c r="G15" i="14"/>
  <c r="H15" i="14"/>
  <c r="I15" i="14"/>
  <c r="J15" i="14"/>
  <c r="K15" i="14"/>
  <c r="L15" i="14"/>
  <c r="M15" i="14"/>
  <c r="N15" i="14"/>
  <c r="O15" i="14"/>
  <c r="P15" i="14"/>
  <c r="Q15" i="14"/>
  <c r="R15" i="14"/>
  <c r="S15" i="14"/>
  <c r="T15" i="14"/>
  <c r="U15" i="14"/>
  <c r="V15" i="14"/>
  <c r="W15" i="14"/>
  <c r="X15" i="14"/>
  <c r="Y15" i="14"/>
  <c r="Z15" i="14"/>
  <c r="AA15" i="14"/>
  <c r="D16" i="14"/>
  <c r="E16" i="14"/>
  <c r="F16" i="14"/>
  <c r="G16" i="14"/>
  <c r="H16" i="14"/>
  <c r="I16" i="14"/>
  <c r="J16" i="14"/>
  <c r="K16" i="14"/>
  <c r="L16" i="14"/>
  <c r="M16" i="14"/>
  <c r="N16" i="14"/>
  <c r="O16" i="14"/>
  <c r="P16" i="14"/>
  <c r="Q16" i="14"/>
  <c r="R16" i="14"/>
  <c r="S16" i="14"/>
  <c r="T16" i="14"/>
  <c r="U16" i="14"/>
  <c r="V16" i="14"/>
  <c r="W16" i="14"/>
  <c r="X16" i="14"/>
  <c r="Y16" i="14"/>
  <c r="Z16" i="14"/>
  <c r="AA16" i="14"/>
  <c r="D17" i="14"/>
  <c r="E17" i="14"/>
  <c r="F17" i="14"/>
  <c r="G17" i="14"/>
  <c r="H17" i="14"/>
  <c r="I17" i="14"/>
  <c r="J17" i="14"/>
  <c r="K17" i="14"/>
  <c r="L17" i="14"/>
  <c r="M17" i="14"/>
  <c r="N17" i="14"/>
  <c r="O17" i="14"/>
  <c r="P17" i="14"/>
  <c r="Q17" i="14"/>
  <c r="R17" i="14"/>
  <c r="S17" i="14"/>
  <c r="T17" i="14"/>
  <c r="U17" i="14"/>
  <c r="V17" i="14"/>
  <c r="W17" i="14"/>
  <c r="X17" i="14"/>
  <c r="Y17" i="14"/>
  <c r="Z17" i="14"/>
  <c r="AA17" i="14"/>
  <c r="D18" i="14"/>
  <c r="E18" i="14"/>
  <c r="F18" i="14"/>
  <c r="G18" i="14"/>
  <c r="H18" i="14"/>
  <c r="I18" i="14"/>
  <c r="J18" i="14"/>
  <c r="K18" i="14"/>
  <c r="L18" i="14"/>
  <c r="M18" i="14"/>
  <c r="N18" i="14"/>
  <c r="O18" i="14"/>
  <c r="P18" i="14"/>
  <c r="Q18" i="14"/>
  <c r="R18" i="14"/>
  <c r="S18" i="14"/>
  <c r="T18" i="14"/>
  <c r="U18" i="14"/>
  <c r="V18" i="14"/>
  <c r="W18" i="14"/>
  <c r="X18" i="14"/>
  <c r="Y18" i="14"/>
  <c r="Z18" i="14"/>
  <c r="AA18" i="14"/>
  <c r="D19" i="14"/>
  <c r="E19" i="14"/>
  <c r="F19" i="14"/>
  <c r="G19" i="14"/>
  <c r="H19" i="14"/>
  <c r="I19" i="14"/>
  <c r="J19" i="14"/>
  <c r="K19" i="14"/>
  <c r="L19" i="14"/>
  <c r="M19" i="14"/>
  <c r="N19" i="14"/>
  <c r="O19" i="14"/>
  <c r="P19" i="14"/>
  <c r="Q19" i="14"/>
  <c r="R19" i="14"/>
  <c r="S19" i="14"/>
  <c r="T19" i="14"/>
  <c r="U19" i="14"/>
  <c r="V19" i="14"/>
  <c r="W19" i="14"/>
  <c r="X19" i="14"/>
  <c r="Y19" i="14"/>
  <c r="Z19" i="14"/>
  <c r="AA19" i="14"/>
  <c r="D20" i="14"/>
  <c r="E20" i="14"/>
  <c r="F20" i="14"/>
  <c r="G20" i="14"/>
  <c r="H20" i="14"/>
  <c r="I20" i="14"/>
  <c r="J20" i="14"/>
  <c r="K20" i="14"/>
  <c r="L20" i="14"/>
  <c r="M20" i="14"/>
  <c r="N20" i="14"/>
  <c r="O20" i="14"/>
  <c r="P20" i="14"/>
  <c r="Q20" i="14"/>
  <c r="R20" i="14"/>
  <c r="S20" i="14"/>
  <c r="T20" i="14"/>
  <c r="U20" i="14"/>
  <c r="V20" i="14"/>
  <c r="W20" i="14"/>
  <c r="X20" i="14"/>
  <c r="Y20" i="14"/>
  <c r="Z20" i="14"/>
  <c r="AA20" i="14"/>
  <c r="D21" i="14"/>
  <c r="E21" i="14"/>
  <c r="F21" i="14"/>
  <c r="G21" i="14"/>
  <c r="H21" i="14"/>
  <c r="I21" i="14"/>
  <c r="J21" i="14"/>
  <c r="K21" i="14"/>
  <c r="L21" i="14"/>
  <c r="M21" i="14"/>
  <c r="N21" i="14"/>
  <c r="O21" i="14"/>
  <c r="P21" i="14"/>
  <c r="Q21" i="14"/>
  <c r="R21" i="14"/>
  <c r="S21" i="14"/>
  <c r="T21" i="14"/>
  <c r="U21" i="14"/>
  <c r="V21" i="14"/>
  <c r="W21" i="14"/>
  <c r="X21" i="14"/>
  <c r="Y21" i="14"/>
  <c r="Z21" i="14"/>
  <c r="AA21" i="14"/>
  <c r="D22" i="14"/>
  <c r="E22" i="14"/>
  <c r="F22" i="14"/>
  <c r="G22" i="14"/>
  <c r="H22" i="14"/>
  <c r="I22" i="14"/>
  <c r="J22" i="14"/>
  <c r="K22" i="14"/>
  <c r="L22" i="14"/>
  <c r="M22" i="14"/>
  <c r="N22" i="14"/>
  <c r="O22" i="14"/>
  <c r="P22" i="14"/>
  <c r="Q22" i="14"/>
  <c r="R22" i="14"/>
  <c r="S22" i="14"/>
  <c r="T22" i="14"/>
  <c r="U22" i="14"/>
  <c r="V22" i="14"/>
  <c r="W22" i="14"/>
  <c r="X22" i="14"/>
  <c r="Y22" i="14"/>
  <c r="Z22" i="14"/>
  <c r="AA22" i="14"/>
  <c r="D23" i="14"/>
  <c r="E23" i="14"/>
  <c r="F23" i="14"/>
  <c r="G23" i="14"/>
  <c r="H23" i="14"/>
  <c r="I23" i="14"/>
  <c r="J23" i="14"/>
  <c r="K23" i="14"/>
  <c r="L23" i="14"/>
  <c r="M23" i="14"/>
  <c r="N23" i="14"/>
  <c r="O23" i="14"/>
  <c r="P23" i="14"/>
  <c r="Q23" i="14"/>
  <c r="R23" i="14"/>
  <c r="S23" i="14"/>
  <c r="T23" i="14"/>
  <c r="U23" i="14"/>
  <c r="V23" i="14"/>
  <c r="W23" i="14"/>
  <c r="X23" i="14"/>
  <c r="Y23" i="14"/>
  <c r="Z23" i="14"/>
  <c r="AA23" i="14"/>
  <c r="D24" i="14"/>
  <c r="E24" i="14"/>
  <c r="F24" i="14"/>
  <c r="G24" i="14"/>
  <c r="H24" i="14"/>
  <c r="I24" i="14"/>
  <c r="J24" i="14"/>
  <c r="K24" i="14"/>
  <c r="L24" i="14"/>
  <c r="M24" i="14"/>
  <c r="N24" i="14"/>
  <c r="O24" i="14"/>
  <c r="P24" i="14"/>
  <c r="Q24" i="14"/>
  <c r="R24" i="14"/>
  <c r="S24" i="14"/>
  <c r="T24" i="14"/>
  <c r="U24" i="14"/>
  <c r="V24" i="14"/>
  <c r="W24" i="14"/>
  <c r="X24" i="14"/>
  <c r="Y24" i="14"/>
  <c r="Z24" i="14"/>
  <c r="AA24" i="14"/>
  <c r="D25" i="14"/>
  <c r="E25" i="14"/>
  <c r="F25" i="14"/>
  <c r="G25" i="14"/>
  <c r="H25" i="14"/>
  <c r="I25" i="14"/>
  <c r="J25" i="14"/>
  <c r="K25" i="14"/>
  <c r="L25" i="14"/>
  <c r="M25" i="14"/>
  <c r="N25" i="14"/>
  <c r="O25" i="14"/>
  <c r="P25" i="14"/>
  <c r="Q25" i="14"/>
  <c r="R25" i="14"/>
  <c r="S25" i="14"/>
  <c r="T25" i="14"/>
  <c r="U25" i="14"/>
  <c r="V25" i="14"/>
  <c r="W25" i="14"/>
  <c r="X25" i="14"/>
  <c r="Y25" i="14"/>
  <c r="Z25" i="14"/>
  <c r="AA25" i="14"/>
  <c r="D26" i="14"/>
  <c r="E26" i="14"/>
  <c r="F26" i="14"/>
  <c r="G26" i="14"/>
  <c r="H26" i="14"/>
  <c r="I26" i="14"/>
  <c r="J26" i="14"/>
  <c r="K26" i="14"/>
  <c r="L26" i="14"/>
  <c r="M26" i="14"/>
  <c r="N26" i="14"/>
  <c r="O26" i="14"/>
  <c r="P26" i="14"/>
  <c r="Q26" i="14"/>
  <c r="R26" i="14"/>
  <c r="S26" i="14"/>
  <c r="T26" i="14"/>
  <c r="U26" i="14"/>
  <c r="V26" i="14"/>
  <c r="W26" i="14"/>
  <c r="X26" i="14"/>
  <c r="Y26" i="14"/>
  <c r="Z26" i="14"/>
  <c r="AA26" i="14"/>
  <c r="D27" i="14"/>
  <c r="E27" i="14"/>
  <c r="F27" i="14"/>
  <c r="G27" i="14"/>
  <c r="H27" i="14"/>
  <c r="I27" i="14"/>
  <c r="J27" i="14"/>
  <c r="K27" i="14"/>
  <c r="L27" i="14"/>
  <c r="M27" i="14"/>
  <c r="N27" i="14"/>
  <c r="O27" i="14"/>
  <c r="P27" i="14"/>
  <c r="Q27" i="14"/>
  <c r="R27" i="14"/>
  <c r="S27" i="14"/>
  <c r="T27" i="14"/>
  <c r="U27" i="14"/>
  <c r="V27" i="14"/>
  <c r="W27" i="14"/>
  <c r="X27" i="14"/>
  <c r="Y27" i="14"/>
  <c r="Z27" i="14"/>
  <c r="AA27" i="14"/>
  <c r="D28" i="14"/>
  <c r="E28" i="14"/>
  <c r="F28" i="14"/>
  <c r="G28" i="14"/>
  <c r="H28" i="14"/>
  <c r="I28" i="14"/>
  <c r="J28" i="14"/>
  <c r="K28" i="14"/>
  <c r="L28" i="14"/>
  <c r="M28" i="14"/>
  <c r="N28" i="14"/>
  <c r="O28" i="14"/>
  <c r="P28" i="14"/>
  <c r="Q28" i="14"/>
  <c r="R28" i="14"/>
  <c r="S28" i="14"/>
  <c r="T28" i="14"/>
  <c r="U28" i="14"/>
  <c r="V28" i="14"/>
  <c r="W28" i="14"/>
  <c r="X28" i="14"/>
  <c r="Y28" i="14"/>
  <c r="Z28" i="14"/>
  <c r="AA28" i="14"/>
  <c r="D29" i="14"/>
  <c r="E29" i="14"/>
  <c r="F29" i="14"/>
  <c r="G29" i="14"/>
  <c r="H29" i="14"/>
  <c r="I29" i="14"/>
  <c r="J29" i="14"/>
  <c r="K29" i="14"/>
  <c r="L29" i="14"/>
  <c r="M29" i="14"/>
  <c r="N29" i="14"/>
  <c r="O29" i="14"/>
  <c r="P29" i="14"/>
  <c r="Q29" i="14"/>
  <c r="R29" i="14"/>
  <c r="S29" i="14"/>
  <c r="T29" i="14"/>
  <c r="U29" i="14"/>
  <c r="V29" i="14"/>
  <c r="W29" i="14"/>
  <c r="X29" i="14"/>
  <c r="Y29" i="14"/>
  <c r="Z29" i="14"/>
  <c r="AA29" i="14"/>
  <c r="D30" i="14"/>
  <c r="E30" i="14"/>
  <c r="F30" i="14"/>
  <c r="G30" i="14"/>
  <c r="H30" i="14"/>
  <c r="I30" i="14"/>
  <c r="J30" i="14"/>
  <c r="K30" i="14"/>
  <c r="L30" i="14"/>
  <c r="M30" i="14"/>
  <c r="N30" i="14"/>
  <c r="O30" i="14"/>
  <c r="P30" i="14"/>
  <c r="Q30" i="14"/>
  <c r="R30" i="14"/>
  <c r="S30" i="14"/>
  <c r="T30" i="14"/>
  <c r="U30" i="14"/>
  <c r="V30" i="14"/>
  <c r="W30" i="14"/>
  <c r="X30" i="14"/>
  <c r="Y30" i="14"/>
  <c r="Z30" i="14"/>
  <c r="AA30" i="14"/>
  <c r="D31" i="14"/>
  <c r="E31" i="14"/>
  <c r="F31" i="14"/>
  <c r="G31" i="14"/>
  <c r="H31" i="14"/>
  <c r="I31" i="14"/>
  <c r="J31" i="14"/>
  <c r="K31" i="14"/>
  <c r="L31" i="14"/>
  <c r="M31" i="14"/>
  <c r="N31" i="14"/>
  <c r="O31" i="14"/>
  <c r="P31" i="14"/>
  <c r="Q31" i="14"/>
  <c r="R31" i="14"/>
  <c r="S31" i="14"/>
  <c r="T31" i="14"/>
  <c r="U31" i="14"/>
  <c r="V31" i="14"/>
  <c r="W31" i="14"/>
  <c r="X31" i="14"/>
  <c r="Y31" i="14"/>
  <c r="Z31" i="14"/>
  <c r="AA31" i="14"/>
  <c r="D32" i="14"/>
  <c r="E32" i="14"/>
  <c r="F32" i="14"/>
  <c r="G32" i="14"/>
  <c r="H32" i="14"/>
  <c r="I32" i="14"/>
  <c r="J32" i="14"/>
  <c r="K32" i="14"/>
  <c r="L32" i="14"/>
  <c r="M32" i="14"/>
  <c r="N32" i="14"/>
  <c r="O32" i="14"/>
  <c r="P32" i="14"/>
  <c r="Q32" i="14"/>
  <c r="R32" i="14"/>
  <c r="S32" i="14"/>
  <c r="T32" i="14"/>
  <c r="U32" i="14"/>
  <c r="V32" i="14"/>
  <c r="W32" i="14"/>
  <c r="X32" i="14"/>
  <c r="Y32" i="14"/>
  <c r="Z32" i="14"/>
  <c r="AA32" i="14"/>
  <c r="D33" i="14"/>
  <c r="E33" i="14"/>
  <c r="F33" i="14"/>
  <c r="G33" i="14"/>
  <c r="H33" i="14"/>
  <c r="I33" i="14"/>
  <c r="J33" i="14"/>
  <c r="K33" i="14"/>
  <c r="L33" i="14"/>
  <c r="M33" i="14"/>
  <c r="N33" i="14"/>
  <c r="O33" i="14"/>
  <c r="P33" i="14"/>
  <c r="Q33" i="14"/>
  <c r="R33" i="14"/>
  <c r="S33" i="14"/>
  <c r="T33" i="14"/>
  <c r="U33" i="14"/>
  <c r="V33" i="14"/>
  <c r="W33" i="14"/>
  <c r="X33" i="14"/>
  <c r="Y33" i="14"/>
  <c r="Z33" i="14"/>
  <c r="AA33" i="14"/>
  <c r="D34" i="14"/>
  <c r="E34" i="14"/>
  <c r="F34" i="14"/>
  <c r="G34" i="14"/>
  <c r="H34" i="14"/>
  <c r="I34" i="14"/>
  <c r="J34" i="14"/>
  <c r="K34" i="14"/>
  <c r="L34" i="14"/>
  <c r="M34" i="14"/>
  <c r="N34" i="14"/>
  <c r="O34" i="14"/>
  <c r="P34" i="14"/>
  <c r="Q34" i="14"/>
  <c r="R34" i="14"/>
  <c r="S34" i="14"/>
  <c r="T34" i="14"/>
  <c r="U34" i="14"/>
  <c r="V34" i="14"/>
  <c r="W34" i="14"/>
  <c r="X34" i="14"/>
  <c r="Y34" i="14"/>
  <c r="Z34" i="14"/>
  <c r="AA34" i="14"/>
  <c r="D35" i="14"/>
  <c r="E35" i="14"/>
  <c r="F35" i="14"/>
  <c r="G35" i="14"/>
  <c r="H35" i="14"/>
  <c r="I35" i="14"/>
  <c r="J35" i="14"/>
  <c r="K35" i="14"/>
  <c r="L35" i="14"/>
  <c r="M35" i="14"/>
  <c r="N35" i="14"/>
  <c r="O35" i="14"/>
  <c r="P35" i="14"/>
  <c r="Q35" i="14"/>
  <c r="R35" i="14"/>
  <c r="S35" i="14"/>
  <c r="T35" i="14"/>
  <c r="U35" i="14"/>
  <c r="V35" i="14"/>
  <c r="W35" i="14"/>
  <c r="X35" i="14"/>
  <c r="Y35" i="14"/>
  <c r="Z35" i="14"/>
  <c r="AA35" i="14"/>
  <c r="D36" i="14"/>
  <c r="E36" i="14"/>
  <c r="F36" i="14"/>
  <c r="G36" i="14"/>
  <c r="H36" i="14"/>
  <c r="I36" i="14"/>
  <c r="J36" i="14"/>
  <c r="K36" i="14"/>
  <c r="L36" i="14"/>
  <c r="M36" i="14"/>
  <c r="N36" i="14"/>
  <c r="O36" i="14"/>
  <c r="P36" i="14"/>
  <c r="Q36" i="14"/>
  <c r="R36" i="14"/>
  <c r="S36" i="14"/>
  <c r="T36" i="14"/>
  <c r="U36" i="14"/>
  <c r="V36" i="14"/>
  <c r="W36" i="14"/>
  <c r="X36" i="14"/>
  <c r="Y36" i="14"/>
  <c r="Z36" i="14"/>
  <c r="AA36" i="14"/>
  <c r="D37" i="14"/>
  <c r="E37" i="14"/>
  <c r="F37" i="14"/>
  <c r="G37" i="14"/>
  <c r="H37" i="14"/>
  <c r="I37" i="14"/>
  <c r="J37" i="14"/>
  <c r="K37" i="14"/>
  <c r="L37" i="14"/>
  <c r="M37" i="14"/>
  <c r="N37" i="14"/>
  <c r="O37" i="14"/>
  <c r="P37" i="14"/>
  <c r="Q37" i="14"/>
  <c r="R37" i="14"/>
  <c r="S37" i="14"/>
  <c r="T37" i="14"/>
  <c r="U37" i="14"/>
  <c r="V37" i="14"/>
  <c r="W37" i="14"/>
  <c r="X37" i="14"/>
  <c r="Y37" i="14"/>
  <c r="Z37" i="14"/>
  <c r="AA37" i="14"/>
  <c r="D38" i="14"/>
  <c r="E38" i="14"/>
  <c r="F38" i="14"/>
  <c r="G38" i="14"/>
  <c r="H38" i="14"/>
  <c r="I38" i="14"/>
  <c r="J38" i="14"/>
  <c r="K38" i="14"/>
  <c r="L38" i="14"/>
  <c r="M38" i="14"/>
  <c r="N38" i="14"/>
  <c r="O38" i="14"/>
  <c r="P38" i="14"/>
  <c r="Q38" i="14"/>
  <c r="R38" i="14"/>
  <c r="S38" i="14"/>
  <c r="T38" i="14"/>
  <c r="U38" i="14"/>
  <c r="V38" i="14"/>
  <c r="W38" i="14"/>
  <c r="X38" i="14"/>
  <c r="Y38" i="14"/>
  <c r="Z38" i="14"/>
  <c r="AA38" i="14"/>
  <c r="D39" i="14"/>
  <c r="E39" i="14"/>
  <c r="F39" i="14"/>
  <c r="G39" i="14"/>
  <c r="H39" i="14"/>
  <c r="I39" i="14"/>
  <c r="J39" i="14"/>
  <c r="K39" i="14"/>
  <c r="L39" i="14"/>
  <c r="M39" i="14"/>
  <c r="N39" i="14"/>
  <c r="O39" i="14"/>
  <c r="P39" i="14"/>
  <c r="Q39" i="14"/>
  <c r="R39" i="14"/>
  <c r="S39" i="14"/>
  <c r="T39" i="14"/>
  <c r="U39" i="14"/>
  <c r="V39" i="14"/>
  <c r="W39" i="14"/>
  <c r="X39" i="14"/>
  <c r="Y39" i="14"/>
  <c r="Z39" i="14"/>
  <c r="AA39" i="14"/>
  <c r="D40" i="14"/>
  <c r="E40" i="14"/>
  <c r="F40" i="14"/>
  <c r="G40" i="14"/>
  <c r="H40" i="14"/>
  <c r="I40" i="14"/>
  <c r="J40" i="14"/>
  <c r="K40" i="14"/>
  <c r="L40" i="14"/>
  <c r="M40" i="14"/>
  <c r="N40" i="14"/>
  <c r="O40" i="14"/>
  <c r="P40" i="14"/>
  <c r="Q40" i="14"/>
  <c r="R40" i="14"/>
  <c r="S40" i="14"/>
  <c r="T40" i="14"/>
  <c r="U40" i="14"/>
  <c r="V40" i="14"/>
  <c r="W40" i="14"/>
  <c r="X40" i="14"/>
  <c r="Y40" i="14"/>
  <c r="Z40" i="14"/>
  <c r="AA40" i="14"/>
  <c r="D41" i="14"/>
  <c r="E41" i="14"/>
  <c r="F41" i="14"/>
  <c r="G41" i="14"/>
  <c r="H41" i="14"/>
  <c r="I41" i="14"/>
  <c r="J41" i="14"/>
  <c r="K41" i="14"/>
  <c r="L41" i="14"/>
  <c r="M41" i="14"/>
  <c r="N41" i="14"/>
  <c r="O41" i="14"/>
  <c r="P41" i="14"/>
  <c r="Q41" i="14"/>
  <c r="R41" i="14"/>
  <c r="S41" i="14"/>
  <c r="T41" i="14"/>
  <c r="U41" i="14"/>
  <c r="V41" i="14"/>
  <c r="W41" i="14"/>
  <c r="X41" i="14"/>
  <c r="Y41" i="14"/>
  <c r="Z41" i="14"/>
  <c r="AA41" i="14"/>
  <c r="D42" i="14"/>
  <c r="E42" i="14"/>
  <c r="F42" i="14"/>
  <c r="G42" i="14"/>
  <c r="H42" i="14"/>
  <c r="I42" i="14"/>
  <c r="J42" i="14"/>
  <c r="K42" i="14"/>
  <c r="L42" i="14"/>
  <c r="M42" i="14"/>
  <c r="N42" i="14"/>
  <c r="O42" i="14"/>
  <c r="P42" i="14"/>
  <c r="Q42" i="14"/>
  <c r="R42" i="14"/>
  <c r="S42" i="14"/>
  <c r="T42" i="14"/>
  <c r="U42" i="14"/>
  <c r="V42" i="14"/>
  <c r="W42" i="14"/>
  <c r="X42" i="14"/>
  <c r="Y42" i="14"/>
  <c r="Z42" i="14"/>
  <c r="AA42" i="14"/>
  <c r="D43" i="14"/>
  <c r="E43" i="14"/>
  <c r="F43" i="14"/>
  <c r="G43" i="14"/>
  <c r="H43" i="14"/>
  <c r="I43" i="14"/>
  <c r="J43" i="14"/>
  <c r="K43" i="14"/>
  <c r="L43" i="14"/>
  <c r="M43" i="14"/>
  <c r="N43" i="14"/>
  <c r="O43" i="14"/>
  <c r="P43" i="14"/>
  <c r="Q43" i="14"/>
  <c r="R43" i="14"/>
  <c r="S43" i="14"/>
  <c r="T43" i="14"/>
  <c r="U43" i="14"/>
  <c r="V43" i="14"/>
  <c r="W43" i="14"/>
  <c r="X43" i="14"/>
  <c r="Y43" i="14"/>
  <c r="Z43" i="14"/>
  <c r="AA43" i="14"/>
  <c r="D44" i="14"/>
  <c r="E44" i="14"/>
  <c r="F44" i="14"/>
  <c r="G44" i="14"/>
  <c r="H44" i="14"/>
  <c r="I44" i="14"/>
  <c r="J44" i="14"/>
  <c r="K44" i="14"/>
  <c r="L44" i="14"/>
  <c r="M44" i="14"/>
  <c r="N44" i="14"/>
  <c r="O44" i="14"/>
  <c r="P44" i="14"/>
  <c r="Q44" i="14"/>
  <c r="R44" i="14"/>
  <c r="S44" i="14"/>
  <c r="T44" i="14"/>
  <c r="U44" i="14"/>
  <c r="V44" i="14"/>
  <c r="W44" i="14"/>
  <c r="X44" i="14"/>
  <c r="Y44" i="14"/>
  <c r="Z44" i="14"/>
  <c r="AA44" i="14"/>
  <c r="D45" i="14"/>
  <c r="E45" i="14"/>
  <c r="F45" i="14"/>
  <c r="G45" i="14"/>
  <c r="H45" i="14"/>
  <c r="I45" i="14"/>
  <c r="J45" i="14"/>
  <c r="K45" i="14"/>
  <c r="L45" i="14"/>
  <c r="M45" i="14"/>
  <c r="N45" i="14"/>
  <c r="O45" i="14"/>
  <c r="P45" i="14"/>
  <c r="Q45" i="14"/>
  <c r="R45" i="14"/>
  <c r="S45" i="14"/>
  <c r="T45" i="14"/>
  <c r="U45" i="14"/>
  <c r="V45" i="14"/>
  <c r="W45" i="14"/>
  <c r="X45" i="14"/>
  <c r="Y45" i="14"/>
  <c r="Z45" i="14"/>
  <c r="AA45" i="14"/>
  <c r="D46" i="14"/>
  <c r="E46" i="14"/>
  <c r="F46" i="14"/>
  <c r="G46" i="14"/>
  <c r="H46" i="14"/>
  <c r="I46" i="14"/>
  <c r="J46" i="14"/>
  <c r="K46" i="14"/>
  <c r="L46" i="14"/>
  <c r="M46" i="14"/>
  <c r="N46" i="14"/>
  <c r="O46" i="14"/>
  <c r="P46" i="14"/>
  <c r="Q46" i="14"/>
  <c r="R46" i="14"/>
  <c r="S46" i="14"/>
  <c r="T46" i="14"/>
  <c r="U46" i="14"/>
  <c r="V46" i="14"/>
  <c r="W46" i="14"/>
  <c r="X46" i="14"/>
  <c r="Y46" i="14"/>
  <c r="Z46" i="14"/>
  <c r="AA46" i="14"/>
  <c r="D47" i="14"/>
  <c r="E47" i="14"/>
  <c r="F47" i="14"/>
  <c r="G47" i="14"/>
  <c r="H47" i="14"/>
  <c r="I47" i="14"/>
  <c r="J47" i="14"/>
  <c r="K47" i="14"/>
  <c r="L47" i="14"/>
  <c r="M47" i="14"/>
  <c r="N47" i="14"/>
  <c r="O47" i="14"/>
  <c r="P47" i="14"/>
  <c r="Q47" i="14"/>
  <c r="R47" i="14"/>
  <c r="S47" i="14"/>
  <c r="T47" i="14"/>
  <c r="U47" i="14"/>
  <c r="V47" i="14"/>
  <c r="W47" i="14"/>
  <c r="X47" i="14"/>
  <c r="Y47" i="14"/>
  <c r="Z47" i="14"/>
  <c r="AA47" i="14"/>
  <c r="D48" i="14"/>
  <c r="E48" i="14"/>
  <c r="F48" i="14"/>
  <c r="G48" i="14"/>
  <c r="H48" i="14"/>
  <c r="I48" i="14"/>
  <c r="J48" i="14"/>
  <c r="K48" i="14"/>
  <c r="L48" i="14"/>
  <c r="M48" i="14"/>
  <c r="N48" i="14"/>
  <c r="O48" i="14"/>
  <c r="P48" i="14"/>
  <c r="Q48" i="14"/>
  <c r="R48" i="14"/>
  <c r="S48" i="14"/>
  <c r="T48" i="14"/>
  <c r="U48" i="14"/>
  <c r="V48" i="14"/>
  <c r="W48" i="14"/>
  <c r="X48" i="14"/>
  <c r="Y48" i="14"/>
  <c r="Z48" i="14"/>
  <c r="AA48" i="14"/>
  <c r="D49" i="14"/>
  <c r="E49" i="14"/>
  <c r="F49" i="14"/>
  <c r="G49" i="14"/>
  <c r="H49" i="14"/>
  <c r="I49" i="14"/>
  <c r="J49" i="14"/>
  <c r="K49" i="14"/>
  <c r="L49" i="14"/>
  <c r="M49" i="14"/>
  <c r="N49" i="14"/>
  <c r="O49" i="14"/>
  <c r="P49" i="14"/>
  <c r="Q49" i="14"/>
  <c r="R49" i="14"/>
  <c r="S49" i="14"/>
  <c r="T49" i="14"/>
  <c r="U49" i="14"/>
  <c r="V49" i="14"/>
  <c r="W49" i="14"/>
  <c r="X49" i="14"/>
  <c r="Y49" i="14"/>
  <c r="Z49" i="14"/>
  <c r="AA49" i="14"/>
  <c r="D50" i="14"/>
  <c r="E50" i="14"/>
  <c r="F50" i="14"/>
  <c r="G50" i="14"/>
  <c r="H50" i="14"/>
  <c r="I50" i="14"/>
  <c r="J50" i="14"/>
  <c r="K50" i="14"/>
  <c r="L50" i="14"/>
  <c r="M50" i="14"/>
  <c r="N50" i="14"/>
  <c r="O50" i="14"/>
  <c r="P50" i="14"/>
  <c r="Q50" i="14"/>
  <c r="R50" i="14"/>
  <c r="S50" i="14"/>
  <c r="T50" i="14"/>
  <c r="U50" i="14"/>
  <c r="V50" i="14"/>
  <c r="W50" i="14"/>
  <c r="X50" i="14"/>
  <c r="Y50" i="14"/>
  <c r="Z50" i="14"/>
  <c r="AA50" i="14"/>
  <c r="D51" i="14"/>
  <c r="E51" i="14"/>
  <c r="F51" i="14"/>
  <c r="G51" i="14"/>
  <c r="H51" i="14"/>
  <c r="I51" i="14"/>
  <c r="J51" i="14"/>
  <c r="K51" i="14"/>
  <c r="L51" i="14"/>
  <c r="M51" i="14"/>
  <c r="N51" i="14"/>
  <c r="O51" i="14"/>
  <c r="P51" i="14"/>
  <c r="Q51" i="14"/>
  <c r="R51" i="14"/>
  <c r="S51" i="14"/>
  <c r="T51" i="14"/>
  <c r="U51" i="14"/>
  <c r="V51" i="14"/>
  <c r="W51" i="14"/>
  <c r="X51" i="14"/>
  <c r="Y51" i="14"/>
  <c r="Z51" i="14"/>
  <c r="AA51" i="14"/>
  <c r="D52" i="14"/>
  <c r="E52" i="14"/>
  <c r="F52" i="14"/>
  <c r="G52" i="14"/>
  <c r="H52" i="14"/>
  <c r="I52" i="14"/>
  <c r="J52" i="14"/>
  <c r="K52" i="14"/>
  <c r="L52" i="14"/>
  <c r="M52" i="14"/>
  <c r="N52" i="14"/>
  <c r="O52" i="14"/>
  <c r="P52" i="14"/>
  <c r="Q52" i="14"/>
  <c r="R52" i="14"/>
  <c r="S52" i="14"/>
  <c r="T52" i="14"/>
  <c r="U52" i="14"/>
  <c r="V52" i="14"/>
  <c r="W52" i="14"/>
  <c r="X52" i="14"/>
  <c r="Y52" i="14"/>
  <c r="Z52" i="14"/>
  <c r="AA52" i="14"/>
  <c r="D53" i="14"/>
  <c r="E53" i="14"/>
  <c r="F53" i="14"/>
  <c r="G53" i="14"/>
  <c r="H53" i="14"/>
  <c r="I53" i="14"/>
  <c r="J53" i="14"/>
  <c r="K53" i="14"/>
  <c r="L53" i="14"/>
  <c r="M53" i="14"/>
  <c r="N53" i="14"/>
  <c r="O53" i="14"/>
  <c r="P53" i="14"/>
  <c r="Q53" i="14"/>
  <c r="R53" i="14"/>
  <c r="S53" i="14"/>
  <c r="T53" i="14"/>
  <c r="U53" i="14"/>
  <c r="V53" i="14"/>
  <c r="W53" i="14"/>
  <c r="X53" i="14"/>
  <c r="Y53" i="14"/>
  <c r="Z53" i="14"/>
  <c r="AA53" i="14"/>
  <c r="D54" i="14"/>
  <c r="E54" i="14"/>
  <c r="F54" i="14"/>
  <c r="G54" i="14"/>
  <c r="H54" i="14"/>
  <c r="I54" i="14"/>
  <c r="J54" i="14"/>
  <c r="K54" i="14"/>
  <c r="L54" i="14"/>
  <c r="M54" i="14"/>
  <c r="N54" i="14"/>
  <c r="O54" i="14"/>
  <c r="P54" i="14"/>
  <c r="Q54" i="14"/>
  <c r="R54" i="14"/>
  <c r="S54" i="14"/>
  <c r="T54" i="14"/>
  <c r="U54" i="14"/>
  <c r="V54" i="14"/>
  <c r="W54" i="14"/>
  <c r="X54" i="14"/>
  <c r="Y54" i="14"/>
  <c r="Z54" i="14"/>
  <c r="AA54" i="14"/>
  <c r="D55" i="14"/>
  <c r="E55" i="14"/>
  <c r="F55" i="14"/>
  <c r="G55" i="14"/>
  <c r="H55" i="14"/>
  <c r="I55" i="14"/>
  <c r="J55" i="14"/>
  <c r="K55" i="14"/>
  <c r="L55" i="14"/>
  <c r="M55" i="14"/>
  <c r="N55" i="14"/>
  <c r="O55" i="14"/>
  <c r="P55" i="14"/>
  <c r="Q55" i="14"/>
  <c r="R55" i="14"/>
  <c r="S55" i="14"/>
  <c r="T55" i="14"/>
  <c r="U55" i="14"/>
  <c r="V55" i="14"/>
  <c r="W55" i="14"/>
  <c r="X55" i="14"/>
  <c r="Y55" i="14"/>
  <c r="Z55" i="14"/>
  <c r="AA55" i="14"/>
  <c r="D56" i="15"/>
  <c r="E56" i="15"/>
  <c r="F56" i="15"/>
  <c r="G56" i="15"/>
  <c r="H56" i="15"/>
  <c r="I56" i="15"/>
  <c r="J56" i="15"/>
  <c r="K56" i="15"/>
  <c r="L56" i="15"/>
  <c r="M56" i="15"/>
  <c r="N56" i="15"/>
  <c r="O56" i="15"/>
  <c r="P56" i="15"/>
  <c r="Q56" i="15"/>
  <c r="R56" i="15"/>
  <c r="S56" i="15"/>
  <c r="T56" i="15"/>
  <c r="U56" i="15"/>
  <c r="V56" i="15"/>
  <c r="W56" i="15"/>
  <c r="X56" i="15"/>
  <c r="Y56" i="15"/>
  <c r="Z56" i="15"/>
  <c r="AA56" i="15"/>
  <c r="D2" i="15"/>
  <c r="E2" i="15"/>
  <c r="F2" i="15"/>
  <c r="G2" i="15"/>
  <c r="H2" i="15"/>
  <c r="I2" i="15"/>
  <c r="J2" i="15"/>
  <c r="K2" i="15"/>
  <c r="L2" i="15"/>
  <c r="M2" i="15"/>
  <c r="N2" i="15"/>
  <c r="O2" i="15"/>
  <c r="P2" i="15"/>
  <c r="Q2" i="15"/>
  <c r="R2" i="15"/>
  <c r="S2" i="15"/>
  <c r="T2" i="15"/>
  <c r="U2" i="15"/>
  <c r="V2" i="15"/>
  <c r="W2" i="15"/>
  <c r="X2" i="15"/>
  <c r="Y2" i="15"/>
  <c r="Z2" i="15"/>
  <c r="AA2" i="15"/>
  <c r="D3" i="15"/>
  <c r="E3" i="15"/>
  <c r="F3" i="15"/>
  <c r="G3" i="15"/>
  <c r="H3" i="15"/>
  <c r="I3" i="15"/>
  <c r="J3" i="15"/>
  <c r="K3" i="15"/>
  <c r="L3" i="15"/>
  <c r="M3" i="15"/>
  <c r="N3" i="15"/>
  <c r="O3" i="15"/>
  <c r="P3" i="15"/>
  <c r="Q3" i="15"/>
  <c r="R3" i="15"/>
  <c r="S3" i="15"/>
  <c r="T3" i="15"/>
  <c r="U3" i="15"/>
  <c r="V3" i="15"/>
  <c r="W3" i="15"/>
  <c r="X3" i="15"/>
  <c r="Y3" i="15"/>
  <c r="Z3" i="15"/>
  <c r="AA3" i="15"/>
  <c r="D4" i="15"/>
  <c r="E4" i="15"/>
  <c r="F4" i="15"/>
  <c r="G4" i="15"/>
  <c r="H4" i="15"/>
  <c r="I4" i="15"/>
  <c r="J4" i="15"/>
  <c r="K4" i="15"/>
  <c r="L4" i="15"/>
  <c r="M4" i="15"/>
  <c r="N4" i="15"/>
  <c r="O4" i="15"/>
  <c r="P4" i="15"/>
  <c r="Q4" i="15"/>
  <c r="R4" i="15"/>
  <c r="S4" i="15"/>
  <c r="T4" i="15"/>
  <c r="U4" i="15"/>
  <c r="V4" i="15"/>
  <c r="W4" i="15"/>
  <c r="X4" i="15"/>
  <c r="Y4" i="15"/>
  <c r="Z4" i="15"/>
  <c r="AA4" i="15"/>
  <c r="D5" i="15"/>
  <c r="E5" i="15"/>
  <c r="F5" i="15"/>
  <c r="G5" i="15"/>
  <c r="H5" i="15"/>
  <c r="I5" i="15"/>
  <c r="J5" i="15"/>
  <c r="K5" i="15"/>
  <c r="L5" i="15"/>
  <c r="M5" i="15"/>
  <c r="N5" i="15"/>
  <c r="O5" i="15"/>
  <c r="P5" i="15"/>
  <c r="Q5" i="15"/>
  <c r="R5" i="15"/>
  <c r="S5" i="15"/>
  <c r="T5" i="15"/>
  <c r="U5" i="15"/>
  <c r="V5" i="15"/>
  <c r="W5" i="15"/>
  <c r="X5" i="15"/>
  <c r="Y5" i="15"/>
  <c r="Z5" i="15"/>
  <c r="AA5" i="15"/>
  <c r="D6" i="15"/>
  <c r="E6" i="15"/>
  <c r="F6" i="15"/>
  <c r="G6" i="15"/>
  <c r="H6" i="15"/>
  <c r="I6" i="15"/>
  <c r="J6" i="15"/>
  <c r="K6" i="15"/>
  <c r="L6" i="15"/>
  <c r="M6" i="15"/>
  <c r="N6" i="15"/>
  <c r="O6" i="15"/>
  <c r="P6" i="15"/>
  <c r="Q6" i="15"/>
  <c r="R6" i="15"/>
  <c r="S6" i="15"/>
  <c r="T6" i="15"/>
  <c r="U6" i="15"/>
  <c r="V6" i="15"/>
  <c r="W6" i="15"/>
  <c r="X6" i="15"/>
  <c r="Y6" i="15"/>
  <c r="Z6" i="15"/>
  <c r="AA6" i="15"/>
  <c r="D7" i="15"/>
  <c r="E7" i="15"/>
  <c r="F7" i="15"/>
  <c r="G7" i="15"/>
  <c r="H7" i="15"/>
  <c r="I7" i="15"/>
  <c r="J7" i="15"/>
  <c r="K7" i="15"/>
  <c r="L7" i="15"/>
  <c r="M7" i="15"/>
  <c r="N7" i="15"/>
  <c r="O7" i="15"/>
  <c r="P7" i="15"/>
  <c r="Q7" i="15"/>
  <c r="R7" i="15"/>
  <c r="S7" i="15"/>
  <c r="T7" i="15"/>
  <c r="U7" i="15"/>
  <c r="V7" i="15"/>
  <c r="W7" i="15"/>
  <c r="X7" i="15"/>
  <c r="Y7" i="15"/>
  <c r="Z7" i="15"/>
  <c r="AA7" i="15"/>
  <c r="D8" i="15"/>
  <c r="E8" i="15"/>
  <c r="F8" i="15"/>
  <c r="G8" i="15"/>
  <c r="H8" i="15"/>
  <c r="I8" i="15"/>
  <c r="J8" i="15"/>
  <c r="K8" i="15"/>
  <c r="L8" i="15"/>
  <c r="M8" i="15"/>
  <c r="N8" i="15"/>
  <c r="O8" i="15"/>
  <c r="P8" i="15"/>
  <c r="Q8" i="15"/>
  <c r="R8" i="15"/>
  <c r="S8" i="15"/>
  <c r="T8" i="15"/>
  <c r="U8" i="15"/>
  <c r="V8" i="15"/>
  <c r="W8" i="15"/>
  <c r="X8" i="15"/>
  <c r="Y8" i="15"/>
  <c r="Z8" i="15"/>
  <c r="AA8" i="15"/>
  <c r="D9" i="15"/>
  <c r="E9" i="15"/>
  <c r="F9" i="15"/>
  <c r="G9" i="15"/>
  <c r="H9" i="15"/>
  <c r="I9" i="15"/>
  <c r="J9" i="15"/>
  <c r="K9" i="15"/>
  <c r="L9" i="15"/>
  <c r="M9" i="15"/>
  <c r="N9" i="15"/>
  <c r="O9" i="15"/>
  <c r="P9" i="15"/>
  <c r="Q9" i="15"/>
  <c r="R9" i="15"/>
  <c r="S9" i="15"/>
  <c r="T9" i="15"/>
  <c r="U9" i="15"/>
  <c r="V9" i="15"/>
  <c r="W9" i="15"/>
  <c r="X9" i="15"/>
  <c r="Y9" i="15"/>
  <c r="Z9" i="15"/>
  <c r="AA9" i="15"/>
  <c r="D10" i="15"/>
  <c r="E10" i="15"/>
  <c r="F10" i="15"/>
  <c r="G10" i="15"/>
  <c r="H10" i="15"/>
  <c r="I10" i="15"/>
  <c r="J10" i="15"/>
  <c r="K10" i="15"/>
  <c r="L10" i="15"/>
  <c r="M10" i="15"/>
  <c r="N10" i="15"/>
  <c r="O10" i="15"/>
  <c r="P10" i="15"/>
  <c r="Q10" i="15"/>
  <c r="R10" i="15"/>
  <c r="S10" i="15"/>
  <c r="T10" i="15"/>
  <c r="U10" i="15"/>
  <c r="V10" i="15"/>
  <c r="W10" i="15"/>
  <c r="X10" i="15"/>
  <c r="Y10" i="15"/>
  <c r="Z10" i="15"/>
  <c r="AA10" i="15"/>
  <c r="D11" i="15"/>
  <c r="E11" i="15"/>
  <c r="F11" i="15"/>
  <c r="G11" i="15"/>
  <c r="H11" i="15"/>
  <c r="I11" i="15"/>
  <c r="J11" i="15"/>
  <c r="K11" i="15"/>
  <c r="L11" i="15"/>
  <c r="M11" i="15"/>
  <c r="N11" i="15"/>
  <c r="O11" i="15"/>
  <c r="P11" i="15"/>
  <c r="Q11" i="15"/>
  <c r="R11" i="15"/>
  <c r="S11" i="15"/>
  <c r="T11" i="15"/>
  <c r="U11" i="15"/>
  <c r="V11" i="15"/>
  <c r="W11" i="15"/>
  <c r="X11" i="15"/>
  <c r="Y11" i="15"/>
  <c r="Z11" i="15"/>
  <c r="AA11" i="15"/>
  <c r="D12" i="15"/>
  <c r="E12" i="15"/>
  <c r="F12" i="15"/>
  <c r="G12" i="15"/>
  <c r="H12" i="15"/>
  <c r="I12" i="15"/>
  <c r="J12" i="15"/>
  <c r="K12" i="15"/>
  <c r="L12" i="15"/>
  <c r="M12" i="15"/>
  <c r="N12" i="15"/>
  <c r="O12" i="15"/>
  <c r="P12" i="15"/>
  <c r="Q12" i="15"/>
  <c r="R12" i="15"/>
  <c r="S12" i="15"/>
  <c r="T12" i="15"/>
  <c r="U12" i="15"/>
  <c r="V12" i="15"/>
  <c r="W12" i="15"/>
  <c r="X12" i="15"/>
  <c r="Y12" i="15"/>
  <c r="Z12" i="15"/>
  <c r="AA12" i="15"/>
  <c r="D13" i="15"/>
  <c r="E13" i="15"/>
  <c r="F13" i="15"/>
  <c r="G13" i="15"/>
  <c r="H13" i="15"/>
  <c r="I13" i="15"/>
  <c r="J13" i="15"/>
  <c r="K13" i="15"/>
  <c r="L13" i="15"/>
  <c r="M13" i="15"/>
  <c r="N13" i="15"/>
  <c r="O13" i="15"/>
  <c r="P13" i="15"/>
  <c r="Q13" i="15"/>
  <c r="R13" i="15"/>
  <c r="S13" i="15"/>
  <c r="T13" i="15"/>
  <c r="U13" i="15"/>
  <c r="V13" i="15"/>
  <c r="W13" i="15"/>
  <c r="X13" i="15"/>
  <c r="Y13" i="15"/>
  <c r="Z13" i="15"/>
  <c r="AA13" i="15"/>
  <c r="D14" i="15"/>
  <c r="E14" i="15"/>
  <c r="F14" i="15"/>
  <c r="G14" i="15"/>
  <c r="H14" i="15"/>
  <c r="I14" i="15"/>
  <c r="J14" i="15"/>
  <c r="K14" i="15"/>
  <c r="L14" i="15"/>
  <c r="M14" i="15"/>
  <c r="N14" i="15"/>
  <c r="O14" i="15"/>
  <c r="P14" i="15"/>
  <c r="Q14" i="15"/>
  <c r="R14" i="15"/>
  <c r="S14" i="15"/>
  <c r="T14" i="15"/>
  <c r="U14" i="15"/>
  <c r="V14" i="15"/>
  <c r="W14" i="15"/>
  <c r="X14" i="15"/>
  <c r="Y14" i="15"/>
  <c r="Z14" i="15"/>
  <c r="AA14" i="15"/>
  <c r="D15" i="15"/>
  <c r="E15" i="15"/>
  <c r="F15" i="15"/>
  <c r="G15" i="15"/>
  <c r="H15" i="15"/>
  <c r="I15" i="15"/>
  <c r="J15" i="15"/>
  <c r="K15" i="15"/>
  <c r="L15" i="15"/>
  <c r="M15" i="15"/>
  <c r="N15" i="15"/>
  <c r="O15" i="15"/>
  <c r="P15" i="15"/>
  <c r="Q15" i="15"/>
  <c r="R15" i="15"/>
  <c r="S15" i="15"/>
  <c r="T15" i="15"/>
  <c r="U15" i="15"/>
  <c r="V15" i="15"/>
  <c r="W15" i="15"/>
  <c r="X15" i="15"/>
  <c r="Y15" i="15"/>
  <c r="Z15" i="15"/>
  <c r="AA15" i="15"/>
  <c r="D16" i="15"/>
  <c r="E16" i="15"/>
  <c r="F16" i="15"/>
  <c r="G16" i="15"/>
  <c r="H16" i="15"/>
  <c r="I16" i="15"/>
  <c r="J16" i="15"/>
  <c r="K16" i="15"/>
  <c r="L16" i="15"/>
  <c r="M16" i="15"/>
  <c r="N16" i="15"/>
  <c r="O16" i="15"/>
  <c r="P16" i="15"/>
  <c r="Q16" i="15"/>
  <c r="R16" i="15"/>
  <c r="S16" i="15"/>
  <c r="T16" i="15"/>
  <c r="U16" i="15"/>
  <c r="V16" i="15"/>
  <c r="W16" i="15"/>
  <c r="X16" i="15"/>
  <c r="Y16" i="15"/>
  <c r="Z16" i="15"/>
  <c r="AA16" i="15"/>
  <c r="D17" i="15"/>
  <c r="E17" i="15"/>
  <c r="F17" i="15"/>
  <c r="G17" i="15"/>
  <c r="H17" i="15"/>
  <c r="I17" i="15"/>
  <c r="J17" i="15"/>
  <c r="K17" i="15"/>
  <c r="L17" i="15"/>
  <c r="M17" i="15"/>
  <c r="N17" i="15"/>
  <c r="O17" i="15"/>
  <c r="P17" i="15"/>
  <c r="Q17" i="15"/>
  <c r="R17" i="15"/>
  <c r="S17" i="15"/>
  <c r="T17" i="15"/>
  <c r="U17" i="15"/>
  <c r="V17" i="15"/>
  <c r="W17" i="15"/>
  <c r="X17" i="15"/>
  <c r="Y17" i="15"/>
  <c r="Z17" i="15"/>
  <c r="AA17" i="15"/>
  <c r="D18" i="15"/>
  <c r="E18" i="15"/>
  <c r="F18" i="15"/>
  <c r="G18" i="15"/>
  <c r="H18" i="15"/>
  <c r="I18" i="15"/>
  <c r="J18" i="15"/>
  <c r="K18" i="15"/>
  <c r="L18" i="15"/>
  <c r="M18" i="15"/>
  <c r="N18" i="15"/>
  <c r="O18" i="15"/>
  <c r="P18" i="15"/>
  <c r="Q18" i="15"/>
  <c r="R18" i="15"/>
  <c r="S18" i="15"/>
  <c r="T18" i="15"/>
  <c r="U18" i="15"/>
  <c r="V18" i="15"/>
  <c r="W18" i="15"/>
  <c r="X18" i="15"/>
  <c r="Y18" i="15"/>
  <c r="Z18" i="15"/>
  <c r="AA18" i="15"/>
  <c r="D19" i="15"/>
  <c r="E19" i="15"/>
  <c r="F19" i="15"/>
  <c r="G19" i="15"/>
  <c r="H19" i="15"/>
  <c r="I19" i="15"/>
  <c r="J19" i="15"/>
  <c r="K19" i="15"/>
  <c r="L19" i="15"/>
  <c r="M19" i="15"/>
  <c r="N19" i="15"/>
  <c r="O19" i="15"/>
  <c r="P19" i="15"/>
  <c r="Q19" i="15"/>
  <c r="R19" i="15"/>
  <c r="S19" i="15"/>
  <c r="T19" i="15"/>
  <c r="U19" i="15"/>
  <c r="V19" i="15"/>
  <c r="W19" i="15"/>
  <c r="X19" i="15"/>
  <c r="Y19" i="15"/>
  <c r="Z19" i="15"/>
  <c r="AA19" i="15"/>
  <c r="D20" i="15"/>
  <c r="E20" i="15"/>
  <c r="F20" i="15"/>
  <c r="G20" i="15"/>
  <c r="H20" i="15"/>
  <c r="I20" i="15"/>
  <c r="J20" i="15"/>
  <c r="K20" i="15"/>
  <c r="L20" i="15"/>
  <c r="M20" i="15"/>
  <c r="N20" i="15"/>
  <c r="O20" i="15"/>
  <c r="P20" i="15"/>
  <c r="Q20" i="15"/>
  <c r="R20" i="15"/>
  <c r="S20" i="15"/>
  <c r="T20" i="15"/>
  <c r="U20" i="15"/>
  <c r="V20" i="15"/>
  <c r="W20" i="15"/>
  <c r="X20" i="15"/>
  <c r="Y20" i="15"/>
  <c r="Z20" i="15"/>
  <c r="AA20" i="15"/>
  <c r="D21" i="15"/>
  <c r="E21" i="15"/>
  <c r="F21" i="15"/>
  <c r="G21" i="15"/>
  <c r="H21" i="15"/>
  <c r="I21" i="15"/>
  <c r="J21" i="15"/>
  <c r="K21" i="15"/>
  <c r="L21" i="15"/>
  <c r="M21" i="15"/>
  <c r="N21" i="15"/>
  <c r="O21" i="15"/>
  <c r="P21" i="15"/>
  <c r="Q21" i="15"/>
  <c r="R21" i="15"/>
  <c r="S21" i="15"/>
  <c r="T21" i="15"/>
  <c r="U21" i="15"/>
  <c r="V21" i="15"/>
  <c r="W21" i="15"/>
  <c r="X21" i="15"/>
  <c r="Y21" i="15"/>
  <c r="Z21" i="15"/>
  <c r="AA21" i="15"/>
  <c r="D22" i="15"/>
  <c r="E22" i="15"/>
  <c r="F22" i="15"/>
  <c r="G22" i="15"/>
  <c r="H22" i="15"/>
  <c r="I22" i="15"/>
  <c r="J22" i="15"/>
  <c r="K22" i="15"/>
  <c r="L22" i="15"/>
  <c r="M22" i="15"/>
  <c r="N22" i="15"/>
  <c r="O22" i="15"/>
  <c r="P22" i="15"/>
  <c r="Q22" i="15"/>
  <c r="R22" i="15"/>
  <c r="S22" i="15"/>
  <c r="T22" i="15"/>
  <c r="U22" i="15"/>
  <c r="V22" i="15"/>
  <c r="W22" i="15"/>
  <c r="X22" i="15"/>
  <c r="Y22" i="15"/>
  <c r="Z22" i="15"/>
  <c r="AA22" i="15"/>
  <c r="D23" i="15"/>
  <c r="E23" i="15"/>
  <c r="F23" i="15"/>
  <c r="G23" i="15"/>
  <c r="H23" i="15"/>
  <c r="I23" i="15"/>
  <c r="J23" i="15"/>
  <c r="K23" i="15"/>
  <c r="L23" i="15"/>
  <c r="M23" i="15"/>
  <c r="N23" i="15"/>
  <c r="O23" i="15"/>
  <c r="P23" i="15"/>
  <c r="Q23" i="15"/>
  <c r="R23" i="15"/>
  <c r="S23" i="15"/>
  <c r="T23" i="15"/>
  <c r="U23" i="15"/>
  <c r="V23" i="15"/>
  <c r="W23" i="15"/>
  <c r="X23" i="15"/>
  <c r="Y23" i="15"/>
  <c r="Z23" i="15"/>
  <c r="AA23" i="15"/>
  <c r="D24" i="15"/>
  <c r="E24" i="15"/>
  <c r="F24" i="15"/>
  <c r="G24" i="15"/>
  <c r="H24" i="15"/>
  <c r="I24" i="15"/>
  <c r="J24" i="15"/>
  <c r="K24" i="15"/>
  <c r="L24" i="15"/>
  <c r="M24" i="15"/>
  <c r="N24" i="15"/>
  <c r="O24" i="15"/>
  <c r="P24" i="15"/>
  <c r="Q24" i="15"/>
  <c r="R24" i="15"/>
  <c r="S24" i="15"/>
  <c r="T24" i="15"/>
  <c r="U24" i="15"/>
  <c r="V24" i="15"/>
  <c r="W24" i="15"/>
  <c r="X24" i="15"/>
  <c r="Y24" i="15"/>
  <c r="Z24" i="15"/>
  <c r="AA24" i="15"/>
  <c r="D25" i="15"/>
  <c r="E25" i="15"/>
  <c r="F25" i="15"/>
  <c r="G25" i="15"/>
  <c r="H25" i="15"/>
  <c r="I25" i="15"/>
  <c r="J25" i="15"/>
  <c r="K25" i="15"/>
  <c r="L25" i="15"/>
  <c r="M25" i="15"/>
  <c r="N25" i="15"/>
  <c r="O25" i="15"/>
  <c r="P25" i="15"/>
  <c r="Q25" i="15"/>
  <c r="R25" i="15"/>
  <c r="S25" i="15"/>
  <c r="T25" i="15"/>
  <c r="U25" i="15"/>
  <c r="V25" i="15"/>
  <c r="W25" i="15"/>
  <c r="X25" i="15"/>
  <c r="Y25" i="15"/>
  <c r="Z25" i="15"/>
  <c r="AA25" i="15"/>
  <c r="D26" i="15"/>
  <c r="E26" i="15"/>
  <c r="F26" i="15"/>
  <c r="G26" i="15"/>
  <c r="H26" i="15"/>
  <c r="I26" i="15"/>
  <c r="J26" i="15"/>
  <c r="K26" i="15"/>
  <c r="L26" i="15"/>
  <c r="M26" i="15"/>
  <c r="N26" i="15"/>
  <c r="O26" i="15"/>
  <c r="P26" i="15"/>
  <c r="Q26" i="15"/>
  <c r="R26" i="15"/>
  <c r="S26" i="15"/>
  <c r="T26" i="15"/>
  <c r="U26" i="15"/>
  <c r="V26" i="15"/>
  <c r="W26" i="15"/>
  <c r="X26" i="15"/>
  <c r="Y26" i="15"/>
  <c r="Z26" i="15"/>
  <c r="AA26" i="15"/>
  <c r="D27" i="15"/>
  <c r="E27" i="15"/>
  <c r="F27" i="15"/>
  <c r="G27" i="15"/>
  <c r="H27" i="15"/>
  <c r="I27" i="15"/>
  <c r="J27" i="15"/>
  <c r="K27" i="15"/>
  <c r="L27" i="15"/>
  <c r="M27" i="15"/>
  <c r="N27" i="15"/>
  <c r="O27" i="15"/>
  <c r="P27" i="15"/>
  <c r="Q27" i="15"/>
  <c r="R27" i="15"/>
  <c r="S27" i="15"/>
  <c r="T27" i="15"/>
  <c r="U27" i="15"/>
  <c r="V27" i="15"/>
  <c r="W27" i="15"/>
  <c r="X27" i="15"/>
  <c r="Y27" i="15"/>
  <c r="Z27" i="15"/>
  <c r="AA27" i="15"/>
  <c r="D28" i="15"/>
  <c r="E28" i="15"/>
  <c r="F28" i="15"/>
  <c r="G28" i="15"/>
  <c r="H28" i="15"/>
  <c r="I28" i="15"/>
  <c r="J28" i="15"/>
  <c r="K28" i="15"/>
  <c r="L28" i="15"/>
  <c r="M28" i="15"/>
  <c r="N28" i="15"/>
  <c r="O28" i="15"/>
  <c r="P28" i="15"/>
  <c r="Q28" i="15"/>
  <c r="R28" i="15"/>
  <c r="S28" i="15"/>
  <c r="T28" i="15"/>
  <c r="U28" i="15"/>
  <c r="V28" i="15"/>
  <c r="W28" i="15"/>
  <c r="X28" i="15"/>
  <c r="Y28" i="15"/>
  <c r="Z28" i="15"/>
  <c r="AA28" i="15"/>
  <c r="D29" i="15"/>
  <c r="E29" i="15"/>
  <c r="F29" i="15"/>
  <c r="G29" i="15"/>
  <c r="H29" i="15"/>
  <c r="I29" i="15"/>
  <c r="J29" i="15"/>
  <c r="K29" i="15"/>
  <c r="L29" i="15"/>
  <c r="M29" i="15"/>
  <c r="N29" i="15"/>
  <c r="O29" i="15"/>
  <c r="P29" i="15"/>
  <c r="Q29" i="15"/>
  <c r="R29" i="15"/>
  <c r="S29" i="15"/>
  <c r="T29" i="15"/>
  <c r="U29" i="15"/>
  <c r="V29" i="15"/>
  <c r="W29" i="15"/>
  <c r="X29" i="15"/>
  <c r="Y29" i="15"/>
  <c r="Z29" i="15"/>
  <c r="AA29" i="15"/>
  <c r="D30" i="15"/>
  <c r="E30" i="15"/>
  <c r="F30" i="15"/>
  <c r="G30" i="15"/>
  <c r="H30" i="15"/>
  <c r="I30" i="15"/>
  <c r="J30" i="15"/>
  <c r="K30" i="15"/>
  <c r="L30" i="15"/>
  <c r="M30" i="15"/>
  <c r="N30" i="15"/>
  <c r="O30" i="15"/>
  <c r="P30" i="15"/>
  <c r="Q30" i="15"/>
  <c r="R30" i="15"/>
  <c r="S30" i="15"/>
  <c r="T30" i="15"/>
  <c r="U30" i="15"/>
  <c r="V30" i="15"/>
  <c r="W30" i="15"/>
  <c r="X30" i="15"/>
  <c r="Y30" i="15"/>
  <c r="Z30" i="15"/>
  <c r="AA30" i="15"/>
  <c r="D31" i="15"/>
  <c r="E31" i="15"/>
  <c r="F31" i="15"/>
  <c r="G31" i="15"/>
  <c r="H31" i="15"/>
  <c r="I31" i="15"/>
  <c r="J31" i="15"/>
  <c r="K31" i="15"/>
  <c r="L31" i="15"/>
  <c r="M31" i="15"/>
  <c r="N31" i="15"/>
  <c r="O31" i="15"/>
  <c r="P31" i="15"/>
  <c r="Q31" i="15"/>
  <c r="R31" i="15"/>
  <c r="S31" i="15"/>
  <c r="T31" i="15"/>
  <c r="U31" i="15"/>
  <c r="V31" i="15"/>
  <c r="W31" i="15"/>
  <c r="X31" i="15"/>
  <c r="Y31" i="15"/>
  <c r="Z31" i="15"/>
  <c r="AA31" i="15"/>
  <c r="D32" i="15"/>
  <c r="E32" i="15"/>
  <c r="F32" i="15"/>
  <c r="G32" i="15"/>
  <c r="H32" i="15"/>
  <c r="I32" i="15"/>
  <c r="J32" i="15"/>
  <c r="K32" i="15"/>
  <c r="L32" i="15"/>
  <c r="M32" i="15"/>
  <c r="N32" i="15"/>
  <c r="O32" i="15"/>
  <c r="P32" i="15"/>
  <c r="Q32" i="15"/>
  <c r="R32" i="15"/>
  <c r="S32" i="15"/>
  <c r="T32" i="15"/>
  <c r="U32" i="15"/>
  <c r="V32" i="15"/>
  <c r="W32" i="15"/>
  <c r="X32" i="15"/>
  <c r="Y32" i="15"/>
  <c r="Z32" i="15"/>
  <c r="AA32" i="15"/>
  <c r="D33" i="15"/>
  <c r="E33" i="15"/>
  <c r="F33" i="15"/>
  <c r="G33" i="15"/>
  <c r="H33" i="15"/>
  <c r="I33" i="15"/>
  <c r="J33" i="15"/>
  <c r="K33" i="15"/>
  <c r="L33" i="15"/>
  <c r="M33" i="15"/>
  <c r="N33" i="15"/>
  <c r="O33" i="15"/>
  <c r="P33" i="15"/>
  <c r="Q33" i="15"/>
  <c r="R33" i="15"/>
  <c r="S33" i="15"/>
  <c r="T33" i="15"/>
  <c r="U33" i="15"/>
  <c r="V33" i="15"/>
  <c r="W33" i="15"/>
  <c r="X33" i="15"/>
  <c r="Y33" i="15"/>
  <c r="Z33" i="15"/>
  <c r="AA33" i="15"/>
  <c r="D34" i="15"/>
  <c r="E34" i="15"/>
  <c r="F34" i="15"/>
  <c r="G34" i="15"/>
  <c r="H34" i="15"/>
  <c r="I34" i="15"/>
  <c r="J34" i="15"/>
  <c r="K34" i="15"/>
  <c r="L34" i="15"/>
  <c r="M34" i="15"/>
  <c r="N34" i="15"/>
  <c r="O34" i="15"/>
  <c r="P34" i="15"/>
  <c r="Q34" i="15"/>
  <c r="R34" i="15"/>
  <c r="S34" i="15"/>
  <c r="T34" i="15"/>
  <c r="U34" i="15"/>
  <c r="V34" i="15"/>
  <c r="W34" i="15"/>
  <c r="X34" i="15"/>
  <c r="Y34" i="15"/>
  <c r="Z34" i="15"/>
  <c r="AA34" i="15"/>
  <c r="D35" i="15"/>
  <c r="E35" i="15"/>
  <c r="F35" i="15"/>
  <c r="G35" i="15"/>
  <c r="H35" i="15"/>
  <c r="I35" i="15"/>
  <c r="J35" i="15"/>
  <c r="K35" i="15"/>
  <c r="L35" i="15"/>
  <c r="M35" i="15"/>
  <c r="N35" i="15"/>
  <c r="O35" i="15"/>
  <c r="P35" i="15"/>
  <c r="Q35" i="15"/>
  <c r="R35" i="15"/>
  <c r="S35" i="15"/>
  <c r="T35" i="15"/>
  <c r="U35" i="15"/>
  <c r="V35" i="15"/>
  <c r="W35" i="15"/>
  <c r="X35" i="15"/>
  <c r="Y35" i="15"/>
  <c r="Z35" i="15"/>
  <c r="AA35" i="15"/>
  <c r="D36" i="15"/>
  <c r="E36" i="15"/>
  <c r="F36" i="15"/>
  <c r="G36" i="15"/>
  <c r="H36" i="15"/>
  <c r="I36" i="15"/>
  <c r="J36" i="15"/>
  <c r="K36" i="15"/>
  <c r="L36" i="15"/>
  <c r="M36" i="15"/>
  <c r="N36" i="15"/>
  <c r="O36" i="15"/>
  <c r="P36" i="15"/>
  <c r="Q36" i="15"/>
  <c r="R36" i="15"/>
  <c r="S36" i="15"/>
  <c r="T36" i="15"/>
  <c r="U36" i="15"/>
  <c r="V36" i="15"/>
  <c r="W36" i="15"/>
  <c r="X36" i="15"/>
  <c r="Y36" i="15"/>
  <c r="Z36" i="15"/>
  <c r="AA36" i="15"/>
  <c r="D37" i="15"/>
  <c r="E37" i="15"/>
  <c r="F37" i="15"/>
  <c r="G37" i="15"/>
  <c r="H37" i="15"/>
  <c r="I37" i="15"/>
  <c r="J37" i="15"/>
  <c r="K37" i="15"/>
  <c r="L37" i="15"/>
  <c r="M37" i="15"/>
  <c r="N37" i="15"/>
  <c r="O37" i="15"/>
  <c r="P37" i="15"/>
  <c r="Q37" i="15"/>
  <c r="R37" i="15"/>
  <c r="S37" i="15"/>
  <c r="T37" i="15"/>
  <c r="U37" i="15"/>
  <c r="V37" i="15"/>
  <c r="W37" i="15"/>
  <c r="X37" i="15"/>
  <c r="Y37" i="15"/>
  <c r="Z37" i="15"/>
  <c r="AA37" i="15"/>
  <c r="D38" i="15"/>
  <c r="E38" i="15"/>
  <c r="F38" i="15"/>
  <c r="G38" i="15"/>
  <c r="H38" i="15"/>
  <c r="I38" i="15"/>
  <c r="J38" i="15"/>
  <c r="K38" i="15"/>
  <c r="L38" i="15"/>
  <c r="M38" i="15"/>
  <c r="N38" i="15"/>
  <c r="O38" i="15"/>
  <c r="P38" i="15"/>
  <c r="Q38" i="15"/>
  <c r="R38" i="15"/>
  <c r="S38" i="15"/>
  <c r="T38" i="15"/>
  <c r="U38" i="15"/>
  <c r="V38" i="15"/>
  <c r="W38" i="15"/>
  <c r="X38" i="15"/>
  <c r="Y38" i="15"/>
  <c r="Z38" i="15"/>
  <c r="AA38" i="15"/>
  <c r="D39" i="15"/>
  <c r="E39" i="15"/>
  <c r="F39" i="15"/>
  <c r="G39" i="15"/>
  <c r="H39" i="15"/>
  <c r="I39" i="15"/>
  <c r="J39" i="15"/>
  <c r="K39" i="15"/>
  <c r="L39" i="15"/>
  <c r="M39" i="15"/>
  <c r="N39" i="15"/>
  <c r="O39" i="15"/>
  <c r="P39" i="15"/>
  <c r="Q39" i="15"/>
  <c r="R39" i="15"/>
  <c r="S39" i="15"/>
  <c r="T39" i="15"/>
  <c r="U39" i="15"/>
  <c r="V39" i="15"/>
  <c r="W39" i="15"/>
  <c r="X39" i="15"/>
  <c r="Y39" i="15"/>
  <c r="Z39" i="15"/>
  <c r="AA39" i="15"/>
  <c r="D40" i="15"/>
  <c r="E40" i="15"/>
  <c r="F40" i="15"/>
  <c r="G40" i="15"/>
  <c r="H40" i="15"/>
  <c r="I40" i="15"/>
  <c r="J40" i="15"/>
  <c r="K40" i="15"/>
  <c r="L40" i="15"/>
  <c r="M40" i="15"/>
  <c r="N40" i="15"/>
  <c r="O40" i="15"/>
  <c r="P40" i="15"/>
  <c r="Q40" i="15"/>
  <c r="R40" i="15"/>
  <c r="S40" i="15"/>
  <c r="T40" i="15"/>
  <c r="U40" i="15"/>
  <c r="V40" i="15"/>
  <c r="W40" i="15"/>
  <c r="X40" i="15"/>
  <c r="Y40" i="15"/>
  <c r="Z40" i="15"/>
  <c r="AA40" i="15"/>
  <c r="D41" i="15"/>
  <c r="E41" i="15"/>
  <c r="F41" i="15"/>
  <c r="G41" i="15"/>
  <c r="H41" i="15"/>
  <c r="I41" i="15"/>
  <c r="J41" i="15"/>
  <c r="K41" i="15"/>
  <c r="L41" i="15"/>
  <c r="M41" i="15"/>
  <c r="N41" i="15"/>
  <c r="O41" i="15"/>
  <c r="P41" i="15"/>
  <c r="Q41" i="15"/>
  <c r="R41" i="15"/>
  <c r="S41" i="15"/>
  <c r="T41" i="15"/>
  <c r="U41" i="15"/>
  <c r="V41" i="15"/>
  <c r="W41" i="15"/>
  <c r="X41" i="15"/>
  <c r="Y41" i="15"/>
  <c r="Z41" i="15"/>
  <c r="AA41" i="15"/>
  <c r="D42" i="15"/>
  <c r="E42" i="15"/>
  <c r="F42" i="15"/>
  <c r="G42" i="15"/>
  <c r="H42" i="15"/>
  <c r="I42" i="15"/>
  <c r="J42" i="15"/>
  <c r="K42" i="15"/>
  <c r="L42" i="15"/>
  <c r="M42" i="15"/>
  <c r="N42" i="15"/>
  <c r="O42" i="15"/>
  <c r="P42" i="15"/>
  <c r="Q42" i="15"/>
  <c r="R42" i="15"/>
  <c r="S42" i="15"/>
  <c r="T42" i="15"/>
  <c r="U42" i="15"/>
  <c r="V42" i="15"/>
  <c r="W42" i="15"/>
  <c r="X42" i="15"/>
  <c r="Y42" i="15"/>
  <c r="Z42" i="15"/>
  <c r="AA42" i="15"/>
  <c r="D43" i="15"/>
  <c r="E43" i="15"/>
  <c r="F43" i="15"/>
  <c r="G43" i="15"/>
  <c r="H43" i="15"/>
  <c r="I43" i="15"/>
  <c r="J43" i="15"/>
  <c r="K43" i="15"/>
  <c r="L43" i="15"/>
  <c r="M43" i="15"/>
  <c r="N43" i="15"/>
  <c r="O43" i="15"/>
  <c r="P43" i="15"/>
  <c r="Q43" i="15"/>
  <c r="R43" i="15"/>
  <c r="S43" i="15"/>
  <c r="T43" i="15"/>
  <c r="U43" i="15"/>
  <c r="V43" i="15"/>
  <c r="W43" i="15"/>
  <c r="X43" i="15"/>
  <c r="Y43" i="15"/>
  <c r="Z43" i="15"/>
  <c r="AA43" i="15"/>
  <c r="D44" i="15"/>
  <c r="E44" i="15"/>
  <c r="F44" i="15"/>
  <c r="G44" i="15"/>
  <c r="H44" i="15"/>
  <c r="I44" i="15"/>
  <c r="J44" i="15"/>
  <c r="K44" i="15"/>
  <c r="L44" i="15"/>
  <c r="M44" i="15"/>
  <c r="N44" i="15"/>
  <c r="O44" i="15"/>
  <c r="P44" i="15"/>
  <c r="Q44" i="15"/>
  <c r="R44" i="15"/>
  <c r="S44" i="15"/>
  <c r="T44" i="15"/>
  <c r="U44" i="15"/>
  <c r="V44" i="15"/>
  <c r="W44" i="15"/>
  <c r="X44" i="15"/>
  <c r="Y44" i="15"/>
  <c r="Z44" i="15"/>
  <c r="AA44" i="15"/>
  <c r="D45" i="15"/>
  <c r="E45" i="15"/>
  <c r="F45" i="15"/>
  <c r="G45" i="15"/>
  <c r="H45" i="15"/>
  <c r="I45" i="15"/>
  <c r="J45" i="15"/>
  <c r="K45" i="15"/>
  <c r="L45" i="15"/>
  <c r="M45" i="15"/>
  <c r="N45" i="15"/>
  <c r="O45" i="15"/>
  <c r="P45" i="15"/>
  <c r="Q45" i="15"/>
  <c r="R45" i="15"/>
  <c r="S45" i="15"/>
  <c r="T45" i="15"/>
  <c r="U45" i="15"/>
  <c r="V45" i="15"/>
  <c r="W45" i="15"/>
  <c r="X45" i="15"/>
  <c r="Y45" i="15"/>
  <c r="Z45" i="15"/>
  <c r="AA45" i="15"/>
  <c r="D46" i="15"/>
  <c r="E46" i="15"/>
  <c r="F46" i="15"/>
  <c r="G46" i="15"/>
  <c r="H46" i="15"/>
  <c r="I46" i="15"/>
  <c r="J46" i="15"/>
  <c r="K46" i="15"/>
  <c r="L46" i="15"/>
  <c r="M46" i="15"/>
  <c r="N46" i="15"/>
  <c r="O46" i="15"/>
  <c r="P46" i="15"/>
  <c r="Q46" i="15"/>
  <c r="R46" i="15"/>
  <c r="S46" i="15"/>
  <c r="T46" i="15"/>
  <c r="U46" i="15"/>
  <c r="V46" i="15"/>
  <c r="W46" i="15"/>
  <c r="X46" i="15"/>
  <c r="Y46" i="15"/>
  <c r="Z46" i="15"/>
  <c r="AA46" i="15"/>
  <c r="D47" i="15"/>
  <c r="E47" i="15"/>
  <c r="F47" i="15"/>
  <c r="G47" i="15"/>
  <c r="H47" i="15"/>
  <c r="I47" i="15"/>
  <c r="J47" i="15"/>
  <c r="K47" i="15"/>
  <c r="L47" i="15"/>
  <c r="M47" i="15"/>
  <c r="N47" i="15"/>
  <c r="O47" i="15"/>
  <c r="P47" i="15"/>
  <c r="Q47" i="15"/>
  <c r="R47" i="15"/>
  <c r="S47" i="15"/>
  <c r="T47" i="15"/>
  <c r="U47" i="15"/>
  <c r="V47" i="15"/>
  <c r="W47" i="15"/>
  <c r="X47" i="15"/>
  <c r="Y47" i="15"/>
  <c r="Z47" i="15"/>
  <c r="AA47" i="15"/>
  <c r="D48" i="15"/>
  <c r="E48" i="15"/>
  <c r="F48" i="15"/>
  <c r="G48" i="15"/>
  <c r="H48" i="15"/>
  <c r="I48" i="15"/>
  <c r="J48" i="15"/>
  <c r="K48" i="15"/>
  <c r="L48" i="15"/>
  <c r="M48" i="15"/>
  <c r="N48" i="15"/>
  <c r="O48" i="15"/>
  <c r="P48" i="15"/>
  <c r="Q48" i="15"/>
  <c r="R48" i="15"/>
  <c r="S48" i="15"/>
  <c r="T48" i="15"/>
  <c r="U48" i="15"/>
  <c r="V48" i="15"/>
  <c r="W48" i="15"/>
  <c r="X48" i="15"/>
  <c r="Y48" i="15"/>
  <c r="Z48" i="15"/>
  <c r="AA48" i="15"/>
  <c r="D49" i="15"/>
  <c r="E49" i="15"/>
  <c r="F49" i="15"/>
  <c r="G49" i="15"/>
  <c r="H49" i="15"/>
  <c r="I49" i="15"/>
  <c r="J49" i="15"/>
  <c r="K49" i="15"/>
  <c r="L49" i="15"/>
  <c r="M49" i="15"/>
  <c r="N49" i="15"/>
  <c r="O49" i="15"/>
  <c r="P49" i="15"/>
  <c r="Q49" i="15"/>
  <c r="R49" i="15"/>
  <c r="S49" i="15"/>
  <c r="T49" i="15"/>
  <c r="U49" i="15"/>
  <c r="V49" i="15"/>
  <c r="W49" i="15"/>
  <c r="X49" i="15"/>
  <c r="Y49" i="15"/>
  <c r="Z49" i="15"/>
  <c r="AA49" i="15"/>
  <c r="D50" i="15"/>
  <c r="E50" i="15"/>
  <c r="F50" i="15"/>
  <c r="G50" i="15"/>
  <c r="H50" i="15"/>
  <c r="I50" i="15"/>
  <c r="J50" i="15"/>
  <c r="K50" i="15"/>
  <c r="L50" i="15"/>
  <c r="M50" i="15"/>
  <c r="N50" i="15"/>
  <c r="O50" i="15"/>
  <c r="P50" i="15"/>
  <c r="Q50" i="15"/>
  <c r="R50" i="15"/>
  <c r="S50" i="15"/>
  <c r="T50" i="15"/>
  <c r="U50" i="15"/>
  <c r="V50" i="15"/>
  <c r="W50" i="15"/>
  <c r="X50" i="15"/>
  <c r="Y50" i="15"/>
  <c r="Z50" i="15"/>
  <c r="AA50" i="15"/>
  <c r="D51" i="15"/>
  <c r="E51" i="15"/>
  <c r="F51" i="15"/>
  <c r="G51" i="15"/>
  <c r="H51" i="15"/>
  <c r="I51" i="15"/>
  <c r="J51" i="15"/>
  <c r="K51" i="15"/>
  <c r="L51" i="15"/>
  <c r="M51" i="15"/>
  <c r="N51" i="15"/>
  <c r="O51" i="15"/>
  <c r="P51" i="15"/>
  <c r="Q51" i="15"/>
  <c r="R51" i="15"/>
  <c r="S51" i="15"/>
  <c r="T51" i="15"/>
  <c r="U51" i="15"/>
  <c r="V51" i="15"/>
  <c r="W51" i="15"/>
  <c r="X51" i="15"/>
  <c r="Y51" i="15"/>
  <c r="Z51" i="15"/>
  <c r="AA51" i="15"/>
  <c r="D52" i="15"/>
  <c r="E52" i="15"/>
  <c r="F52" i="15"/>
  <c r="G52" i="15"/>
  <c r="H52" i="15"/>
  <c r="I52" i="15"/>
  <c r="J52" i="15"/>
  <c r="K52" i="15"/>
  <c r="L52" i="15"/>
  <c r="M52" i="15"/>
  <c r="N52" i="15"/>
  <c r="O52" i="15"/>
  <c r="P52" i="15"/>
  <c r="Q52" i="15"/>
  <c r="R52" i="15"/>
  <c r="S52" i="15"/>
  <c r="T52" i="15"/>
  <c r="U52" i="15"/>
  <c r="V52" i="15"/>
  <c r="W52" i="15"/>
  <c r="X52" i="15"/>
  <c r="Y52" i="15"/>
  <c r="Z52" i="15"/>
  <c r="AA52" i="15"/>
  <c r="D53" i="15"/>
  <c r="E53" i="15"/>
  <c r="F53" i="15"/>
  <c r="G53" i="15"/>
  <c r="H53" i="15"/>
  <c r="I53" i="15"/>
  <c r="J53" i="15"/>
  <c r="K53" i="15"/>
  <c r="L53" i="15"/>
  <c r="M53" i="15"/>
  <c r="N53" i="15"/>
  <c r="O53" i="15"/>
  <c r="P53" i="15"/>
  <c r="Q53" i="15"/>
  <c r="R53" i="15"/>
  <c r="S53" i="15"/>
  <c r="T53" i="15"/>
  <c r="U53" i="15"/>
  <c r="V53" i="15"/>
  <c r="W53" i="15"/>
  <c r="X53" i="15"/>
  <c r="Y53" i="15"/>
  <c r="Z53" i="15"/>
  <c r="AA53" i="15"/>
  <c r="D54" i="15"/>
  <c r="E54" i="15"/>
  <c r="F54" i="15"/>
  <c r="G54" i="15"/>
  <c r="H54" i="15"/>
  <c r="I54" i="15"/>
  <c r="J54" i="15"/>
  <c r="K54" i="15"/>
  <c r="L54" i="15"/>
  <c r="M54" i="15"/>
  <c r="N54" i="15"/>
  <c r="O54" i="15"/>
  <c r="P54" i="15"/>
  <c r="Q54" i="15"/>
  <c r="R54" i="15"/>
  <c r="S54" i="15"/>
  <c r="T54" i="15"/>
  <c r="U54" i="15"/>
  <c r="V54" i="15"/>
  <c r="W54" i="15"/>
  <c r="X54" i="15"/>
  <c r="Y54" i="15"/>
  <c r="Z54" i="15"/>
  <c r="AA54" i="15"/>
  <c r="D55" i="15"/>
  <c r="E55" i="15"/>
  <c r="F55" i="15"/>
  <c r="G55" i="15"/>
  <c r="H55" i="15"/>
  <c r="I55" i="15"/>
  <c r="J55" i="15"/>
  <c r="K55" i="15"/>
  <c r="L55" i="15"/>
  <c r="M55" i="15"/>
  <c r="N55" i="15"/>
  <c r="O55" i="15"/>
  <c r="P55" i="15"/>
  <c r="Q55" i="15"/>
  <c r="R55" i="15"/>
  <c r="S55" i="15"/>
  <c r="T55" i="15"/>
  <c r="U55" i="15"/>
  <c r="V55" i="15"/>
  <c r="W55" i="15"/>
  <c r="X55" i="15"/>
  <c r="Y55" i="15"/>
  <c r="Z55" i="15"/>
  <c r="AA55" i="15"/>
  <c r="D2" i="12"/>
  <c r="E2" i="12"/>
  <c r="F2" i="12"/>
  <c r="G2" i="12"/>
  <c r="H2" i="12"/>
  <c r="I2" i="12"/>
  <c r="J2" i="12"/>
  <c r="K2" i="12"/>
  <c r="L2" i="12"/>
  <c r="M2" i="12"/>
  <c r="N2" i="12"/>
  <c r="O2" i="12"/>
  <c r="P2" i="12"/>
  <c r="Q2" i="12"/>
  <c r="R2" i="12"/>
  <c r="S2" i="12"/>
  <c r="T2" i="12"/>
  <c r="U2" i="12"/>
  <c r="V2" i="12"/>
  <c r="W2" i="12"/>
  <c r="X2" i="12"/>
  <c r="Y2" i="12"/>
  <c r="Z2" i="12"/>
  <c r="AA2" i="12"/>
  <c r="D3" i="12"/>
  <c r="E3" i="12"/>
  <c r="F3" i="12"/>
  <c r="G3" i="12"/>
  <c r="H3" i="12"/>
  <c r="I3" i="12"/>
  <c r="J3" i="12"/>
  <c r="K3" i="12"/>
  <c r="L3" i="12"/>
  <c r="M3" i="12"/>
  <c r="N3" i="12"/>
  <c r="O3" i="12"/>
  <c r="P3" i="12"/>
  <c r="Q3" i="12"/>
  <c r="R3" i="12"/>
  <c r="S3" i="12"/>
  <c r="T3" i="12"/>
  <c r="U3" i="12"/>
  <c r="V3" i="12"/>
  <c r="W3" i="12"/>
  <c r="X3" i="12"/>
  <c r="Y3" i="12"/>
  <c r="Z3" i="12"/>
  <c r="AA3" i="12"/>
  <c r="D4" i="12"/>
  <c r="E4" i="12"/>
  <c r="F4" i="12"/>
  <c r="G4" i="12"/>
  <c r="H4" i="12"/>
  <c r="I4" i="12"/>
  <c r="J4" i="12"/>
  <c r="K4" i="12"/>
  <c r="L4" i="12"/>
  <c r="M4" i="12"/>
  <c r="N4" i="12"/>
  <c r="O4" i="12"/>
  <c r="P4" i="12"/>
  <c r="Q4" i="12"/>
  <c r="R4" i="12"/>
  <c r="S4" i="12"/>
  <c r="T4" i="12"/>
  <c r="U4" i="12"/>
  <c r="V4" i="12"/>
  <c r="W4" i="12"/>
  <c r="X4" i="12"/>
  <c r="Y4" i="12"/>
  <c r="Z4" i="12"/>
  <c r="AA4" i="12"/>
  <c r="D5" i="12"/>
  <c r="E5" i="12"/>
  <c r="F5" i="12"/>
  <c r="G5" i="12"/>
  <c r="H5" i="12"/>
  <c r="I5" i="12"/>
  <c r="J5" i="12"/>
  <c r="K5" i="12"/>
  <c r="L5" i="12"/>
  <c r="M5" i="12"/>
  <c r="N5" i="12"/>
  <c r="O5" i="12"/>
  <c r="P5" i="12"/>
  <c r="Q5" i="12"/>
  <c r="R5" i="12"/>
  <c r="S5" i="12"/>
  <c r="T5" i="12"/>
  <c r="U5" i="12"/>
  <c r="V5" i="12"/>
  <c r="W5" i="12"/>
  <c r="X5" i="12"/>
  <c r="Y5" i="12"/>
  <c r="Z5" i="12"/>
  <c r="AA5" i="12"/>
  <c r="D6" i="12"/>
  <c r="E6" i="12"/>
  <c r="F6" i="12"/>
  <c r="G6" i="12"/>
  <c r="H6" i="12"/>
  <c r="I6" i="12"/>
  <c r="J6" i="12"/>
  <c r="K6" i="12"/>
  <c r="L6" i="12"/>
  <c r="M6" i="12"/>
  <c r="N6" i="12"/>
  <c r="O6" i="12"/>
  <c r="P6" i="12"/>
  <c r="Q6" i="12"/>
  <c r="R6" i="12"/>
  <c r="S6" i="12"/>
  <c r="T6" i="12"/>
  <c r="U6" i="12"/>
  <c r="V6" i="12"/>
  <c r="W6" i="12"/>
  <c r="X6" i="12"/>
  <c r="Y6" i="12"/>
  <c r="Z6" i="12"/>
  <c r="AA6" i="12"/>
  <c r="D7" i="12"/>
  <c r="E7" i="12"/>
  <c r="F7" i="12"/>
  <c r="G7" i="12"/>
  <c r="H7" i="12"/>
  <c r="I7" i="12"/>
  <c r="J7" i="12"/>
  <c r="K7" i="12"/>
  <c r="L7" i="12"/>
  <c r="M7" i="12"/>
  <c r="N7" i="12"/>
  <c r="O7" i="12"/>
  <c r="P7" i="12"/>
  <c r="Q7" i="12"/>
  <c r="R7" i="12"/>
  <c r="S7" i="12"/>
  <c r="T7" i="12"/>
  <c r="U7" i="12"/>
  <c r="V7" i="12"/>
  <c r="W7" i="12"/>
  <c r="X7" i="12"/>
  <c r="Y7" i="12"/>
  <c r="Z7" i="12"/>
  <c r="AA7" i="12"/>
  <c r="D8" i="12"/>
  <c r="E8" i="12"/>
  <c r="F8" i="12"/>
  <c r="G8" i="12"/>
  <c r="H8" i="12"/>
  <c r="I8" i="12"/>
  <c r="J8" i="12"/>
  <c r="K8" i="12"/>
  <c r="L8" i="12"/>
  <c r="M8" i="12"/>
  <c r="N8" i="12"/>
  <c r="O8" i="12"/>
  <c r="P8" i="12"/>
  <c r="Q8" i="12"/>
  <c r="R8" i="12"/>
  <c r="S8" i="12"/>
  <c r="T8" i="12"/>
  <c r="U8" i="12"/>
  <c r="V8" i="12"/>
  <c r="W8" i="12"/>
  <c r="X8" i="12"/>
  <c r="Y8" i="12"/>
  <c r="Z8" i="12"/>
  <c r="AA8" i="12"/>
  <c r="D9" i="12"/>
  <c r="E9" i="12"/>
  <c r="F9" i="12"/>
  <c r="G9" i="12"/>
  <c r="H9" i="12"/>
  <c r="I9" i="12"/>
  <c r="J9" i="12"/>
  <c r="K9" i="12"/>
  <c r="L9" i="12"/>
  <c r="M9" i="12"/>
  <c r="N9" i="12"/>
  <c r="O9" i="12"/>
  <c r="P9" i="12"/>
  <c r="Q9" i="12"/>
  <c r="R9" i="12"/>
  <c r="S9" i="12"/>
  <c r="T9" i="12"/>
  <c r="U9" i="12"/>
  <c r="V9" i="12"/>
  <c r="W9" i="12"/>
  <c r="X9" i="12"/>
  <c r="Y9" i="12"/>
  <c r="Z9" i="12"/>
  <c r="AA9" i="12"/>
  <c r="D10" i="12"/>
  <c r="E10" i="12"/>
  <c r="F10" i="12"/>
  <c r="G10" i="12"/>
  <c r="H10" i="12"/>
  <c r="I10" i="12"/>
  <c r="J10" i="12"/>
  <c r="K10" i="12"/>
  <c r="L10" i="12"/>
  <c r="M10" i="12"/>
  <c r="N10" i="12"/>
  <c r="O10" i="12"/>
  <c r="P10" i="12"/>
  <c r="Q10" i="12"/>
  <c r="R10" i="12"/>
  <c r="S10" i="12"/>
  <c r="T10" i="12"/>
  <c r="U10" i="12"/>
  <c r="V10" i="12"/>
  <c r="W10" i="12"/>
  <c r="X10" i="12"/>
  <c r="Y10" i="12"/>
  <c r="Z10" i="12"/>
  <c r="AA10" i="12"/>
  <c r="D11" i="12"/>
  <c r="E11" i="12"/>
  <c r="F11" i="12"/>
  <c r="G11" i="12"/>
  <c r="H11" i="12"/>
  <c r="I11" i="12"/>
  <c r="J11" i="12"/>
  <c r="K11" i="12"/>
  <c r="L11" i="12"/>
  <c r="M11" i="12"/>
  <c r="N11" i="12"/>
  <c r="O11" i="12"/>
  <c r="P11" i="12"/>
  <c r="Q11" i="12"/>
  <c r="R11" i="12"/>
  <c r="S11" i="12"/>
  <c r="T11" i="12"/>
  <c r="U11" i="12"/>
  <c r="V11" i="12"/>
  <c r="W11" i="12"/>
  <c r="X11" i="12"/>
  <c r="Y11" i="12"/>
  <c r="Z11" i="12"/>
  <c r="AA11" i="12"/>
  <c r="D12" i="12"/>
  <c r="E12" i="12"/>
  <c r="F12" i="12"/>
  <c r="G12" i="12"/>
  <c r="H12" i="12"/>
  <c r="I12" i="12"/>
  <c r="J12" i="12"/>
  <c r="K12" i="12"/>
  <c r="L12" i="12"/>
  <c r="M12" i="12"/>
  <c r="N12" i="12"/>
  <c r="O12" i="12"/>
  <c r="P12" i="12"/>
  <c r="Q12" i="12"/>
  <c r="R12" i="12"/>
  <c r="S12" i="12"/>
  <c r="T12" i="12"/>
  <c r="U12" i="12"/>
  <c r="V12" i="12"/>
  <c r="W12" i="12"/>
  <c r="X12" i="12"/>
  <c r="Y12" i="12"/>
  <c r="Z12" i="12"/>
  <c r="AA12" i="12"/>
  <c r="D13" i="12"/>
  <c r="E13" i="12"/>
  <c r="F13" i="12"/>
  <c r="G13" i="12"/>
  <c r="H13" i="12"/>
  <c r="I13" i="12"/>
  <c r="J13" i="12"/>
  <c r="K13" i="12"/>
  <c r="L13" i="12"/>
  <c r="M13" i="12"/>
  <c r="N13" i="12"/>
  <c r="O13" i="12"/>
  <c r="P13" i="12"/>
  <c r="Q13" i="12"/>
  <c r="R13" i="12"/>
  <c r="S13" i="12"/>
  <c r="T13" i="12"/>
  <c r="U13" i="12"/>
  <c r="V13" i="12"/>
  <c r="W13" i="12"/>
  <c r="X13" i="12"/>
  <c r="Y13" i="12"/>
  <c r="Z13" i="12"/>
  <c r="AA13" i="12"/>
  <c r="D14" i="12"/>
  <c r="E14" i="12"/>
  <c r="F14" i="12"/>
  <c r="G14" i="12"/>
  <c r="H14" i="12"/>
  <c r="I14" i="12"/>
  <c r="J14" i="12"/>
  <c r="K14" i="12"/>
  <c r="L14" i="12"/>
  <c r="M14" i="12"/>
  <c r="N14" i="12"/>
  <c r="O14" i="12"/>
  <c r="P14" i="12"/>
  <c r="Q14" i="12"/>
  <c r="R14" i="12"/>
  <c r="S14" i="12"/>
  <c r="T14" i="12"/>
  <c r="U14" i="12"/>
  <c r="V14" i="12"/>
  <c r="W14" i="12"/>
  <c r="X14" i="12"/>
  <c r="Y14" i="12"/>
  <c r="Z14" i="12"/>
  <c r="AA14" i="12"/>
  <c r="D15" i="12"/>
  <c r="E15" i="12"/>
  <c r="F15" i="12"/>
  <c r="G15" i="12"/>
  <c r="H15" i="12"/>
  <c r="I15" i="12"/>
  <c r="J15" i="12"/>
  <c r="K15" i="12"/>
  <c r="L15" i="12"/>
  <c r="M15" i="12"/>
  <c r="N15" i="12"/>
  <c r="O15" i="12"/>
  <c r="P15" i="12"/>
  <c r="Q15" i="12"/>
  <c r="R15" i="12"/>
  <c r="S15" i="12"/>
  <c r="T15" i="12"/>
  <c r="U15" i="12"/>
  <c r="V15" i="12"/>
  <c r="W15" i="12"/>
  <c r="X15" i="12"/>
  <c r="Y15" i="12"/>
  <c r="Z15" i="12"/>
  <c r="AA15" i="12"/>
  <c r="D16" i="12"/>
  <c r="E16" i="12"/>
  <c r="F16" i="12"/>
  <c r="G16" i="12"/>
  <c r="H16" i="12"/>
  <c r="I16" i="12"/>
  <c r="J16" i="12"/>
  <c r="K16" i="12"/>
  <c r="L16" i="12"/>
  <c r="M16" i="12"/>
  <c r="N16" i="12"/>
  <c r="O16" i="12"/>
  <c r="P16" i="12"/>
  <c r="Q16" i="12"/>
  <c r="R16" i="12"/>
  <c r="S16" i="12"/>
  <c r="T16" i="12"/>
  <c r="U16" i="12"/>
  <c r="V16" i="12"/>
  <c r="W16" i="12"/>
  <c r="X16" i="12"/>
  <c r="Y16" i="12"/>
  <c r="Z16" i="12"/>
  <c r="AA16" i="12"/>
  <c r="D17" i="12"/>
  <c r="E17" i="12"/>
  <c r="F17" i="12"/>
  <c r="G17" i="12"/>
  <c r="H17" i="12"/>
  <c r="I17" i="12"/>
  <c r="J17" i="12"/>
  <c r="K17" i="12"/>
  <c r="L17" i="12"/>
  <c r="M17" i="12"/>
  <c r="N17" i="12"/>
  <c r="O17" i="12"/>
  <c r="P17" i="12"/>
  <c r="Q17" i="12"/>
  <c r="R17" i="12"/>
  <c r="S17" i="12"/>
  <c r="T17" i="12"/>
  <c r="U17" i="12"/>
  <c r="V17" i="12"/>
  <c r="W17" i="12"/>
  <c r="X17" i="12"/>
  <c r="Y17" i="12"/>
  <c r="Z17" i="12"/>
  <c r="AA17" i="12"/>
  <c r="D18" i="12"/>
  <c r="E18" i="12"/>
  <c r="F18" i="12"/>
  <c r="G18" i="12"/>
  <c r="H18" i="12"/>
  <c r="I18" i="12"/>
  <c r="J18" i="12"/>
  <c r="K18" i="12"/>
  <c r="L18" i="12"/>
  <c r="M18" i="12"/>
  <c r="N18" i="12"/>
  <c r="O18" i="12"/>
  <c r="P18" i="12"/>
  <c r="Q18" i="12"/>
  <c r="R18" i="12"/>
  <c r="S18" i="12"/>
  <c r="T18" i="12"/>
  <c r="U18" i="12"/>
  <c r="V18" i="12"/>
  <c r="W18" i="12"/>
  <c r="X18" i="12"/>
  <c r="Y18" i="12"/>
  <c r="Z18" i="12"/>
  <c r="AA18" i="12"/>
  <c r="D19" i="12"/>
  <c r="E19" i="12"/>
  <c r="F19" i="12"/>
  <c r="G19" i="12"/>
  <c r="H19" i="12"/>
  <c r="I19" i="12"/>
  <c r="J19" i="12"/>
  <c r="K19" i="12"/>
  <c r="L19" i="12"/>
  <c r="M19" i="12"/>
  <c r="N19" i="12"/>
  <c r="O19" i="12"/>
  <c r="P19" i="12"/>
  <c r="Q19" i="12"/>
  <c r="R19" i="12"/>
  <c r="S19" i="12"/>
  <c r="T19" i="12"/>
  <c r="U19" i="12"/>
  <c r="V19" i="12"/>
  <c r="W19" i="12"/>
  <c r="X19" i="12"/>
  <c r="Y19" i="12"/>
  <c r="Z19" i="12"/>
  <c r="AA19" i="12"/>
  <c r="D20" i="12"/>
  <c r="E20" i="12"/>
  <c r="F20" i="12"/>
  <c r="G20" i="12"/>
  <c r="H20" i="12"/>
  <c r="I20" i="12"/>
  <c r="J20" i="12"/>
  <c r="K20" i="12"/>
  <c r="L20" i="12"/>
  <c r="M20" i="12"/>
  <c r="N20" i="12"/>
  <c r="O20" i="12"/>
  <c r="P20" i="12"/>
  <c r="Q20" i="12"/>
  <c r="R20" i="12"/>
  <c r="S20" i="12"/>
  <c r="T20" i="12"/>
  <c r="U20" i="12"/>
  <c r="V20" i="12"/>
  <c r="W20" i="12"/>
  <c r="X20" i="12"/>
  <c r="Y20" i="12"/>
  <c r="Z20" i="12"/>
  <c r="AA20" i="12"/>
  <c r="D21" i="12"/>
  <c r="E21" i="12"/>
  <c r="F21" i="12"/>
  <c r="G21" i="12"/>
  <c r="H21" i="12"/>
  <c r="I21" i="12"/>
  <c r="J21" i="12"/>
  <c r="K21" i="12"/>
  <c r="L21" i="12"/>
  <c r="M21" i="12"/>
  <c r="N21" i="12"/>
  <c r="O21" i="12"/>
  <c r="P21" i="12"/>
  <c r="Q21" i="12"/>
  <c r="R21" i="12"/>
  <c r="S21" i="12"/>
  <c r="T21" i="12"/>
  <c r="U21" i="12"/>
  <c r="V21" i="12"/>
  <c r="W21" i="12"/>
  <c r="X21" i="12"/>
  <c r="Y21" i="12"/>
  <c r="Z21" i="12"/>
  <c r="AA21" i="12"/>
  <c r="D22" i="12"/>
  <c r="E22" i="12"/>
  <c r="F22" i="12"/>
  <c r="G22" i="12"/>
  <c r="H22" i="12"/>
  <c r="I22" i="12"/>
  <c r="J22" i="12"/>
  <c r="K22" i="12"/>
  <c r="L22" i="12"/>
  <c r="M22" i="12"/>
  <c r="N22" i="12"/>
  <c r="O22" i="12"/>
  <c r="P22" i="12"/>
  <c r="Q22" i="12"/>
  <c r="R22" i="12"/>
  <c r="S22" i="12"/>
  <c r="T22" i="12"/>
  <c r="U22" i="12"/>
  <c r="V22" i="12"/>
  <c r="W22" i="12"/>
  <c r="X22" i="12"/>
  <c r="Y22" i="12"/>
  <c r="Z22" i="12"/>
  <c r="AA22" i="12"/>
  <c r="D23" i="12"/>
  <c r="E23" i="12"/>
  <c r="F23" i="12"/>
  <c r="G23" i="12"/>
  <c r="H23" i="12"/>
  <c r="I23" i="12"/>
  <c r="J23" i="12"/>
  <c r="K23" i="12"/>
  <c r="L23" i="12"/>
  <c r="M23" i="12"/>
  <c r="N23" i="12"/>
  <c r="O23" i="12"/>
  <c r="P23" i="12"/>
  <c r="Q23" i="12"/>
  <c r="R23" i="12"/>
  <c r="S23" i="12"/>
  <c r="T23" i="12"/>
  <c r="U23" i="12"/>
  <c r="V23" i="12"/>
  <c r="W23" i="12"/>
  <c r="X23" i="12"/>
  <c r="Y23" i="12"/>
  <c r="Z23" i="12"/>
  <c r="AA23" i="12"/>
  <c r="D24" i="12"/>
  <c r="E24" i="12"/>
  <c r="F24" i="12"/>
  <c r="G24" i="12"/>
  <c r="H24" i="12"/>
  <c r="I24" i="12"/>
  <c r="J24" i="12"/>
  <c r="K24" i="12"/>
  <c r="L24" i="12"/>
  <c r="M24" i="12"/>
  <c r="N24" i="12"/>
  <c r="O24" i="12"/>
  <c r="P24" i="12"/>
  <c r="Q24" i="12"/>
  <c r="R24" i="12"/>
  <c r="S24" i="12"/>
  <c r="T24" i="12"/>
  <c r="U24" i="12"/>
  <c r="V24" i="12"/>
  <c r="W24" i="12"/>
  <c r="X24" i="12"/>
  <c r="Y24" i="12"/>
  <c r="Z24" i="12"/>
  <c r="AA24" i="12"/>
  <c r="D56" i="13"/>
  <c r="E56" i="13"/>
  <c r="F56" i="13"/>
  <c r="G56" i="13"/>
  <c r="H56" i="13"/>
  <c r="I56" i="13"/>
  <c r="J56" i="13"/>
  <c r="K56" i="13"/>
  <c r="L56" i="13"/>
  <c r="M56" i="13"/>
  <c r="N56" i="13"/>
  <c r="O56" i="13"/>
  <c r="P56" i="13"/>
  <c r="Q56" i="13"/>
  <c r="R56" i="13"/>
  <c r="S56" i="13"/>
  <c r="T56" i="13"/>
  <c r="U56" i="13"/>
  <c r="V56" i="13"/>
  <c r="W56" i="13"/>
  <c r="X56" i="13"/>
  <c r="Y56" i="13"/>
  <c r="Z56" i="13"/>
  <c r="AA56" i="13"/>
  <c r="D57" i="13"/>
  <c r="E57" i="13"/>
  <c r="F57" i="13"/>
  <c r="G57" i="13"/>
  <c r="H57" i="13"/>
  <c r="I57" i="13"/>
  <c r="J57" i="13"/>
  <c r="K57" i="13"/>
  <c r="L57" i="13"/>
  <c r="M57" i="13"/>
  <c r="N57" i="13"/>
  <c r="O57" i="13"/>
  <c r="P57" i="13"/>
  <c r="Q57" i="13"/>
  <c r="R57" i="13"/>
  <c r="S57" i="13"/>
  <c r="T57" i="13"/>
  <c r="U57" i="13"/>
  <c r="V57" i="13"/>
  <c r="W57" i="13"/>
  <c r="X57" i="13"/>
  <c r="Y57" i="13"/>
  <c r="Z57" i="13"/>
  <c r="AA57" i="13"/>
  <c r="D58" i="13"/>
  <c r="E58" i="13"/>
  <c r="F58" i="13"/>
  <c r="G58" i="13"/>
  <c r="H58" i="13"/>
  <c r="I58" i="13"/>
  <c r="J58" i="13"/>
  <c r="K58" i="13"/>
  <c r="L58" i="13"/>
  <c r="M58" i="13"/>
  <c r="N58" i="13"/>
  <c r="O58" i="13"/>
  <c r="P58" i="13"/>
  <c r="Q58" i="13"/>
  <c r="R58" i="13"/>
  <c r="S58" i="13"/>
  <c r="T58" i="13"/>
  <c r="U58" i="13"/>
  <c r="V58" i="13"/>
  <c r="W58" i="13"/>
  <c r="X58" i="13"/>
  <c r="Y58" i="13"/>
  <c r="Z58" i="13"/>
  <c r="AA58" i="13"/>
  <c r="D59" i="13"/>
  <c r="E59" i="13"/>
  <c r="F59" i="13"/>
  <c r="G59" i="13"/>
  <c r="H59" i="13"/>
  <c r="I59" i="13"/>
  <c r="J59" i="13"/>
  <c r="K59" i="13"/>
  <c r="L59" i="13"/>
  <c r="M59" i="13"/>
  <c r="N59" i="13"/>
  <c r="O59" i="13"/>
  <c r="P59" i="13"/>
  <c r="Q59" i="13"/>
  <c r="R59" i="13"/>
  <c r="S59" i="13"/>
  <c r="T59" i="13"/>
  <c r="U59" i="13"/>
  <c r="V59" i="13"/>
  <c r="W59" i="13"/>
  <c r="X59" i="13"/>
  <c r="Y59" i="13"/>
  <c r="Z59" i="13"/>
  <c r="AA59" i="13"/>
  <c r="D60" i="13"/>
  <c r="E60" i="13"/>
  <c r="F60" i="13"/>
  <c r="G60" i="13"/>
  <c r="H60" i="13"/>
  <c r="I60" i="13"/>
  <c r="J60" i="13"/>
  <c r="K60" i="13"/>
  <c r="L60" i="13"/>
  <c r="M60" i="13"/>
  <c r="N60" i="13"/>
  <c r="O60" i="13"/>
  <c r="P60" i="13"/>
  <c r="Q60" i="13"/>
  <c r="R60" i="13"/>
  <c r="S60" i="13"/>
  <c r="T60" i="13"/>
  <c r="U60" i="13"/>
  <c r="V60" i="13"/>
  <c r="W60" i="13"/>
  <c r="X60" i="13"/>
  <c r="Y60" i="13"/>
  <c r="Z60" i="13"/>
  <c r="AA60" i="13"/>
  <c r="D61" i="13"/>
  <c r="E61" i="13"/>
  <c r="F61" i="13"/>
  <c r="G61" i="13"/>
  <c r="H61" i="13"/>
  <c r="I61" i="13"/>
  <c r="J61" i="13"/>
  <c r="K61" i="13"/>
  <c r="L61" i="13"/>
  <c r="M61" i="13"/>
  <c r="N61" i="13"/>
  <c r="O61" i="13"/>
  <c r="P61" i="13"/>
  <c r="Q61" i="13"/>
  <c r="R61" i="13"/>
  <c r="S61" i="13"/>
  <c r="T61" i="13"/>
  <c r="U61" i="13"/>
  <c r="V61" i="13"/>
  <c r="W61" i="13"/>
  <c r="X61" i="13"/>
  <c r="Y61" i="13"/>
  <c r="Z61" i="13"/>
  <c r="AA61" i="13"/>
  <c r="D62" i="13"/>
  <c r="E62" i="13"/>
  <c r="F62" i="13"/>
  <c r="G62" i="13"/>
  <c r="H62" i="13"/>
  <c r="I62" i="13"/>
  <c r="J62" i="13"/>
  <c r="K62" i="13"/>
  <c r="L62" i="13"/>
  <c r="M62" i="13"/>
  <c r="N62" i="13"/>
  <c r="O62" i="13"/>
  <c r="P62" i="13"/>
  <c r="Q62" i="13"/>
  <c r="R62" i="13"/>
  <c r="S62" i="13"/>
  <c r="T62" i="13"/>
  <c r="U62" i="13"/>
  <c r="V62" i="13"/>
  <c r="W62" i="13"/>
  <c r="X62" i="13"/>
  <c r="Y62" i="13"/>
  <c r="Z62" i="13"/>
  <c r="AA62" i="13"/>
  <c r="D63" i="13"/>
  <c r="E63" i="13"/>
  <c r="F63" i="13"/>
  <c r="G63" i="13"/>
  <c r="H63" i="13"/>
  <c r="I63" i="13"/>
  <c r="J63" i="13"/>
  <c r="K63" i="13"/>
  <c r="L63" i="13"/>
  <c r="M63" i="13"/>
  <c r="N63" i="13"/>
  <c r="O63" i="13"/>
  <c r="P63" i="13"/>
  <c r="Q63" i="13"/>
  <c r="R63" i="13"/>
  <c r="S63" i="13"/>
  <c r="T63" i="13"/>
  <c r="U63" i="13"/>
  <c r="V63" i="13"/>
  <c r="W63" i="13"/>
  <c r="X63" i="13"/>
  <c r="Y63" i="13"/>
  <c r="Z63" i="13"/>
  <c r="AA63" i="13"/>
  <c r="D2" i="13"/>
  <c r="E2" i="13"/>
  <c r="F2" i="13"/>
  <c r="G2" i="13"/>
  <c r="H2" i="13"/>
  <c r="I2" i="13"/>
  <c r="J2" i="13"/>
  <c r="K2" i="13"/>
  <c r="L2" i="13"/>
  <c r="M2" i="13"/>
  <c r="N2" i="13"/>
  <c r="O2" i="13"/>
  <c r="P2" i="13"/>
  <c r="Q2" i="13"/>
  <c r="R2" i="13"/>
  <c r="S2" i="13"/>
  <c r="T2" i="13"/>
  <c r="U2" i="13"/>
  <c r="V2" i="13"/>
  <c r="W2" i="13"/>
  <c r="X2" i="13"/>
  <c r="Y2" i="13"/>
  <c r="Z2" i="13"/>
  <c r="AA2" i="13"/>
  <c r="D3" i="13"/>
  <c r="E3" i="13"/>
  <c r="F3" i="13"/>
  <c r="G3" i="13"/>
  <c r="H3" i="13"/>
  <c r="I3" i="13"/>
  <c r="J3" i="13"/>
  <c r="K3" i="13"/>
  <c r="L3" i="13"/>
  <c r="M3" i="13"/>
  <c r="N3" i="13"/>
  <c r="O3" i="13"/>
  <c r="P3" i="13"/>
  <c r="Q3" i="13"/>
  <c r="R3" i="13"/>
  <c r="S3" i="13"/>
  <c r="T3" i="13"/>
  <c r="U3" i="13"/>
  <c r="V3" i="13"/>
  <c r="W3" i="13"/>
  <c r="X3" i="13"/>
  <c r="Y3" i="13"/>
  <c r="Z3" i="13"/>
  <c r="AA3" i="13"/>
  <c r="D4" i="13"/>
  <c r="E4" i="13"/>
  <c r="F4" i="13"/>
  <c r="G4" i="13"/>
  <c r="H4" i="13"/>
  <c r="I4" i="13"/>
  <c r="J4" i="13"/>
  <c r="K4" i="13"/>
  <c r="L4" i="13"/>
  <c r="M4" i="13"/>
  <c r="N4" i="13"/>
  <c r="O4" i="13"/>
  <c r="P4" i="13"/>
  <c r="Q4" i="13"/>
  <c r="R4" i="13"/>
  <c r="S4" i="13"/>
  <c r="T4" i="13"/>
  <c r="U4" i="13"/>
  <c r="V4" i="13"/>
  <c r="W4" i="13"/>
  <c r="X4" i="13"/>
  <c r="Y4" i="13"/>
  <c r="Z4" i="13"/>
  <c r="AA4" i="13"/>
  <c r="D5" i="13"/>
  <c r="E5" i="13"/>
  <c r="F5" i="13"/>
  <c r="G5" i="13"/>
  <c r="H5" i="13"/>
  <c r="I5" i="13"/>
  <c r="J5" i="13"/>
  <c r="K5" i="13"/>
  <c r="L5" i="13"/>
  <c r="M5" i="13"/>
  <c r="N5" i="13"/>
  <c r="O5" i="13"/>
  <c r="P5" i="13"/>
  <c r="Q5" i="13"/>
  <c r="R5" i="13"/>
  <c r="S5" i="13"/>
  <c r="T5" i="13"/>
  <c r="U5" i="13"/>
  <c r="V5" i="13"/>
  <c r="W5" i="13"/>
  <c r="X5" i="13"/>
  <c r="Y5" i="13"/>
  <c r="Z5" i="13"/>
  <c r="AA5" i="13"/>
  <c r="D6" i="13"/>
  <c r="E6" i="13"/>
  <c r="F6" i="13"/>
  <c r="G6" i="13"/>
  <c r="H6" i="13"/>
  <c r="I6" i="13"/>
  <c r="J6" i="13"/>
  <c r="K6" i="13"/>
  <c r="L6" i="13"/>
  <c r="M6" i="13"/>
  <c r="N6" i="13"/>
  <c r="O6" i="13"/>
  <c r="P6" i="13"/>
  <c r="Q6" i="13"/>
  <c r="R6" i="13"/>
  <c r="S6" i="13"/>
  <c r="T6" i="13"/>
  <c r="U6" i="13"/>
  <c r="V6" i="13"/>
  <c r="W6" i="13"/>
  <c r="X6" i="13"/>
  <c r="Y6" i="13"/>
  <c r="Z6" i="13"/>
  <c r="AA6" i="13"/>
  <c r="D7" i="13"/>
  <c r="E7" i="13"/>
  <c r="F7" i="13"/>
  <c r="G7" i="13"/>
  <c r="H7" i="13"/>
  <c r="I7" i="13"/>
  <c r="J7" i="13"/>
  <c r="K7" i="13"/>
  <c r="L7" i="13"/>
  <c r="M7" i="13"/>
  <c r="N7" i="13"/>
  <c r="O7" i="13"/>
  <c r="P7" i="13"/>
  <c r="Q7" i="13"/>
  <c r="R7" i="13"/>
  <c r="S7" i="13"/>
  <c r="T7" i="13"/>
  <c r="U7" i="13"/>
  <c r="V7" i="13"/>
  <c r="W7" i="13"/>
  <c r="X7" i="13"/>
  <c r="Y7" i="13"/>
  <c r="Z7" i="13"/>
  <c r="AA7" i="13"/>
  <c r="D8" i="13"/>
  <c r="E8" i="13"/>
  <c r="F8" i="13"/>
  <c r="G8" i="13"/>
  <c r="H8" i="13"/>
  <c r="I8" i="13"/>
  <c r="J8" i="13"/>
  <c r="K8" i="13"/>
  <c r="L8" i="13"/>
  <c r="M8" i="13"/>
  <c r="N8" i="13"/>
  <c r="O8" i="13"/>
  <c r="P8" i="13"/>
  <c r="Q8" i="13"/>
  <c r="R8" i="13"/>
  <c r="S8" i="13"/>
  <c r="T8" i="13"/>
  <c r="U8" i="13"/>
  <c r="V8" i="13"/>
  <c r="W8" i="13"/>
  <c r="X8" i="13"/>
  <c r="Y8" i="13"/>
  <c r="Z8" i="13"/>
  <c r="AA8" i="13"/>
  <c r="D9" i="13"/>
  <c r="E9" i="13"/>
  <c r="F9" i="13"/>
  <c r="G9" i="13"/>
  <c r="H9" i="13"/>
  <c r="I9" i="13"/>
  <c r="J9" i="13"/>
  <c r="K9" i="13"/>
  <c r="L9" i="13"/>
  <c r="M9" i="13"/>
  <c r="N9" i="13"/>
  <c r="O9" i="13"/>
  <c r="P9" i="13"/>
  <c r="Q9" i="13"/>
  <c r="R9" i="13"/>
  <c r="S9" i="13"/>
  <c r="T9" i="13"/>
  <c r="U9" i="13"/>
  <c r="V9" i="13"/>
  <c r="W9" i="13"/>
  <c r="X9" i="13"/>
  <c r="Y9" i="13"/>
  <c r="Z9" i="13"/>
  <c r="AA9" i="13"/>
  <c r="D10" i="13"/>
  <c r="E10" i="13"/>
  <c r="F10" i="13"/>
  <c r="G10" i="13"/>
  <c r="H10" i="13"/>
  <c r="I10" i="13"/>
  <c r="J10" i="13"/>
  <c r="K10" i="13"/>
  <c r="L10" i="13"/>
  <c r="M10" i="13"/>
  <c r="N10" i="13"/>
  <c r="O10" i="13"/>
  <c r="P10" i="13"/>
  <c r="Q10" i="13"/>
  <c r="R10" i="13"/>
  <c r="S10" i="13"/>
  <c r="T10" i="13"/>
  <c r="U10" i="13"/>
  <c r="V10" i="13"/>
  <c r="W10" i="13"/>
  <c r="X10" i="13"/>
  <c r="Y10" i="13"/>
  <c r="Z10" i="13"/>
  <c r="AA10" i="13"/>
  <c r="D11" i="13"/>
  <c r="E11" i="13"/>
  <c r="F11" i="13"/>
  <c r="G11" i="13"/>
  <c r="H11" i="13"/>
  <c r="I11" i="13"/>
  <c r="J11" i="13"/>
  <c r="K11" i="13"/>
  <c r="L11" i="13"/>
  <c r="M11" i="13"/>
  <c r="N11" i="13"/>
  <c r="O11" i="13"/>
  <c r="P11" i="13"/>
  <c r="Q11" i="13"/>
  <c r="R11" i="13"/>
  <c r="S11" i="13"/>
  <c r="T11" i="13"/>
  <c r="U11" i="13"/>
  <c r="V11" i="13"/>
  <c r="W11" i="13"/>
  <c r="X11" i="13"/>
  <c r="Y11" i="13"/>
  <c r="Z11" i="13"/>
  <c r="AA11" i="13"/>
  <c r="D12" i="13"/>
  <c r="E12" i="13"/>
  <c r="F12" i="13"/>
  <c r="G12" i="13"/>
  <c r="H12" i="13"/>
  <c r="I12" i="13"/>
  <c r="J12" i="13"/>
  <c r="K12" i="13"/>
  <c r="L12" i="13"/>
  <c r="M12" i="13"/>
  <c r="N12" i="13"/>
  <c r="O12" i="13"/>
  <c r="P12" i="13"/>
  <c r="Q12" i="13"/>
  <c r="R12" i="13"/>
  <c r="S12" i="13"/>
  <c r="T12" i="13"/>
  <c r="U12" i="13"/>
  <c r="V12" i="13"/>
  <c r="W12" i="13"/>
  <c r="X12" i="13"/>
  <c r="Y12" i="13"/>
  <c r="Z12" i="13"/>
  <c r="AA12" i="13"/>
  <c r="D13" i="13"/>
  <c r="E13" i="13"/>
  <c r="F13" i="13"/>
  <c r="G13" i="13"/>
  <c r="H13" i="13"/>
  <c r="I13" i="13"/>
  <c r="J13" i="13"/>
  <c r="K13" i="13"/>
  <c r="L13" i="13"/>
  <c r="M13" i="13"/>
  <c r="N13" i="13"/>
  <c r="O13" i="13"/>
  <c r="P13" i="13"/>
  <c r="Q13" i="13"/>
  <c r="R13" i="13"/>
  <c r="S13" i="13"/>
  <c r="T13" i="13"/>
  <c r="U13" i="13"/>
  <c r="V13" i="13"/>
  <c r="W13" i="13"/>
  <c r="X13" i="13"/>
  <c r="Y13" i="13"/>
  <c r="Z13" i="13"/>
  <c r="AA13" i="13"/>
  <c r="D14" i="13"/>
  <c r="E14" i="13"/>
  <c r="F14" i="13"/>
  <c r="G14" i="13"/>
  <c r="H14" i="13"/>
  <c r="I14" i="13"/>
  <c r="J14" i="13"/>
  <c r="K14" i="13"/>
  <c r="L14" i="13"/>
  <c r="M14" i="13"/>
  <c r="N14" i="13"/>
  <c r="O14" i="13"/>
  <c r="P14" i="13"/>
  <c r="Q14" i="13"/>
  <c r="R14" i="13"/>
  <c r="S14" i="13"/>
  <c r="T14" i="13"/>
  <c r="U14" i="13"/>
  <c r="V14" i="13"/>
  <c r="W14" i="13"/>
  <c r="X14" i="13"/>
  <c r="Y14" i="13"/>
  <c r="Z14" i="13"/>
  <c r="AA14" i="13"/>
  <c r="D15" i="13"/>
  <c r="E15" i="13"/>
  <c r="F15" i="13"/>
  <c r="G15" i="13"/>
  <c r="H15" i="13"/>
  <c r="I15" i="13"/>
  <c r="J15" i="13"/>
  <c r="K15" i="13"/>
  <c r="L15" i="13"/>
  <c r="M15" i="13"/>
  <c r="N15" i="13"/>
  <c r="O15" i="13"/>
  <c r="P15" i="13"/>
  <c r="Q15" i="13"/>
  <c r="R15" i="13"/>
  <c r="S15" i="13"/>
  <c r="T15" i="13"/>
  <c r="U15" i="13"/>
  <c r="V15" i="13"/>
  <c r="W15" i="13"/>
  <c r="X15" i="13"/>
  <c r="Y15" i="13"/>
  <c r="Z15" i="13"/>
  <c r="AA15" i="13"/>
  <c r="D16" i="13"/>
  <c r="E16" i="13"/>
  <c r="F16" i="13"/>
  <c r="G16" i="13"/>
  <c r="H16" i="13"/>
  <c r="I16" i="13"/>
  <c r="J16" i="13"/>
  <c r="K16" i="13"/>
  <c r="L16" i="13"/>
  <c r="M16" i="13"/>
  <c r="N16" i="13"/>
  <c r="O16" i="13"/>
  <c r="P16" i="13"/>
  <c r="Q16" i="13"/>
  <c r="R16" i="13"/>
  <c r="S16" i="13"/>
  <c r="T16" i="13"/>
  <c r="U16" i="13"/>
  <c r="V16" i="13"/>
  <c r="W16" i="13"/>
  <c r="X16" i="13"/>
  <c r="Y16" i="13"/>
  <c r="Z16" i="13"/>
  <c r="AA16" i="13"/>
  <c r="D17" i="13"/>
  <c r="E17" i="13"/>
  <c r="F17" i="13"/>
  <c r="G17" i="13"/>
  <c r="H17" i="13"/>
  <c r="I17" i="13"/>
  <c r="J17" i="13"/>
  <c r="K17" i="13"/>
  <c r="L17" i="13"/>
  <c r="M17" i="13"/>
  <c r="N17" i="13"/>
  <c r="O17" i="13"/>
  <c r="P17" i="13"/>
  <c r="Q17" i="13"/>
  <c r="R17" i="13"/>
  <c r="S17" i="13"/>
  <c r="T17" i="13"/>
  <c r="U17" i="13"/>
  <c r="V17" i="13"/>
  <c r="W17" i="13"/>
  <c r="X17" i="13"/>
  <c r="Y17" i="13"/>
  <c r="Z17" i="13"/>
  <c r="AA17" i="13"/>
  <c r="D18" i="13"/>
  <c r="E18" i="13"/>
  <c r="F18" i="13"/>
  <c r="G18" i="13"/>
  <c r="H18" i="13"/>
  <c r="I18" i="13"/>
  <c r="J18" i="13"/>
  <c r="K18" i="13"/>
  <c r="L18" i="13"/>
  <c r="M18" i="13"/>
  <c r="N18" i="13"/>
  <c r="O18" i="13"/>
  <c r="P18" i="13"/>
  <c r="Q18" i="13"/>
  <c r="R18" i="13"/>
  <c r="S18" i="13"/>
  <c r="T18" i="13"/>
  <c r="U18" i="13"/>
  <c r="V18" i="13"/>
  <c r="W18" i="13"/>
  <c r="X18" i="13"/>
  <c r="Y18" i="13"/>
  <c r="Z18" i="13"/>
  <c r="AA18" i="13"/>
  <c r="D19" i="13"/>
  <c r="E19" i="13"/>
  <c r="F19" i="13"/>
  <c r="G19" i="13"/>
  <c r="H19" i="13"/>
  <c r="I19" i="13"/>
  <c r="J19" i="13"/>
  <c r="K19" i="13"/>
  <c r="L19" i="13"/>
  <c r="M19" i="13"/>
  <c r="N19" i="13"/>
  <c r="O19" i="13"/>
  <c r="P19" i="13"/>
  <c r="Q19" i="13"/>
  <c r="R19" i="13"/>
  <c r="S19" i="13"/>
  <c r="T19" i="13"/>
  <c r="U19" i="13"/>
  <c r="V19" i="13"/>
  <c r="W19" i="13"/>
  <c r="X19" i="13"/>
  <c r="Y19" i="13"/>
  <c r="Z19" i="13"/>
  <c r="AA19" i="13"/>
  <c r="D20" i="13"/>
  <c r="E20" i="13"/>
  <c r="F20" i="13"/>
  <c r="G20" i="13"/>
  <c r="H20" i="13"/>
  <c r="I20" i="13"/>
  <c r="J20" i="13"/>
  <c r="K20" i="13"/>
  <c r="L20" i="13"/>
  <c r="M20" i="13"/>
  <c r="N20" i="13"/>
  <c r="O20" i="13"/>
  <c r="P20" i="13"/>
  <c r="Q20" i="13"/>
  <c r="R20" i="13"/>
  <c r="S20" i="13"/>
  <c r="T20" i="13"/>
  <c r="U20" i="13"/>
  <c r="V20" i="13"/>
  <c r="W20" i="13"/>
  <c r="X20" i="13"/>
  <c r="Y20" i="13"/>
  <c r="Z20" i="13"/>
  <c r="AA20" i="13"/>
  <c r="D21" i="13"/>
  <c r="E21" i="13"/>
  <c r="F21" i="13"/>
  <c r="G21" i="13"/>
  <c r="H21" i="13"/>
  <c r="I21" i="13"/>
  <c r="J21" i="13"/>
  <c r="K21" i="13"/>
  <c r="L21" i="13"/>
  <c r="M21" i="13"/>
  <c r="N21" i="13"/>
  <c r="O21" i="13"/>
  <c r="P21" i="13"/>
  <c r="Q21" i="13"/>
  <c r="R21" i="13"/>
  <c r="S21" i="13"/>
  <c r="T21" i="13"/>
  <c r="U21" i="13"/>
  <c r="V21" i="13"/>
  <c r="W21" i="13"/>
  <c r="X21" i="13"/>
  <c r="Y21" i="13"/>
  <c r="Z21" i="13"/>
  <c r="AA21" i="13"/>
  <c r="D22" i="13"/>
  <c r="E22" i="13"/>
  <c r="F22" i="13"/>
  <c r="G22" i="13"/>
  <c r="H22" i="13"/>
  <c r="I22" i="13"/>
  <c r="J22" i="13"/>
  <c r="K22" i="13"/>
  <c r="L22" i="13"/>
  <c r="M22" i="13"/>
  <c r="N22" i="13"/>
  <c r="O22" i="13"/>
  <c r="P22" i="13"/>
  <c r="Q22" i="13"/>
  <c r="R22" i="13"/>
  <c r="S22" i="13"/>
  <c r="T22" i="13"/>
  <c r="U22" i="13"/>
  <c r="V22" i="13"/>
  <c r="W22" i="13"/>
  <c r="X22" i="13"/>
  <c r="Y22" i="13"/>
  <c r="Z22" i="13"/>
  <c r="AA22" i="13"/>
  <c r="D23" i="13"/>
  <c r="E23" i="13"/>
  <c r="F23" i="13"/>
  <c r="G23" i="13"/>
  <c r="H23" i="13"/>
  <c r="I23" i="13"/>
  <c r="J23" i="13"/>
  <c r="K23" i="13"/>
  <c r="L23" i="13"/>
  <c r="M23" i="13"/>
  <c r="N23" i="13"/>
  <c r="O23" i="13"/>
  <c r="P23" i="13"/>
  <c r="Q23" i="13"/>
  <c r="R23" i="13"/>
  <c r="S23" i="13"/>
  <c r="T23" i="13"/>
  <c r="U23" i="13"/>
  <c r="V23" i="13"/>
  <c r="W23" i="13"/>
  <c r="X23" i="13"/>
  <c r="Y23" i="13"/>
  <c r="Z23" i="13"/>
  <c r="AA23" i="13"/>
  <c r="D24" i="13"/>
  <c r="E24" i="13"/>
  <c r="F24" i="13"/>
  <c r="G24" i="13"/>
  <c r="H24" i="13"/>
  <c r="I24" i="13"/>
  <c r="J24" i="13"/>
  <c r="K24" i="13"/>
  <c r="L24" i="13"/>
  <c r="M24" i="13"/>
  <c r="N24" i="13"/>
  <c r="O24" i="13"/>
  <c r="P24" i="13"/>
  <c r="Q24" i="13"/>
  <c r="R24" i="13"/>
  <c r="S24" i="13"/>
  <c r="T24" i="13"/>
  <c r="U24" i="13"/>
  <c r="V24" i="13"/>
  <c r="W24" i="13"/>
  <c r="X24" i="13"/>
  <c r="Y24" i="13"/>
  <c r="Z24" i="13"/>
  <c r="AA24" i="13"/>
  <c r="D25" i="13"/>
  <c r="E25" i="13"/>
  <c r="F25" i="13"/>
  <c r="G25" i="13"/>
  <c r="H25" i="13"/>
  <c r="I25" i="13"/>
  <c r="J25" i="13"/>
  <c r="K25" i="13"/>
  <c r="L25" i="13"/>
  <c r="M25" i="13"/>
  <c r="N25" i="13"/>
  <c r="O25" i="13"/>
  <c r="P25" i="13"/>
  <c r="Q25" i="13"/>
  <c r="R25" i="13"/>
  <c r="S25" i="13"/>
  <c r="T25" i="13"/>
  <c r="U25" i="13"/>
  <c r="V25" i="13"/>
  <c r="W25" i="13"/>
  <c r="X25" i="13"/>
  <c r="Y25" i="13"/>
  <c r="Z25" i="13"/>
  <c r="AA25" i="13"/>
  <c r="D26" i="13"/>
  <c r="E26" i="13"/>
  <c r="F26" i="13"/>
  <c r="G26" i="13"/>
  <c r="H26" i="13"/>
  <c r="I26" i="13"/>
  <c r="J26" i="13"/>
  <c r="K26" i="13"/>
  <c r="L26" i="13"/>
  <c r="M26" i="13"/>
  <c r="N26" i="13"/>
  <c r="O26" i="13"/>
  <c r="P26" i="13"/>
  <c r="Q26" i="13"/>
  <c r="R26" i="13"/>
  <c r="S26" i="13"/>
  <c r="T26" i="13"/>
  <c r="U26" i="13"/>
  <c r="V26" i="13"/>
  <c r="W26" i="13"/>
  <c r="X26" i="13"/>
  <c r="Y26" i="13"/>
  <c r="Z26" i="13"/>
  <c r="AA26" i="13"/>
  <c r="D27" i="13"/>
  <c r="E27" i="13"/>
  <c r="F27" i="13"/>
  <c r="G27" i="13"/>
  <c r="H27" i="13"/>
  <c r="I27" i="13"/>
  <c r="J27" i="13"/>
  <c r="K27" i="13"/>
  <c r="L27" i="13"/>
  <c r="M27" i="13"/>
  <c r="N27" i="13"/>
  <c r="O27" i="13"/>
  <c r="P27" i="13"/>
  <c r="Q27" i="13"/>
  <c r="R27" i="13"/>
  <c r="S27" i="13"/>
  <c r="T27" i="13"/>
  <c r="U27" i="13"/>
  <c r="V27" i="13"/>
  <c r="W27" i="13"/>
  <c r="X27" i="13"/>
  <c r="Y27" i="13"/>
  <c r="Z27" i="13"/>
  <c r="AA27" i="13"/>
  <c r="D28" i="13"/>
  <c r="E28" i="13"/>
  <c r="F28" i="13"/>
  <c r="G28" i="13"/>
  <c r="H28" i="13"/>
  <c r="I28" i="13"/>
  <c r="J28" i="13"/>
  <c r="K28" i="13"/>
  <c r="L28" i="13"/>
  <c r="M28" i="13"/>
  <c r="N28" i="13"/>
  <c r="O28" i="13"/>
  <c r="P28" i="13"/>
  <c r="Q28" i="13"/>
  <c r="R28" i="13"/>
  <c r="S28" i="13"/>
  <c r="T28" i="13"/>
  <c r="U28" i="13"/>
  <c r="V28" i="13"/>
  <c r="W28" i="13"/>
  <c r="X28" i="13"/>
  <c r="Y28" i="13"/>
  <c r="Z28" i="13"/>
  <c r="AA28" i="13"/>
  <c r="D29" i="13"/>
  <c r="E29" i="13"/>
  <c r="F29" i="13"/>
  <c r="G29" i="13"/>
  <c r="H29" i="13"/>
  <c r="I29" i="13"/>
  <c r="J29" i="13"/>
  <c r="K29" i="13"/>
  <c r="L29" i="13"/>
  <c r="M29" i="13"/>
  <c r="N29" i="13"/>
  <c r="O29" i="13"/>
  <c r="P29" i="13"/>
  <c r="Q29" i="13"/>
  <c r="R29" i="13"/>
  <c r="S29" i="13"/>
  <c r="T29" i="13"/>
  <c r="U29" i="13"/>
  <c r="V29" i="13"/>
  <c r="W29" i="13"/>
  <c r="X29" i="13"/>
  <c r="Y29" i="13"/>
  <c r="Z29" i="13"/>
  <c r="AA29" i="13"/>
  <c r="D30" i="13"/>
  <c r="E30" i="13"/>
  <c r="F30" i="13"/>
  <c r="G30" i="13"/>
  <c r="H30" i="13"/>
  <c r="I30" i="13"/>
  <c r="J30" i="13"/>
  <c r="K30" i="13"/>
  <c r="L30" i="13"/>
  <c r="M30" i="13"/>
  <c r="N30" i="13"/>
  <c r="O30" i="13"/>
  <c r="P30" i="13"/>
  <c r="Q30" i="13"/>
  <c r="R30" i="13"/>
  <c r="S30" i="13"/>
  <c r="T30" i="13"/>
  <c r="U30" i="13"/>
  <c r="V30" i="13"/>
  <c r="W30" i="13"/>
  <c r="X30" i="13"/>
  <c r="Y30" i="13"/>
  <c r="Z30" i="13"/>
  <c r="AA30" i="13"/>
  <c r="D31" i="13"/>
  <c r="E31" i="13"/>
  <c r="F31" i="13"/>
  <c r="G31" i="13"/>
  <c r="H31" i="13"/>
  <c r="I31" i="13"/>
  <c r="J31" i="13"/>
  <c r="K31" i="13"/>
  <c r="L31" i="13"/>
  <c r="M31" i="13"/>
  <c r="N31" i="13"/>
  <c r="O31" i="13"/>
  <c r="P31" i="13"/>
  <c r="Q31" i="13"/>
  <c r="R31" i="13"/>
  <c r="S31" i="13"/>
  <c r="T31" i="13"/>
  <c r="U31" i="13"/>
  <c r="V31" i="13"/>
  <c r="W31" i="13"/>
  <c r="X31" i="13"/>
  <c r="Y31" i="13"/>
  <c r="Z31" i="13"/>
  <c r="AA31" i="13"/>
  <c r="D32" i="13"/>
  <c r="E32" i="13"/>
  <c r="F32" i="13"/>
  <c r="G32" i="13"/>
  <c r="H32" i="13"/>
  <c r="I32" i="13"/>
  <c r="J32" i="13"/>
  <c r="K32" i="13"/>
  <c r="L32" i="13"/>
  <c r="M32" i="13"/>
  <c r="N32" i="13"/>
  <c r="O32" i="13"/>
  <c r="P32" i="13"/>
  <c r="Q32" i="13"/>
  <c r="R32" i="13"/>
  <c r="S32" i="13"/>
  <c r="T32" i="13"/>
  <c r="U32" i="13"/>
  <c r="V32" i="13"/>
  <c r="W32" i="13"/>
  <c r="X32" i="13"/>
  <c r="Y32" i="13"/>
  <c r="Z32" i="13"/>
  <c r="AA32" i="13"/>
  <c r="D33" i="13"/>
  <c r="E33" i="13"/>
  <c r="F33" i="13"/>
  <c r="G33" i="13"/>
  <c r="H33" i="13"/>
  <c r="I33" i="13"/>
  <c r="J33" i="13"/>
  <c r="K33" i="13"/>
  <c r="L33" i="13"/>
  <c r="M33" i="13"/>
  <c r="N33" i="13"/>
  <c r="O33" i="13"/>
  <c r="P33" i="13"/>
  <c r="Q33" i="13"/>
  <c r="R33" i="13"/>
  <c r="S33" i="13"/>
  <c r="T33" i="13"/>
  <c r="U33" i="13"/>
  <c r="V33" i="13"/>
  <c r="W33" i="13"/>
  <c r="X33" i="13"/>
  <c r="Y33" i="13"/>
  <c r="Z33" i="13"/>
  <c r="AA33" i="13"/>
  <c r="D34" i="13"/>
  <c r="E34" i="13"/>
  <c r="F34" i="13"/>
  <c r="G34" i="13"/>
  <c r="H34" i="13"/>
  <c r="I34" i="13"/>
  <c r="J34" i="13"/>
  <c r="K34" i="13"/>
  <c r="L34" i="13"/>
  <c r="M34" i="13"/>
  <c r="N34" i="13"/>
  <c r="O34" i="13"/>
  <c r="P34" i="13"/>
  <c r="Q34" i="13"/>
  <c r="R34" i="13"/>
  <c r="S34" i="13"/>
  <c r="T34" i="13"/>
  <c r="U34" i="13"/>
  <c r="V34" i="13"/>
  <c r="W34" i="13"/>
  <c r="X34" i="13"/>
  <c r="Y34" i="13"/>
  <c r="Z34" i="13"/>
  <c r="AA34" i="13"/>
  <c r="D35" i="13"/>
  <c r="E35" i="13"/>
  <c r="F35" i="13"/>
  <c r="G35" i="13"/>
  <c r="H35" i="13"/>
  <c r="I35" i="13"/>
  <c r="J35" i="13"/>
  <c r="K35" i="13"/>
  <c r="L35" i="13"/>
  <c r="M35" i="13"/>
  <c r="N35" i="13"/>
  <c r="O35" i="13"/>
  <c r="P35" i="13"/>
  <c r="Q35" i="13"/>
  <c r="R35" i="13"/>
  <c r="S35" i="13"/>
  <c r="T35" i="13"/>
  <c r="U35" i="13"/>
  <c r="V35" i="13"/>
  <c r="W35" i="13"/>
  <c r="X35" i="13"/>
  <c r="Y35" i="13"/>
  <c r="Z35" i="13"/>
  <c r="AA35" i="13"/>
  <c r="D36" i="13"/>
  <c r="E36" i="13"/>
  <c r="F36" i="13"/>
  <c r="G36" i="13"/>
  <c r="H36" i="13"/>
  <c r="I36" i="13"/>
  <c r="J36" i="13"/>
  <c r="K36" i="13"/>
  <c r="L36" i="13"/>
  <c r="M36" i="13"/>
  <c r="N36" i="13"/>
  <c r="O36" i="13"/>
  <c r="P36" i="13"/>
  <c r="Q36" i="13"/>
  <c r="R36" i="13"/>
  <c r="S36" i="13"/>
  <c r="T36" i="13"/>
  <c r="U36" i="13"/>
  <c r="V36" i="13"/>
  <c r="W36" i="13"/>
  <c r="X36" i="13"/>
  <c r="Y36" i="13"/>
  <c r="Z36" i="13"/>
  <c r="AA36" i="13"/>
  <c r="D37" i="13"/>
  <c r="E37" i="13"/>
  <c r="F37" i="13"/>
  <c r="G37" i="13"/>
  <c r="H37" i="13"/>
  <c r="I37" i="13"/>
  <c r="J37" i="13"/>
  <c r="K37" i="13"/>
  <c r="L37" i="13"/>
  <c r="M37" i="13"/>
  <c r="N37" i="13"/>
  <c r="O37" i="13"/>
  <c r="P37" i="13"/>
  <c r="Q37" i="13"/>
  <c r="R37" i="13"/>
  <c r="S37" i="13"/>
  <c r="T37" i="13"/>
  <c r="U37" i="13"/>
  <c r="V37" i="13"/>
  <c r="W37" i="13"/>
  <c r="X37" i="13"/>
  <c r="Y37" i="13"/>
  <c r="Z37" i="13"/>
  <c r="AA37" i="13"/>
  <c r="D38" i="13"/>
  <c r="E38" i="13"/>
  <c r="F38" i="13"/>
  <c r="G38" i="13"/>
  <c r="H38" i="13"/>
  <c r="I38" i="13"/>
  <c r="J38" i="13"/>
  <c r="K38" i="13"/>
  <c r="L38" i="13"/>
  <c r="M38" i="13"/>
  <c r="N38" i="13"/>
  <c r="O38" i="13"/>
  <c r="P38" i="13"/>
  <c r="Q38" i="13"/>
  <c r="R38" i="13"/>
  <c r="S38" i="13"/>
  <c r="T38" i="13"/>
  <c r="U38" i="13"/>
  <c r="V38" i="13"/>
  <c r="W38" i="13"/>
  <c r="X38" i="13"/>
  <c r="Y38" i="13"/>
  <c r="Z38" i="13"/>
  <c r="AA38" i="13"/>
  <c r="D39" i="13"/>
  <c r="E39" i="13"/>
  <c r="F39" i="13"/>
  <c r="G39" i="13"/>
  <c r="H39" i="13"/>
  <c r="I39" i="13"/>
  <c r="J39" i="13"/>
  <c r="K39" i="13"/>
  <c r="L39" i="13"/>
  <c r="M39" i="13"/>
  <c r="N39" i="13"/>
  <c r="O39" i="13"/>
  <c r="P39" i="13"/>
  <c r="Q39" i="13"/>
  <c r="R39" i="13"/>
  <c r="S39" i="13"/>
  <c r="T39" i="13"/>
  <c r="U39" i="13"/>
  <c r="V39" i="13"/>
  <c r="W39" i="13"/>
  <c r="X39" i="13"/>
  <c r="Y39" i="13"/>
  <c r="Z39" i="13"/>
  <c r="AA39" i="13"/>
  <c r="D40" i="13"/>
  <c r="E40" i="13"/>
  <c r="F40" i="13"/>
  <c r="G40" i="13"/>
  <c r="H40" i="13"/>
  <c r="I40" i="13"/>
  <c r="J40" i="13"/>
  <c r="K40" i="13"/>
  <c r="L40" i="13"/>
  <c r="M40" i="13"/>
  <c r="N40" i="13"/>
  <c r="O40" i="13"/>
  <c r="P40" i="13"/>
  <c r="Q40" i="13"/>
  <c r="R40" i="13"/>
  <c r="S40" i="13"/>
  <c r="T40" i="13"/>
  <c r="U40" i="13"/>
  <c r="V40" i="13"/>
  <c r="W40" i="13"/>
  <c r="X40" i="13"/>
  <c r="Y40" i="13"/>
  <c r="Z40" i="13"/>
  <c r="AA40" i="13"/>
  <c r="D41" i="13"/>
  <c r="E41" i="13"/>
  <c r="F41" i="13"/>
  <c r="G41" i="13"/>
  <c r="H41" i="13"/>
  <c r="I41" i="13"/>
  <c r="J41" i="13"/>
  <c r="K41" i="13"/>
  <c r="L41" i="13"/>
  <c r="M41" i="13"/>
  <c r="N41" i="13"/>
  <c r="O41" i="13"/>
  <c r="P41" i="13"/>
  <c r="Q41" i="13"/>
  <c r="R41" i="13"/>
  <c r="S41" i="13"/>
  <c r="T41" i="13"/>
  <c r="U41" i="13"/>
  <c r="V41" i="13"/>
  <c r="W41" i="13"/>
  <c r="X41" i="13"/>
  <c r="Y41" i="13"/>
  <c r="Z41" i="13"/>
  <c r="AA41" i="13"/>
  <c r="D42" i="13"/>
  <c r="E42" i="13"/>
  <c r="F42" i="13"/>
  <c r="G42" i="13"/>
  <c r="H42" i="13"/>
  <c r="I42" i="13"/>
  <c r="J42" i="13"/>
  <c r="K42" i="13"/>
  <c r="L42" i="13"/>
  <c r="M42" i="13"/>
  <c r="N42" i="13"/>
  <c r="O42" i="13"/>
  <c r="P42" i="13"/>
  <c r="Q42" i="13"/>
  <c r="R42" i="13"/>
  <c r="S42" i="13"/>
  <c r="T42" i="13"/>
  <c r="U42" i="13"/>
  <c r="V42" i="13"/>
  <c r="W42" i="13"/>
  <c r="X42" i="13"/>
  <c r="Y42" i="13"/>
  <c r="Z42" i="13"/>
  <c r="AA42" i="13"/>
  <c r="D43" i="13"/>
  <c r="E43" i="13"/>
  <c r="F43" i="13"/>
  <c r="G43" i="13"/>
  <c r="H43" i="13"/>
  <c r="I43" i="13"/>
  <c r="J43" i="13"/>
  <c r="K43" i="13"/>
  <c r="L43" i="13"/>
  <c r="M43" i="13"/>
  <c r="N43" i="13"/>
  <c r="O43" i="13"/>
  <c r="P43" i="13"/>
  <c r="Q43" i="13"/>
  <c r="R43" i="13"/>
  <c r="S43" i="13"/>
  <c r="T43" i="13"/>
  <c r="U43" i="13"/>
  <c r="V43" i="13"/>
  <c r="W43" i="13"/>
  <c r="X43" i="13"/>
  <c r="Y43" i="13"/>
  <c r="Z43" i="13"/>
  <c r="AA43" i="13"/>
  <c r="D44" i="13"/>
  <c r="E44" i="13"/>
  <c r="F44" i="13"/>
  <c r="G44" i="13"/>
  <c r="H44" i="13"/>
  <c r="I44" i="13"/>
  <c r="J44" i="13"/>
  <c r="K44" i="13"/>
  <c r="L44" i="13"/>
  <c r="M44" i="13"/>
  <c r="N44" i="13"/>
  <c r="O44" i="13"/>
  <c r="P44" i="13"/>
  <c r="Q44" i="13"/>
  <c r="R44" i="13"/>
  <c r="S44" i="13"/>
  <c r="T44" i="13"/>
  <c r="U44" i="13"/>
  <c r="V44" i="13"/>
  <c r="W44" i="13"/>
  <c r="X44" i="13"/>
  <c r="Y44" i="13"/>
  <c r="Z44" i="13"/>
  <c r="AA44" i="13"/>
  <c r="D45" i="13"/>
  <c r="E45" i="13"/>
  <c r="F45" i="13"/>
  <c r="G45" i="13"/>
  <c r="H45" i="13"/>
  <c r="I45" i="13"/>
  <c r="J45" i="13"/>
  <c r="K45" i="13"/>
  <c r="L45" i="13"/>
  <c r="M45" i="13"/>
  <c r="N45" i="13"/>
  <c r="O45" i="13"/>
  <c r="P45" i="13"/>
  <c r="Q45" i="13"/>
  <c r="R45" i="13"/>
  <c r="S45" i="13"/>
  <c r="T45" i="13"/>
  <c r="U45" i="13"/>
  <c r="V45" i="13"/>
  <c r="W45" i="13"/>
  <c r="X45" i="13"/>
  <c r="Y45" i="13"/>
  <c r="Z45" i="13"/>
  <c r="AA45" i="13"/>
  <c r="D46" i="13"/>
  <c r="E46" i="13"/>
  <c r="F46" i="13"/>
  <c r="G46" i="13"/>
  <c r="H46" i="13"/>
  <c r="I46" i="13"/>
  <c r="J46" i="13"/>
  <c r="K46" i="13"/>
  <c r="L46" i="13"/>
  <c r="M46" i="13"/>
  <c r="N46" i="13"/>
  <c r="O46" i="13"/>
  <c r="P46" i="13"/>
  <c r="Q46" i="13"/>
  <c r="R46" i="13"/>
  <c r="S46" i="13"/>
  <c r="T46" i="13"/>
  <c r="U46" i="13"/>
  <c r="V46" i="13"/>
  <c r="W46" i="13"/>
  <c r="X46" i="13"/>
  <c r="Y46" i="13"/>
  <c r="Z46" i="13"/>
  <c r="AA46" i="13"/>
  <c r="D47" i="13"/>
  <c r="E47" i="13"/>
  <c r="F47" i="13"/>
  <c r="G47" i="13"/>
  <c r="H47" i="13"/>
  <c r="I47" i="13"/>
  <c r="J47" i="13"/>
  <c r="K47" i="13"/>
  <c r="L47" i="13"/>
  <c r="M47" i="13"/>
  <c r="N47" i="13"/>
  <c r="O47" i="13"/>
  <c r="P47" i="13"/>
  <c r="Q47" i="13"/>
  <c r="R47" i="13"/>
  <c r="S47" i="13"/>
  <c r="T47" i="13"/>
  <c r="U47" i="13"/>
  <c r="V47" i="13"/>
  <c r="W47" i="13"/>
  <c r="X47" i="13"/>
  <c r="Y47" i="13"/>
  <c r="Z47" i="13"/>
  <c r="AA47" i="13"/>
  <c r="D48" i="13"/>
  <c r="E48" i="13"/>
  <c r="F48" i="13"/>
  <c r="G48" i="13"/>
  <c r="H48" i="13"/>
  <c r="I48" i="13"/>
  <c r="J48" i="13"/>
  <c r="K48" i="13"/>
  <c r="L48" i="13"/>
  <c r="M48" i="13"/>
  <c r="N48" i="13"/>
  <c r="O48" i="13"/>
  <c r="P48" i="13"/>
  <c r="Q48" i="13"/>
  <c r="R48" i="13"/>
  <c r="S48" i="13"/>
  <c r="T48" i="13"/>
  <c r="U48" i="13"/>
  <c r="V48" i="13"/>
  <c r="W48" i="13"/>
  <c r="X48" i="13"/>
  <c r="Y48" i="13"/>
  <c r="Z48" i="13"/>
  <c r="AA48" i="13"/>
  <c r="D49" i="13"/>
  <c r="E49" i="13"/>
  <c r="F49" i="13"/>
  <c r="G49" i="13"/>
  <c r="H49" i="13"/>
  <c r="I49" i="13"/>
  <c r="J49" i="13"/>
  <c r="K49" i="13"/>
  <c r="L49" i="13"/>
  <c r="M49" i="13"/>
  <c r="N49" i="13"/>
  <c r="O49" i="13"/>
  <c r="P49" i="13"/>
  <c r="Q49" i="13"/>
  <c r="R49" i="13"/>
  <c r="S49" i="13"/>
  <c r="T49" i="13"/>
  <c r="U49" i="13"/>
  <c r="V49" i="13"/>
  <c r="W49" i="13"/>
  <c r="X49" i="13"/>
  <c r="Y49" i="13"/>
  <c r="Z49" i="13"/>
  <c r="AA49" i="13"/>
  <c r="D50" i="13"/>
  <c r="E50" i="13"/>
  <c r="F50" i="13"/>
  <c r="G50" i="13"/>
  <c r="H50" i="13"/>
  <c r="I50" i="13"/>
  <c r="J50" i="13"/>
  <c r="K50" i="13"/>
  <c r="L50" i="13"/>
  <c r="M50" i="13"/>
  <c r="N50" i="13"/>
  <c r="O50" i="13"/>
  <c r="P50" i="13"/>
  <c r="Q50" i="13"/>
  <c r="R50" i="13"/>
  <c r="S50" i="13"/>
  <c r="T50" i="13"/>
  <c r="U50" i="13"/>
  <c r="V50" i="13"/>
  <c r="W50" i="13"/>
  <c r="X50" i="13"/>
  <c r="Y50" i="13"/>
  <c r="Z50" i="13"/>
  <c r="AA50" i="13"/>
  <c r="D51" i="13"/>
  <c r="E51" i="13"/>
  <c r="F51" i="13"/>
  <c r="G51" i="13"/>
  <c r="H51" i="13"/>
  <c r="I51" i="13"/>
  <c r="J51" i="13"/>
  <c r="K51" i="13"/>
  <c r="L51" i="13"/>
  <c r="M51" i="13"/>
  <c r="N51" i="13"/>
  <c r="O51" i="13"/>
  <c r="P51" i="13"/>
  <c r="Q51" i="13"/>
  <c r="R51" i="13"/>
  <c r="S51" i="13"/>
  <c r="T51" i="13"/>
  <c r="U51" i="13"/>
  <c r="V51" i="13"/>
  <c r="W51" i="13"/>
  <c r="X51" i="13"/>
  <c r="Y51" i="13"/>
  <c r="Z51" i="13"/>
  <c r="AA51" i="13"/>
  <c r="D52" i="13"/>
  <c r="E52" i="13"/>
  <c r="F52" i="13"/>
  <c r="G52" i="13"/>
  <c r="H52" i="13"/>
  <c r="I52" i="13"/>
  <c r="J52" i="13"/>
  <c r="K52" i="13"/>
  <c r="L52" i="13"/>
  <c r="M52" i="13"/>
  <c r="N52" i="13"/>
  <c r="O52" i="13"/>
  <c r="P52" i="13"/>
  <c r="Q52" i="13"/>
  <c r="R52" i="13"/>
  <c r="S52" i="13"/>
  <c r="T52" i="13"/>
  <c r="U52" i="13"/>
  <c r="V52" i="13"/>
  <c r="W52" i="13"/>
  <c r="X52" i="13"/>
  <c r="Y52" i="13"/>
  <c r="Z52" i="13"/>
  <c r="AA52" i="13"/>
  <c r="D53" i="13"/>
  <c r="E53" i="13"/>
  <c r="F53" i="13"/>
  <c r="G53" i="13"/>
  <c r="H53" i="13"/>
  <c r="I53" i="13"/>
  <c r="J53" i="13"/>
  <c r="K53" i="13"/>
  <c r="L53" i="13"/>
  <c r="M53" i="13"/>
  <c r="N53" i="13"/>
  <c r="O53" i="13"/>
  <c r="P53" i="13"/>
  <c r="Q53" i="13"/>
  <c r="R53" i="13"/>
  <c r="S53" i="13"/>
  <c r="T53" i="13"/>
  <c r="U53" i="13"/>
  <c r="V53" i="13"/>
  <c r="W53" i="13"/>
  <c r="X53" i="13"/>
  <c r="Y53" i="13"/>
  <c r="Z53" i="13"/>
  <c r="AA53" i="13"/>
  <c r="D54" i="13"/>
  <c r="E54" i="13"/>
  <c r="F54" i="13"/>
  <c r="G54" i="13"/>
  <c r="H54" i="13"/>
  <c r="I54" i="13"/>
  <c r="J54" i="13"/>
  <c r="K54" i="13"/>
  <c r="L54" i="13"/>
  <c r="M54" i="13"/>
  <c r="N54" i="13"/>
  <c r="O54" i="13"/>
  <c r="P54" i="13"/>
  <c r="Q54" i="13"/>
  <c r="R54" i="13"/>
  <c r="S54" i="13"/>
  <c r="T54" i="13"/>
  <c r="U54" i="13"/>
  <c r="V54" i="13"/>
  <c r="W54" i="13"/>
  <c r="X54" i="13"/>
  <c r="Y54" i="13"/>
  <c r="Z54" i="13"/>
  <c r="AA54" i="13"/>
  <c r="D55" i="13"/>
  <c r="E55" i="13"/>
  <c r="F55" i="13"/>
  <c r="G55" i="13"/>
  <c r="H55" i="13"/>
  <c r="I55" i="13"/>
  <c r="J55" i="13"/>
  <c r="K55" i="13"/>
  <c r="L55" i="13"/>
  <c r="M55" i="13"/>
  <c r="N55" i="13"/>
  <c r="O55" i="13"/>
  <c r="P55" i="13"/>
  <c r="Q55" i="13"/>
  <c r="R55" i="13"/>
  <c r="S55" i="13"/>
  <c r="T55" i="13"/>
  <c r="U55" i="13"/>
  <c r="V55" i="13"/>
  <c r="W55" i="13"/>
  <c r="X55" i="13"/>
  <c r="Y55" i="13"/>
  <c r="Z55" i="13"/>
  <c r="AA55" i="13"/>
  <c r="R4" i="31" l="1"/>
  <c r="R27" i="31"/>
  <c r="R5" i="31"/>
  <c r="R28" i="31"/>
  <c r="R7" i="31"/>
  <c r="R30" i="31"/>
  <c r="R29" i="31"/>
  <c r="R6" i="31"/>
  <c r="Y23" i="31" a="1"/>
  <c r="R13" i="31"/>
  <c r="C26" i="31"/>
  <c r="M24" i="31"/>
  <c r="Y19" i="31" a="1"/>
  <c r="Y18" i="31" a="1"/>
  <c r="O24" i="31"/>
  <c r="Y12" i="31" a="1"/>
  <c r="M34" i="31"/>
  <c r="R12" i="31" s="1"/>
  <c r="Y8" i="31" a="1"/>
  <c r="Y17" i="31" a="1"/>
  <c r="Y11" i="31" a="1"/>
  <c r="Y16" i="31" a="1"/>
  <c r="Y10" i="31" a="1"/>
  <c r="Y13" i="31" a="1"/>
  <c r="Y15" i="31" a="1"/>
  <c r="Y9" i="31" a="1"/>
  <c r="B2" i="5"/>
  <c r="C2" i="5"/>
  <c r="D2" i="5"/>
  <c r="E2" i="5"/>
  <c r="F2" i="5"/>
  <c r="G2" i="5"/>
  <c r="H2" i="5"/>
  <c r="I2" i="5"/>
  <c r="J2" i="5"/>
  <c r="K2" i="5"/>
  <c r="L2" i="5"/>
  <c r="M2" i="5"/>
  <c r="N2" i="5"/>
  <c r="O2" i="5"/>
  <c r="P2" i="5"/>
  <c r="Q2" i="5"/>
  <c r="R2" i="5"/>
  <c r="S2" i="5"/>
  <c r="T2" i="5"/>
  <c r="U2" i="5"/>
  <c r="V2" i="5"/>
  <c r="W2" i="5"/>
  <c r="X2" i="5"/>
  <c r="Y2" i="5"/>
  <c r="Z2" i="5"/>
  <c r="AA2" i="5"/>
  <c r="B3" i="5"/>
  <c r="C3" i="5"/>
  <c r="D3" i="5"/>
  <c r="E3" i="5"/>
  <c r="F3" i="5"/>
  <c r="G3" i="5"/>
  <c r="H3" i="5"/>
  <c r="I3" i="5"/>
  <c r="J3" i="5"/>
  <c r="K3" i="5"/>
  <c r="L3" i="5"/>
  <c r="M3" i="5"/>
  <c r="N3" i="5"/>
  <c r="O3" i="5"/>
  <c r="P3" i="5"/>
  <c r="Q3" i="5"/>
  <c r="R3" i="5"/>
  <c r="S3" i="5"/>
  <c r="T3" i="5"/>
  <c r="U3" i="5"/>
  <c r="V3" i="5"/>
  <c r="W3" i="5"/>
  <c r="X3" i="5"/>
  <c r="Y3" i="5"/>
  <c r="Z3" i="5"/>
  <c r="AA3" i="5"/>
  <c r="B4" i="5"/>
  <c r="C4" i="5"/>
  <c r="D4" i="5"/>
  <c r="E4" i="5"/>
  <c r="F4" i="5"/>
  <c r="G4" i="5"/>
  <c r="H4" i="5"/>
  <c r="I4" i="5"/>
  <c r="J4" i="5"/>
  <c r="K4" i="5"/>
  <c r="L4" i="5"/>
  <c r="M4" i="5"/>
  <c r="N4" i="5"/>
  <c r="O4" i="5"/>
  <c r="P4" i="5"/>
  <c r="Q4" i="5"/>
  <c r="R4" i="5"/>
  <c r="S4" i="5"/>
  <c r="T4" i="5"/>
  <c r="U4" i="5"/>
  <c r="V4" i="5"/>
  <c r="W4" i="5"/>
  <c r="X4" i="5"/>
  <c r="Y4" i="5"/>
  <c r="Z4" i="5"/>
  <c r="AA4" i="5"/>
  <c r="B5" i="5"/>
  <c r="C5" i="5"/>
  <c r="D5" i="5"/>
  <c r="E5" i="5"/>
  <c r="F5" i="5"/>
  <c r="G5" i="5"/>
  <c r="H5" i="5"/>
  <c r="I5" i="5"/>
  <c r="J5" i="5"/>
  <c r="K5" i="5"/>
  <c r="L5" i="5"/>
  <c r="M5" i="5"/>
  <c r="N5" i="5"/>
  <c r="O5" i="5"/>
  <c r="P5" i="5"/>
  <c r="Q5" i="5"/>
  <c r="R5" i="5"/>
  <c r="S5" i="5"/>
  <c r="T5" i="5"/>
  <c r="U5" i="5"/>
  <c r="V5" i="5"/>
  <c r="W5" i="5"/>
  <c r="X5" i="5"/>
  <c r="Y5" i="5"/>
  <c r="Z5" i="5"/>
  <c r="AA5" i="5"/>
  <c r="B6" i="5"/>
  <c r="C6" i="5"/>
  <c r="D6" i="5"/>
  <c r="E6" i="5"/>
  <c r="F6" i="5"/>
  <c r="G6" i="5"/>
  <c r="H6" i="5"/>
  <c r="I6" i="5"/>
  <c r="J6" i="5"/>
  <c r="K6" i="5"/>
  <c r="L6" i="5"/>
  <c r="M6" i="5"/>
  <c r="N6" i="5"/>
  <c r="O6" i="5"/>
  <c r="P6" i="5"/>
  <c r="Q6" i="5"/>
  <c r="R6" i="5"/>
  <c r="S6" i="5"/>
  <c r="T6" i="5"/>
  <c r="U6" i="5"/>
  <c r="V6" i="5"/>
  <c r="W6" i="5"/>
  <c r="X6" i="5"/>
  <c r="Y6" i="5"/>
  <c r="Z6" i="5"/>
  <c r="AA6" i="5"/>
  <c r="B7" i="5"/>
  <c r="C7" i="5"/>
  <c r="D7" i="5"/>
  <c r="E7" i="5"/>
  <c r="F7" i="5"/>
  <c r="G7" i="5"/>
  <c r="H7" i="5"/>
  <c r="I7" i="5"/>
  <c r="J7" i="5"/>
  <c r="K7" i="5"/>
  <c r="L7" i="5"/>
  <c r="M7" i="5"/>
  <c r="N7" i="5"/>
  <c r="O7" i="5"/>
  <c r="P7" i="5"/>
  <c r="Q7" i="5"/>
  <c r="R7" i="5"/>
  <c r="S7" i="5"/>
  <c r="T7" i="5"/>
  <c r="U7" i="5"/>
  <c r="V7" i="5"/>
  <c r="W7" i="5"/>
  <c r="X7" i="5"/>
  <c r="Y7" i="5"/>
  <c r="Z7" i="5"/>
  <c r="AA7" i="5"/>
  <c r="B8" i="5"/>
  <c r="C8" i="5"/>
  <c r="D8" i="5"/>
  <c r="E8" i="5"/>
  <c r="F8" i="5"/>
  <c r="G8" i="5"/>
  <c r="H8" i="5"/>
  <c r="I8" i="5"/>
  <c r="J8" i="5"/>
  <c r="K8" i="5"/>
  <c r="L8" i="5"/>
  <c r="M8" i="5"/>
  <c r="N8" i="5"/>
  <c r="O8" i="5"/>
  <c r="P8" i="5"/>
  <c r="Q8" i="5"/>
  <c r="R8" i="5"/>
  <c r="S8" i="5"/>
  <c r="T8" i="5"/>
  <c r="U8" i="5"/>
  <c r="V8" i="5"/>
  <c r="W8" i="5"/>
  <c r="X8" i="5"/>
  <c r="Y8" i="5"/>
  <c r="Z8" i="5"/>
  <c r="AA8" i="5"/>
  <c r="B9" i="5"/>
  <c r="C9" i="5"/>
  <c r="D9" i="5"/>
  <c r="E9" i="5"/>
  <c r="F9" i="5"/>
  <c r="G9" i="5"/>
  <c r="H9" i="5"/>
  <c r="I9" i="5"/>
  <c r="J9" i="5"/>
  <c r="K9" i="5"/>
  <c r="L9" i="5"/>
  <c r="M9" i="5"/>
  <c r="N9" i="5"/>
  <c r="O9" i="5"/>
  <c r="P9" i="5"/>
  <c r="Q9" i="5"/>
  <c r="R9" i="5"/>
  <c r="S9" i="5"/>
  <c r="T9" i="5"/>
  <c r="U9" i="5"/>
  <c r="V9" i="5"/>
  <c r="W9" i="5"/>
  <c r="X9" i="5"/>
  <c r="Y9" i="5"/>
  <c r="Z9" i="5"/>
  <c r="AA9" i="5"/>
  <c r="B10" i="5"/>
  <c r="C10" i="5"/>
  <c r="D10" i="5"/>
  <c r="E10" i="5"/>
  <c r="F10" i="5"/>
  <c r="G10" i="5"/>
  <c r="H10" i="5"/>
  <c r="I10" i="5"/>
  <c r="J10" i="5"/>
  <c r="K10" i="5"/>
  <c r="L10" i="5"/>
  <c r="M10" i="5"/>
  <c r="N10" i="5"/>
  <c r="O10" i="5"/>
  <c r="P10" i="5"/>
  <c r="Q10" i="5"/>
  <c r="R10" i="5"/>
  <c r="S10" i="5"/>
  <c r="T10" i="5"/>
  <c r="U10" i="5"/>
  <c r="V10" i="5"/>
  <c r="W10" i="5"/>
  <c r="X10" i="5"/>
  <c r="Y10" i="5"/>
  <c r="Z10" i="5"/>
  <c r="AA10" i="5"/>
  <c r="B11" i="5"/>
  <c r="C11" i="5"/>
  <c r="D11" i="5"/>
  <c r="E11" i="5"/>
  <c r="F11" i="5"/>
  <c r="G11" i="5"/>
  <c r="H11" i="5"/>
  <c r="I11" i="5"/>
  <c r="J11" i="5"/>
  <c r="K11" i="5"/>
  <c r="L11" i="5"/>
  <c r="M11" i="5"/>
  <c r="N11" i="5"/>
  <c r="O11" i="5"/>
  <c r="P11" i="5"/>
  <c r="Q11" i="5"/>
  <c r="R11" i="5"/>
  <c r="S11" i="5"/>
  <c r="T11" i="5"/>
  <c r="U11" i="5"/>
  <c r="V11" i="5"/>
  <c r="W11" i="5"/>
  <c r="X11" i="5"/>
  <c r="Y11" i="5"/>
  <c r="Z11" i="5"/>
  <c r="AA11" i="5"/>
  <c r="B12" i="5"/>
  <c r="C12" i="5"/>
  <c r="D12" i="5"/>
  <c r="E12" i="5"/>
  <c r="F12" i="5"/>
  <c r="G12" i="5"/>
  <c r="H12" i="5"/>
  <c r="I12" i="5"/>
  <c r="J12" i="5"/>
  <c r="K12" i="5"/>
  <c r="L12" i="5"/>
  <c r="M12" i="5"/>
  <c r="N12" i="5"/>
  <c r="O12" i="5"/>
  <c r="P12" i="5"/>
  <c r="Q12" i="5"/>
  <c r="R12" i="5"/>
  <c r="S12" i="5"/>
  <c r="T12" i="5"/>
  <c r="U12" i="5"/>
  <c r="V12" i="5"/>
  <c r="W12" i="5"/>
  <c r="X12" i="5"/>
  <c r="Y12" i="5"/>
  <c r="Z12" i="5"/>
  <c r="AA12" i="5"/>
  <c r="B13" i="5"/>
  <c r="C13" i="5"/>
  <c r="D13" i="5"/>
  <c r="E13" i="5"/>
  <c r="F13" i="5"/>
  <c r="G13" i="5"/>
  <c r="H13" i="5"/>
  <c r="I13" i="5"/>
  <c r="J13" i="5"/>
  <c r="K13" i="5"/>
  <c r="L13" i="5"/>
  <c r="M13" i="5"/>
  <c r="N13" i="5"/>
  <c r="O13" i="5"/>
  <c r="P13" i="5"/>
  <c r="Q13" i="5"/>
  <c r="R13" i="5"/>
  <c r="S13" i="5"/>
  <c r="T13" i="5"/>
  <c r="U13" i="5"/>
  <c r="V13" i="5"/>
  <c r="W13" i="5"/>
  <c r="X13" i="5"/>
  <c r="Y13" i="5"/>
  <c r="Z13" i="5"/>
  <c r="AA13" i="5"/>
  <c r="B14" i="5"/>
  <c r="C14" i="5"/>
  <c r="D14" i="5"/>
  <c r="E14" i="5"/>
  <c r="F14" i="5"/>
  <c r="G14" i="5"/>
  <c r="H14" i="5"/>
  <c r="I14" i="5"/>
  <c r="J14" i="5"/>
  <c r="K14" i="5"/>
  <c r="L14" i="5"/>
  <c r="M14" i="5"/>
  <c r="N14" i="5"/>
  <c r="O14" i="5"/>
  <c r="P14" i="5"/>
  <c r="Q14" i="5"/>
  <c r="R14" i="5"/>
  <c r="S14" i="5"/>
  <c r="T14" i="5"/>
  <c r="U14" i="5"/>
  <c r="V14" i="5"/>
  <c r="W14" i="5"/>
  <c r="X14" i="5"/>
  <c r="Y14" i="5"/>
  <c r="Z14" i="5"/>
  <c r="AA14" i="5"/>
  <c r="B15" i="5"/>
  <c r="C15" i="5"/>
  <c r="D15" i="5"/>
  <c r="E15" i="5"/>
  <c r="F15" i="5"/>
  <c r="G15" i="5"/>
  <c r="H15" i="5"/>
  <c r="I15" i="5"/>
  <c r="J15" i="5"/>
  <c r="K15" i="5"/>
  <c r="L15" i="5"/>
  <c r="M15" i="5"/>
  <c r="N15" i="5"/>
  <c r="O15" i="5"/>
  <c r="P15" i="5"/>
  <c r="Q15" i="5"/>
  <c r="R15" i="5"/>
  <c r="S15" i="5"/>
  <c r="T15" i="5"/>
  <c r="U15" i="5"/>
  <c r="V15" i="5"/>
  <c r="W15" i="5"/>
  <c r="X15" i="5"/>
  <c r="Y15" i="5"/>
  <c r="Z15" i="5"/>
  <c r="AA15" i="5"/>
  <c r="B16" i="5"/>
  <c r="C16" i="5"/>
  <c r="D16" i="5"/>
  <c r="E16" i="5"/>
  <c r="F16" i="5"/>
  <c r="G16" i="5"/>
  <c r="H16" i="5"/>
  <c r="I16" i="5"/>
  <c r="J16" i="5"/>
  <c r="K16" i="5"/>
  <c r="L16" i="5"/>
  <c r="M16" i="5"/>
  <c r="N16" i="5"/>
  <c r="O16" i="5"/>
  <c r="P16" i="5"/>
  <c r="Q16" i="5"/>
  <c r="R16" i="5"/>
  <c r="S16" i="5"/>
  <c r="T16" i="5"/>
  <c r="U16" i="5"/>
  <c r="V16" i="5"/>
  <c r="W16" i="5"/>
  <c r="X16" i="5"/>
  <c r="Y16" i="5"/>
  <c r="Z16" i="5"/>
  <c r="AA16" i="5"/>
  <c r="B17" i="5"/>
  <c r="C17" i="5"/>
  <c r="D17" i="5"/>
  <c r="E17" i="5"/>
  <c r="F17" i="5"/>
  <c r="G17" i="5"/>
  <c r="H17" i="5"/>
  <c r="I17" i="5"/>
  <c r="J17" i="5"/>
  <c r="K17" i="5"/>
  <c r="L17" i="5"/>
  <c r="M17" i="5"/>
  <c r="N17" i="5"/>
  <c r="O17" i="5"/>
  <c r="P17" i="5"/>
  <c r="Q17" i="5"/>
  <c r="R17" i="5"/>
  <c r="S17" i="5"/>
  <c r="T17" i="5"/>
  <c r="U17" i="5"/>
  <c r="V17" i="5"/>
  <c r="W17" i="5"/>
  <c r="X17" i="5"/>
  <c r="Y17" i="5"/>
  <c r="Z17" i="5"/>
  <c r="AA17" i="5"/>
  <c r="B18" i="5"/>
  <c r="C18" i="5"/>
  <c r="D18" i="5"/>
  <c r="E18" i="5"/>
  <c r="F18" i="5"/>
  <c r="G18" i="5"/>
  <c r="H18" i="5"/>
  <c r="I18" i="5"/>
  <c r="J18" i="5"/>
  <c r="K18" i="5"/>
  <c r="L18" i="5"/>
  <c r="M18" i="5"/>
  <c r="N18" i="5"/>
  <c r="O18" i="5"/>
  <c r="P18" i="5"/>
  <c r="Q18" i="5"/>
  <c r="R18" i="5"/>
  <c r="S18" i="5"/>
  <c r="T18" i="5"/>
  <c r="U18" i="5"/>
  <c r="V18" i="5"/>
  <c r="W18" i="5"/>
  <c r="X18" i="5"/>
  <c r="Y18" i="5"/>
  <c r="Z18" i="5"/>
  <c r="AA18" i="5"/>
  <c r="B19" i="5"/>
  <c r="C19" i="5"/>
  <c r="D19" i="5"/>
  <c r="E19" i="5"/>
  <c r="F19" i="5"/>
  <c r="G19" i="5"/>
  <c r="H19" i="5"/>
  <c r="I19" i="5"/>
  <c r="J19" i="5"/>
  <c r="K19" i="5"/>
  <c r="L19" i="5"/>
  <c r="M19" i="5"/>
  <c r="N19" i="5"/>
  <c r="O19" i="5"/>
  <c r="P19" i="5"/>
  <c r="Q19" i="5"/>
  <c r="R19" i="5"/>
  <c r="S19" i="5"/>
  <c r="T19" i="5"/>
  <c r="U19" i="5"/>
  <c r="V19" i="5"/>
  <c r="W19" i="5"/>
  <c r="X19" i="5"/>
  <c r="Y19" i="5"/>
  <c r="Z19" i="5"/>
  <c r="AA19" i="5"/>
  <c r="B20" i="5"/>
  <c r="C20" i="5"/>
  <c r="D20" i="5"/>
  <c r="E20" i="5"/>
  <c r="F20" i="5"/>
  <c r="G20" i="5"/>
  <c r="H20" i="5"/>
  <c r="I20" i="5"/>
  <c r="J20" i="5"/>
  <c r="K20" i="5"/>
  <c r="L20" i="5"/>
  <c r="M20" i="5"/>
  <c r="N20" i="5"/>
  <c r="O20" i="5"/>
  <c r="P20" i="5"/>
  <c r="Q20" i="5"/>
  <c r="R20" i="5"/>
  <c r="S20" i="5"/>
  <c r="T20" i="5"/>
  <c r="U20" i="5"/>
  <c r="V20" i="5"/>
  <c r="W20" i="5"/>
  <c r="X20" i="5"/>
  <c r="Y20" i="5"/>
  <c r="Z20" i="5"/>
  <c r="AA20" i="5"/>
  <c r="B21" i="5"/>
  <c r="C21" i="5"/>
  <c r="D21" i="5"/>
  <c r="E21" i="5"/>
  <c r="F21" i="5"/>
  <c r="G21" i="5"/>
  <c r="H21" i="5"/>
  <c r="I21" i="5"/>
  <c r="J21" i="5"/>
  <c r="K21" i="5"/>
  <c r="L21" i="5"/>
  <c r="M21" i="5"/>
  <c r="N21" i="5"/>
  <c r="O21" i="5"/>
  <c r="P21" i="5"/>
  <c r="Q21" i="5"/>
  <c r="R21" i="5"/>
  <c r="S21" i="5"/>
  <c r="T21" i="5"/>
  <c r="U21" i="5"/>
  <c r="V21" i="5"/>
  <c r="W21" i="5"/>
  <c r="X21" i="5"/>
  <c r="Y21" i="5"/>
  <c r="Z21" i="5"/>
  <c r="AA21" i="5"/>
  <c r="B22" i="5"/>
  <c r="C22" i="5"/>
  <c r="D22" i="5"/>
  <c r="E22" i="5"/>
  <c r="F22" i="5"/>
  <c r="G22" i="5"/>
  <c r="H22" i="5"/>
  <c r="I22" i="5"/>
  <c r="J22" i="5"/>
  <c r="K22" i="5"/>
  <c r="L22" i="5"/>
  <c r="M22" i="5"/>
  <c r="N22" i="5"/>
  <c r="O22" i="5"/>
  <c r="P22" i="5"/>
  <c r="Q22" i="5"/>
  <c r="R22" i="5"/>
  <c r="S22" i="5"/>
  <c r="T22" i="5"/>
  <c r="U22" i="5"/>
  <c r="V22" i="5"/>
  <c r="W22" i="5"/>
  <c r="X22" i="5"/>
  <c r="Y22" i="5"/>
  <c r="Z22" i="5"/>
  <c r="AA22" i="5"/>
  <c r="B23" i="5"/>
  <c r="C23" i="5"/>
  <c r="D23" i="5"/>
  <c r="E23" i="5"/>
  <c r="F23" i="5"/>
  <c r="G23" i="5"/>
  <c r="H23" i="5"/>
  <c r="I23" i="5"/>
  <c r="J23" i="5"/>
  <c r="K23" i="5"/>
  <c r="L23" i="5"/>
  <c r="M23" i="5"/>
  <c r="N23" i="5"/>
  <c r="O23" i="5"/>
  <c r="P23" i="5"/>
  <c r="Q23" i="5"/>
  <c r="R23" i="5"/>
  <c r="S23" i="5"/>
  <c r="T23" i="5"/>
  <c r="U23" i="5"/>
  <c r="V23" i="5"/>
  <c r="W23" i="5"/>
  <c r="X23" i="5"/>
  <c r="Y23" i="5"/>
  <c r="Z23" i="5"/>
  <c r="AA23" i="5"/>
  <c r="B24" i="5"/>
  <c r="C24" i="5"/>
  <c r="D24" i="5"/>
  <c r="E24" i="5"/>
  <c r="F24" i="5"/>
  <c r="G24" i="5"/>
  <c r="H24" i="5"/>
  <c r="I24" i="5"/>
  <c r="J24" i="5"/>
  <c r="K24" i="5"/>
  <c r="L24" i="5"/>
  <c r="M24" i="5"/>
  <c r="N24" i="5"/>
  <c r="O24" i="5"/>
  <c r="P24" i="5"/>
  <c r="Q24" i="5"/>
  <c r="R24" i="5"/>
  <c r="S24" i="5"/>
  <c r="T24" i="5"/>
  <c r="U24" i="5"/>
  <c r="V24" i="5"/>
  <c r="W24" i="5"/>
  <c r="X24" i="5"/>
  <c r="Y24" i="5"/>
  <c r="Z24" i="5"/>
  <c r="AA24" i="5"/>
  <c r="B25" i="5"/>
  <c r="C25" i="5"/>
  <c r="D25" i="5"/>
  <c r="E25" i="5"/>
  <c r="F25" i="5"/>
  <c r="G25" i="5"/>
  <c r="H25" i="5"/>
  <c r="I25" i="5"/>
  <c r="J25" i="5"/>
  <c r="K25" i="5"/>
  <c r="L25" i="5"/>
  <c r="M25" i="5"/>
  <c r="N25" i="5"/>
  <c r="O25" i="5"/>
  <c r="P25" i="5"/>
  <c r="Q25" i="5"/>
  <c r="R25" i="5"/>
  <c r="S25" i="5"/>
  <c r="T25" i="5"/>
  <c r="U25" i="5"/>
  <c r="V25" i="5"/>
  <c r="W25" i="5"/>
  <c r="X25" i="5"/>
  <c r="Y25" i="5"/>
  <c r="Z25" i="5"/>
  <c r="AA25" i="5"/>
  <c r="B26" i="5"/>
  <c r="C26" i="5"/>
  <c r="D26" i="5"/>
  <c r="E26" i="5"/>
  <c r="F26" i="5"/>
  <c r="G26" i="5"/>
  <c r="H26" i="5"/>
  <c r="I26" i="5"/>
  <c r="J26" i="5"/>
  <c r="K26" i="5"/>
  <c r="L26" i="5"/>
  <c r="M26" i="5"/>
  <c r="N26" i="5"/>
  <c r="O26" i="5"/>
  <c r="P26" i="5"/>
  <c r="Q26" i="5"/>
  <c r="R26" i="5"/>
  <c r="S26" i="5"/>
  <c r="T26" i="5"/>
  <c r="U26" i="5"/>
  <c r="V26" i="5"/>
  <c r="W26" i="5"/>
  <c r="X26" i="5"/>
  <c r="Y26" i="5"/>
  <c r="Z26" i="5"/>
  <c r="AA26" i="5"/>
  <c r="B27" i="5"/>
  <c r="C27" i="5"/>
  <c r="D27" i="5"/>
  <c r="E27" i="5"/>
  <c r="F27" i="5"/>
  <c r="G27" i="5"/>
  <c r="H27" i="5"/>
  <c r="I27" i="5"/>
  <c r="J27" i="5"/>
  <c r="K27" i="5"/>
  <c r="L27" i="5"/>
  <c r="M27" i="5"/>
  <c r="N27" i="5"/>
  <c r="O27" i="5"/>
  <c r="P27" i="5"/>
  <c r="Q27" i="5"/>
  <c r="R27" i="5"/>
  <c r="S27" i="5"/>
  <c r="T27" i="5"/>
  <c r="U27" i="5"/>
  <c r="V27" i="5"/>
  <c r="W27" i="5"/>
  <c r="X27" i="5"/>
  <c r="Y27" i="5"/>
  <c r="Z27" i="5"/>
  <c r="AA27" i="5"/>
  <c r="B28" i="5"/>
  <c r="C28" i="5"/>
  <c r="D28" i="5"/>
  <c r="E28" i="5"/>
  <c r="F28" i="5"/>
  <c r="G28" i="5"/>
  <c r="H28" i="5"/>
  <c r="I28" i="5"/>
  <c r="J28" i="5"/>
  <c r="K28" i="5"/>
  <c r="L28" i="5"/>
  <c r="M28" i="5"/>
  <c r="N28" i="5"/>
  <c r="O28" i="5"/>
  <c r="P28" i="5"/>
  <c r="Q28" i="5"/>
  <c r="R28" i="5"/>
  <c r="S28" i="5"/>
  <c r="T28" i="5"/>
  <c r="U28" i="5"/>
  <c r="V28" i="5"/>
  <c r="W28" i="5"/>
  <c r="X28" i="5"/>
  <c r="Y28" i="5"/>
  <c r="Z28" i="5"/>
  <c r="AA28" i="5"/>
  <c r="B29" i="5"/>
  <c r="C29" i="5"/>
  <c r="D29" i="5"/>
  <c r="E29" i="5"/>
  <c r="F29" i="5"/>
  <c r="G29" i="5"/>
  <c r="H29" i="5"/>
  <c r="I29" i="5"/>
  <c r="J29" i="5"/>
  <c r="K29" i="5"/>
  <c r="L29" i="5"/>
  <c r="M29" i="5"/>
  <c r="N29" i="5"/>
  <c r="O29" i="5"/>
  <c r="P29" i="5"/>
  <c r="Q29" i="5"/>
  <c r="R29" i="5"/>
  <c r="S29" i="5"/>
  <c r="T29" i="5"/>
  <c r="U29" i="5"/>
  <c r="V29" i="5"/>
  <c r="W29" i="5"/>
  <c r="X29" i="5"/>
  <c r="Y29" i="5"/>
  <c r="Z29" i="5"/>
  <c r="AA29" i="5"/>
  <c r="B30" i="5"/>
  <c r="C30" i="5"/>
  <c r="D30" i="5"/>
  <c r="E30" i="5"/>
  <c r="F30" i="5"/>
  <c r="G30" i="5"/>
  <c r="H30" i="5"/>
  <c r="I30" i="5"/>
  <c r="J30" i="5"/>
  <c r="K30" i="5"/>
  <c r="L30" i="5"/>
  <c r="M30" i="5"/>
  <c r="N30" i="5"/>
  <c r="O30" i="5"/>
  <c r="P30" i="5"/>
  <c r="Q30" i="5"/>
  <c r="R30" i="5"/>
  <c r="S30" i="5"/>
  <c r="T30" i="5"/>
  <c r="U30" i="5"/>
  <c r="V30" i="5"/>
  <c r="W30" i="5"/>
  <c r="X30" i="5"/>
  <c r="Y30" i="5"/>
  <c r="Z30" i="5"/>
  <c r="AA30" i="5"/>
  <c r="B31" i="5"/>
  <c r="C31" i="5"/>
  <c r="D31" i="5"/>
  <c r="E31" i="5"/>
  <c r="F31" i="5"/>
  <c r="G31" i="5"/>
  <c r="H31" i="5"/>
  <c r="I31" i="5"/>
  <c r="J31" i="5"/>
  <c r="K31" i="5"/>
  <c r="L31" i="5"/>
  <c r="M31" i="5"/>
  <c r="N31" i="5"/>
  <c r="O31" i="5"/>
  <c r="P31" i="5"/>
  <c r="Q31" i="5"/>
  <c r="R31" i="5"/>
  <c r="S31" i="5"/>
  <c r="T31" i="5"/>
  <c r="U31" i="5"/>
  <c r="V31" i="5"/>
  <c r="W31" i="5"/>
  <c r="X31" i="5"/>
  <c r="Y31" i="5"/>
  <c r="Z31" i="5"/>
  <c r="AA31" i="5"/>
  <c r="B32" i="5"/>
  <c r="C32" i="5"/>
  <c r="D32" i="5"/>
  <c r="E32" i="5"/>
  <c r="F32" i="5"/>
  <c r="G32" i="5"/>
  <c r="H32" i="5"/>
  <c r="I32" i="5"/>
  <c r="J32" i="5"/>
  <c r="K32" i="5"/>
  <c r="L32" i="5"/>
  <c r="M32" i="5"/>
  <c r="N32" i="5"/>
  <c r="O32" i="5"/>
  <c r="P32" i="5"/>
  <c r="Q32" i="5"/>
  <c r="R32" i="5"/>
  <c r="S32" i="5"/>
  <c r="T32" i="5"/>
  <c r="U32" i="5"/>
  <c r="V32" i="5"/>
  <c r="W32" i="5"/>
  <c r="X32" i="5"/>
  <c r="Y32" i="5"/>
  <c r="Z32" i="5"/>
  <c r="AA32" i="5"/>
  <c r="B33" i="5"/>
  <c r="C33" i="5"/>
  <c r="D33" i="5"/>
  <c r="E33" i="5"/>
  <c r="F33" i="5"/>
  <c r="G33" i="5"/>
  <c r="H33" i="5"/>
  <c r="I33" i="5"/>
  <c r="J33" i="5"/>
  <c r="K33" i="5"/>
  <c r="L33" i="5"/>
  <c r="M33" i="5"/>
  <c r="N33" i="5"/>
  <c r="O33" i="5"/>
  <c r="P33" i="5"/>
  <c r="Q33" i="5"/>
  <c r="R33" i="5"/>
  <c r="S33" i="5"/>
  <c r="T33" i="5"/>
  <c r="U33" i="5"/>
  <c r="V33" i="5"/>
  <c r="W33" i="5"/>
  <c r="X33" i="5"/>
  <c r="Y33" i="5"/>
  <c r="Z33" i="5"/>
  <c r="AA33" i="5"/>
  <c r="B34" i="5"/>
  <c r="C34" i="5"/>
  <c r="D34" i="5"/>
  <c r="E34" i="5"/>
  <c r="F34" i="5"/>
  <c r="G34" i="5"/>
  <c r="H34" i="5"/>
  <c r="I34" i="5"/>
  <c r="J34" i="5"/>
  <c r="K34" i="5"/>
  <c r="L34" i="5"/>
  <c r="M34" i="5"/>
  <c r="N34" i="5"/>
  <c r="O34" i="5"/>
  <c r="P34" i="5"/>
  <c r="Q34" i="5"/>
  <c r="R34" i="5"/>
  <c r="S34" i="5"/>
  <c r="T34" i="5"/>
  <c r="U34" i="5"/>
  <c r="V34" i="5"/>
  <c r="W34" i="5"/>
  <c r="X34" i="5"/>
  <c r="Y34" i="5"/>
  <c r="Z34" i="5"/>
  <c r="AA34" i="5"/>
  <c r="B35" i="5"/>
  <c r="C35" i="5"/>
  <c r="D35" i="5"/>
  <c r="E35" i="5"/>
  <c r="F35" i="5"/>
  <c r="G35" i="5"/>
  <c r="H35" i="5"/>
  <c r="I35" i="5"/>
  <c r="J35" i="5"/>
  <c r="K35" i="5"/>
  <c r="L35" i="5"/>
  <c r="M35" i="5"/>
  <c r="N35" i="5"/>
  <c r="O35" i="5"/>
  <c r="P35" i="5"/>
  <c r="Q35" i="5"/>
  <c r="R35" i="5"/>
  <c r="S35" i="5"/>
  <c r="T35" i="5"/>
  <c r="U35" i="5"/>
  <c r="V35" i="5"/>
  <c r="W35" i="5"/>
  <c r="X35" i="5"/>
  <c r="Y35" i="5"/>
  <c r="Z35" i="5"/>
  <c r="AA35" i="5"/>
  <c r="B36" i="5"/>
  <c r="C36" i="5"/>
  <c r="D36" i="5"/>
  <c r="E36" i="5"/>
  <c r="F36" i="5"/>
  <c r="G36" i="5"/>
  <c r="H36" i="5"/>
  <c r="I36" i="5"/>
  <c r="J36" i="5"/>
  <c r="K36" i="5"/>
  <c r="L36" i="5"/>
  <c r="M36" i="5"/>
  <c r="N36" i="5"/>
  <c r="O36" i="5"/>
  <c r="P36" i="5"/>
  <c r="Q36" i="5"/>
  <c r="R36" i="5"/>
  <c r="S36" i="5"/>
  <c r="T36" i="5"/>
  <c r="U36" i="5"/>
  <c r="V36" i="5"/>
  <c r="W36" i="5"/>
  <c r="X36" i="5"/>
  <c r="Y36" i="5"/>
  <c r="Z36" i="5"/>
  <c r="AA36" i="5"/>
  <c r="B37" i="5"/>
  <c r="C37" i="5"/>
  <c r="D37" i="5"/>
  <c r="E37" i="5"/>
  <c r="F37" i="5"/>
  <c r="G37" i="5"/>
  <c r="H37" i="5"/>
  <c r="I37" i="5"/>
  <c r="J37" i="5"/>
  <c r="K37" i="5"/>
  <c r="L37" i="5"/>
  <c r="M37" i="5"/>
  <c r="N37" i="5"/>
  <c r="O37" i="5"/>
  <c r="P37" i="5"/>
  <c r="Q37" i="5"/>
  <c r="R37" i="5"/>
  <c r="S37" i="5"/>
  <c r="T37" i="5"/>
  <c r="U37" i="5"/>
  <c r="V37" i="5"/>
  <c r="W37" i="5"/>
  <c r="X37" i="5"/>
  <c r="Y37" i="5"/>
  <c r="Z37" i="5"/>
  <c r="AA37" i="5"/>
  <c r="B38" i="5"/>
  <c r="C38" i="5"/>
  <c r="D38" i="5"/>
  <c r="E38" i="5"/>
  <c r="F38" i="5"/>
  <c r="G38" i="5"/>
  <c r="H38" i="5"/>
  <c r="I38" i="5"/>
  <c r="J38" i="5"/>
  <c r="K38" i="5"/>
  <c r="L38" i="5"/>
  <c r="M38" i="5"/>
  <c r="N38" i="5"/>
  <c r="O38" i="5"/>
  <c r="P38" i="5"/>
  <c r="Q38" i="5"/>
  <c r="R38" i="5"/>
  <c r="S38" i="5"/>
  <c r="T38" i="5"/>
  <c r="U38" i="5"/>
  <c r="V38" i="5"/>
  <c r="W38" i="5"/>
  <c r="X38" i="5"/>
  <c r="Y38" i="5"/>
  <c r="Z38" i="5"/>
  <c r="AA38" i="5"/>
  <c r="B39" i="5"/>
  <c r="C39" i="5"/>
  <c r="D39" i="5"/>
  <c r="E39" i="5"/>
  <c r="F39" i="5"/>
  <c r="G39" i="5"/>
  <c r="H39" i="5"/>
  <c r="I39" i="5"/>
  <c r="J39" i="5"/>
  <c r="K39" i="5"/>
  <c r="L39" i="5"/>
  <c r="M39" i="5"/>
  <c r="N39" i="5"/>
  <c r="O39" i="5"/>
  <c r="P39" i="5"/>
  <c r="Q39" i="5"/>
  <c r="R39" i="5"/>
  <c r="S39" i="5"/>
  <c r="T39" i="5"/>
  <c r="U39" i="5"/>
  <c r="V39" i="5"/>
  <c r="W39" i="5"/>
  <c r="X39" i="5"/>
  <c r="Y39" i="5"/>
  <c r="Z39" i="5"/>
  <c r="AA39" i="5"/>
  <c r="B40" i="5"/>
  <c r="C40" i="5"/>
  <c r="D40" i="5"/>
  <c r="E40" i="5"/>
  <c r="F40" i="5"/>
  <c r="G40" i="5"/>
  <c r="H40" i="5"/>
  <c r="I40" i="5"/>
  <c r="J40" i="5"/>
  <c r="K40" i="5"/>
  <c r="L40" i="5"/>
  <c r="M40" i="5"/>
  <c r="N40" i="5"/>
  <c r="O40" i="5"/>
  <c r="P40" i="5"/>
  <c r="Q40" i="5"/>
  <c r="R40" i="5"/>
  <c r="S40" i="5"/>
  <c r="T40" i="5"/>
  <c r="U40" i="5"/>
  <c r="V40" i="5"/>
  <c r="W40" i="5"/>
  <c r="X40" i="5"/>
  <c r="Y40" i="5"/>
  <c r="Z40" i="5"/>
  <c r="AA40" i="5"/>
  <c r="B41" i="5"/>
  <c r="C41" i="5"/>
  <c r="D41" i="5"/>
  <c r="E41" i="5"/>
  <c r="F41" i="5"/>
  <c r="G41" i="5"/>
  <c r="H41" i="5"/>
  <c r="I41" i="5"/>
  <c r="J41" i="5"/>
  <c r="K41" i="5"/>
  <c r="L41" i="5"/>
  <c r="M41" i="5"/>
  <c r="N41" i="5"/>
  <c r="O41" i="5"/>
  <c r="P41" i="5"/>
  <c r="Q41" i="5"/>
  <c r="R41" i="5"/>
  <c r="S41" i="5"/>
  <c r="T41" i="5"/>
  <c r="U41" i="5"/>
  <c r="V41" i="5"/>
  <c r="W41" i="5"/>
  <c r="X41" i="5"/>
  <c r="Y41" i="5"/>
  <c r="Z41" i="5"/>
  <c r="AA41" i="5"/>
  <c r="B42" i="5"/>
  <c r="C42" i="5"/>
  <c r="D42" i="5"/>
  <c r="E42" i="5"/>
  <c r="F42" i="5"/>
  <c r="G42" i="5"/>
  <c r="H42" i="5"/>
  <c r="I42" i="5"/>
  <c r="J42" i="5"/>
  <c r="K42" i="5"/>
  <c r="L42" i="5"/>
  <c r="M42" i="5"/>
  <c r="N42" i="5"/>
  <c r="O42" i="5"/>
  <c r="P42" i="5"/>
  <c r="Q42" i="5"/>
  <c r="R42" i="5"/>
  <c r="S42" i="5"/>
  <c r="T42" i="5"/>
  <c r="U42" i="5"/>
  <c r="V42" i="5"/>
  <c r="W42" i="5"/>
  <c r="X42" i="5"/>
  <c r="Y42" i="5"/>
  <c r="Z42" i="5"/>
  <c r="AA42" i="5"/>
  <c r="B43" i="5"/>
  <c r="C43" i="5"/>
  <c r="D43" i="5"/>
  <c r="E43" i="5"/>
  <c r="F43" i="5"/>
  <c r="G43" i="5"/>
  <c r="H43" i="5"/>
  <c r="I43" i="5"/>
  <c r="J43" i="5"/>
  <c r="K43" i="5"/>
  <c r="L43" i="5"/>
  <c r="M43" i="5"/>
  <c r="N43" i="5"/>
  <c r="O43" i="5"/>
  <c r="P43" i="5"/>
  <c r="Q43" i="5"/>
  <c r="R43" i="5"/>
  <c r="S43" i="5"/>
  <c r="T43" i="5"/>
  <c r="U43" i="5"/>
  <c r="V43" i="5"/>
  <c r="W43" i="5"/>
  <c r="X43" i="5"/>
  <c r="Y43" i="5"/>
  <c r="Z43" i="5"/>
  <c r="AA43" i="5"/>
  <c r="B44" i="5"/>
  <c r="C44" i="5"/>
  <c r="D44" i="5"/>
  <c r="E44" i="5"/>
  <c r="F44" i="5"/>
  <c r="G44" i="5"/>
  <c r="H44" i="5"/>
  <c r="I44" i="5"/>
  <c r="J44" i="5"/>
  <c r="K44" i="5"/>
  <c r="L44" i="5"/>
  <c r="M44" i="5"/>
  <c r="N44" i="5"/>
  <c r="O44" i="5"/>
  <c r="P44" i="5"/>
  <c r="Q44" i="5"/>
  <c r="R44" i="5"/>
  <c r="S44" i="5"/>
  <c r="T44" i="5"/>
  <c r="U44" i="5"/>
  <c r="V44" i="5"/>
  <c r="W44" i="5"/>
  <c r="X44" i="5"/>
  <c r="Y44" i="5"/>
  <c r="Z44" i="5"/>
  <c r="AA44" i="5"/>
  <c r="B45" i="5"/>
  <c r="C45" i="5"/>
  <c r="D45" i="5"/>
  <c r="E45" i="5"/>
  <c r="F45" i="5"/>
  <c r="G45" i="5"/>
  <c r="H45" i="5"/>
  <c r="I45" i="5"/>
  <c r="J45" i="5"/>
  <c r="K45" i="5"/>
  <c r="L45" i="5"/>
  <c r="M45" i="5"/>
  <c r="N45" i="5"/>
  <c r="O45" i="5"/>
  <c r="P45" i="5"/>
  <c r="Q45" i="5"/>
  <c r="R45" i="5"/>
  <c r="S45" i="5"/>
  <c r="T45" i="5"/>
  <c r="U45" i="5"/>
  <c r="V45" i="5"/>
  <c r="W45" i="5"/>
  <c r="X45" i="5"/>
  <c r="Y45" i="5"/>
  <c r="Z45" i="5"/>
  <c r="AA45" i="5"/>
  <c r="B46" i="5"/>
  <c r="C46" i="5"/>
  <c r="D46" i="5"/>
  <c r="E46" i="5"/>
  <c r="F46" i="5"/>
  <c r="G46" i="5"/>
  <c r="H46" i="5"/>
  <c r="I46" i="5"/>
  <c r="J46" i="5"/>
  <c r="K46" i="5"/>
  <c r="L46" i="5"/>
  <c r="M46" i="5"/>
  <c r="N46" i="5"/>
  <c r="O46" i="5"/>
  <c r="P46" i="5"/>
  <c r="Q46" i="5"/>
  <c r="R46" i="5"/>
  <c r="S46" i="5"/>
  <c r="T46" i="5"/>
  <c r="U46" i="5"/>
  <c r="V46" i="5"/>
  <c r="W46" i="5"/>
  <c r="X46" i="5"/>
  <c r="Y46" i="5"/>
  <c r="Z46" i="5"/>
  <c r="AA46" i="5"/>
  <c r="B47" i="5"/>
  <c r="C47" i="5"/>
  <c r="D47" i="5"/>
  <c r="E47" i="5"/>
  <c r="F47" i="5"/>
  <c r="G47" i="5"/>
  <c r="H47" i="5"/>
  <c r="I47" i="5"/>
  <c r="J47" i="5"/>
  <c r="K47" i="5"/>
  <c r="L47" i="5"/>
  <c r="M47" i="5"/>
  <c r="N47" i="5"/>
  <c r="O47" i="5"/>
  <c r="P47" i="5"/>
  <c r="Q47" i="5"/>
  <c r="R47" i="5"/>
  <c r="S47" i="5"/>
  <c r="T47" i="5"/>
  <c r="U47" i="5"/>
  <c r="V47" i="5"/>
  <c r="W47" i="5"/>
  <c r="X47" i="5"/>
  <c r="Y47" i="5"/>
  <c r="Z47" i="5"/>
  <c r="AA47" i="5"/>
  <c r="B48" i="5"/>
  <c r="C48" i="5"/>
  <c r="D48" i="5"/>
  <c r="E48" i="5"/>
  <c r="F48" i="5"/>
  <c r="G48" i="5"/>
  <c r="H48" i="5"/>
  <c r="I48" i="5"/>
  <c r="J48" i="5"/>
  <c r="K48" i="5"/>
  <c r="L48" i="5"/>
  <c r="M48" i="5"/>
  <c r="N48" i="5"/>
  <c r="O48" i="5"/>
  <c r="P48" i="5"/>
  <c r="Q48" i="5"/>
  <c r="R48" i="5"/>
  <c r="S48" i="5"/>
  <c r="T48" i="5"/>
  <c r="U48" i="5"/>
  <c r="V48" i="5"/>
  <c r="W48" i="5"/>
  <c r="X48" i="5"/>
  <c r="Y48" i="5"/>
  <c r="Z48" i="5"/>
  <c r="AA48"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B2" i="8"/>
  <c r="C2" i="8"/>
  <c r="D2" i="8"/>
  <c r="E2" i="8"/>
  <c r="F2" i="8"/>
  <c r="G2" i="8"/>
  <c r="H2" i="8"/>
  <c r="I2" i="8"/>
  <c r="J2" i="8"/>
  <c r="K2" i="8"/>
  <c r="L2" i="8"/>
  <c r="M2" i="8"/>
  <c r="N2" i="8"/>
  <c r="O2" i="8"/>
  <c r="P2" i="8"/>
  <c r="Q2" i="8"/>
  <c r="R2" i="8"/>
  <c r="S2" i="8"/>
  <c r="T2" i="8"/>
  <c r="U2" i="8"/>
  <c r="V2" i="8"/>
  <c r="W2" i="8"/>
  <c r="X2" i="8"/>
  <c r="Y2" i="8"/>
  <c r="Z2" i="8"/>
  <c r="AA2" i="8"/>
  <c r="B3" i="8"/>
  <c r="C3" i="8"/>
  <c r="D3" i="8"/>
  <c r="E3" i="8"/>
  <c r="F3" i="8"/>
  <c r="G3" i="8"/>
  <c r="H3" i="8"/>
  <c r="I3" i="8"/>
  <c r="J3" i="8"/>
  <c r="K3" i="8"/>
  <c r="L3" i="8"/>
  <c r="M3" i="8"/>
  <c r="N3" i="8"/>
  <c r="O3" i="8"/>
  <c r="P3" i="8"/>
  <c r="Q3" i="8"/>
  <c r="R3" i="8"/>
  <c r="S3" i="8"/>
  <c r="T3" i="8"/>
  <c r="U3" i="8"/>
  <c r="V3" i="8"/>
  <c r="W3" i="8"/>
  <c r="X3" i="8"/>
  <c r="Y3" i="8"/>
  <c r="Z3" i="8"/>
  <c r="AA3" i="8"/>
  <c r="B4" i="8"/>
  <c r="C4" i="8"/>
  <c r="D4" i="8"/>
  <c r="E4" i="8"/>
  <c r="F4" i="8"/>
  <c r="G4" i="8"/>
  <c r="H4" i="8"/>
  <c r="I4" i="8"/>
  <c r="J4" i="8"/>
  <c r="K4" i="8"/>
  <c r="L4" i="8"/>
  <c r="M4" i="8"/>
  <c r="N4" i="8"/>
  <c r="O4" i="8"/>
  <c r="P4" i="8"/>
  <c r="Q4" i="8"/>
  <c r="R4" i="8"/>
  <c r="S4" i="8"/>
  <c r="T4" i="8"/>
  <c r="U4" i="8"/>
  <c r="V4" i="8"/>
  <c r="W4" i="8"/>
  <c r="X4" i="8"/>
  <c r="Y4" i="8"/>
  <c r="Z4" i="8"/>
  <c r="AA4" i="8"/>
  <c r="B5" i="8"/>
  <c r="C5" i="8"/>
  <c r="D5" i="8"/>
  <c r="E5" i="8"/>
  <c r="F5" i="8"/>
  <c r="G5" i="8"/>
  <c r="H5" i="8"/>
  <c r="I5" i="8"/>
  <c r="J5" i="8"/>
  <c r="K5" i="8"/>
  <c r="L5" i="8"/>
  <c r="M5" i="8"/>
  <c r="N5" i="8"/>
  <c r="O5" i="8"/>
  <c r="P5" i="8"/>
  <c r="Q5" i="8"/>
  <c r="R5" i="8"/>
  <c r="S5" i="8"/>
  <c r="T5" i="8"/>
  <c r="U5" i="8"/>
  <c r="V5" i="8"/>
  <c r="W5" i="8"/>
  <c r="X5" i="8"/>
  <c r="Y5" i="8"/>
  <c r="Z5" i="8"/>
  <c r="AA5" i="8"/>
  <c r="B6" i="8"/>
  <c r="C6" i="8"/>
  <c r="D6" i="8"/>
  <c r="E6" i="8"/>
  <c r="F6" i="8"/>
  <c r="G6" i="8"/>
  <c r="H6" i="8"/>
  <c r="I6" i="8"/>
  <c r="J6" i="8"/>
  <c r="K6" i="8"/>
  <c r="L6" i="8"/>
  <c r="M6" i="8"/>
  <c r="N6" i="8"/>
  <c r="O6" i="8"/>
  <c r="P6" i="8"/>
  <c r="Q6" i="8"/>
  <c r="R6" i="8"/>
  <c r="S6" i="8"/>
  <c r="T6" i="8"/>
  <c r="U6" i="8"/>
  <c r="V6" i="8"/>
  <c r="W6" i="8"/>
  <c r="X6" i="8"/>
  <c r="Y6" i="8"/>
  <c r="Z6" i="8"/>
  <c r="AA6" i="8"/>
  <c r="B7" i="8"/>
  <c r="C7" i="8"/>
  <c r="D7" i="8"/>
  <c r="E7" i="8"/>
  <c r="F7" i="8"/>
  <c r="G7" i="8"/>
  <c r="H7" i="8"/>
  <c r="I7" i="8"/>
  <c r="J7" i="8"/>
  <c r="K7" i="8"/>
  <c r="L7" i="8"/>
  <c r="M7" i="8"/>
  <c r="N7" i="8"/>
  <c r="O7" i="8"/>
  <c r="P7" i="8"/>
  <c r="Q7" i="8"/>
  <c r="R7" i="8"/>
  <c r="S7" i="8"/>
  <c r="T7" i="8"/>
  <c r="U7" i="8"/>
  <c r="V7" i="8"/>
  <c r="W7" i="8"/>
  <c r="X7" i="8"/>
  <c r="Y7" i="8"/>
  <c r="Z7" i="8"/>
  <c r="AA7" i="8"/>
  <c r="B8" i="8"/>
  <c r="C8" i="8"/>
  <c r="D8" i="8"/>
  <c r="E8" i="8"/>
  <c r="F8" i="8"/>
  <c r="G8" i="8"/>
  <c r="H8" i="8"/>
  <c r="I8" i="8"/>
  <c r="J8" i="8"/>
  <c r="K8" i="8"/>
  <c r="L8" i="8"/>
  <c r="M8" i="8"/>
  <c r="N8" i="8"/>
  <c r="O8" i="8"/>
  <c r="P8" i="8"/>
  <c r="Q8" i="8"/>
  <c r="R8" i="8"/>
  <c r="S8" i="8"/>
  <c r="T8" i="8"/>
  <c r="U8" i="8"/>
  <c r="V8" i="8"/>
  <c r="W8" i="8"/>
  <c r="X8" i="8"/>
  <c r="Y8" i="8"/>
  <c r="Z8" i="8"/>
  <c r="AA8" i="8"/>
  <c r="B9" i="8"/>
  <c r="C9" i="8"/>
  <c r="D9" i="8"/>
  <c r="E9" i="8"/>
  <c r="F9" i="8"/>
  <c r="G9" i="8"/>
  <c r="H9" i="8"/>
  <c r="I9" i="8"/>
  <c r="J9" i="8"/>
  <c r="K9" i="8"/>
  <c r="L9" i="8"/>
  <c r="M9" i="8"/>
  <c r="N9" i="8"/>
  <c r="O9" i="8"/>
  <c r="P9" i="8"/>
  <c r="Q9" i="8"/>
  <c r="R9" i="8"/>
  <c r="S9" i="8"/>
  <c r="T9" i="8"/>
  <c r="U9" i="8"/>
  <c r="V9" i="8"/>
  <c r="W9" i="8"/>
  <c r="X9" i="8"/>
  <c r="Y9" i="8"/>
  <c r="Z9" i="8"/>
  <c r="AA9" i="8"/>
  <c r="B10" i="8"/>
  <c r="C10" i="8"/>
  <c r="D10" i="8"/>
  <c r="E10" i="8"/>
  <c r="F10" i="8"/>
  <c r="G10" i="8"/>
  <c r="H10" i="8"/>
  <c r="I10" i="8"/>
  <c r="J10" i="8"/>
  <c r="K10" i="8"/>
  <c r="L10" i="8"/>
  <c r="M10" i="8"/>
  <c r="N10" i="8"/>
  <c r="O10" i="8"/>
  <c r="P10" i="8"/>
  <c r="Q10" i="8"/>
  <c r="R10" i="8"/>
  <c r="S10" i="8"/>
  <c r="T10" i="8"/>
  <c r="U10" i="8"/>
  <c r="V10" i="8"/>
  <c r="W10" i="8"/>
  <c r="X10" i="8"/>
  <c r="Y10" i="8"/>
  <c r="Z10" i="8"/>
  <c r="AA10" i="8"/>
  <c r="B11" i="8"/>
  <c r="C11" i="8"/>
  <c r="D11" i="8"/>
  <c r="E11" i="8"/>
  <c r="F11" i="8"/>
  <c r="G11" i="8"/>
  <c r="H11" i="8"/>
  <c r="I11" i="8"/>
  <c r="J11" i="8"/>
  <c r="K11" i="8"/>
  <c r="L11" i="8"/>
  <c r="M11" i="8"/>
  <c r="N11" i="8"/>
  <c r="O11" i="8"/>
  <c r="P11" i="8"/>
  <c r="Q11" i="8"/>
  <c r="R11" i="8"/>
  <c r="S11" i="8"/>
  <c r="T11" i="8"/>
  <c r="U11" i="8"/>
  <c r="V11" i="8"/>
  <c r="W11" i="8"/>
  <c r="X11" i="8"/>
  <c r="Y11" i="8"/>
  <c r="Z11" i="8"/>
  <c r="AA11" i="8"/>
  <c r="B12" i="8"/>
  <c r="C12" i="8"/>
  <c r="D12" i="8"/>
  <c r="E12" i="8"/>
  <c r="F12" i="8"/>
  <c r="G12" i="8"/>
  <c r="H12" i="8"/>
  <c r="I12" i="8"/>
  <c r="J12" i="8"/>
  <c r="K12" i="8"/>
  <c r="L12" i="8"/>
  <c r="M12" i="8"/>
  <c r="N12" i="8"/>
  <c r="O12" i="8"/>
  <c r="P12" i="8"/>
  <c r="Q12" i="8"/>
  <c r="R12" i="8"/>
  <c r="S12" i="8"/>
  <c r="T12" i="8"/>
  <c r="U12" i="8"/>
  <c r="V12" i="8"/>
  <c r="W12" i="8"/>
  <c r="X12" i="8"/>
  <c r="Y12" i="8"/>
  <c r="Z12" i="8"/>
  <c r="AA12" i="8"/>
  <c r="B13" i="8"/>
  <c r="C13" i="8"/>
  <c r="D13" i="8"/>
  <c r="E13" i="8"/>
  <c r="F13" i="8"/>
  <c r="G13" i="8"/>
  <c r="H13" i="8"/>
  <c r="I13" i="8"/>
  <c r="J13" i="8"/>
  <c r="K13" i="8"/>
  <c r="L13" i="8"/>
  <c r="M13" i="8"/>
  <c r="N13" i="8"/>
  <c r="O13" i="8"/>
  <c r="P13" i="8"/>
  <c r="Q13" i="8"/>
  <c r="R13" i="8"/>
  <c r="S13" i="8"/>
  <c r="T13" i="8"/>
  <c r="U13" i="8"/>
  <c r="V13" i="8"/>
  <c r="W13" i="8"/>
  <c r="X13" i="8"/>
  <c r="Y13" i="8"/>
  <c r="Z13" i="8"/>
  <c r="AA13" i="8"/>
  <c r="B14" i="8"/>
  <c r="C14" i="8"/>
  <c r="D14" i="8"/>
  <c r="E14" i="8"/>
  <c r="F14" i="8"/>
  <c r="G14" i="8"/>
  <c r="H14" i="8"/>
  <c r="I14" i="8"/>
  <c r="J14" i="8"/>
  <c r="K14" i="8"/>
  <c r="L14" i="8"/>
  <c r="M14" i="8"/>
  <c r="N14" i="8"/>
  <c r="O14" i="8"/>
  <c r="P14" i="8"/>
  <c r="Q14" i="8"/>
  <c r="R14" i="8"/>
  <c r="S14" i="8"/>
  <c r="T14" i="8"/>
  <c r="U14" i="8"/>
  <c r="V14" i="8"/>
  <c r="W14" i="8"/>
  <c r="X14" i="8"/>
  <c r="Y14" i="8"/>
  <c r="Z14" i="8"/>
  <c r="AA14" i="8"/>
  <c r="B15" i="8"/>
  <c r="C15" i="8"/>
  <c r="D15" i="8"/>
  <c r="E15" i="8"/>
  <c r="F15" i="8"/>
  <c r="G15" i="8"/>
  <c r="H15" i="8"/>
  <c r="I15" i="8"/>
  <c r="J15" i="8"/>
  <c r="K15" i="8"/>
  <c r="L15" i="8"/>
  <c r="M15" i="8"/>
  <c r="N15" i="8"/>
  <c r="O15" i="8"/>
  <c r="P15" i="8"/>
  <c r="Q15" i="8"/>
  <c r="R15" i="8"/>
  <c r="S15" i="8"/>
  <c r="T15" i="8"/>
  <c r="U15" i="8"/>
  <c r="V15" i="8"/>
  <c r="W15" i="8"/>
  <c r="X15" i="8"/>
  <c r="Y15" i="8"/>
  <c r="Z15" i="8"/>
  <c r="AA15" i="8"/>
  <c r="B16" i="8"/>
  <c r="C16" i="8"/>
  <c r="D16" i="8"/>
  <c r="E16" i="8"/>
  <c r="F16" i="8"/>
  <c r="G16" i="8"/>
  <c r="H16" i="8"/>
  <c r="I16" i="8"/>
  <c r="J16" i="8"/>
  <c r="K16" i="8"/>
  <c r="L16" i="8"/>
  <c r="M16" i="8"/>
  <c r="N16" i="8"/>
  <c r="O16" i="8"/>
  <c r="P16" i="8"/>
  <c r="Q16" i="8"/>
  <c r="R16" i="8"/>
  <c r="S16" i="8"/>
  <c r="T16" i="8"/>
  <c r="U16" i="8"/>
  <c r="V16" i="8"/>
  <c r="W16" i="8"/>
  <c r="X16" i="8"/>
  <c r="Y16" i="8"/>
  <c r="Z16" i="8"/>
  <c r="AA16" i="8"/>
  <c r="B17" i="8"/>
  <c r="C17" i="8"/>
  <c r="D17" i="8"/>
  <c r="E17" i="8"/>
  <c r="F17" i="8"/>
  <c r="G17" i="8"/>
  <c r="H17" i="8"/>
  <c r="I17" i="8"/>
  <c r="J17" i="8"/>
  <c r="K17" i="8"/>
  <c r="L17" i="8"/>
  <c r="M17" i="8"/>
  <c r="N17" i="8"/>
  <c r="O17" i="8"/>
  <c r="P17" i="8"/>
  <c r="Q17" i="8"/>
  <c r="R17" i="8"/>
  <c r="S17" i="8"/>
  <c r="T17" i="8"/>
  <c r="U17" i="8"/>
  <c r="V17" i="8"/>
  <c r="W17" i="8"/>
  <c r="X17" i="8"/>
  <c r="Y17" i="8"/>
  <c r="Z17" i="8"/>
  <c r="AA17" i="8"/>
  <c r="B18" i="8"/>
  <c r="C18" i="8"/>
  <c r="D18" i="8"/>
  <c r="E18" i="8"/>
  <c r="F18" i="8"/>
  <c r="G18" i="8"/>
  <c r="H18" i="8"/>
  <c r="I18" i="8"/>
  <c r="J18" i="8"/>
  <c r="K18" i="8"/>
  <c r="L18" i="8"/>
  <c r="M18" i="8"/>
  <c r="N18" i="8"/>
  <c r="O18" i="8"/>
  <c r="P18" i="8"/>
  <c r="Q18" i="8"/>
  <c r="R18" i="8"/>
  <c r="S18" i="8"/>
  <c r="T18" i="8"/>
  <c r="U18" i="8"/>
  <c r="V18" i="8"/>
  <c r="W18" i="8"/>
  <c r="X18" i="8"/>
  <c r="Y18" i="8"/>
  <c r="Z18" i="8"/>
  <c r="AA18" i="8"/>
  <c r="B19" i="8"/>
  <c r="C19" i="8"/>
  <c r="D19" i="8"/>
  <c r="E19" i="8"/>
  <c r="F19" i="8"/>
  <c r="G19" i="8"/>
  <c r="H19" i="8"/>
  <c r="I19" i="8"/>
  <c r="J19" i="8"/>
  <c r="K19" i="8"/>
  <c r="L19" i="8"/>
  <c r="M19" i="8"/>
  <c r="N19" i="8"/>
  <c r="O19" i="8"/>
  <c r="P19" i="8"/>
  <c r="Q19" i="8"/>
  <c r="R19" i="8"/>
  <c r="S19" i="8"/>
  <c r="T19" i="8"/>
  <c r="U19" i="8"/>
  <c r="V19" i="8"/>
  <c r="W19" i="8"/>
  <c r="X19" i="8"/>
  <c r="Y19" i="8"/>
  <c r="Z19" i="8"/>
  <c r="AA19" i="8"/>
  <c r="B20" i="8"/>
  <c r="C20" i="8"/>
  <c r="D20" i="8"/>
  <c r="E20" i="8"/>
  <c r="F20" i="8"/>
  <c r="G20" i="8"/>
  <c r="H20" i="8"/>
  <c r="I20" i="8"/>
  <c r="J20" i="8"/>
  <c r="K20" i="8"/>
  <c r="L20" i="8"/>
  <c r="M20" i="8"/>
  <c r="N20" i="8"/>
  <c r="O20" i="8"/>
  <c r="P20" i="8"/>
  <c r="Q20" i="8"/>
  <c r="R20" i="8"/>
  <c r="S20" i="8"/>
  <c r="T20" i="8"/>
  <c r="U20" i="8"/>
  <c r="V20" i="8"/>
  <c r="W20" i="8"/>
  <c r="X20" i="8"/>
  <c r="Y20" i="8"/>
  <c r="Z20" i="8"/>
  <c r="AA20" i="8"/>
  <c r="B21" i="8"/>
  <c r="C21" i="8"/>
  <c r="D21" i="8"/>
  <c r="E21" i="8"/>
  <c r="F21" i="8"/>
  <c r="G21" i="8"/>
  <c r="H21" i="8"/>
  <c r="I21" i="8"/>
  <c r="J21" i="8"/>
  <c r="K21" i="8"/>
  <c r="L21" i="8"/>
  <c r="M21" i="8"/>
  <c r="N21" i="8"/>
  <c r="O21" i="8"/>
  <c r="P21" i="8"/>
  <c r="Q21" i="8"/>
  <c r="R21" i="8"/>
  <c r="S21" i="8"/>
  <c r="T21" i="8"/>
  <c r="U21" i="8"/>
  <c r="V21" i="8"/>
  <c r="W21" i="8"/>
  <c r="X21" i="8"/>
  <c r="Y21" i="8"/>
  <c r="Z21" i="8"/>
  <c r="AA21" i="8"/>
  <c r="B22" i="8"/>
  <c r="C22" i="8"/>
  <c r="D22" i="8"/>
  <c r="E22" i="8"/>
  <c r="F22" i="8"/>
  <c r="G22" i="8"/>
  <c r="H22" i="8"/>
  <c r="I22" i="8"/>
  <c r="J22" i="8"/>
  <c r="K22" i="8"/>
  <c r="L22" i="8"/>
  <c r="M22" i="8"/>
  <c r="N22" i="8"/>
  <c r="O22" i="8"/>
  <c r="P22" i="8"/>
  <c r="Q22" i="8"/>
  <c r="R22" i="8"/>
  <c r="S22" i="8"/>
  <c r="T22" i="8"/>
  <c r="U22" i="8"/>
  <c r="V22" i="8"/>
  <c r="W22" i="8"/>
  <c r="X22" i="8"/>
  <c r="Y22" i="8"/>
  <c r="Z22" i="8"/>
  <c r="AA22" i="8"/>
  <c r="B23" i="8"/>
  <c r="C23" i="8"/>
  <c r="D23" i="8"/>
  <c r="E23" i="8"/>
  <c r="F23" i="8"/>
  <c r="G23" i="8"/>
  <c r="H23" i="8"/>
  <c r="I23" i="8"/>
  <c r="J23" i="8"/>
  <c r="K23" i="8"/>
  <c r="L23" i="8"/>
  <c r="M23" i="8"/>
  <c r="N23" i="8"/>
  <c r="O23" i="8"/>
  <c r="P23" i="8"/>
  <c r="Q23" i="8"/>
  <c r="R23" i="8"/>
  <c r="S23" i="8"/>
  <c r="T23" i="8"/>
  <c r="U23" i="8"/>
  <c r="V23" i="8"/>
  <c r="W23" i="8"/>
  <c r="X23" i="8"/>
  <c r="Y23" i="8"/>
  <c r="Z23" i="8"/>
  <c r="AA23" i="8"/>
  <c r="B24" i="8"/>
  <c r="C24" i="8"/>
  <c r="D24" i="8"/>
  <c r="E24" i="8"/>
  <c r="F24" i="8"/>
  <c r="G24" i="8"/>
  <c r="H24" i="8"/>
  <c r="I24" i="8"/>
  <c r="J24" i="8"/>
  <c r="K24" i="8"/>
  <c r="L24" i="8"/>
  <c r="M24" i="8"/>
  <c r="N24" i="8"/>
  <c r="O24" i="8"/>
  <c r="P24" i="8"/>
  <c r="Q24" i="8"/>
  <c r="R24" i="8"/>
  <c r="S24" i="8"/>
  <c r="T24" i="8"/>
  <c r="U24" i="8"/>
  <c r="V24" i="8"/>
  <c r="W24" i="8"/>
  <c r="X24" i="8"/>
  <c r="Y24" i="8"/>
  <c r="Z24" i="8"/>
  <c r="AA24" i="8"/>
  <c r="B25" i="8"/>
  <c r="C25" i="8"/>
  <c r="D25" i="8"/>
  <c r="E25" i="8"/>
  <c r="F25" i="8"/>
  <c r="G25" i="8"/>
  <c r="H25" i="8"/>
  <c r="I25" i="8"/>
  <c r="J25" i="8"/>
  <c r="K25" i="8"/>
  <c r="L25" i="8"/>
  <c r="M25" i="8"/>
  <c r="N25" i="8"/>
  <c r="O25" i="8"/>
  <c r="P25" i="8"/>
  <c r="Q25" i="8"/>
  <c r="R25" i="8"/>
  <c r="S25" i="8"/>
  <c r="T25" i="8"/>
  <c r="U25" i="8"/>
  <c r="V25" i="8"/>
  <c r="W25" i="8"/>
  <c r="X25" i="8"/>
  <c r="Y25" i="8"/>
  <c r="Z25" i="8"/>
  <c r="AA25" i="8"/>
  <c r="B26" i="8"/>
  <c r="C26" i="8"/>
  <c r="D26" i="8"/>
  <c r="E26" i="8"/>
  <c r="F26" i="8"/>
  <c r="G26" i="8"/>
  <c r="H26" i="8"/>
  <c r="I26" i="8"/>
  <c r="J26" i="8"/>
  <c r="K26" i="8"/>
  <c r="L26" i="8"/>
  <c r="M26" i="8"/>
  <c r="N26" i="8"/>
  <c r="O26" i="8"/>
  <c r="P26" i="8"/>
  <c r="Q26" i="8"/>
  <c r="R26" i="8"/>
  <c r="S26" i="8"/>
  <c r="T26" i="8"/>
  <c r="U26" i="8"/>
  <c r="V26" i="8"/>
  <c r="W26" i="8"/>
  <c r="X26" i="8"/>
  <c r="Y26" i="8"/>
  <c r="Z26" i="8"/>
  <c r="AA26" i="8"/>
  <c r="B27" i="8"/>
  <c r="C27" i="8"/>
  <c r="D27" i="8"/>
  <c r="E27" i="8"/>
  <c r="F27" i="8"/>
  <c r="G27" i="8"/>
  <c r="H27" i="8"/>
  <c r="I27" i="8"/>
  <c r="J27" i="8"/>
  <c r="K27" i="8"/>
  <c r="L27" i="8"/>
  <c r="M27" i="8"/>
  <c r="N27" i="8"/>
  <c r="O27" i="8"/>
  <c r="P27" i="8"/>
  <c r="Q27" i="8"/>
  <c r="R27" i="8"/>
  <c r="S27" i="8"/>
  <c r="T27" i="8"/>
  <c r="U27" i="8"/>
  <c r="V27" i="8"/>
  <c r="W27" i="8"/>
  <c r="X27" i="8"/>
  <c r="Y27" i="8"/>
  <c r="Z27" i="8"/>
  <c r="AA27" i="8"/>
  <c r="B28" i="8"/>
  <c r="C28" i="8"/>
  <c r="D28" i="8"/>
  <c r="E28" i="8"/>
  <c r="F28" i="8"/>
  <c r="G28" i="8"/>
  <c r="H28" i="8"/>
  <c r="I28" i="8"/>
  <c r="J28" i="8"/>
  <c r="K28" i="8"/>
  <c r="L28" i="8"/>
  <c r="M28" i="8"/>
  <c r="N28" i="8"/>
  <c r="O28" i="8"/>
  <c r="P28" i="8"/>
  <c r="Q28" i="8"/>
  <c r="R28" i="8"/>
  <c r="S28" i="8"/>
  <c r="T28" i="8"/>
  <c r="U28" i="8"/>
  <c r="V28" i="8"/>
  <c r="W28" i="8"/>
  <c r="X28" i="8"/>
  <c r="Y28" i="8"/>
  <c r="Z28" i="8"/>
  <c r="AA28" i="8"/>
  <c r="B29" i="8"/>
  <c r="C29" i="8"/>
  <c r="D29" i="8"/>
  <c r="E29" i="8"/>
  <c r="F29" i="8"/>
  <c r="G29" i="8"/>
  <c r="H29" i="8"/>
  <c r="I29" i="8"/>
  <c r="J29" i="8"/>
  <c r="K29" i="8"/>
  <c r="L29" i="8"/>
  <c r="M29" i="8"/>
  <c r="N29" i="8"/>
  <c r="O29" i="8"/>
  <c r="P29" i="8"/>
  <c r="Q29" i="8"/>
  <c r="R29" i="8"/>
  <c r="S29" i="8"/>
  <c r="T29" i="8"/>
  <c r="U29" i="8"/>
  <c r="V29" i="8"/>
  <c r="W29" i="8"/>
  <c r="X29" i="8"/>
  <c r="Y29" i="8"/>
  <c r="Z29" i="8"/>
  <c r="AA29" i="8"/>
  <c r="B30" i="8"/>
  <c r="C30" i="8"/>
  <c r="D30" i="8"/>
  <c r="E30" i="8"/>
  <c r="F30" i="8"/>
  <c r="G30" i="8"/>
  <c r="H30" i="8"/>
  <c r="I30" i="8"/>
  <c r="J30" i="8"/>
  <c r="K30" i="8"/>
  <c r="L30" i="8"/>
  <c r="M30" i="8"/>
  <c r="N30" i="8"/>
  <c r="O30" i="8"/>
  <c r="P30" i="8"/>
  <c r="Q30" i="8"/>
  <c r="R30" i="8"/>
  <c r="S30" i="8"/>
  <c r="T30" i="8"/>
  <c r="U30" i="8"/>
  <c r="V30" i="8"/>
  <c r="W30" i="8"/>
  <c r="X30" i="8"/>
  <c r="Y30" i="8"/>
  <c r="Z30" i="8"/>
  <c r="AA30" i="8"/>
  <c r="B31" i="8"/>
  <c r="C31" i="8"/>
  <c r="D31" i="8"/>
  <c r="E31" i="8"/>
  <c r="F31" i="8"/>
  <c r="G31" i="8"/>
  <c r="H31" i="8"/>
  <c r="I31" i="8"/>
  <c r="J31" i="8"/>
  <c r="K31" i="8"/>
  <c r="L31" i="8"/>
  <c r="M31" i="8"/>
  <c r="N31" i="8"/>
  <c r="O31" i="8"/>
  <c r="P31" i="8"/>
  <c r="Q31" i="8"/>
  <c r="R31" i="8"/>
  <c r="S31" i="8"/>
  <c r="T31" i="8"/>
  <c r="U31" i="8"/>
  <c r="V31" i="8"/>
  <c r="W31" i="8"/>
  <c r="X31" i="8"/>
  <c r="Y31" i="8"/>
  <c r="Z31" i="8"/>
  <c r="AA31" i="8"/>
  <c r="B32" i="8"/>
  <c r="C32" i="8"/>
  <c r="D32" i="8"/>
  <c r="E32" i="8"/>
  <c r="F32" i="8"/>
  <c r="G32" i="8"/>
  <c r="H32" i="8"/>
  <c r="I32" i="8"/>
  <c r="J32" i="8"/>
  <c r="K32" i="8"/>
  <c r="L32" i="8"/>
  <c r="M32" i="8"/>
  <c r="N32" i="8"/>
  <c r="O32" i="8"/>
  <c r="P32" i="8"/>
  <c r="Q32" i="8"/>
  <c r="R32" i="8"/>
  <c r="S32" i="8"/>
  <c r="T32" i="8"/>
  <c r="U32" i="8"/>
  <c r="V32" i="8"/>
  <c r="W32" i="8"/>
  <c r="X32" i="8"/>
  <c r="Y32" i="8"/>
  <c r="Z32" i="8"/>
  <c r="AA32" i="8"/>
  <c r="B33" i="8"/>
  <c r="C33" i="8"/>
  <c r="D33" i="8"/>
  <c r="E33" i="8"/>
  <c r="F33" i="8"/>
  <c r="G33" i="8"/>
  <c r="H33" i="8"/>
  <c r="I33" i="8"/>
  <c r="J33" i="8"/>
  <c r="K33" i="8"/>
  <c r="L33" i="8"/>
  <c r="M33" i="8"/>
  <c r="N33" i="8"/>
  <c r="O33" i="8"/>
  <c r="P33" i="8"/>
  <c r="Q33" i="8"/>
  <c r="R33" i="8"/>
  <c r="S33" i="8"/>
  <c r="T33" i="8"/>
  <c r="U33" i="8"/>
  <c r="V33" i="8"/>
  <c r="W33" i="8"/>
  <c r="X33" i="8"/>
  <c r="Y33" i="8"/>
  <c r="Z33" i="8"/>
  <c r="AA33" i="8"/>
  <c r="B34" i="8"/>
  <c r="C34" i="8"/>
  <c r="D34" i="8"/>
  <c r="E34" i="8"/>
  <c r="F34" i="8"/>
  <c r="G34" i="8"/>
  <c r="H34" i="8"/>
  <c r="I34" i="8"/>
  <c r="J34" i="8"/>
  <c r="K34" i="8"/>
  <c r="L34" i="8"/>
  <c r="M34" i="8"/>
  <c r="N34" i="8"/>
  <c r="O34" i="8"/>
  <c r="P34" i="8"/>
  <c r="Q34" i="8"/>
  <c r="R34" i="8"/>
  <c r="S34" i="8"/>
  <c r="T34" i="8"/>
  <c r="U34" i="8"/>
  <c r="V34" i="8"/>
  <c r="W34" i="8"/>
  <c r="X34" i="8"/>
  <c r="Y34" i="8"/>
  <c r="Z34" i="8"/>
  <c r="AA34" i="8"/>
  <c r="B35" i="8"/>
  <c r="C35" i="8"/>
  <c r="D35" i="8"/>
  <c r="E35" i="8"/>
  <c r="F35" i="8"/>
  <c r="G35" i="8"/>
  <c r="H35" i="8"/>
  <c r="I35" i="8"/>
  <c r="J35" i="8"/>
  <c r="K35" i="8"/>
  <c r="L35" i="8"/>
  <c r="M35" i="8"/>
  <c r="N35" i="8"/>
  <c r="O35" i="8"/>
  <c r="P35" i="8"/>
  <c r="Q35" i="8"/>
  <c r="R35" i="8"/>
  <c r="S35" i="8"/>
  <c r="T35" i="8"/>
  <c r="U35" i="8"/>
  <c r="V35" i="8"/>
  <c r="W35" i="8"/>
  <c r="X35" i="8"/>
  <c r="Y35" i="8"/>
  <c r="Z35" i="8"/>
  <c r="AA35" i="8"/>
  <c r="B36" i="8"/>
  <c r="C36" i="8"/>
  <c r="D36" i="8"/>
  <c r="E36" i="8"/>
  <c r="F36" i="8"/>
  <c r="G36" i="8"/>
  <c r="H36" i="8"/>
  <c r="I36" i="8"/>
  <c r="J36" i="8"/>
  <c r="K36" i="8"/>
  <c r="L36" i="8"/>
  <c r="M36" i="8"/>
  <c r="N36" i="8"/>
  <c r="O36" i="8"/>
  <c r="P36" i="8"/>
  <c r="Q36" i="8"/>
  <c r="R36" i="8"/>
  <c r="S36" i="8"/>
  <c r="T36" i="8"/>
  <c r="U36" i="8"/>
  <c r="V36" i="8"/>
  <c r="W36" i="8"/>
  <c r="X36" i="8"/>
  <c r="Y36" i="8"/>
  <c r="Z36" i="8"/>
  <c r="AA36" i="8"/>
  <c r="B37" i="8"/>
  <c r="C37" i="8"/>
  <c r="D37" i="8"/>
  <c r="E37" i="8"/>
  <c r="F37" i="8"/>
  <c r="G37" i="8"/>
  <c r="H37" i="8"/>
  <c r="I37" i="8"/>
  <c r="J37" i="8"/>
  <c r="K37" i="8"/>
  <c r="L37" i="8"/>
  <c r="M37" i="8"/>
  <c r="N37" i="8"/>
  <c r="O37" i="8"/>
  <c r="P37" i="8"/>
  <c r="Q37" i="8"/>
  <c r="R37" i="8"/>
  <c r="S37" i="8"/>
  <c r="T37" i="8"/>
  <c r="U37" i="8"/>
  <c r="V37" i="8"/>
  <c r="W37" i="8"/>
  <c r="X37" i="8"/>
  <c r="Y37" i="8"/>
  <c r="Z37" i="8"/>
  <c r="AA37" i="8"/>
  <c r="B38" i="8"/>
  <c r="C38" i="8"/>
  <c r="D38" i="8"/>
  <c r="E38" i="8"/>
  <c r="F38" i="8"/>
  <c r="G38" i="8"/>
  <c r="H38" i="8"/>
  <c r="I38" i="8"/>
  <c r="J38" i="8"/>
  <c r="K38" i="8"/>
  <c r="L38" i="8"/>
  <c r="M38" i="8"/>
  <c r="N38" i="8"/>
  <c r="O38" i="8"/>
  <c r="P38" i="8"/>
  <c r="Q38" i="8"/>
  <c r="R38" i="8"/>
  <c r="S38" i="8"/>
  <c r="T38" i="8"/>
  <c r="U38" i="8"/>
  <c r="V38" i="8"/>
  <c r="W38" i="8"/>
  <c r="X38" i="8"/>
  <c r="Y38" i="8"/>
  <c r="Z38" i="8"/>
  <c r="AA38" i="8"/>
  <c r="B39" i="8"/>
  <c r="C39" i="8"/>
  <c r="D39" i="8"/>
  <c r="E39" i="8"/>
  <c r="F39" i="8"/>
  <c r="G39" i="8"/>
  <c r="H39" i="8"/>
  <c r="I39" i="8"/>
  <c r="J39" i="8"/>
  <c r="K39" i="8"/>
  <c r="L39" i="8"/>
  <c r="M39" i="8"/>
  <c r="N39" i="8"/>
  <c r="O39" i="8"/>
  <c r="P39" i="8"/>
  <c r="Q39" i="8"/>
  <c r="R39" i="8"/>
  <c r="S39" i="8"/>
  <c r="T39" i="8"/>
  <c r="U39" i="8"/>
  <c r="V39" i="8"/>
  <c r="W39" i="8"/>
  <c r="X39" i="8"/>
  <c r="Y39" i="8"/>
  <c r="Z39" i="8"/>
  <c r="AA39" i="8"/>
  <c r="B40" i="8"/>
  <c r="C40" i="8"/>
  <c r="D40" i="8"/>
  <c r="E40" i="8"/>
  <c r="F40" i="8"/>
  <c r="G40" i="8"/>
  <c r="H40" i="8"/>
  <c r="I40" i="8"/>
  <c r="J40" i="8"/>
  <c r="K40" i="8"/>
  <c r="L40" i="8"/>
  <c r="M40" i="8"/>
  <c r="N40" i="8"/>
  <c r="O40" i="8"/>
  <c r="P40" i="8"/>
  <c r="Q40" i="8"/>
  <c r="R40" i="8"/>
  <c r="S40" i="8"/>
  <c r="T40" i="8"/>
  <c r="U40" i="8"/>
  <c r="V40" i="8"/>
  <c r="W40" i="8"/>
  <c r="X40" i="8"/>
  <c r="Y40" i="8"/>
  <c r="Z40" i="8"/>
  <c r="AA40" i="8"/>
  <c r="B41" i="8"/>
  <c r="C41" i="8"/>
  <c r="D41" i="8"/>
  <c r="E41" i="8"/>
  <c r="F41" i="8"/>
  <c r="G41" i="8"/>
  <c r="H41" i="8"/>
  <c r="I41" i="8"/>
  <c r="J41" i="8"/>
  <c r="K41" i="8"/>
  <c r="L41" i="8"/>
  <c r="M41" i="8"/>
  <c r="N41" i="8"/>
  <c r="O41" i="8"/>
  <c r="P41" i="8"/>
  <c r="Q41" i="8"/>
  <c r="R41" i="8"/>
  <c r="S41" i="8"/>
  <c r="T41" i="8"/>
  <c r="U41" i="8"/>
  <c r="V41" i="8"/>
  <c r="W41" i="8"/>
  <c r="X41" i="8"/>
  <c r="Y41" i="8"/>
  <c r="Z41" i="8"/>
  <c r="AA41" i="8"/>
  <c r="B42" i="8"/>
  <c r="C42" i="8"/>
  <c r="D42" i="8"/>
  <c r="E42" i="8"/>
  <c r="F42" i="8"/>
  <c r="G42" i="8"/>
  <c r="H42" i="8"/>
  <c r="I42" i="8"/>
  <c r="J42" i="8"/>
  <c r="K42" i="8"/>
  <c r="L42" i="8"/>
  <c r="M42" i="8"/>
  <c r="N42" i="8"/>
  <c r="O42" i="8"/>
  <c r="P42" i="8"/>
  <c r="Q42" i="8"/>
  <c r="R42" i="8"/>
  <c r="S42" i="8"/>
  <c r="T42" i="8"/>
  <c r="U42" i="8"/>
  <c r="V42" i="8"/>
  <c r="W42" i="8"/>
  <c r="X42" i="8"/>
  <c r="Y42" i="8"/>
  <c r="Z42" i="8"/>
  <c r="AA42" i="8"/>
  <c r="B43" i="8"/>
  <c r="C43" i="8"/>
  <c r="D43" i="8"/>
  <c r="E43" i="8"/>
  <c r="F43" i="8"/>
  <c r="G43" i="8"/>
  <c r="H43" i="8"/>
  <c r="I43" i="8"/>
  <c r="J43" i="8"/>
  <c r="K43" i="8"/>
  <c r="L43" i="8"/>
  <c r="M43" i="8"/>
  <c r="N43" i="8"/>
  <c r="O43" i="8"/>
  <c r="P43" i="8"/>
  <c r="Q43" i="8"/>
  <c r="R43" i="8"/>
  <c r="S43" i="8"/>
  <c r="T43" i="8"/>
  <c r="U43" i="8"/>
  <c r="V43" i="8"/>
  <c r="W43" i="8"/>
  <c r="X43" i="8"/>
  <c r="Y43" i="8"/>
  <c r="Z43" i="8"/>
  <c r="AA43" i="8"/>
  <c r="B44" i="8"/>
  <c r="C44" i="8"/>
  <c r="D44" i="8"/>
  <c r="E44" i="8"/>
  <c r="F44" i="8"/>
  <c r="G44" i="8"/>
  <c r="H44" i="8"/>
  <c r="I44" i="8"/>
  <c r="J44" i="8"/>
  <c r="K44" i="8"/>
  <c r="L44" i="8"/>
  <c r="M44" i="8"/>
  <c r="N44" i="8"/>
  <c r="O44" i="8"/>
  <c r="P44" i="8"/>
  <c r="Q44" i="8"/>
  <c r="R44" i="8"/>
  <c r="S44" i="8"/>
  <c r="T44" i="8"/>
  <c r="U44" i="8"/>
  <c r="V44" i="8"/>
  <c r="W44" i="8"/>
  <c r="X44" i="8"/>
  <c r="Y44" i="8"/>
  <c r="Z44" i="8"/>
  <c r="AA44" i="8"/>
  <c r="B45" i="8"/>
  <c r="C45" i="8"/>
  <c r="D45" i="8"/>
  <c r="E45" i="8"/>
  <c r="F45" i="8"/>
  <c r="G45" i="8"/>
  <c r="H45" i="8"/>
  <c r="I45" i="8"/>
  <c r="J45" i="8"/>
  <c r="K45" i="8"/>
  <c r="L45" i="8"/>
  <c r="M45" i="8"/>
  <c r="N45" i="8"/>
  <c r="O45" i="8"/>
  <c r="P45" i="8"/>
  <c r="Q45" i="8"/>
  <c r="R45" i="8"/>
  <c r="S45" i="8"/>
  <c r="T45" i="8"/>
  <c r="U45" i="8"/>
  <c r="V45" i="8"/>
  <c r="W45" i="8"/>
  <c r="X45" i="8"/>
  <c r="Y45" i="8"/>
  <c r="Z45" i="8"/>
  <c r="AA45" i="8"/>
  <c r="B46" i="8"/>
  <c r="C46" i="8"/>
  <c r="D46" i="8"/>
  <c r="E46" i="8"/>
  <c r="F46" i="8"/>
  <c r="G46" i="8"/>
  <c r="H46" i="8"/>
  <c r="I46" i="8"/>
  <c r="J46" i="8"/>
  <c r="K46" i="8"/>
  <c r="L46" i="8"/>
  <c r="M46" i="8"/>
  <c r="N46" i="8"/>
  <c r="O46" i="8"/>
  <c r="P46" i="8"/>
  <c r="Q46" i="8"/>
  <c r="R46" i="8"/>
  <c r="S46" i="8"/>
  <c r="T46" i="8"/>
  <c r="U46" i="8"/>
  <c r="V46" i="8"/>
  <c r="W46" i="8"/>
  <c r="X46" i="8"/>
  <c r="Y46" i="8"/>
  <c r="Z46" i="8"/>
  <c r="AA46" i="8"/>
  <c r="B47" i="8"/>
  <c r="C47" i="8"/>
  <c r="D47" i="8"/>
  <c r="E47" i="8"/>
  <c r="F47" i="8"/>
  <c r="G47" i="8"/>
  <c r="H47" i="8"/>
  <c r="I47" i="8"/>
  <c r="J47" i="8"/>
  <c r="K47" i="8"/>
  <c r="L47" i="8"/>
  <c r="M47" i="8"/>
  <c r="N47" i="8"/>
  <c r="O47" i="8"/>
  <c r="P47" i="8"/>
  <c r="Q47" i="8"/>
  <c r="R47" i="8"/>
  <c r="S47" i="8"/>
  <c r="T47" i="8"/>
  <c r="U47" i="8"/>
  <c r="V47" i="8"/>
  <c r="W47" i="8"/>
  <c r="X47" i="8"/>
  <c r="Y47" i="8"/>
  <c r="Z47" i="8"/>
  <c r="AA47" i="8"/>
  <c r="B48" i="8"/>
  <c r="C48" i="8"/>
  <c r="D48" i="8"/>
  <c r="E48" i="8"/>
  <c r="F48" i="8"/>
  <c r="G48" i="8"/>
  <c r="H48" i="8"/>
  <c r="I48" i="8"/>
  <c r="J48" i="8"/>
  <c r="K48" i="8"/>
  <c r="L48" i="8"/>
  <c r="M48" i="8"/>
  <c r="N48" i="8"/>
  <c r="O48" i="8"/>
  <c r="P48" i="8"/>
  <c r="Q48" i="8"/>
  <c r="R48" i="8"/>
  <c r="S48" i="8"/>
  <c r="T48" i="8"/>
  <c r="U48" i="8"/>
  <c r="V48" i="8"/>
  <c r="W48" i="8"/>
  <c r="X48" i="8"/>
  <c r="Y48" i="8"/>
  <c r="Z48" i="8"/>
  <c r="AA48" i="8"/>
  <c r="B49" i="8"/>
  <c r="C49" i="8"/>
  <c r="D49" i="8"/>
  <c r="E49" i="8"/>
  <c r="F49" i="8"/>
  <c r="G49" i="8"/>
  <c r="H49" i="8"/>
  <c r="I49" i="8"/>
  <c r="J49" i="8"/>
  <c r="K49" i="8"/>
  <c r="L49" i="8"/>
  <c r="M49" i="8"/>
  <c r="N49" i="8"/>
  <c r="O49" i="8"/>
  <c r="P49" i="8"/>
  <c r="Q49" i="8"/>
  <c r="R49" i="8"/>
  <c r="S49" i="8"/>
  <c r="T49" i="8"/>
  <c r="U49" i="8"/>
  <c r="V49" i="8"/>
  <c r="W49" i="8"/>
  <c r="X49" i="8"/>
  <c r="Y49" i="8"/>
  <c r="Z49" i="8"/>
  <c r="AA49" i="8"/>
  <c r="B50" i="8"/>
  <c r="C50" i="8"/>
  <c r="D50" i="8"/>
  <c r="E50" i="8"/>
  <c r="F50" i="8"/>
  <c r="G50" i="8"/>
  <c r="H50" i="8"/>
  <c r="I50" i="8"/>
  <c r="J50" i="8"/>
  <c r="K50" i="8"/>
  <c r="L50" i="8"/>
  <c r="M50" i="8"/>
  <c r="N50" i="8"/>
  <c r="O50" i="8"/>
  <c r="P50" i="8"/>
  <c r="Q50" i="8"/>
  <c r="R50" i="8"/>
  <c r="S50" i="8"/>
  <c r="T50" i="8"/>
  <c r="U50" i="8"/>
  <c r="V50" i="8"/>
  <c r="W50" i="8"/>
  <c r="X50" i="8"/>
  <c r="Y50" i="8"/>
  <c r="Z50" i="8"/>
  <c r="AA50" i="8"/>
  <c r="B51" i="8"/>
  <c r="C51" i="8"/>
  <c r="D51" i="8"/>
  <c r="E51" i="8"/>
  <c r="F51" i="8"/>
  <c r="G51" i="8"/>
  <c r="H51" i="8"/>
  <c r="I51" i="8"/>
  <c r="J51" i="8"/>
  <c r="K51" i="8"/>
  <c r="L51" i="8"/>
  <c r="M51" i="8"/>
  <c r="N51" i="8"/>
  <c r="O51" i="8"/>
  <c r="P51" i="8"/>
  <c r="Q51" i="8"/>
  <c r="R51" i="8"/>
  <c r="S51" i="8"/>
  <c r="T51" i="8"/>
  <c r="U51" i="8"/>
  <c r="V51" i="8"/>
  <c r="W51" i="8"/>
  <c r="X51" i="8"/>
  <c r="Y51" i="8"/>
  <c r="Z51" i="8"/>
  <c r="AA51" i="8"/>
  <c r="B52" i="8"/>
  <c r="C52" i="8"/>
  <c r="D52" i="8"/>
  <c r="E52" i="8"/>
  <c r="F52" i="8"/>
  <c r="G52" i="8"/>
  <c r="H52" i="8"/>
  <c r="I52" i="8"/>
  <c r="J52" i="8"/>
  <c r="K52" i="8"/>
  <c r="L52" i="8"/>
  <c r="M52" i="8"/>
  <c r="N52" i="8"/>
  <c r="O52" i="8"/>
  <c r="P52" i="8"/>
  <c r="Q52" i="8"/>
  <c r="R52" i="8"/>
  <c r="S52" i="8"/>
  <c r="T52" i="8"/>
  <c r="U52" i="8"/>
  <c r="V52" i="8"/>
  <c r="W52" i="8"/>
  <c r="X52" i="8"/>
  <c r="Y52" i="8"/>
  <c r="Z52" i="8"/>
  <c r="AA52" i="8"/>
  <c r="B53" i="8"/>
  <c r="C53" i="8"/>
  <c r="D53" i="8"/>
  <c r="E53" i="8"/>
  <c r="F53" i="8"/>
  <c r="G53" i="8"/>
  <c r="H53" i="8"/>
  <c r="I53" i="8"/>
  <c r="J53" i="8"/>
  <c r="K53" i="8"/>
  <c r="L53" i="8"/>
  <c r="M53" i="8"/>
  <c r="N53" i="8"/>
  <c r="O53" i="8"/>
  <c r="P53" i="8"/>
  <c r="Q53" i="8"/>
  <c r="R53" i="8"/>
  <c r="S53" i="8"/>
  <c r="T53" i="8"/>
  <c r="U53" i="8"/>
  <c r="V53" i="8"/>
  <c r="W53" i="8"/>
  <c r="X53" i="8"/>
  <c r="Y53" i="8"/>
  <c r="Z53" i="8"/>
  <c r="AA53" i="8"/>
  <c r="B54" i="8"/>
  <c r="C54" i="8"/>
  <c r="D54" i="8"/>
  <c r="E54" i="8"/>
  <c r="F54" i="8"/>
  <c r="G54" i="8"/>
  <c r="H54" i="8"/>
  <c r="I54" i="8"/>
  <c r="J54" i="8"/>
  <c r="K54" i="8"/>
  <c r="L54" i="8"/>
  <c r="M54" i="8"/>
  <c r="N54" i="8"/>
  <c r="O54" i="8"/>
  <c r="P54" i="8"/>
  <c r="Q54" i="8"/>
  <c r="R54" i="8"/>
  <c r="S54" i="8"/>
  <c r="T54" i="8"/>
  <c r="U54" i="8"/>
  <c r="V54" i="8"/>
  <c r="W54" i="8"/>
  <c r="X54" i="8"/>
  <c r="Y54" i="8"/>
  <c r="Z54" i="8"/>
  <c r="AA54" i="8"/>
  <c r="B55" i="8"/>
  <c r="C55" i="8"/>
  <c r="D55" i="8"/>
  <c r="E55" i="8"/>
  <c r="F55" i="8"/>
  <c r="G55" i="8"/>
  <c r="H55" i="8"/>
  <c r="I55" i="8"/>
  <c r="J55" i="8"/>
  <c r="K55" i="8"/>
  <c r="L55" i="8"/>
  <c r="M55" i="8"/>
  <c r="N55" i="8"/>
  <c r="O55" i="8"/>
  <c r="P55" i="8"/>
  <c r="Q55" i="8"/>
  <c r="R55" i="8"/>
  <c r="S55" i="8"/>
  <c r="T55" i="8"/>
  <c r="U55" i="8"/>
  <c r="V55" i="8"/>
  <c r="W55" i="8"/>
  <c r="X55" i="8"/>
  <c r="Y55" i="8"/>
  <c r="Z55" i="8"/>
  <c r="AA55" i="8"/>
  <c r="B56" i="8"/>
  <c r="C56" i="8"/>
  <c r="D56" i="8"/>
  <c r="E56" i="8"/>
  <c r="F56" i="8"/>
  <c r="G56" i="8"/>
  <c r="H56" i="8"/>
  <c r="I56" i="8"/>
  <c r="J56" i="8"/>
  <c r="K56" i="8"/>
  <c r="L56" i="8"/>
  <c r="M56" i="8"/>
  <c r="N56" i="8"/>
  <c r="O56" i="8"/>
  <c r="P56" i="8"/>
  <c r="Q56" i="8"/>
  <c r="R56" i="8"/>
  <c r="S56" i="8"/>
  <c r="T56" i="8"/>
  <c r="U56" i="8"/>
  <c r="V56" i="8"/>
  <c r="W56" i="8"/>
  <c r="X56" i="8"/>
  <c r="Y56" i="8"/>
  <c r="Z56" i="8"/>
  <c r="AA56" i="8"/>
  <c r="B57" i="8"/>
  <c r="C57" i="8"/>
  <c r="D57" i="8"/>
  <c r="E57" i="8"/>
  <c r="F57" i="8"/>
  <c r="G57" i="8"/>
  <c r="H57" i="8"/>
  <c r="I57" i="8"/>
  <c r="J57" i="8"/>
  <c r="K57" i="8"/>
  <c r="L57" i="8"/>
  <c r="M57" i="8"/>
  <c r="N57" i="8"/>
  <c r="O57" i="8"/>
  <c r="P57" i="8"/>
  <c r="Q57" i="8"/>
  <c r="R57" i="8"/>
  <c r="S57" i="8"/>
  <c r="T57" i="8"/>
  <c r="U57" i="8"/>
  <c r="V57" i="8"/>
  <c r="W57" i="8"/>
  <c r="X57" i="8"/>
  <c r="Y57" i="8"/>
  <c r="Z57" i="8"/>
  <c r="AA57" i="8"/>
  <c r="B58" i="8"/>
  <c r="C58" i="8"/>
  <c r="D58" i="8"/>
  <c r="E58" i="8"/>
  <c r="F58" i="8"/>
  <c r="G58" i="8"/>
  <c r="H58" i="8"/>
  <c r="I58" i="8"/>
  <c r="J58" i="8"/>
  <c r="K58" i="8"/>
  <c r="L58" i="8"/>
  <c r="M58" i="8"/>
  <c r="N58" i="8"/>
  <c r="O58" i="8"/>
  <c r="P58" i="8"/>
  <c r="Q58" i="8"/>
  <c r="R58" i="8"/>
  <c r="S58" i="8"/>
  <c r="T58" i="8"/>
  <c r="U58" i="8"/>
  <c r="V58" i="8"/>
  <c r="W58" i="8"/>
  <c r="X58" i="8"/>
  <c r="Y58" i="8"/>
  <c r="Z58" i="8"/>
  <c r="AA58" i="8"/>
  <c r="B59" i="8"/>
  <c r="C59" i="8"/>
  <c r="D59" i="8"/>
  <c r="E59" i="8"/>
  <c r="F59" i="8"/>
  <c r="G59" i="8"/>
  <c r="H59" i="8"/>
  <c r="I59" i="8"/>
  <c r="J59" i="8"/>
  <c r="K59" i="8"/>
  <c r="L59" i="8"/>
  <c r="M59" i="8"/>
  <c r="N59" i="8"/>
  <c r="O59" i="8"/>
  <c r="P59" i="8"/>
  <c r="Q59" i="8"/>
  <c r="R59" i="8"/>
  <c r="S59" i="8"/>
  <c r="T59" i="8"/>
  <c r="U59" i="8"/>
  <c r="V59" i="8"/>
  <c r="W59" i="8"/>
  <c r="X59" i="8"/>
  <c r="Y59" i="8"/>
  <c r="Z59" i="8"/>
  <c r="AA59" i="8"/>
  <c r="B60" i="8"/>
  <c r="C60" i="8"/>
  <c r="D60" i="8"/>
  <c r="E60" i="8"/>
  <c r="F60" i="8"/>
  <c r="G60" i="8"/>
  <c r="H60" i="8"/>
  <c r="I60" i="8"/>
  <c r="J60" i="8"/>
  <c r="K60" i="8"/>
  <c r="L60" i="8"/>
  <c r="M60" i="8"/>
  <c r="N60" i="8"/>
  <c r="O60" i="8"/>
  <c r="P60" i="8"/>
  <c r="Q60" i="8"/>
  <c r="R60" i="8"/>
  <c r="S60" i="8"/>
  <c r="T60" i="8"/>
  <c r="U60" i="8"/>
  <c r="V60" i="8"/>
  <c r="W60" i="8"/>
  <c r="X60" i="8"/>
  <c r="Y60" i="8"/>
  <c r="Z60" i="8"/>
  <c r="AA60" i="8"/>
  <c r="B61" i="8"/>
  <c r="C61" i="8"/>
  <c r="D61" i="8"/>
  <c r="E61" i="8"/>
  <c r="F61" i="8"/>
  <c r="G61" i="8"/>
  <c r="H61" i="8"/>
  <c r="I61" i="8"/>
  <c r="J61" i="8"/>
  <c r="K61" i="8"/>
  <c r="L61" i="8"/>
  <c r="M61" i="8"/>
  <c r="N61" i="8"/>
  <c r="O61" i="8"/>
  <c r="P61" i="8"/>
  <c r="Q61" i="8"/>
  <c r="R61" i="8"/>
  <c r="S61" i="8"/>
  <c r="T61" i="8"/>
  <c r="U61" i="8"/>
  <c r="V61" i="8"/>
  <c r="W61" i="8"/>
  <c r="X61" i="8"/>
  <c r="Y61" i="8"/>
  <c r="Z61" i="8"/>
  <c r="AA61" i="8"/>
  <c r="B62" i="8"/>
  <c r="C62" i="8"/>
  <c r="D62" i="8"/>
  <c r="E62" i="8"/>
  <c r="F62" i="8"/>
  <c r="G62" i="8"/>
  <c r="H62" i="8"/>
  <c r="I62" i="8"/>
  <c r="J62" i="8"/>
  <c r="K62" i="8"/>
  <c r="L62" i="8"/>
  <c r="M62" i="8"/>
  <c r="N62" i="8"/>
  <c r="O62" i="8"/>
  <c r="P62" i="8"/>
  <c r="Q62" i="8"/>
  <c r="R62" i="8"/>
  <c r="S62" i="8"/>
  <c r="T62" i="8"/>
  <c r="U62" i="8"/>
  <c r="V62" i="8"/>
  <c r="W62" i="8"/>
  <c r="X62" i="8"/>
  <c r="Y62" i="8"/>
  <c r="Z62" i="8"/>
  <c r="AA62" i="8"/>
  <c r="B63" i="8"/>
  <c r="C63" i="8"/>
  <c r="D63" i="8"/>
  <c r="E63" i="8"/>
  <c r="F63" i="8"/>
  <c r="G63" i="8"/>
  <c r="H63" i="8"/>
  <c r="I63" i="8"/>
  <c r="J63" i="8"/>
  <c r="K63" i="8"/>
  <c r="L63" i="8"/>
  <c r="M63" i="8"/>
  <c r="N63" i="8"/>
  <c r="O63" i="8"/>
  <c r="P63" i="8"/>
  <c r="Q63" i="8"/>
  <c r="R63" i="8"/>
  <c r="S63" i="8"/>
  <c r="T63" i="8"/>
  <c r="U63" i="8"/>
  <c r="V63" i="8"/>
  <c r="W63" i="8"/>
  <c r="X63" i="8"/>
  <c r="Y63" i="8"/>
  <c r="Z63" i="8"/>
  <c r="AA63" i="8"/>
  <c r="B64" i="8"/>
  <c r="C64" i="8"/>
  <c r="D64" i="8"/>
  <c r="E64" i="8"/>
  <c r="F64" i="8"/>
  <c r="G64" i="8"/>
  <c r="H64" i="8"/>
  <c r="I64" i="8"/>
  <c r="J64" i="8"/>
  <c r="K64" i="8"/>
  <c r="L64" i="8"/>
  <c r="M64" i="8"/>
  <c r="N64" i="8"/>
  <c r="O64" i="8"/>
  <c r="P64" i="8"/>
  <c r="Q64" i="8"/>
  <c r="R64" i="8"/>
  <c r="S64" i="8"/>
  <c r="T64" i="8"/>
  <c r="U64" i="8"/>
  <c r="V64" i="8"/>
  <c r="W64" i="8"/>
  <c r="X64" i="8"/>
  <c r="Y64" i="8"/>
  <c r="Z64" i="8"/>
  <c r="AA64" i="8"/>
  <c r="B65" i="8"/>
  <c r="C65" i="8"/>
  <c r="D65" i="8"/>
  <c r="E65" i="8"/>
  <c r="F65" i="8"/>
  <c r="G65" i="8"/>
  <c r="H65" i="8"/>
  <c r="I65" i="8"/>
  <c r="J65" i="8"/>
  <c r="K65" i="8"/>
  <c r="L65" i="8"/>
  <c r="M65" i="8"/>
  <c r="N65" i="8"/>
  <c r="O65" i="8"/>
  <c r="P65" i="8"/>
  <c r="Q65" i="8"/>
  <c r="R65" i="8"/>
  <c r="S65" i="8"/>
  <c r="T65" i="8"/>
  <c r="U65" i="8"/>
  <c r="V65" i="8"/>
  <c r="W65" i="8"/>
  <c r="X65" i="8"/>
  <c r="Y65" i="8"/>
  <c r="Z65" i="8"/>
  <c r="AA65" i="8"/>
  <c r="B66" i="8"/>
  <c r="C66" i="8"/>
  <c r="D66" i="8"/>
  <c r="E66" i="8"/>
  <c r="F66" i="8"/>
  <c r="G66" i="8"/>
  <c r="H66" i="8"/>
  <c r="I66" i="8"/>
  <c r="J66" i="8"/>
  <c r="K66" i="8"/>
  <c r="L66" i="8"/>
  <c r="M66" i="8"/>
  <c r="N66" i="8"/>
  <c r="O66" i="8"/>
  <c r="P66" i="8"/>
  <c r="Q66" i="8"/>
  <c r="R66" i="8"/>
  <c r="S66" i="8"/>
  <c r="T66" i="8"/>
  <c r="U66" i="8"/>
  <c r="V66" i="8"/>
  <c r="W66" i="8"/>
  <c r="X66" i="8"/>
  <c r="Y66" i="8"/>
  <c r="Z66" i="8"/>
  <c r="AA66" i="8"/>
  <c r="B67" i="8"/>
  <c r="C67" i="8"/>
  <c r="D67" i="8"/>
  <c r="E67" i="8"/>
  <c r="F67" i="8"/>
  <c r="G67" i="8"/>
  <c r="H67" i="8"/>
  <c r="I67" i="8"/>
  <c r="J67" i="8"/>
  <c r="K67" i="8"/>
  <c r="L67" i="8"/>
  <c r="M67" i="8"/>
  <c r="N67" i="8"/>
  <c r="O67" i="8"/>
  <c r="P67" i="8"/>
  <c r="Q67" i="8"/>
  <c r="R67" i="8"/>
  <c r="S67" i="8"/>
  <c r="T67" i="8"/>
  <c r="U67" i="8"/>
  <c r="V67" i="8"/>
  <c r="W67" i="8"/>
  <c r="X67" i="8"/>
  <c r="Y67" i="8"/>
  <c r="Z67" i="8"/>
  <c r="AA67" i="8"/>
  <c r="B68" i="8"/>
  <c r="C68" i="8"/>
  <c r="D68" i="8"/>
  <c r="E68" i="8"/>
  <c r="F68" i="8"/>
  <c r="G68" i="8"/>
  <c r="H68" i="8"/>
  <c r="I68" i="8"/>
  <c r="J68" i="8"/>
  <c r="K68" i="8"/>
  <c r="L68" i="8"/>
  <c r="M68" i="8"/>
  <c r="N68" i="8"/>
  <c r="O68" i="8"/>
  <c r="P68" i="8"/>
  <c r="Q68" i="8"/>
  <c r="R68" i="8"/>
  <c r="S68" i="8"/>
  <c r="T68" i="8"/>
  <c r="U68" i="8"/>
  <c r="V68" i="8"/>
  <c r="W68" i="8"/>
  <c r="X68" i="8"/>
  <c r="Y68" i="8"/>
  <c r="Z68" i="8"/>
  <c r="AA68" i="8"/>
  <c r="B69" i="8"/>
  <c r="C69" i="8"/>
  <c r="D69" i="8"/>
  <c r="E69" i="8"/>
  <c r="F69" i="8"/>
  <c r="G69" i="8"/>
  <c r="H69" i="8"/>
  <c r="I69" i="8"/>
  <c r="J69" i="8"/>
  <c r="K69" i="8"/>
  <c r="L69" i="8"/>
  <c r="M69" i="8"/>
  <c r="N69" i="8"/>
  <c r="O69" i="8"/>
  <c r="P69" i="8"/>
  <c r="Q69" i="8"/>
  <c r="R69" i="8"/>
  <c r="S69" i="8"/>
  <c r="T69" i="8"/>
  <c r="U69" i="8"/>
  <c r="V69" i="8"/>
  <c r="W69" i="8"/>
  <c r="X69" i="8"/>
  <c r="Y69" i="8"/>
  <c r="Z69" i="8"/>
  <c r="AA69" i="8"/>
  <c r="B70" i="8"/>
  <c r="C70" i="8"/>
  <c r="D70" i="8"/>
  <c r="E70" i="8"/>
  <c r="F70" i="8"/>
  <c r="G70" i="8"/>
  <c r="H70" i="8"/>
  <c r="I70" i="8"/>
  <c r="J70" i="8"/>
  <c r="K70" i="8"/>
  <c r="L70" i="8"/>
  <c r="M70" i="8"/>
  <c r="N70" i="8"/>
  <c r="O70" i="8"/>
  <c r="P70" i="8"/>
  <c r="Q70" i="8"/>
  <c r="R70" i="8"/>
  <c r="S70" i="8"/>
  <c r="T70" i="8"/>
  <c r="U70" i="8"/>
  <c r="V70" i="8"/>
  <c r="W70" i="8"/>
  <c r="X70" i="8"/>
  <c r="Y70" i="8"/>
  <c r="Z70" i="8"/>
  <c r="AA70" i="8"/>
  <c r="B71" i="8"/>
  <c r="C71" i="8"/>
  <c r="D71" i="8"/>
  <c r="E71" i="8"/>
  <c r="F71" i="8"/>
  <c r="G71" i="8"/>
  <c r="H71" i="8"/>
  <c r="I71" i="8"/>
  <c r="J71" i="8"/>
  <c r="K71" i="8"/>
  <c r="L71" i="8"/>
  <c r="M71" i="8"/>
  <c r="N71" i="8"/>
  <c r="O71" i="8"/>
  <c r="P71" i="8"/>
  <c r="Q71" i="8"/>
  <c r="R71" i="8"/>
  <c r="S71" i="8"/>
  <c r="T71" i="8"/>
  <c r="U71" i="8"/>
  <c r="V71" i="8"/>
  <c r="W71" i="8"/>
  <c r="X71" i="8"/>
  <c r="Y71" i="8"/>
  <c r="Z71" i="8"/>
  <c r="AA71" i="8"/>
  <c r="B72" i="8"/>
  <c r="C72" i="8"/>
  <c r="D72" i="8"/>
  <c r="E72" i="8"/>
  <c r="F72" i="8"/>
  <c r="G72" i="8"/>
  <c r="H72" i="8"/>
  <c r="I72" i="8"/>
  <c r="J72" i="8"/>
  <c r="K72" i="8"/>
  <c r="L72" i="8"/>
  <c r="M72" i="8"/>
  <c r="N72" i="8"/>
  <c r="O72" i="8"/>
  <c r="P72" i="8"/>
  <c r="Q72" i="8"/>
  <c r="R72" i="8"/>
  <c r="S72" i="8"/>
  <c r="T72" i="8"/>
  <c r="U72" i="8"/>
  <c r="V72" i="8"/>
  <c r="W72" i="8"/>
  <c r="X72" i="8"/>
  <c r="Y72" i="8"/>
  <c r="Z72" i="8"/>
  <c r="AA72" i="8"/>
  <c r="B73" i="8"/>
  <c r="C73" i="8"/>
  <c r="D73" i="8"/>
  <c r="E73" i="8"/>
  <c r="F73" i="8"/>
  <c r="G73" i="8"/>
  <c r="H73" i="8"/>
  <c r="I73" i="8"/>
  <c r="J73" i="8"/>
  <c r="K73" i="8"/>
  <c r="L73" i="8"/>
  <c r="M73" i="8"/>
  <c r="N73" i="8"/>
  <c r="O73" i="8"/>
  <c r="P73" i="8"/>
  <c r="Q73" i="8"/>
  <c r="R73" i="8"/>
  <c r="S73" i="8"/>
  <c r="T73" i="8"/>
  <c r="U73" i="8"/>
  <c r="V73" i="8"/>
  <c r="W73" i="8"/>
  <c r="X73" i="8"/>
  <c r="Y73" i="8"/>
  <c r="Z73" i="8"/>
  <c r="AA73" i="8"/>
  <c r="B74" i="8"/>
  <c r="C74" i="8"/>
  <c r="D74" i="8"/>
  <c r="E74" i="8"/>
  <c r="F74" i="8"/>
  <c r="G74" i="8"/>
  <c r="H74" i="8"/>
  <c r="I74" i="8"/>
  <c r="J74" i="8"/>
  <c r="K74" i="8"/>
  <c r="L74" i="8"/>
  <c r="M74" i="8"/>
  <c r="N74" i="8"/>
  <c r="O74" i="8"/>
  <c r="P74" i="8"/>
  <c r="Q74" i="8"/>
  <c r="R74" i="8"/>
  <c r="S74" i="8"/>
  <c r="T74" i="8"/>
  <c r="U74" i="8"/>
  <c r="V74" i="8"/>
  <c r="W74" i="8"/>
  <c r="X74" i="8"/>
  <c r="Y74" i="8"/>
  <c r="Z74" i="8"/>
  <c r="AA74" i="8"/>
  <c r="B75" i="8"/>
  <c r="C75" i="8"/>
  <c r="D75" i="8"/>
  <c r="E75" i="8"/>
  <c r="F75" i="8"/>
  <c r="G75" i="8"/>
  <c r="H75" i="8"/>
  <c r="I75" i="8"/>
  <c r="J75" i="8"/>
  <c r="K75" i="8"/>
  <c r="L75" i="8"/>
  <c r="M75" i="8"/>
  <c r="N75" i="8"/>
  <c r="O75" i="8"/>
  <c r="P75" i="8"/>
  <c r="Q75" i="8"/>
  <c r="R75" i="8"/>
  <c r="S75" i="8"/>
  <c r="T75" i="8"/>
  <c r="U75" i="8"/>
  <c r="V75" i="8"/>
  <c r="W75" i="8"/>
  <c r="X75" i="8"/>
  <c r="Y75" i="8"/>
  <c r="Z75" i="8"/>
  <c r="AA75" i="8"/>
  <c r="B76" i="8"/>
  <c r="C76" i="8"/>
  <c r="D76" i="8"/>
  <c r="E76" i="8"/>
  <c r="F76" i="8"/>
  <c r="G76" i="8"/>
  <c r="H76" i="8"/>
  <c r="I76" i="8"/>
  <c r="J76" i="8"/>
  <c r="K76" i="8"/>
  <c r="L76" i="8"/>
  <c r="M76" i="8"/>
  <c r="N76" i="8"/>
  <c r="O76" i="8"/>
  <c r="P76" i="8"/>
  <c r="Q76" i="8"/>
  <c r="R76" i="8"/>
  <c r="S76" i="8"/>
  <c r="T76" i="8"/>
  <c r="U76" i="8"/>
  <c r="V76" i="8"/>
  <c r="W76" i="8"/>
  <c r="X76" i="8"/>
  <c r="Y76" i="8"/>
  <c r="Z76" i="8"/>
  <c r="AA76" i="8"/>
  <c r="B77" i="8"/>
  <c r="C77" i="8"/>
  <c r="D77" i="8"/>
  <c r="E77" i="8"/>
  <c r="F77" i="8"/>
  <c r="G77" i="8"/>
  <c r="H77" i="8"/>
  <c r="I77" i="8"/>
  <c r="J77" i="8"/>
  <c r="K77" i="8"/>
  <c r="L77" i="8"/>
  <c r="M77" i="8"/>
  <c r="N77" i="8"/>
  <c r="O77" i="8"/>
  <c r="P77" i="8"/>
  <c r="Q77" i="8"/>
  <c r="R77" i="8"/>
  <c r="S77" i="8"/>
  <c r="T77" i="8"/>
  <c r="U77" i="8"/>
  <c r="V77" i="8"/>
  <c r="W77" i="8"/>
  <c r="X77" i="8"/>
  <c r="Y77" i="8"/>
  <c r="Z77" i="8"/>
  <c r="AA77" i="8"/>
  <c r="B78" i="8"/>
  <c r="C78" i="8"/>
  <c r="D78" i="8"/>
  <c r="E78" i="8"/>
  <c r="F78" i="8"/>
  <c r="G78" i="8"/>
  <c r="H78" i="8"/>
  <c r="I78" i="8"/>
  <c r="J78" i="8"/>
  <c r="K78" i="8"/>
  <c r="L78" i="8"/>
  <c r="M78" i="8"/>
  <c r="N78" i="8"/>
  <c r="O78" i="8"/>
  <c r="P78" i="8"/>
  <c r="Q78" i="8"/>
  <c r="R78" i="8"/>
  <c r="S78" i="8"/>
  <c r="T78" i="8"/>
  <c r="U78" i="8"/>
  <c r="V78" i="8"/>
  <c r="W78" i="8"/>
  <c r="X78" i="8"/>
  <c r="Y78" i="8"/>
  <c r="Z78" i="8"/>
  <c r="AA78" i="8"/>
  <c r="B79" i="8"/>
  <c r="C79" i="8"/>
  <c r="D79" i="8"/>
  <c r="E79" i="8"/>
  <c r="F79" i="8"/>
  <c r="G79" i="8"/>
  <c r="H79" i="8"/>
  <c r="I79" i="8"/>
  <c r="J79" i="8"/>
  <c r="K79" i="8"/>
  <c r="L79" i="8"/>
  <c r="M79" i="8"/>
  <c r="N79" i="8"/>
  <c r="O79" i="8"/>
  <c r="P79" i="8"/>
  <c r="Q79" i="8"/>
  <c r="R79" i="8"/>
  <c r="S79" i="8"/>
  <c r="T79" i="8"/>
  <c r="U79" i="8"/>
  <c r="V79" i="8"/>
  <c r="W79" i="8"/>
  <c r="X79" i="8"/>
  <c r="Y79" i="8"/>
  <c r="Z79" i="8"/>
  <c r="AA79" i="8"/>
  <c r="B80" i="8"/>
  <c r="C80" i="8"/>
  <c r="D80" i="8"/>
  <c r="E80" i="8"/>
  <c r="F80" i="8"/>
  <c r="G80" i="8"/>
  <c r="H80" i="8"/>
  <c r="I80" i="8"/>
  <c r="J80" i="8"/>
  <c r="K80" i="8"/>
  <c r="L80" i="8"/>
  <c r="M80" i="8"/>
  <c r="N80" i="8"/>
  <c r="O80" i="8"/>
  <c r="P80" i="8"/>
  <c r="Q80" i="8"/>
  <c r="R80" i="8"/>
  <c r="S80" i="8"/>
  <c r="T80" i="8"/>
  <c r="U80" i="8"/>
  <c r="V80" i="8"/>
  <c r="W80" i="8"/>
  <c r="X80" i="8"/>
  <c r="Y80" i="8"/>
  <c r="Z80" i="8"/>
  <c r="AA80" i="8"/>
  <c r="B81" i="8"/>
  <c r="C81" i="8"/>
  <c r="D81" i="8"/>
  <c r="E81" i="8"/>
  <c r="F81" i="8"/>
  <c r="G81" i="8"/>
  <c r="H81" i="8"/>
  <c r="I81" i="8"/>
  <c r="J81" i="8"/>
  <c r="K81" i="8"/>
  <c r="L81" i="8"/>
  <c r="M81" i="8"/>
  <c r="N81" i="8"/>
  <c r="O81" i="8"/>
  <c r="P81" i="8"/>
  <c r="Q81" i="8"/>
  <c r="R81" i="8"/>
  <c r="S81" i="8"/>
  <c r="T81" i="8"/>
  <c r="U81" i="8"/>
  <c r="V81" i="8"/>
  <c r="W81" i="8"/>
  <c r="X81" i="8"/>
  <c r="Y81" i="8"/>
  <c r="Z81" i="8"/>
  <c r="AA81" i="8"/>
  <c r="B82" i="8"/>
  <c r="C82" i="8"/>
  <c r="D82" i="8"/>
  <c r="E82" i="8"/>
  <c r="F82" i="8"/>
  <c r="G82" i="8"/>
  <c r="H82" i="8"/>
  <c r="I82" i="8"/>
  <c r="J82" i="8"/>
  <c r="K82" i="8"/>
  <c r="L82" i="8"/>
  <c r="M82" i="8"/>
  <c r="N82" i="8"/>
  <c r="O82" i="8"/>
  <c r="P82" i="8"/>
  <c r="Q82" i="8"/>
  <c r="R82" i="8"/>
  <c r="S82" i="8"/>
  <c r="T82" i="8"/>
  <c r="U82" i="8"/>
  <c r="V82" i="8"/>
  <c r="W82" i="8"/>
  <c r="X82" i="8"/>
  <c r="Y82" i="8"/>
  <c r="Z82" i="8"/>
  <c r="AA82" i="8"/>
  <c r="B83" i="8"/>
  <c r="C83" i="8"/>
  <c r="D83" i="8"/>
  <c r="E83" i="8"/>
  <c r="F83" i="8"/>
  <c r="G83" i="8"/>
  <c r="H83" i="8"/>
  <c r="I83" i="8"/>
  <c r="J83" i="8"/>
  <c r="K83" i="8"/>
  <c r="L83" i="8"/>
  <c r="M83" i="8"/>
  <c r="N83" i="8"/>
  <c r="O83" i="8"/>
  <c r="P83" i="8"/>
  <c r="Q83" i="8"/>
  <c r="R83" i="8"/>
  <c r="S83" i="8"/>
  <c r="T83" i="8"/>
  <c r="U83" i="8"/>
  <c r="V83" i="8"/>
  <c r="W83" i="8"/>
  <c r="X83" i="8"/>
  <c r="Y83" i="8"/>
  <c r="Z83" i="8"/>
  <c r="AA83" i="8"/>
  <c r="B84" i="8"/>
  <c r="C84" i="8"/>
  <c r="D84" i="8"/>
  <c r="E84" i="8"/>
  <c r="F84" i="8"/>
  <c r="G84" i="8"/>
  <c r="H84" i="8"/>
  <c r="I84" i="8"/>
  <c r="J84" i="8"/>
  <c r="K84" i="8"/>
  <c r="L84" i="8"/>
  <c r="M84" i="8"/>
  <c r="N84" i="8"/>
  <c r="O84" i="8"/>
  <c r="P84" i="8"/>
  <c r="Q84" i="8"/>
  <c r="R84" i="8"/>
  <c r="S84" i="8"/>
  <c r="T84" i="8"/>
  <c r="U84" i="8"/>
  <c r="V84" i="8"/>
  <c r="W84" i="8"/>
  <c r="X84" i="8"/>
  <c r="Y84" i="8"/>
  <c r="Z84" i="8"/>
  <c r="AA84" i="8"/>
  <c r="B85" i="8"/>
  <c r="C85" i="8"/>
  <c r="D85" i="8"/>
  <c r="E85" i="8"/>
  <c r="F85" i="8"/>
  <c r="G85" i="8"/>
  <c r="H85" i="8"/>
  <c r="I85" i="8"/>
  <c r="J85" i="8"/>
  <c r="K85" i="8"/>
  <c r="L85" i="8"/>
  <c r="M85" i="8"/>
  <c r="N85" i="8"/>
  <c r="O85" i="8"/>
  <c r="P85" i="8"/>
  <c r="Q85" i="8"/>
  <c r="R85" i="8"/>
  <c r="S85" i="8"/>
  <c r="T85" i="8"/>
  <c r="U85" i="8"/>
  <c r="V85" i="8"/>
  <c r="W85" i="8"/>
  <c r="X85" i="8"/>
  <c r="Y85" i="8"/>
  <c r="Z85" i="8"/>
  <c r="AA85" i="8"/>
  <c r="B86" i="8"/>
  <c r="C86" i="8"/>
  <c r="D86" i="8"/>
  <c r="E86" i="8"/>
  <c r="F86" i="8"/>
  <c r="G86" i="8"/>
  <c r="H86" i="8"/>
  <c r="I86" i="8"/>
  <c r="J86" i="8"/>
  <c r="K86" i="8"/>
  <c r="L86" i="8"/>
  <c r="M86" i="8"/>
  <c r="N86" i="8"/>
  <c r="O86" i="8"/>
  <c r="P86" i="8"/>
  <c r="Q86" i="8"/>
  <c r="R86" i="8"/>
  <c r="S86" i="8"/>
  <c r="T86" i="8"/>
  <c r="U86" i="8"/>
  <c r="V86" i="8"/>
  <c r="W86" i="8"/>
  <c r="X86" i="8"/>
  <c r="Y86" i="8"/>
  <c r="Z86" i="8"/>
  <c r="AA86" i="8"/>
  <c r="B87" i="8"/>
  <c r="C87" i="8"/>
  <c r="D87" i="8"/>
  <c r="E87" i="8"/>
  <c r="F87" i="8"/>
  <c r="G87" i="8"/>
  <c r="H87" i="8"/>
  <c r="I87" i="8"/>
  <c r="J87" i="8"/>
  <c r="K87" i="8"/>
  <c r="L87" i="8"/>
  <c r="M87" i="8"/>
  <c r="N87" i="8"/>
  <c r="O87" i="8"/>
  <c r="P87" i="8"/>
  <c r="Q87" i="8"/>
  <c r="R87" i="8"/>
  <c r="S87" i="8"/>
  <c r="T87" i="8"/>
  <c r="U87" i="8"/>
  <c r="V87" i="8"/>
  <c r="W87" i="8"/>
  <c r="X87" i="8"/>
  <c r="Y87" i="8"/>
  <c r="Z87" i="8"/>
  <c r="AA87" i="8"/>
  <c r="B88" i="8"/>
  <c r="C88" i="8"/>
  <c r="D88" i="8"/>
  <c r="E88" i="8"/>
  <c r="F88" i="8"/>
  <c r="G88" i="8"/>
  <c r="H88" i="8"/>
  <c r="I88" i="8"/>
  <c r="J88" i="8"/>
  <c r="K88" i="8"/>
  <c r="L88" i="8"/>
  <c r="M88" i="8"/>
  <c r="N88" i="8"/>
  <c r="O88" i="8"/>
  <c r="P88" i="8"/>
  <c r="Q88" i="8"/>
  <c r="R88" i="8"/>
  <c r="S88" i="8"/>
  <c r="T88" i="8"/>
  <c r="U88" i="8"/>
  <c r="V88" i="8"/>
  <c r="W88" i="8"/>
  <c r="X88" i="8"/>
  <c r="Y88" i="8"/>
  <c r="Z88" i="8"/>
  <c r="AA8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2" i="8"/>
  <c r="A2" i="5"/>
  <c r="Y2" i="23"/>
  <c r="Z2" i="23"/>
  <c r="AA2" i="23"/>
  <c r="Y3" i="23"/>
  <c r="Z3" i="23"/>
  <c r="AA3" i="23"/>
  <c r="Y4" i="23"/>
  <c r="Z4" i="23"/>
  <c r="AA4" i="23"/>
  <c r="Y5" i="23"/>
  <c r="Z5" i="23"/>
  <c r="AA5" i="23"/>
  <c r="Y6" i="23"/>
  <c r="Z6" i="23"/>
  <c r="AA6" i="23"/>
  <c r="Y7" i="23"/>
  <c r="Z7" i="23"/>
  <c r="AA7" i="23"/>
  <c r="Y8" i="23"/>
  <c r="Z8" i="23"/>
  <c r="AA8" i="23"/>
  <c r="Y9" i="23"/>
  <c r="Z9" i="23"/>
  <c r="AA9" i="23"/>
  <c r="Y10" i="23"/>
  <c r="Z10" i="23"/>
  <c r="AA10" i="23"/>
  <c r="Y11" i="23"/>
  <c r="Z11" i="23"/>
  <c r="AA11" i="23"/>
  <c r="Y12" i="23"/>
  <c r="Z12" i="23"/>
  <c r="AA12" i="23"/>
  <c r="Y13" i="23"/>
  <c r="Z13" i="23"/>
  <c r="AA13" i="23"/>
  <c r="Y14" i="23"/>
  <c r="Z14" i="23"/>
  <c r="AA14" i="23"/>
  <c r="Y15" i="23"/>
  <c r="Z15" i="23"/>
  <c r="AA15" i="23"/>
  <c r="Y16" i="23"/>
  <c r="Z16" i="23"/>
  <c r="AA16" i="23"/>
  <c r="Y17" i="23"/>
  <c r="Z17" i="23"/>
  <c r="AA17" i="23"/>
  <c r="Y18" i="23"/>
  <c r="Z18" i="23"/>
  <c r="AA18" i="23"/>
  <c r="Y19" i="23"/>
  <c r="Z19" i="23"/>
  <c r="AA19" i="23"/>
  <c r="Y20" i="23"/>
  <c r="Z20" i="23"/>
  <c r="AA20" i="23"/>
  <c r="Y21" i="23"/>
  <c r="Z21" i="23"/>
  <c r="AA21" i="23"/>
  <c r="Y22" i="23"/>
  <c r="Z22" i="23"/>
  <c r="AA22" i="23"/>
  <c r="Y23" i="23"/>
  <c r="Z23" i="23"/>
  <c r="AA23" i="23"/>
  <c r="Y24" i="23"/>
  <c r="Z24" i="23"/>
  <c r="AA24" i="23"/>
  <c r="Y25" i="23"/>
  <c r="Z25" i="23"/>
  <c r="AA25" i="23"/>
  <c r="Y26" i="23"/>
  <c r="Z26" i="23"/>
  <c r="AA26" i="23"/>
  <c r="Y27" i="23"/>
  <c r="Z27" i="23"/>
  <c r="AA27" i="23"/>
  <c r="Y28" i="23"/>
  <c r="Z28" i="23"/>
  <c r="AA28" i="23"/>
  <c r="Y29" i="23"/>
  <c r="Z29" i="23"/>
  <c r="AA29" i="23"/>
  <c r="Y30" i="23"/>
  <c r="Z30" i="23"/>
  <c r="AA30" i="23"/>
  <c r="Y31" i="23"/>
  <c r="Z31" i="23"/>
  <c r="AA31" i="23"/>
  <c r="Y32" i="23"/>
  <c r="Z32" i="23"/>
  <c r="AA32" i="23"/>
  <c r="Y33" i="23"/>
  <c r="Z33" i="23"/>
  <c r="AA33" i="23"/>
  <c r="Y34" i="23"/>
  <c r="Z34" i="23"/>
  <c r="AA34" i="23"/>
  <c r="Y35" i="23"/>
  <c r="Z35" i="23"/>
  <c r="AA35" i="23"/>
  <c r="Y36" i="23"/>
  <c r="Z36" i="23"/>
  <c r="AA36" i="23"/>
  <c r="Y37" i="23"/>
  <c r="Z37" i="23"/>
  <c r="AA37" i="23"/>
  <c r="Y38" i="23"/>
  <c r="Z38" i="23"/>
  <c r="AA38" i="23"/>
  <c r="Y39" i="23"/>
  <c r="Z39" i="23"/>
  <c r="AA39" i="23"/>
  <c r="Y40" i="23"/>
  <c r="Z40" i="23"/>
  <c r="AA40" i="23"/>
  <c r="Y41" i="23"/>
  <c r="Z41" i="23"/>
  <c r="AA41" i="23"/>
  <c r="Y42" i="23"/>
  <c r="Z42" i="23"/>
  <c r="AA42" i="23"/>
  <c r="Y43" i="23"/>
  <c r="Z43" i="23"/>
  <c r="AA43" i="23"/>
  <c r="Y44" i="23"/>
  <c r="Z44" i="23"/>
  <c r="AA44" i="23"/>
  <c r="Y45" i="23"/>
  <c r="Z45" i="23"/>
  <c r="AA45" i="23"/>
  <c r="Y46" i="23"/>
  <c r="Z46" i="23"/>
  <c r="AA46" i="23"/>
  <c r="Y47" i="23"/>
  <c r="Z47" i="23"/>
  <c r="AA47" i="23"/>
  <c r="Y48" i="23"/>
  <c r="Z48" i="23"/>
  <c r="AA48" i="23"/>
  <c r="Y49" i="23"/>
  <c r="Z49" i="23"/>
  <c r="AA49" i="23"/>
  <c r="B2" i="23"/>
  <c r="C2" i="23"/>
  <c r="D2" i="23"/>
  <c r="E2" i="23"/>
  <c r="F2" i="23"/>
  <c r="G2" i="23"/>
  <c r="H2" i="23"/>
  <c r="I2" i="23"/>
  <c r="J2" i="23"/>
  <c r="K2" i="23"/>
  <c r="L2" i="23"/>
  <c r="M2" i="23"/>
  <c r="N2" i="23"/>
  <c r="O2" i="23"/>
  <c r="P2" i="23"/>
  <c r="Q2" i="23"/>
  <c r="R2" i="23"/>
  <c r="S2" i="23"/>
  <c r="T2" i="23"/>
  <c r="U2" i="23"/>
  <c r="V2" i="23"/>
  <c r="W2" i="23"/>
  <c r="X2" i="23"/>
  <c r="B3" i="23"/>
  <c r="C3" i="23"/>
  <c r="D3" i="23"/>
  <c r="E3" i="23"/>
  <c r="F3" i="23"/>
  <c r="G3" i="23"/>
  <c r="H3" i="23"/>
  <c r="I3" i="23"/>
  <c r="J3" i="23"/>
  <c r="K3" i="23"/>
  <c r="L3" i="23"/>
  <c r="M3" i="23"/>
  <c r="N3" i="23"/>
  <c r="O3" i="23"/>
  <c r="P3" i="23"/>
  <c r="Q3" i="23"/>
  <c r="R3" i="23"/>
  <c r="S3" i="23"/>
  <c r="T3" i="23"/>
  <c r="U3" i="23"/>
  <c r="V3" i="23"/>
  <c r="W3" i="23"/>
  <c r="X3" i="23"/>
  <c r="B4" i="23"/>
  <c r="C4" i="23"/>
  <c r="D4" i="23"/>
  <c r="E4" i="23"/>
  <c r="F4" i="23"/>
  <c r="G4" i="23"/>
  <c r="H4" i="23"/>
  <c r="I4" i="23"/>
  <c r="J4" i="23"/>
  <c r="K4" i="23"/>
  <c r="L4" i="23"/>
  <c r="M4" i="23"/>
  <c r="N4" i="23"/>
  <c r="O4" i="23"/>
  <c r="P4" i="23"/>
  <c r="Q4" i="23"/>
  <c r="R4" i="23"/>
  <c r="S4" i="23"/>
  <c r="T4" i="23"/>
  <c r="U4" i="23"/>
  <c r="V4" i="23"/>
  <c r="W4" i="23"/>
  <c r="X4" i="23"/>
  <c r="B5" i="23"/>
  <c r="C5" i="23"/>
  <c r="D5" i="23"/>
  <c r="E5" i="23"/>
  <c r="F5" i="23"/>
  <c r="G5" i="23"/>
  <c r="H5" i="23"/>
  <c r="I5" i="23"/>
  <c r="J5" i="23"/>
  <c r="K5" i="23"/>
  <c r="L5" i="23"/>
  <c r="M5" i="23"/>
  <c r="N5" i="23"/>
  <c r="O5" i="23"/>
  <c r="P5" i="23"/>
  <c r="Q5" i="23"/>
  <c r="R5" i="23"/>
  <c r="S5" i="23"/>
  <c r="T5" i="23"/>
  <c r="U5" i="23"/>
  <c r="V5" i="23"/>
  <c r="W5" i="23"/>
  <c r="X5" i="23"/>
  <c r="B6" i="23"/>
  <c r="C6" i="23"/>
  <c r="D6" i="23"/>
  <c r="E6" i="23"/>
  <c r="F6" i="23"/>
  <c r="G6" i="23"/>
  <c r="H6" i="23"/>
  <c r="I6" i="23"/>
  <c r="J6" i="23"/>
  <c r="K6" i="23"/>
  <c r="L6" i="23"/>
  <c r="M6" i="23"/>
  <c r="N6" i="23"/>
  <c r="O6" i="23"/>
  <c r="P6" i="23"/>
  <c r="Q6" i="23"/>
  <c r="R6" i="23"/>
  <c r="S6" i="23"/>
  <c r="T6" i="23"/>
  <c r="U6" i="23"/>
  <c r="V6" i="23"/>
  <c r="W6" i="23"/>
  <c r="X6" i="23"/>
  <c r="B7" i="23"/>
  <c r="C7" i="23"/>
  <c r="D7" i="23"/>
  <c r="E7" i="23"/>
  <c r="F7" i="23"/>
  <c r="G7" i="23"/>
  <c r="H7" i="23"/>
  <c r="I7" i="23"/>
  <c r="J7" i="23"/>
  <c r="K7" i="23"/>
  <c r="L7" i="23"/>
  <c r="M7" i="23"/>
  <c r="N7" i="23"/>
  <c r="O7" i="23"/>
  <c r="P7" i="23"/>
  <c r="Q7" i="23"/>
  <c r="R7" i="23"/>
  <c r="S7" i="23"/>
  <c r="T7" i="23"/>
  <c r="U7" i="23"/>
  <c r="V7" i="23"/>
  <c r="W7" i="23"/>
  <c r="X7" i="23"/>
  <c r="B8" i="23"/>
  <c r="C8" i="23"/>
  <c r="D8" i="23"/>
  <c r="E8" i="23"/>
  <c r="F8" i="23"/>
  <c r="G8" i="23"/>
  <c r="H8" i="23"/>
  <c r="I8" i="23"/>
  <c r="J8" i="23"/>
  <c r="K8" i="23"/>
  <c r="L8" i="23"/>
  <c r="M8" i="23"/>
  <c r="N8" i="23"/>
  <c r="O8" i="23"/>
  <c r="P8" i="23"/>
  <c r="Q8" i="23"/>
  <c r="R8" i="23"/>
  <c r="S8" i="23"/>
  <c r="T8" i="23"/>
  <c r="U8" i="23"/>
  <c r="V8" i="23"/>
  <c r="W8" i="23"/>
  <c r="X8" i="23"/>
  <c r="B9" i="23"/>
  <c r="C9" i="23"/>
  <c r="D9" i="23"/>
  <c r="E9" i="23"/>
  <c r="F9" i="23"/>
  <c r="G9" i="23"/>
  <c r="H9" i="23"/>
  <c r="I9" i="23"/>
  <c r="J9" i="23"/>
  <c r="K9" i="23"/>
  <c r="L9" i="23"/>
  <c r="M9" i="23"/>
  <c r="N9" i="23"/>
  <c r="O9" i="23"/>
  <c r="P9" i="23"/>
  <c r="Q9" i="23"/>
  <c r="R9" i="23"/>
  <c r="S9" i="23"/>
  <c r="T9" i="23"/>
  <c r="U9" i="23"/>
  <c r="V9" i="23"/>
  <c r="W9" i="23"/>
  <c r="X9" i="23"/>
  <c r="B10" i="23"/>
  <c r="C10" i="23"/>
  <c r="D10" i="23"/>
  <c r="E10" i="23"/>
  <c r="F10" i="23"/>
  <c r="G10" i="23"/>
  <c r="H10" i="23"/>
  <c r="I10" i="23"/>
  <c r="J10" i="23"/>
  <c r="K10" i="23"/>
  <c r="L10" i="23"/>
  <c r="M10" i="23"/>
  <c r="N10" i="23"/>
  <c r="O10" i="23"/>
  <c r="P10" i="23"/>
  <c r="Q10" i="23"/>
  <c r="R10" i="23"/>
  <c r="S10" i="23"/>
  <c r="T10" i="23"/>
  <c r="U10" i="23"/>
  <c r="V10" i="23"/>
  <c r="W10" i="23"/>
  <c r="X10" i="23"/>
  <c r="B11" i="23"/>
  <c r="C11" i="23"/>
  <c r="D11" i="23"/>
  <c r="E11" i="23"/>
  <c r="F11" i="23"/>
  <c r="G11" i="23"/>
  <c r="H11" i="23"/>
  <c r="I11" i="23"/>
  <c r="J11" i="23"/>
  <c r="K11" i="23"/>
  <c r="L11" i="23"/>
  <c r="M11" i="23"/>
  <c r="N11" i="23"/>
  <c r="O11" i="23"/>
  <c r="P11" i="23"/>
  <c r="Q11" i="23"/>
  <c r="R11" i="23"/>
  <c r="S11" i="23"/>
  <c r="T11" i="23"/>
  <c r="U11" i="23"/>
  <c r="V11" i="23"/>
  <c r="W11" i="23"/>
  <c r="X11" i="23"/>
  <c r="B12" i="23"/>
  <c r="C12" i="23"/>
  <c r="D12" i="23"/>
  <c r="E12" i="23"/>
  <c r="F12" i="23"/>
  <c r="G12" i="23"/>
  <c r="H12" i="23"/>
  <c r="I12" i="23"/>
  <c r="J12" i="23"/>
  <c r="K12" i="23"/>
  <c r="L12" i="23"/>
  <c r="M12" i="23"/>
  <c r="N12" i="23"/>
  <c r="O12" i="23"/>
  <c r="P12" i="23"/>
  <c r="Q12" i="23"/>
  <c r="R12" i="23"/>
  <c r="S12" i="23"/>
  <c r="T12" i="23"/>
  <c r="U12" i="23"/>
  <c r="V12" i="23"/>
  <c r="W12" i="23"/>
  <c r="X12" i="23"/>
  <c r="B13" i="23"/>
  <c r="C13" i="23"/>
  <c r="D13" i="23"/>
  <c r="E13" i="23"/>
  <c r="F13" i="23"/>
  <c r="G13" i="23"/>
  <c r="H13" i="23"/>
  <c r="I13" i="23"/>
  <c r="J13" i="23"/>
  <c r="K13" i="23"/>
  <c r="L13" i="23"/>
  <c r="M13" i="23"/>
  <c r="N13" i="23"/>
  <c r="O13" i="23"/>
  <c r="P13" i="23"/>
  <c r="Q13" i="23"/>
  <c r="R13" i="23"/>
  <c r="S13" i="23"/>
  <c r="T13" i="23"/>
  <c r="U13" i="23"/>
  <c r="V13" i="23"/>
  <c r="W13" i="23"/>
  <c r="X13" i="23"/>
  <c r="B14" i="23"/>
  <c r="C14" i="23"/>
  <c r="D14" i="23"/>
  <c r="E14" i="23"/>
  <c r="F14" i="23"/>
  <c r="G14" i="23"/>
  <c r="H14" i="23"/>
  <c r="I14" i="23"/>
  <c r="J14" i="23"/>
  <c r="K14" i="23"/>
  <c r="L14" i="23"/>
  <c r="M14" i="23"/>
  <c r="N14" i="23"/>
  <c r="O14" i="23"/>
  <c r="P14" i="23"/>
  <c r="Q14" i="23"/>
  <c r="R14" i="23"/>
  <c r="S14" i="23"/>
  <c r="T14" i="23"/>
  <c r="U14" i="23"/>
  <c r="V14" i="23"/>
  <c r="W14" i="23"/>
  <c r="X14" i="23"/>
  <c r="B15" i="23"/>
  <c r="C15" i="23"/>
  <c r="D15" i="23"/>
  <c r="E15" i="23"/>
  <c r="F15" i="23"/>
  <c r="G15" i="23"/>
  <c r="H15" i="23"/>
  <c r="I15" i="23"/>
  <c r="J15" i="23"/>
  <c r="K15" i="23"/>
  <c r="L15" i="23"/>
  <c r="M15" i="23"/>
  <c r="N15" i="23"/>
  <c r="O15" i="23"/>
  <c r="P15" i="23"/>
  <c r="Q15" i="23"/>
  <c r="R15" i="23"/>
  <c r="S15" i="23"/>
  <c r="T15" i="23"/>
  <c r="U15" i="23"/>
  <c r="V15" i="23"/>
  <c r="W15" i="23"/>
  <c r="X15" i="23"/>
  <c r="B16" i="23"/>
  <c r="C16" i="23"/>
  <c r="D16" i="23"/>
  <c r="E16" i="23"/>
  <c r="F16" i="23"/>
  <c r="G16" i="23"/>
  <c r="H16" i="23"/>
  <c r="I16" i="23"/>
  <c r="J16" i="23"/>
  <c r="K16" i="23"/>
  <c r="L16" i="23"/>
  <c r="M16" i="23"/>
  <c r="N16" i="23"/>
  <c r="O16" i="23"/>
  <c r="P16" i="23"/>
  <c r="Q16" i="23"/>
  <c r="R16" i="23"/>
  <c r="S16" i="23"/>
  <c r="T16" i="23"/>
  <c r="U16" i="23"/>
  <c r="V16" i="23"/>
  <c r="W16" i="23"/>
  <c r="X16" i="23"/>
  <c r="B17" i="23"/>
  <c r="C17" i="23"/>
  <c r="D17" i="23"/>
  <c r="E17" i="23"/>
  <c r="F17" i="23"/>
  <c r="G17" i="23"/>
  <c r="H17" i="23"/>
  <c r="I17" i="23"/>
  <c r="J17" i="23"/>
  <c r="K17" i="23"/>
  <c r="L17" i="23"/>
  <c r="M17" i="23"/>
  <c r="N17" i="23"/>
  <c r="O17" i="23"/>
  <c r="P17" i="23"/>
  <c r="Q17" i="23"/>
  <c r="R17" i="23"/>
  <c r="S17" i="23"/>
  <c r="T17" i="23"/>
  <c r="U17" i="23"/>
  <c r="V17" i="23"/>
  <c r="W17" i="23"/>
  <c r="X17" i="23"/>
  <c r="B18" i="23"/>
  <c r="C18" i="23"/>
  <c r="D18" i="23"/>
  <c r="E18" i="23"/>
  <c r="F18" i="23"/>
  <c r="G18" i="23"/>
  <c r="H18" i="23"/>
  <c r="I18" i="23"/>
  <c r="J18" i="23"/>
  <c r="K18" i="23"/>
  <c r="L18" i="23"/>
  <c r="M18" i="23"/>
  <c r="N18" i="23"/>
  <c r="O18" i="23"/>
  <c r="P18" i="23"/>
  <c r="Q18" i="23"/>
  <c r="R18" i="23"/>
  <c r="S18" i="23"/>
  <c r="T18" i="23"/>
  <c r="U18" i="23"/>
  <c r="V18" i="23"/>
  <c r="W18" i="23"/>
  <c r="X18" i="23"/>
  <c r="B19" i="23"/>
  <c r="C19" i="23"/>
  <c r="D19" i="23"/>
  <c r="E19" i="23"/>
  <c r="F19" i="23"/>
  <c r="G19" i="23"/>
  <c r="H19" i="23"/>
  <c r="I19" i="23"/>
  <c r="J19" i="23"/>
  <c r="K19" i="23"/>
  <c r="L19" i="23"/>
  <c r="M19" i="23"/>
  <c r="N19" i="23"/>
  <c r="O19" i="23"/>
  <c r="P19" i="23"/>
  <c r="Q19" i="23"/>
  <c r="R19" i="23"/>
  <c r="S19" i="23"/>
  <c r="T19" i="23"/>
  <c r="U19" i="23"/>
  <c r="V19" i="23"/>
  <c r="W19" i="23"/>
  <c r="X19" i="23"/>
  <c r="B20" i="23"/>
  <c r="C20" i="23"/>
  <c r="D20" i="23"/>
  <c r="E20" i="23"/>
  <c r="F20" i="23"/>
  <c r="G20" i="23"/>
  <c r="H20" i="23"/>
  <c r="I20" i="23"/>
  <c r="J20" i="23"/>
  <c r="K20" i="23"/>
  <c r="L20" i="23"/>
  <c r="M20" i="23"/>
  <c r="N20" i="23"/>
  <c r="O20" i="23"/>
  <c r="P20" i="23"/>
  <c r="Q20" i="23"/>
  <c r="R20" i="23"/>
  <c r="S20" i="23"/>
  <c r="T20" i="23"/>
  <c r="U20" i="23"/>
  <c r="V20" i="23"/>
  <c r="W20" i="23"/>
  <c r="X20" i="23"/>
  <c r="B21" i="23"/>
  <c r="C21" i="23"/>
  <c r="D21" i="23"/>
  <c r="E21" i="23"/>
  <c r="F21" i="23"/>
  <c r="G21" i="23"/>
  <c r="H21" i="23"/>
  <c r="I21" i="23"/>
  <c r="J21" i="23"/>
  <c r="K21" i="23"/>
  <c r="L21" i="23"/>
  <c r="M21" i="23"/>
  <c r="N21" i="23"/>
  <c r="O21" i="23"/>
  <c r="P21" i="23"/>
  <c r="Q21" i="23"/>
  <c r="R21" i="23"/>
  <c r="S21" i="23"/>
  <c r="T21" i="23"/>
  <c r="U21" i="23"/>
  <c r="V21" i="23"/>
  <c r="W21" i="23"/>
  <c r="X21" i="23"/>
  <c r="B22" i="23"/>
  <c r="C22" i="23"/>
  <c r="D22" i="23"/>
  <c r="E22" i="23"/>
  <c r="F22" i="23"/>
  <c r="G22" i="23"/>
  <c r="H22" i="23"/>
  <c r="I22" i="23"/>
  <c r="J22" i="23"/>
  <c r="K22" i="23"/>
  <c r="L22" i="23"/>
  <c r="M22" i="23"/>
  <c r="N22" i="23"/>
  <c r="O22" i="23"/>
  <c r="P22" i="23"/>
  <c r="Q22" i="23"/>
  <c r="R22" i="23"/>
  <c r="S22" i="23"/>
  <c r="T22" i="23"/>
  <c r="U22" i="23"/>
  <c r="V22" i="23"/>
  <c r="W22" i="23"/>
  <c r="X22" i="23"/>
  <c r="B23" i="23"/>
  <c r="C23" i="23"/>
  <c r="D23" i="23"/>
  <c r="E23" i="23"/>
  <c r="F23" i="23"/>
  <c r="G23" i="23"/>
  <c r="H23" i="23"/>
  <c r="I23" i="23"/>
  <c r="J23" i="23"/>
  <c r="K23" i="23"/>
  <c r="L23" i="23"/>
  <c r="M23" i="23"/>
  <c r="N23" i="23"/>
  <c r="O23" i="23"/>
  <c r="P23" i="23"/>
  <c r="Q23" i="23"/>
  <c r="R23" i="23"/>
  <c r="S23" i="23"/>
  <c r="T23" i="23"/>
  <c r="U23" i="23"/>
  <c r="V23" i="23"/>
  <c r="W23" i="23"/>
  <c r="X23" i="23"/>
  <c r="B24" i="23"/>
  <c r="C24" i="23"/>
  <c r="D24" i="23"/>
  <c r="E24" i="23"/>
  <c r="F24" i="23"/>
  <c r="G24" i="23"/>
  <c r="H24" i="23"/>
  <c r="I24" i="23"/>
  <c r="J24" i="23"/>
  <c r="K24" i="23"/>
  <c r="L24" i="23"/>
  <c r="M24" i="23"/>
  <c r="N24" i="23"/>
  <c r="O24" i="23"/>
  <c r="P24" i="23"/>
  <c r="Q24" i="23"/>
  <c r="R24" i="23"/>
  <c r="S24" i="23"/>
  <c r="T24" i="23"/>
  <c r="U24" i="23"/>
  <c r="V24" i="23"/>
  <c r="W24" i="23"/>
  <c r="X24" i="23"/>
  <c r="B25" i="23"/>
  <c r="C25" i="23"/>
  <c r="D25" i="23"/>
  <c r="E25" i="23"/>
  <c r="F25" i="23"/>
  <c r="G25" i="23"/>
  <c r="H25" i="23"/>
  <c r="I25" i="23"/>
  <c r="J25" i="23"/>
  <c r="K25" i="23"/>
  <c r="L25" i="23"/>
  <c r="M25" i="23"/>
  <c r="N25" i="23"/>
  <c r="O25" i="23"/>
  <c r="P25" i="23"/>
  <c r="Q25" i="23"/>
  <c r="R25" i="23"/>
  <c r="S25" i="23"/>
  <c r="T25" i="23"/>
  <c r="U25" i="23"/>
  <c r="V25" i="23"/>
  <c r="W25" i="23"/>
  <c r="X25" i="23"/>
  <c r="B26" i="23"/>
  <c r="C26" i="23"/>
  <c r="D26" i="23"/>
  <c r="E26" i="23"/>
  <c r="F26" i="23"/>
  <c r="G26" i="23"/>
  <c r="H26" i="23"/>
  <c r="I26" i="23"/>
  <c r="J26" i="23"/>
  <c r="K26" i="23"/>
  <c r="L26" i="23"/>
  <c r="M26" i="23"/>
  <c r="N26" i="23"/>
  <c r="O26" i="23"/>
  <c r="P26" i="23"/>
  <c r="Q26" i="23"/>
  <c r="R26" i="23"/>
  <c r="S26" i="23"/>
  <c r="T26" i="23"/>
  <c r="U26" i="23"/>
  <c r="V26" i="23"/>
  <c r="W26" i="23"/>
  <c r="X26" i="23"/>
  <c r="B27" i="23"/>
  <c r="C27" i="23"/>
  <c r="D27" i="23"/>
  <c r="E27" i="23"/>
  <c r="F27" i="23"/>
  <c r="G27" i="23"/>
  <c r="H27" i="23"/>
  <c r="I27" i="23"/>
  <c r="J27" i="23"/>
  <c r="K27" i="23"/>
  <c r="L27" i="23"/>
  <c r="M27" i="23"/>
  <c r="N27" i="23"/>
  <c r="O27" i="23"/>
  <c r="P27" i="23"/>
  <c r="Q27" i="23"/>
  <c r="R27" i="23"/>
  <c r="S27" i="23"/>
  <c r="T27" i="23"/>
  <c r="U27" i="23"/>
  <c r="V27" i="23"/>
  <c r="W27" i="23"/>
  <c r="X27" i="23"/>
  <c r="B28" i="23"/>
  <c r="C28" i="23"/>
  <c r="D28" i="23"/>
  <c r="E28" i="23"/>
  <c r="F28" i="23"/>
  <c r="G28" i="23"/>
  <c r="H28" i="23"/>
  <c r="I28" i="23"/>
  <c r="J28" i="23"/>
  <c r="K28" i="23"/>
  <c r="L28" i="23"/>
  <c r="M28" i="23"/>
  <c r="N28" i="23"/>
  <c r="O28" i="23"/>
  <c r="P28" i="23"/>
  <c r="Q28" i="23"/>
  <c r="R28" i="23"/>
  <c r="S28" i="23"/>
  <c r="T28" i="23"/>
  <c r="U28" i="23"/>
  <c r="V28" i="23"/>
  <c r="W28" i="23"/>
  <c r="X28" i="23"/>
  <c r="B29" i="23"/>
  <c r="C29" i="23"/>
  <c r="D29" i="23"/>
  <c r="E29" i="23"/>
  <c r="F29" i="23"/>
  <c r="G29" i="23"/>
  <c r="H29" i="23"/>
  <c r="I29" i="23"/>
  <c r="J29" i="23"/>
  <c r="K29" i="23"/>
  <c r="L29" i="23"/>
  <c r="M29" i="23"/>
  <c r="N29" i="23"/>
  <c r="O29" i="23"/>
  <c r="P29" i="23"/>
  <c r="Q29" i="23"/>
  <c r="R29" i="23"/>
  <c r="S29" i="23"/>
  <c r="T29" i="23"/>
  <c r="U29" i="23"/>
  <c r="V29" i="23"/>
  <c r="W29" i="23"/>
  <c r="X29" i="23"/>
  <c r="B30" i="23"/>
  <c r="C30" i="23"/>
  <c r="D30" i="23"/>
  <c r="E30" i="23"/>
  <c r="F30" i="23"/>
  <c r="G30" i="23"/>
  <c r="H30" i="23"/>
  <c r="I30" i="23"/>
  <c r="J30" i="23"/>
  <c r="K30" i="23"/>
  <c r="L30" i="23"/>
  <c r="M30" i="23"/>
  <c r="N30" i="23"/>
  <c r="O30" i="23"/>
  <c r="P30" i="23"/>
  <c r="Q30" i="23"/>
  <c r="R30" i="23"/>
  <c r="S30" i="23"/>
  <c r="T30" i="23"/>
  <c r="U30" i="23"/>
  <c r="V30" i="23"/>
  <c r="W30" i="23"/>
  <c r="X30" i="23"/>
  <c r="B31" i="23"/>
  <c r="C31" i="23"/>
  <c r="D31" i="23"/>
  <c r="E31" i="23"/>
  <c r="F31" i="23"/>
  <c r="G31" i="23"/>
  <c r="H31" i="23"/>
  <c r="I31" i="23"/>
  <c r="J31" i="23"/>
  <c r="K31" i="23"/>
  <c r="L31" i="23"/>
  <c r="M31" i="23"/>
  <c r="N31" i="23"/>
  <c r="O31" i="23"/>
  <c r="P31" i="23"/>
  <c r="Q31" i="23"/>
  <c r="R31" i="23"/>
  <c r="S31" i="23"/>
  <c r="T31" i="23"/>
  <c r="U31" i="23"/>
  <c r="V31" i="23"/>
  <c r="W31" i="23"/>
  <c r="X31" i="23"/>
  <c r="B32" i="23"/>
  <c r="C32" i="23"/>
  <c r="D32" i="23"/>
  <c r="E32" i="23"/>
  <c r="F32" i="23"/>
  <c r="G32" i="23"/>
  <c r="H32" i="23"/>
  <c r="I32" i="23"/>
  <c r="J32" i="23"/>
  <c r="K32" i="23"/>
  <c r="L32" i="23"/>
  <c r="M32" i="23"/>
  <c r="N32" i="23"/>
  <c r="O32" i="23"/>
  <c r="P32" i="23"/>
  <c r="Q32" i="23"/>
  <c r="R32" i="23"/>
  <c r="S32" i="23"/>
  <c r="T32" i="23"/>
  <c r="U32" i="23"/>
  <c r="V32" i="23"/>
  <c r="W32" i="23"/>
  <c r="X32" i="23"/>
  <c r="B33" i="23"/>
  <c r="C33" i="23"/>
  <c r="D33" i="23"/>
  <c r="E33" i="23"/>
  <c r="F33" i="23"/>
  <c r="G33" i="23"/>
  <c r="H33" i="23"/>
  <c r="I33" i="23"/>
  <c r="J33" i="23"/>
  <c r="K33" i="23"/>
  <c r="L33" i="23"/>
  <c r="M33" i="23"/>
  <c r="N33" i="23"/>
  <c r="O33" i="23"/>
  <c r="P33" i="23"/>
  <c r="Q33" i="23"/>
  <c r="R33" i="23"/>
  <c r="S33" i="23"/>
  <c r="T33" i="23"/>
  <c r="U33" i="23"/>
  <c r="V33" i="23"/>
  <c r="W33" i="23"/>
  <c r="X33" i="23"/>
  <c r="B34" i="23"/>
  <c r="C34" i="23"/>
  <c r="D34" i="23"/>
  <c r="E34" i="23"/>
  <c r="F34" i="23"/>
  <c r="G34" i="23"/>
  <c r="H34" i="23"/>
  <c r="I34" i="23"/>
  <c r="J34" i="23"/>
  <c r="K34" i="23"/>
  <c r="L34" i="23"/>
  <c r="M34" i="23"/>
  <c r="N34" i="23"/>
  <c r="O34" i="23"/>
  <c r="P34" i="23"/>
  <c r="Q34" i="23"/>
  <c r="R34" i="23"/>
  <c r="S34" i="23"/>
  <c r="T34" i="23"/>
  <c r="U34" i="23"/>
  <c r="V34" i="23"/>
  <c r="W34" i="23"/>
  <c r="X34" i="23"/>
  <c r="B35" i="23"/>
  <c r="C35" i="23"/>
  <c r="D35" i="23"/>
  <c r="E35" i="23"/>
  <c r="F35" i="23"/>
  <c r="G35" i="23"/>
  <c r="H35" i="23"/>
  <c r="I35" i="23"/>
  <c r="J35" i="23"/>
  <c r="K35" i="23"/>
  <c r="L35" i="23"/>
  <c r="M35" i="23"/>
  <c r="N35" i="23"/>
  <c r="O35" i="23"/>
  <c r="P35" i="23"/>
  <c r="Q35" i="23"/>
  <c r="R35" i="23"/>
  <c r="S35" i="23"/>
  <c r="T35" i="23"/>
  <c r="U35" i="23"/>
  <c r="V35" i="23"/>
  <c r="W35" i="23"/>
  <c r="X35" i="23"/>
  <c r="B36" i="23"/>
  <c r="C36" i="23"/>
  <c r="D36" i="23"/>
  <c r="E36" i="23"/>
  <c r="F36" i="23"/>
  <c r="G36" i="23"/>
  <c r="H36" i="23"/>
  <c r="I36" i="23"/>
  <c r="J36" i="23"/>
  <c r="K36" i="23"/>
  <c r="L36" i="23"/>
  <c r="M36" i="23"/>
  <c r="N36" i="23"/>
  <c r="O36" i="23"/>
  <c r="P36" i="23"/>
  <c r="Q36" i="23"/>
  <c r="R36" i="23"/>
  <c r="S36" i="23"/>
  <c r="T36" i="23"/>
  <c r="U36" i="23"/>
  <c r="V36" i="23"/>
  <c r="W36" i="23"/>
  <c r="X36" i="23"/>
  <c r="B37" i="23"/>
  <c r="C37" i="23"/>
  <c r="D37" i="23"/>
  <c r="E37" i="23"/>
  <c r="F37" i="23"/>
  <c r="G37" i="23"/>
  <c r="H37" i="23"/>
  <c r="I37" i="23"/>
  <c r="J37" i="23"/>
  <c r="K37" i="23"/>
  <c r="L37" i="23"/>
  <c r="M37" i="23"/>
  <c r="N37" i="23"/>
  <c r="O37" i="23"/>
  <c r="P37" i="23"/>
  <c r="Q37" i="23"/>
  <c r="R37" i="23"/>
  <c r="S37" i="23"/>
  <c r="T37" i="23"/>
  <c r="U37" i="23"/>
  <c r="V37" i="23"/>
  <c r="W37" i="23"/>
  <c r="X37" i="23"/>
  <c r="B38" i="23"/>
  <c r="C38" i="23"/>
  <c r="D38" i="23"/>
  <c r="E38" i="23"/>
  <c r="F38" i="23"/>
  <c r="G38" i="23"/>
  <c r="H38" i="23"/>
  <c r="I38" i="23"/>
  <c r="J38" i="23"/>
  <c r="K38" i="23"/>
  <c r="L38" i="23"/>
  <c r="M38" i="23"/>
  <c r="N38" i="23"/>
  <c r="O38" i="23"/>
  <c r="P38" i="23"/>
  <c r="Q38" i="23"/>
  <c r="R38" i="23"/>
  <c r="S38" i="23"/>
  <c r="T38" i="23"/>
  <c r="U38" i="23"/>
  <c r="V38" i="23"/>
  <c r="W38" i="23"/>
  <c r="X38" i="23"/>
  <c r="B39" i="23"/>
  <c r="C39" i="23"/>
  <c r="D39" i="23"/>
  <c r="E39" i="23"/>
  <c r="F39" i="23"/>
  <c r="G39" i="23"/>
  <c r="H39" i="23"/>
  <c r="I39" i="23"/>
  <c r="J39" i="23"/>
  <c r="K39" i="23"/>
  <c r="L39" i="23"/>
  <c r="M39" i="23"/>
  <c r="N39" i="23"/>
  <c r="O39" i="23"/>
  <c r="P39" i="23"/>
  <c r="Q39" i="23"/>
  <c r="R39" i="23"/>
  <c r="S39" i="23"/>
  <c r="T39" i="23"/>
  <c r="U39" i="23"/>
  <c r="V39" i="23"/>
  <c r="W39" i="23"/>
  <c r="X39" i="23"/>
  <c r="B40" i="23"/>
  <c r="C40" i="23"/>
  <c r="D40" i="23"/>
  <c r="E40" i="23"/>
  <c r="F40" i="23"/>
  <c r="G40" i="23"/>
  <c r="H40" i="23"/>
  <c r="I40" i="23"/>
  <c r="J40" i="23"/>
  <c r="K40" i="23"/>
  <c r="L40" i="23"/>
  <c r="M40" i="23"/>
  <c r="N40" i="23"/>
  <c r="O40" i="23"/>
  <c r="P40" i="23"/>
  <c r="Q40" i="23"/>
  <c r="R40" i="23"/>
  <c r="S40" i="23"/>
  <c r="T40" i="23"/>
  <c r="U40" i="23"/>
  <c r="V40" i="23"/>
  <c r="W40" i="23"/>
  <c r="X40" i="23"/>
  <c r="B41" i="23"/>
  <c r="C41" i="23"/>
  <c r="D41" i="23"/>
  <c r="E41" i="23"/>
  <c r="F41" i="23"/>
  <c r="G41" i="23"/>
  <c r="H41" i="23"/>
  <c r="I41" i="23"/>
  <c r="J41" i="23"/>
  <c r="K41" i="23"/>
  <c r="L41" i="23"/>
  <c r="M41" i="23"/>
  <c r="N41" i="23"/>
  <c r="O41" i="23"/>
  <c r="P41" i="23"/>
  <c r="Q41" i="23"/>
  <c r="R41" i="23"/>
  <c r="S41" i="23"/>
  <c r="T41" i="23"/>
  <c r="U41" i="23"/>
  <c r="V41" i="23"/>
  <c r="W41" i="23"/>
  <c r="X41" i="23"/>
  <c r="B42" i="23"/>
  <c r="C42" i="23"/>
  <c r="D42" i="23"/>
  <c r="E42" i="23"/>
  <c r="F42" i="23"/>
  <c r="G42" i="23"/>
  <c r="H42" i="23"/>
  <c r="I42" i="23"/>
  <c r="J42" i="23"/>
  <c r="K42" i="23"/>
  <c r="L42" i="23"/>
  <c r="M42" i="23"/>
  <c r="N42" i="23"/>
  <c r="O42" i="23"/>
  <c r="P42" i="23"/>
  <c r="Q42" i="23"/>
  <c r="R42" i="23"/>
  <c r="S42" i="23"/>
  <c r="T42" i="23"/>
  <c r="U42" i="23"/>
  <c r="V42" i="23"/>
  <c r="W42" i="23"/>
  <c r="X42" i="23"/>
  <c r="B43" i="23"/>
  <c r="C43" i="23"/>
  <c r="D43" i="23"/>
  <c r="E43" i="23"/>
  <c r="F43" i="23"/>
  <c r="G43" i="23"/>
  <c r="H43" i="23"/>
  <c r="I43" i="23"/>
  <c r="J43" i="23"/>
  <c r="K43" i="23"/>
  <c r="L43" i="23"/>
  <c r="M43" i="23"/>
  <c r="N43" i="23"/>
  <c r="O43" i="23"/>
  <c r="P43" i="23"/>
  <c r="Q43" i="23"/>
  <c r="R43" i="23"/>
  <c r="S43" i="23"/>
  <c r="T43" i="23"/>
  <c r="U43" i="23"/>
  <c r="V43" i="23"/>
  <c r="W43" i="23"/>
  <c r="X43" i="23"/>
  <c r="B44" i="23"/>
  <c r="C44" i="23"/>
  <c r="D44" i="23"/>
  <c r="E44" i="23"/>
  <c r="F44" i="23"/>
  <c r="G44" i="23"/>
  <c r="H44" i="23"/>
  <c r="I44" i="23"/>
  <c r="J44" i="23"/>
  <c r="K44" i="23"/>
  <c r="L44" i="23"/>
  <c r="M44" i="23"/>
  <c r="N44" i="23"/>
  <c r="O44" i="23"/>
  <c r="P44" i="23"/>
  <c r="Q44" i="23"/>
  <c r="R44" i="23"/>
  <c r="S44" i="23"/>
  <c r="T44" i="23"/>
  <c r="U44" i="23"/>
  <c r="V44" i="23"/>
  <c r="W44" i="23"/>
  <c r="X44" i="23"/>
  <c r="B45" i="23"/>
  <c r="C45" i="23"/>
  <c r="D45" i="23"/>
  <c r="E45" i="23"/>
  <c r="F45" i="23"/>
  <c r="G45" i="23"/>
  <c r="H45" i="23"/>
  <c r="I45" i="23"/>
  <c r="J45" i="23"/>
  <c r="K45" i="23"/>
  <c r="L45" i="23"/>
  <c r="M45" i="23"/>
  <c r="N45" i="23"/>
  <c r="O45" i="23"/>
  <c r="P45" i="23"/>
  <c r="Q45" i="23"/>
  <c r="R45" i="23"/>
  <c r="S45" i="23"/>
  <c r="T45" i="23"/>
  <c r="U45" i="23"/>
  <c r="V45" i="23"/>
  <c r="W45" i="23"/>
  <c r="X45" i="23"/>
  <c r="B46" i="23"/>
  <c r="C46" i="23"/>
  <c r="D46" i="23"/>
  <c r="E46" i="23"/>
  <c r="F46" i="23"/>
  <c r="G46" i="23"/>
  <c r="H46" i="23"/>
  <c r="I46" i="23"/>
  <c r="J46" i="23"/>
  <c r="K46" i="23"/>
  <c r="L46" i="23"/>
  <c r="M46" i="23"/>
  <c r="N46" i="23"/>
  <c r="O46" i="23"/>
  <c r="P46" i="23"/>
  <c r="Q46" i="23"/>
  <c r="R46" i="23"/>
  <c r="S46" i="23"/>
  <c r="T46" i="23"/>
  <c r="U46" i="23"/>
  <c r="V46" i="23"/>
  <c r="W46" i="23"/>
  <c r="X46" i="23"/>
  <c r="B47" i="23"/>
  <c r="C47" i="23"/>
  <c r="D47" i="23"/>
  <c r="E47" i="23"/>
  <c r="F47" i="23"/>
  <c r="G47" i="23"/>
  <c r="H47" i="23"/>
  <c r="I47" i="23"/>
  <c r="J47" i="23"/>
  <c r="K47" i="23"/>
  <c r="L47" i="23"/>
  <c r="M47" i="23"/>
  <c r="N47" i="23"/>
  <c r="O47" i="23"/>
  <c r="P47" i="23"/>
  <c r="Q47" i="23"/>
  <c r="R47" i="23"/>
  <c r="S47" i="23"/>
  <c r="T47" i="23"/>
  <c r="U47" i="23"/>
  <c r="V47" i="23"/>
  <c r="W47" i="23"/>
  <c r="X47" i="23"/>
  <c r="B48" i="23"/>
  <c r="C48" i="23"/>
  <c r="D48" i="23"/>
  <c r="E48" i="23"/>
  <c r="F48" i="23"/>
  <c r="G48" i="23"/>
  <c r="H48" i="23"/>
  <c r="I48" i="23"/>
  <c r="J48" i="23"/>
  <c r="K48" i="23"/>
  <c r="L48" i="23"/>
  <c r="M48" i="23"/>
  <c r="N48" i="23"/>
  <c r="O48" i="23"/>
  <c r="P48" i="23"/>
  <c r="Q48" i="23"/>
  <c r="R48" i="23"/>
  <c r="S48" i="23"/>
  <c r="T48" i="23"/>
  <c r="U48" i="23"/>
  <c r="V48" i="23"/>
  <c r="W48" i="23"/>
  <c r="X48" i="23"/>
  <c r="B49" i="23"/>
  <c r="C49" i="23"/>
  <c r="D49" i="23"/>
  <c r="E49" i="23"/>
  <c r="F49" i="23"/>
  <c r="G49" i="23"/>
  <c r="H49" i="23"/>
  <c r="I49" i="23"/>
  <c r="J49" i="23"/>
  <c r="K49" i="23"/>
  <c r="L49" i="23"/>
  <c r="M49" i="23"/>
  <c r="N49" i="23"/>
  <c r="O49" i="23"/>
  <c r="P49" i="23"/>
  <c r="Q49" i="23"/>
  <c r="R49" i="23"/>
  <c r="S49" i="23"/>
  <c r="T49" i="23"/>
  <c r="U49" i="23"/>
  <c r="V49" i="23"/>
  <c r="W49" i="23"/>
  <c r="X49" i="23"/>
  <c r="A3" i="23"/>
  <c r="A4" i="23"/>
  <c r="A5" i="23"/>
  <c r="A6" i="23"/>
  <c r="A7" i="23"/>
  <c r="A8" i="23"/>
  <c r="A9" i="23"/>
  <c r="A10" i="23"/>
  <c r="A11" i="23"/>
  <c r="A12" i="23"/>
  <c r="A13" i="23"/>
  <c r="A14" i="23"/>
  <c r="A15" i="23"/>
  <c r="A16" i="23"/>
  <c r="A17" i="23"/>
  <c r="A18" i="23"/>
  <c r="A19" i="23"/>
  <c r="A20" i="23"/>
  <c r="A21" i="23"/>
  <c r="A22" i="23"/>
  <c r="A23" i="23"/>
  <c r="A24" i="23"/>
  <c r="A25" i="23"/>
  <c r="A26" i="23"/>
  <c r="A27" i="23"/>
  <c r="A28" i="23"/>
  <c r="A29" i="23"/>
  <c r="A30" i="23"/>
  <c r="A31" i="23"/>
  <c r="A32" i="23"/>
  <c r="A33" i="23"/>
  <c r="A34" i="23"/>
  <c r="A35" i="23"/>
  <c r="A36" i="23"/>
  <c r="A37" i="23"/>
  <c r="A38" i="23"/>
  <c r="A39" i="23"/>
  <c r="A40" i="23"/>
  <c r="A41" i="23"/>
  <c r="A42" i="23"/>
  <c r="A43" i="23"/>
  <c r="A44" i="23"/>
  <c r="A45" i="23"/>
  <c r="A46" i="23"/>
  <c r="A47" i="23"/>
  <c r="A48" i="23"/>
  <c r="A49" i="23"/>
  <c r="A2" i="23"/>
  <c r="B2" i="6"/>
  <c r="C2" i="6"/>
  <c r="D2" i="6"/>
  <c r="E2" i="6"/>
  <c r="F2" i="6"/>
  <c r="G2" i="6"/>
  <c r="H2" i="6"/>
  <c r="I2" i="6"/>
  <c r="J2" i="6"/>
  <c r="K2" i="6"/>
  <c r="L2" i="6"/>
  <c r="M2" i="6"/>
  <c r="N2" i="6"/>
  <c r="O2" i="6"/>
  <c r="P2" i="6"/>
  <c r="Q2" i="6"/>
  <c r="R2" i="6"/>
  <c r="S2" i="6"/>
  <c r="T2" i="6"/>
  <c r="U2" i="6"/>
  <c r="V2" i="6"/>
  <c r="W2" i="6"/>
  <c r="X2" i="6"/>
  <c r="Y2" i="6"/>
  <c r="Z2" i="6"/>
  <c r="AA2" i="6"/>
  <c r="B3" i="6"/>
  <c r="C3" i="6"/>
  <c r="D3" i="6"/>
  <c r="E3" i="6"/>
  <c r="F3" i="6"/>
  <c r="G3" i="6"/>
  <c r="H3" i="6"/>
  <c r="I3" i="6"/>
  <c r="J3" i="6"/>
  <c r="K3" i="6"/>
  <c r="L3" i="6"/>
  <c r="M3" i="6"/>
  <c r="N3" i="6"/>
  <c r="O3" i="6"/>
  <c r="P3" i="6"/>
  <c r="Q3" i="6"/>
  <c r="R3" i="6"/>
  <c r="S3" i="6"/>
  <c r="T3" i="6"/>
  <c r="U3" i="6"/>
  <c r="V3" i="6"/>
  <c r="W3" i="6"/>
  <c r="X3" i="6"/>
  <c r="Y3" i="6"/>
  <c r="Z3" i="6"/>
  <c r="AA3" i="6"/>
  <c r="B4" i="6"/>
  <c r="C4" i="6"/>
  <c r="D4" i="6"/>
  <c r="E4" i="6"/>
  <c r="F4" i="6"/>
  <c r="G4" i="6"/>
  <c r="H4" i="6"/>
  <c r="I4" i="6"/>
  <c r="J4" i="6"/>
  <c r="K4" i="6"/>
  <c r="L4" i="6"/>
  <c r="M4" i="6"/>
  <c r="N4" i="6"/>
  <c r="O4" i="6"/>
  <c r="P4" i="6"/>
  <c r="Q4" i="6"/>
  <c r="R4" i="6"/>
  <c r="S4" i="6"/>
  <c r="T4" i="6"/>
  <c r="U4" i="6"/>
  <c r="V4" i="6"/>
  <c r="W4" i="6"/>
  <c r="X4" i="6"/>
  <c r="Y4" i="6"/>
  <c r="Z4" i="6"/>
  <c r="AA4" i="6"/>
  <c r="B5" i="6"/>
  <c r="C5" i="6"/>
  <c r="D5" i="6"/>
  <c r="E5" i="6"/>
  <c r="F5" i="6"/>
  <c r="G5" i="6"/>
  <c r="H5" i="6"/>
  <c r="I5" i="6"/>
  <c r="J5" i="6"/>
  <c r="K5" i="6"/>
  <c r="L5" i="6"/>
  <c r="M5" i="6"/>
  <c r="N5" i="6"/>
  <c r="O5" i="6"/>
  <c r="P5" i="6"/>
  <c r="Q5" i="6"/>
  <c r="R5" i="6"/>
  <c r="S5" i="6"/>
  <c r="T5" i="6"/>
  <c r="U5" i="6"/>
  <c r="V5" i="6"/>
  <c r="W5" i="6"/>
  <c r="X5" i="6"/>
  <c r="Y5" i="6"/>
  <c r="Z5" i="6"/>
  <c r="AA5" i="6"/>
  <c r="B6" i="6"/>
  <c r="C6" i="6"/>
  <c r="D6" i="6"/>
  <c r="E6" i="6"/>
  <c r="F6" i="6"/>
  <c r="G6" i="6"/>
  <c r="H6" i="6"/>
  <c r="I6" i="6"/>
  <c r="J6" i="6"/>
  <c r="K6" i="6"/>
  <c r="L6" i="6"/>
  <c r="M6" i="6"/>
  <c r="N6" i="6"/>
  <c r="O6" i="6"/>
  <c r="P6" i="6"/>
  <c r="Q6" i="6"/>
  <c r="R6" i="6"/>
  <c r="S6" i="6"/>
  <c r="T6" i="6"/>
  <c r="U6" i="6"/>
  <c r="V6" i="6"/>
  <c r="W6" i="6"/>
  <c r="X6" i="6"/>
  <c r="Y6" i="6"/>
  <c r="Z6" i="6"/>
  <c r="AA6" i="6"/>
  <c r="B7" i="6"/>
  <c r="C7" i="6"/>
  <c r="D7" i="6"/>
  <c r="E7" i="6"/>
  <c r="F7" i="6"/>
  <c r="G7" i="6"/>
  <c r="H7" i="6"/>
  <c r="I7" i="6"/>
  <c r="J7" i="6"/>
  <c r="K7" i="6"/>
  <c r="L7" i="6"/>
  <c r="M7" i="6"/>
  <c r="N7" i="6"/>
  <c r="O7" i="6"/>
  <c r="P7" i="6"/>
  <c r="Q7" i="6"/>
  <c r="R7" i="6"/>
  <c r="S7" i="6"/>
  <c r="T7" i="6"/>
  <c r="U7" i="6"/>
  <c r="V7" i="6"/>
  <c r="W7" i="6"/>
  <c r="X7" i="6"/>
  <c r="Y7" i="6"/>
  <c r="Z7" i="6"/>
  <c r="AA7" i="6"/>
  <c r="B8" i="6"/>
  <c r="C8" i="6"/>
  <c r="D8" i="6"/>
  <c r="E8" i="6"/>
  <c r="F8" i="6"/>
  <c r="G8" i="6"/>
  <c r="H8" i="6"/>
  <c r="I8" i="6"/>
  <c r="J8" i="6"/>
  <c r="K8" i="6"/>
  <c r="L8" i="6"/>
  <c r="M8" i="6"/>
  <c r="N8" i="6"/>
  <c r="O8" i="6"/>
  <c r="P8" i="6"/>
  <c r="Q8" i="6"/>
  <c r="R8" i="6"/>
  <c r="S8" i="6"/>
  <c r="T8" i="6"/>
  <c r="U8" i="6"/>
  <c r="V8" i="6"/>
  <c r="W8" i="6"/>
  <c r="X8" i="6"/>
  <c r="Y8" i="6"/>
  <c r="Z8" i="6"/>
  <c r="AA8" i="6"/>
  <c r="B9" i="6"/>
  <c r="C9" i="6"/>
  <c r="D9" i="6"/>
  <c r="E9" i="6"/>
  <c r="F9" i="6"/>
  <c r="G9" i="6"/>
  <c r="H9" i="6"/>
  <c r="I9" i="6"/>
  <c r="J9" i="6"/>
  <c r="K9" i="6"/>
  <c r="L9" i="6"/>
  <c r="M9" i="6"/>
  <c r="N9" i="6"/>
  <c r="O9" i="6"/>
  <c r="P9" i="6"/>
  <c r="Q9" i="6"/>
  <c r="R9" i="6"/>
  <c r="S9" i="6"/>
  <c r="T9" i="6"/>
  <c r="U9" i="6"/>
  <c r="V9" i="6"/>
  <c r="W9" i="6"/>
  <c r="X9" i="6"/>
  <c r="Y9" i="6"/>
  <c r="Z9" i="6"/>
  <c r="AA9" i="6"/>
  <c r="B10" i="6"/>
  <c r="C10" i="6"/>
  <c r="D10" i="6"/>
  <c r="E10" i="6"/>
  <c r="F10" i="6"/>
  <c r="G10" i="6"/>
  <c r="H10" i="6"/>
  <c r="I10" i="6"/>
  <c r="J10" i="6"/>
  <c r="K10" i="6"/>
  <c r="L10" i="6"/>
  <c r="M10" i="6"/>
  <c r="N10" i="6"/>
  <c r="O10" i="6"/>
  <c r="P10" i="6"/>
  <c r="Q10" i="6"/>
  <c r="R10" i="6"/>
  <c r="S10" i="6"/>
  <c r="T10" i="6"/>
  <c r="U10" i="6"/>
  <c r="V10" i="6"/>
  <c r="W10" i="6"/>
  <c r="X10" i="6"/>
  <c r="Y10" i="6"/>
  <c r="Z10" i="6"/>
  <c r="AA10" i="6"/>
  <c r="B11" i="6"/>
  <c r="C11" i="6"/>
  <c r="D11" i="6"/>
  <c r="E11" i="6"/>
  <c r="F11" i="6"/>
  <c r="G11" i="6"/>
  <c r="H11" i="6"/>
  <c r="I11" i="6"/>
  <c r="J11" i="6"/>
  <c r="K11" i="6"/>
  <c r="L11" i="6"/>
  <c r="M11" i="6"/>
  <c r="N11" i="6"/>
  <c r="O11" i="6"/>
  <c r="P11" i="6"/>
  <c r="Q11" i="6"/>
  <c r="R11" i="6"/>
  <c r="S11" i="6"/>
  <c r="T11" i="6"/>
  <c r="U11" i="6"/>
  <c r="V11" i="6"/>
  <c r="W11" i="6"/>
  <c r="X11" i="6"/>
  <c r="Y11" i="6"/>
  <c r="Z11" i="6"/>
  <c r="AA11" i="6"/>
  <c r="B12" i="6"/>
  <c r="C12" i="6"/>
  <c r="D12" i="6"/>
  <c r="E12" i="6"/>
  <c r="F12" i="6"/>
  <c r="G12" i="6"/>
  <c r="H12" i="6"/>
  <c r="I12" i="6"/>
  <c r="J12" i="6"/>
  <c r="K12" i="6"/>
  <c r="L12" i="6"/>
  <c r="M12" i="6"/>
  <c r="N12" i="6"/>
  <c r="O12" i="6"/>
  <c r="P12" i="6"/>
  <c r="Q12" i="6"/>
  <c r="R12" i="6"/>
  <c r="S12" i="6"/>
  <c r="T12" i="6"/>
  <c r="U12" i="6"/>
  <c r="V12" i="6"/>
  <c r="W12" i="6"/>
  <c r="X12" i="6"/>
  <c r="Y12" i="6"/>
  <c r="Z12" i="6"/>
  <c r="AA12" i="6"/>
  <c r="B13" i="6"/>
  <c r="C13" i="6"/>
  <c r="D13" i="6"/>
  <c r="E13" i="6"/>
  <c r="F13" i="6"/>
  <c r="G13" i="6"/>
  <c r="H13" i="6"/>
  <c r="I13" i="6"/>
  <c r="J13" i="6"/>
  <c r="K13" i="6"/>
  <c r="L13" i="6"/>
  <c r="M13" i="6"/>
  <c r="N13" i="6"/>
  <c r="O13" i="6"/>
  <c r="P13" i="6"/>
  <c r="Q13" i="6"/>
  <c r="R13" i="6"/>
  <c r="S13" i="6"/>
  <c r="T13" i="6"/>
  <c r="U13" i="6"/>
  <c r="V13" i="6"/>
  <c r="W13" i="6"/>
  <c r="X13" i="6"/>
  <c r="Y13" i="6"/>
  <c r="Z13" i="6"/>
  <c r="AA13" i="6"/>
  <c r="B14" i="6"/>
  <c r="C14" i="6"/>
  <c r="D14" i="6"/>
  <c r="E14" i="6"/>
  <c r="F14" i="6"/>
  <c r="G14" i="6"/>
  <c r="H14" i="6"/>
  <c r="I14" i="6"/>
  <c r="J14" i="6"/>
  <c r="K14" i="6"/>
  <c r="L14" i="6"/>
  <c r="M14" i="6"/>
  <c r="N14" i="6"/>
  <c r="O14" i="6"/>
  <c r="P14" i="6"/>
  <c r="Q14" i="6"/>
  <c r="R14" i="6"/>
  <c r="S14" i="6"/>
  <c r="T14" i="6"/>
  <c r="U14" i="6"/>
  <c r="V14" i="6"/>
  <c r="W14" i="6"/>
  <c r="X14" i="6"/>
  <c r="Y14" i="6"/>
  <c r="Z14" i="6"/>
  <c r="AA14" i="6"/>
  <c r="B15" i="6"/>
  <c r="C15" i="6"/>
  <c r="D15" i="6"/>
  <c r="E15" i="6"/>
  <c r="F15" i="6"/>
  <c r="G15" i="6"/>
  <c r="H15" i="6"/>
  <c r="I15" i="6"/>
  <c r="J15" i="6"/>
  <c r="K15" i="6"/>
  <c r="L15" i="6"/>
  <c r="M15" i="6"/>
  <c r="N15" i="6"/>
  <c r="O15" i="6"/>
  <c r="P15" i="6"/>
  <c r="Q15" i="6"/>
  <c r="R15" i="6"/>
  <c r="S15" i="6"/>
  <c r="T15" i="6"/>
  <c r="U15" i="6"/>
  <c r="V15" i="6"/>
  <c r="W15" i="6"/>
  <c r="X15" i="6"/>
  <c r="Y15" i="6"/>
  <c r="Z15" i="6"/>
  <c r="AA15" i="6"/>
  <c r="B16" i="6"/>
  <c r="C16" i="6"/>
  <c r="D16" i="6"/>
  <c r="E16" i="6"/>
  <c r="F16" i="6"/>
  <c r="G16" i="6"/>
  <c r="H16" i="6"/>
  <c r="I16" i="6"/>
  <c r="J16" i="6"/>
  <c r="K16" i="6"/>
  <c r="L16" i="6"/>
  <c r="M16" i="6"/>
  <c r="N16" i="6"/>
  <c r="O16" i="6"/>
  <c r="P16" i="6"/>
  <c r="Q16" i="6"/>
  <c r="R16" i="6"/>
  <c r="S16" i="6"/>
  <c r="T16" i="6"/>
  <c r="U16" i="6"/>
  <c r="V16" i="6"/>
  <c r="W16" i="6"/>
  <c r="X16" i="6"/>
  <c r="Y16" i="6"/>
  <c r="Z16" i="6"/>
  <c r="AA16" i="6"/>
  <c r="B17" i="6"/>
  <c r="C17" i="6"/>
  <c r="D17" i="6"/>
  <c r="E17" i="6"/>
  <c r="F17" i="6"/>
  <c r="G17" i="6"/>
  <c r="H17" i="6"/>
  <c r="I17" i="6"/>
  <c r="J17" i="6"/>
  <c r="K17" i="6"/>
  <c r="L17" i="6"/>
  <c r="M17" i="6"/>
  <c r="N17" i="6"/>
  <c r="O17" i="6"/>
  <c r="P17" i="6"/>
  <c r="Q17" i="6"/>
  <c r="R17" i="6"/>
  <c r="S17" i="6"/>
  <c r="T17" i="6"/>
  <c r="U17" i="6"/>
  <c r="V17" i="6"/>
  <c r="W17" i="6"/>
  <c r="X17" i="6"/>
  <c r="Y17" i="6"/>
  <c r="Z17" i="6"/>
  <c r="AA17" i="6"/>
  <c r="B18" i="6"/>
  <c r="C18" i="6"/>
  <c r="D18" i="6"/>
  <c r="E18" i="6"/>
  <c r="F18" i="6"/>
  <c r="G18" i="6"/>
  <c r="H18" i="6"/>
  <c r="I18" i="6"/>
  <c r="J18" i="6"/>
  <c r="K18" i="6"/>
  <c r="L18" i="6"/>
  <c r="M18" i="6"/>
  <c r="N18" i="6"/>
  <c r="O18" i="6"/>
  <c r="P18" i="6"/>
  <c r="Q18" i="6"/>
  <c r="R18" i="6"/>
  <c r="S18" i="6"/>
  <c r="T18" i="6"/>
  <c r="U18" i="6"/>
  <c r="V18" i="6"/>
  <c r="W18" i="6"/>
  <c r="X18" i="6"/>
  <c r="Y18" i="6"/>
  <c r="Z18" i="6"/>
  <c r="AA18" i="6"/>
  <c r="B19" i="6"/>
  <c r="C19" i="6"/>
  <c r="D19" i="6"/>
  <c r="E19" i="6"/>
  <c r="F19" i="6"/>
  <c r="G19" i="6"/>
  <c r="H19" i="6"/>
  <c r="I19" i="6"/>
  <c r="J19" i="6"/>
  <c r="K19" i="6"/>
  <c r="L19" i="6"/>
  <c r="M19" i="6"/>
  <c r="N19" i="6"/>
  <c r="O19" i="6"/>
  <c r="P19" i="6"/>
  <c r="Q19" i="6"/>
  <c r="R19" i="6"/>
  <c r="S19" i="6"/>
  <c r="T19" i="6"/>
  <c r="U19" i="6"/>
  <c r="V19" i="6"/>
  <c r="W19" i="6"/>
  <c r="X19" i="6"/>
  <c r="Y19" i="6"/>
  <c r="Z19" i="6"/>
  <c r="AA19" i="6"/>
  <c r="B20" i="6"/>
  <c r="C20" i="6"/>
  <c r="D20" i="6"/>
  <c r="E20" i="6"/>
  <c r="F20" i="6"/>
  <c r="G20" i="6"/>
  <c r="H20" i="6"/>
  <c r="I20" i="6"/>
  <c r="J20" i="6"/>
  <c r="K20" i="6"/>
  <c r="L20" i="6"/>
  <c r="M20" i="6"/>
  <c r="N20" i="6"/>
  <c r="O20" i="6"/>
  <c r="P20" i="6"/>
  <c r="Q20" i="6"/>
  <c r="R20" i="6"/>
  <c r="S20" i="6"/>
  <c r="T20" i="6"/>
  <c r="U20" i="6"/>
  <c r="V20" i="6"/>
  <c r="W20" i="6"/>
  <c r="X20" i="6"/>
  <c r="Y20" i="6"/>
  <c r="Z20" i="6"/>
  <c r="AA20" i="6"/>
  <c r="B21" i="6"/>
  <c r="C21" i="6"/>
  <c r="D21" i="6"/>
  <c r="E21" i="6"/>
  <c r="F21" i="6"/>
  <c r="G21" i="6"/>
  <c r="H21" i="6"/>
  <c r="I21" i="6"/>
  <c r="J21" i="6"/>
  <c r="K21" i="6"/>
  <c r="L21" i="6"/>
  <c r="M21" i="6"/>
  <c r="N21" i="6"/>
  <c r="O21" i="6"/>
  <c r="P21" i="6"/>
  <c r="Q21" i="6"/>
  <c r="R21" i="6"/>
  <c r="S21" i="6"/>
  <c r="T21" i="6"/>
  <c r="U21" i="6"/>
  <c r="V21" i="6"/>
  <c r="W21" i="6"/>
  <c r="X21" i="6"/>
  <c r="Y21" i="6"/>
  <c r="Z21" i="6"/>
  <c r="AA21" i="6"/>
  <c r="B22" i="6"/>
  <c r="C22" i="6"/>
  <c r="D22" i="6"/>
  <c r="E22" i="6"/>
  <c r="F22" i="6"/>
  <c r="G22" i="6"/>
  <c r="H22" i="6"/>
  <c r="I22" i="6"/>
  <c r="J22" i="6"/>
  <c r="K22" i="6"/>
  <c r="L22" i="6"/>
  <c r="M22" i="6"/>
  <c r="N22" i="6"/>
  <c r="O22" i="6"/>
  <c r="P22" i="6"/>
  <c r="Q22" i="6"/>
  <c r="R22" i="6"/>
  <c r="S22" i="6"/>
  <c r="T22" i="6"/>
  <c r="U22" i="6"/>
  <c r="V22" i="6"/>
  <c r="W22" i="6"/>
  <c r="X22" i="6"/>
  <c r="Y22" i="6"/>
  <c r="Z22" i="6"/>
  <c r="AA22" i="6"/>
  <c r="B23" i="6"/>
  <c r="C23" i="6"/>
  <c r="D23" i="6"/>
  <c r="E23" i="6"/>
  <c r="F23" i="6"/>
  <c r="G23" i="6"/>
  <c r="H23" i="6"/>
  <c r="I23" i="6"/>
  <c r="J23" i="6"/>
  <c r="K23" i="6"/>
  <c r="L23" i="6"/>
  <c r="M23" i="6"/>
  <c r="N23" i="6"/>
  <c r="O23" i="6"/>
  <c r="P23" i="6"/>
  <c r="Q23" i="6"/>
  <c r="R23" i="6"/>
  <c r="S23" i="6"/>
  <c r="T23" i="6"/>
  <c r="U23" i="6"/>
  <c r="V23" i="6"/>
  <c r="W23" i="6"/>
  <c r="X23" i="6"/>
  <c r="Y23" i="6"/>
  <c r="Z23" i="6"/>
  <c r="AA23" i="6"/>
  <c r="B24" i="6"/>
  <c r="C24" i="6"/>
  <c r="D24" i="6"/>
  <c r="E24" i="6"/>
  <c r="F24" i="6"/>
  <c r="G24" i="6"/>
  <c r="H24" i="6"/>
  <c r="I24" i="6"/>
  <c r="J24" i="6"/>
  <c r="K24" i="6"/>
  <c r="L24" i="6"/>
  <c r="M24" i="6"/>
  <c r="N24" i="6"/>
  <c r="O24" i="6"/>
  <c r="P24" i="6"/>
  <c r="Q24" i="6"/>
  <c r="R24" i="6"/>
  <c r="S24" i="6"/>
  <c r="T24" i="6"/>
  <c r="U24" i="6"/>
  <c r="V24" i="6"/>
  <c r="W24" i="6"/>
  <c r="X24" i="6"/>
  <c r="Y24" i="6"/>
  <c r="Z24" i="6"/>
  <c r="AA24" i="6"/>
  <c r="B25" i="6"/>
  <c r="C25" i="6"/>
  <c r="D25" i="6"/>
  <c r="E25" i="6"/>
  <c r="F25" i="6"/>
  <c r="G25" i="6"/>
  <c r="H25" i="6"/>
  <c r="I25" i="6"/>
  <c r="J25" i="6"/>
  <c r="K25" i="6"/>
  <c r="L25" i="6"/>
  <c r="M25" i="6"/>
  <c r="N25" i="6"/>
  <c r="O25" i="6"/>
  <c r="P25" i="6"/>
  <c r="Q25" i="6"/>
  <c r="R25" i="6"/>
  <c r="S25" i="6"/>
  <c r="T25" i="6"/>
  <c r="U25" i="6"/>
  <c r="V25" i="6"/>
  <c r="W25" i="6"/>
  <c r="X25" i="6"/>
  <c r="Y25" i="6"/>
  <c r="Z25" i="6"/>
  <c r="AA25" i="6"/>
  <c r="B26" i="6"/>
  <c r="C26" i="6"/>
  <c r="D26" i="6"/>
  <c r="E26" i="6"/>
  <c r="F26" i="6"/>
  <c r="G26" i="6"/>
  <c r="H26" i="6"/>
  <c r="I26" i="6"/>
  <c r="J26" i="6"/>
  <c r="K26" i="6"/>
  <c r="L26" i="6"/>
  <c r="M26" i="6"/>
  <c r="N26" i="6"/>
  <c r="O26" i="6"/>
  <c r="P26" i="6"/>
  <c r="Q26" i="6"/>
  <c r="R26" i="6"/>
  <c r="S26" i="6"/>
  <c r="T26" i="6"/>
  <c r="U26" i="6"/>
  <c r="V26" i="6"/>
  <c r="W26" i="6"/>
  <c r="X26" i="6"/>
  <c r="Y26" i="6"/>
  <c r="Z26" i="6"/>
  <c r="AA26" i="6"/>
  <c r="B27" i="6"/>
  <c r="C27" i="6"/>
  <c r="D27" i="6"/>
  <c r="E27" i="6"/>
  <c r="F27" i="6"/>
  <c r="G27" i="6"/>
  <c r="H27" i="6"/>
  <c r="I27" i="6"/>
  <c r="J27" i="6"/>
  <c r="K27" i="6"/>
  <c r="L27" i="6"/>
  <c r="M27" i="6"/>
  <c r="N27" i="6"/>
  <c r="O27" i="6"/>
  <c r="P27" i="6"/>
  <c r="Q27" i="6"/>
  <c r="R27" i="6"/>
  <c r="S27" i="6"/>
  <c r="T27" i="6"/>
  <c r="U27" i="6"/>
  <c r="V27" i="6"/>
  <c r="W27" i="6"/>
  <c r="X27" i="6"/>
  <c r="Y27" i="6"/>
  <c r="Z27" i="6"/>
  <c r="AA27" i="6"/>
  <c r="B28" i="6"/>
  <c r="C28" i="6"/>
  <c r="D28" i="6"/>
  <c r="E28" i="6"/>
  <c r="F28" i="6"/>
  <c r="G28" i="6"/>
  <c r="H28" i="6"/>
  <c r="I28" i="6"/>
  <c r="J28" i="6"/>
  <c r="K28" i="6"/>
  <c r="L28" i="6"/>
  <c r="M28" i="6"/>
  <c r="N28" i="6"/>
  <c r="O28" i="6"/>
  <c r="P28" i="6"/>
  <c r="Q28" i="6"/>
  <c r="R28" i="6"/>
  <c r="S28" i="6"/>
  <c r="T28" i="6"/>
  <c r="U28" i="6"/>
  <c r="V28" i="6"/>
  <c r="W28" i="6"/>
  <c r="X28" i="6"/>
  <c r="Y28" i="6"/>
  <c r="Z28" i="6"/>
  <c r="AA28" i="6"/>
  <c r="B29" i="6"/>
  <c r="C29" i="6"/>
  <c r="D29" i="6"/>
  <c r="E29" i="6"/>
  <c r="F29" i="6"/>
  <c r="G29" i="6"/>
  <c r="H29" i="6"/>
  <c r="I29" i="6"/>
  <c r="J29" i="6"/>
  <c r="K29" i="6"/>
  <c r="L29" i="6"/>
  <c r="M29" i="6"/>
  <c r="N29" i="6"/>
  <c r="O29" i="6"/>
  <c r="P29" i="6"/>
  <c r="Q29" i="6"/>
  <c r="R29" i="6"/>
  <c r="S29" i="6"/>
  <c r="T29" i="6"/>
  <c r="U29" i="6"/>
  <c r="V29" i="6"/>
  <c r="W29" i="6"/>
  <c r="X29" i="6"/>
  <c r="Y29" i="6"/>
  <c r="Z29" i="6"/>
  <c r="AA29" i="6"/>
  <c r="B30" i="6"/>
  <c r="C30" i="6"/>
  <c r="D30" i="6"/>
  <c r="E30" i="6"/>
  <c r="F30" i="6"/>
  <c r="G30" i="6"/>
  <c r="H30" i="6"/>
  <c r="I30" i="6"/>
  <c r="J30" i="6"/>
  <c r="K30" i="6"/>
  <c r="L30" i="6"/>
  <c r="M30" i="6"/>
  <c r="N30" i="6"/>
  <c r="O30" i="6"/>
  <c r="P30" i="6"/>
  <c r="Q30" i="6"/>
  <c r="R30" i="6"/>
  <c r="S30" i="6"/>
  <c r="T30" i="6"/>
  <c r="U30" i="6"/>
  <c r="V30" i="6"/>
  <c r="W30" i="6"/>
  <c r="X30" i="6"/>
  <c r="Y30" i="6"/>
  <c r="Z30" i="6"/>
  <c r="AA30" i="6"/>
  <c r="B31" i="6"/>
  <c r="C31" i="6"/>
  <c r="D31" i="6"/>
  <c r="E31" i="6"/>
  <c r="F31" i="6"/>
  <c r="G31" i="6"/>
  <c r="H31" i="6"/>
  <c r="I31" i="6"/>
  <c r="J31" i="6"/>
  <c r="K31" i="6"/>
  <c r="L31" i="6"/>
  <c r="M31" i="6"/>
  <c r="N31" i="6"/>
  <c r="O31" i="6"/>
  <c r="P31" i="6"/>
  <c r="Q31" i="6"/>
  <c r="R31" i="6"/>
  <c r="S31" i="6"/>
  <c r="T31" i="6"/>
  <c r="U31" i="6"/>
  <c r="V31" i="6"/>
  <c r="W31" i="6"/>
  <c r="X31" i="6"/>
  <c r="Y31" i="6"/>
  <c r="Z31" i="6"/>
  <c r="AA31" i="6"/>
  <c r="B32" i="6"/>
  <c r="C32" i="6"/>
  <c r="D32" i="6"/>
  <c r="E32" i="6"/>
  <c r="F32" i="6"/>
  <c r="G32" i="6"/>
  <c r="H32" i="6"/>
  <c r="I32" i="6"/>
  <c r="J32" i="6"/>
  <c r="K32" i="6"/>
  <c r="L32" i="6"/>
  <c r="M32" i="6"/>
  <c r="N32" i="6"/>
  <c r="O32" i="6"/>
  <c r="P32" i="6"/>
  <c r="Q32" i="6"/>
  <c r="R32" i="6"/>
  <c r="S32" i="6"/>
  <c r="T32" i="6"/>
  <c r="U32" i="6"/>
  <c r="V32" i="6"/>
  <c r="W32" i="6"/>
  <c r="X32" i="6"/>
  <c r="Y32" i="6"/>
  <c r="Z32" i="6"/>
  <c r="AA32" i="6"/>
  <c r="B33" i="6"/>
  <c r="C33" i="6"/>
  <c r="D33" i="6"/>
  <c r="E33" i="6"/>
  <c r="F33" i="6"/>
  <c r="G33" i="6"/>
  <c r="H33" i="6"/>
  <c r="I33" i="6"/>
  <c r="J33" i="6"/>
  <c r="K33" i="6"/>
  <c r="L33" i="6"/>
  <c r="M33" i="6"/>
  <c r="N33" i="6"/>
  <c r="O33" i="6"/>
  <c r="P33" i="6"/>
  <c r="Q33" i="6"/>
  <c r="R33" i="6"/>
  <c r="S33" i="6"/>
  <c r="T33" i="6"/>
  <c r="U33" i="6"/>
  <c r="V33" i="6"/>
  <c r="W33" i="6"/>
  <c r="X33" i="6"/>
  <c r="Y33" i="6"/>
  <c r="Z33" i="6"/>
  <c r="AA33" i="6"/>
  <c r="B34" i="6"/>
  <c r="C34" i="6"/>
  <c r="D34" i="6"/>
  <c r="E34" i="6"/>
  <c r="F34" i="6"/>
  <c r="G34" i="6"/>
  <c r="H34" i="6"/>
  <c r="I34" i="6"/>
  <c r="J34" i="6"/>
  <c r="K34" i="6"/>
  <c r="L34" i="6"/>
  <c r="M34" i="6"/>
  <c r="N34" i="6"/>
  <c r="O34" i="6"/>
  <c r="P34" i="6"/>
  <c r="Q34" i="6"/>
  <c r="R34" i="6"/>
  <c r="S34" i="6"/>
  <c r="T34" i="6"/>
  <c r="U34" i="6"/>
  <c r="V34" i="6"/>
  <c r="W34" i="6"/>
  <c r="X34" i="6"/>
  <c r="Y34" i="6"/>
  <c r="Z34" i="6"/>
  <c r="AA34" i="6"/>
  <c r="B35" i="6"/>
  <c r="C35" i="6"/>
  <c r="D35" i="6"/>
  <c r="E35" i="6"/>
  <c r="F35" i="6"/>
  <c r="G35" i="6"/>
  <c r="H35" i="6"/>
  <c r="I35" i="6"/>
  <c r="J35" i="6"/>
  <c r="K35" i="6"/>
  <c r="L35" i="6"/>
  <c r="M35" i="6"/>
  <c r="N35" i="6"/>
  <c r="O35" i="6"/>
  <c r="P35" i="6"/>
  <c r="Q35" i="6"/>
  <c r="R35" i="6"/>
  <c r="S35" i="6"/>
  <c r="T35" i="6"/>
  <c r="U35" i="6"/>
  <c r="V35" i="6"/>
  <c r="W35" i="6"/>
  <c r="X35" i="6"/>
  <c r="Y35" i="6"/>
  <c r="Z35" i="6"/>
  <c r="AA35" i="6"/>
  <c r="B36" i="6"/>
  <c r="C36" i="6"/>
  <c r="D36" i="6"/>
  <c r="E36" i="6"/>
  <c r="F36" i="6"/>
  <c r="G36" i="6"/>
  <c r="H36" i="6"/>
  <c r="I36" i="6"/>
  <c r="J36" i="6"/>
  <c r="K36" i="6"/>
  <c r="L36" i="6"/>
  <c r="M36" i="6"/>
  <c r="N36" i="6"/>
  <c r="O36" i="6"/>
  <c r="P36" i="6"/>
  <c r="Q36" i="6"/>
  <c r="R36" i="6"/>
  <c r="S36" i="6"/>
  <c r="T36" i="6"/>
  <c r="U36" i="6"/>
  <c r="V36" i="6"/>
  <c r="W36" i="6"/>
  <c r="X36" i="6"/>
  <c r="Y36" i="6"/>
  <c r="Z36" i="6"/>
  <c r="AA36" i="6"/>
  <c r="B37" i="6"/>
  <c r="C37" i="6"/>
  <c r="D37" i="6"/>
  <c r="E37" i="6"/>
  <c r="F37" i="6"/>
  <c r="G37" i="6"/>
  <c r="H37" i="6"/>
  <c r="I37" i="6"/>
  <c r="J37" i="6"/>
  <c r="K37" i="6"/>
  <c r="L37" i="6"/>
  <c r="M37" i="6"/>
  <c r="N37" i="6"/>
  <c r="O37" i="6"/>
  <c r="P37" i="6"/>
  <c r="Q37" i="6"/>
  <c r="R37" i="6"/>
  <c r="S37" i="6"/>
  <c r="T37" i="6"/>
  <c r="U37" i="6"/>
  <c r="V37" i="6"/>
  <c r="W37" i="6"/>
  <c r="X37" i="6"/>
  <c r="Y37" i="6"/>
  <c r="Z37" i="6"/>
  <c r="AA37" i="6"/>
  <c r="B38" i="6"/>
  <c r="C38" i="6"/>
  <c r="D38" i="6"/>
  <c r="E38" i="6"/>
  <c r="F38" i="6"/>
  <c r="G38" i="6"/>
  <c r="H38" i="6"/>
  <c r="I38" i="6"/>
  <c r="J38" i="6"/>
  <c r="K38" i="6"/>
  <c r="L38" i="6"/>
  <c r="M38" i="6"/>
  <c r="N38" i="6"/>
  <c r="O38" i="6"/>
  <c r="P38" i="6"/>
  <c r="Q38" i="6"/>
  <c r="R38" i="6"/>
  <c r="S38" i="6"/>
  <c r="T38" i="6"/>
  <c r="U38" i="6"/>
  <c r="V38" i="6"/>
  <c r="W38" i="6"/>
  <c r="X38" i="6"/>
  <c r="Y38" i="6"/>
  <c r="Z38" i="6"/>
  <c r="AA38" i="6"/>
  <c r="B39" i="6"/>
  <c r="C39" i="6"/>
  <c r="D39" i="6"/>
  <c r="E39" i="6"/>
  <c r="F39" i="6"/>
  <c r="G39" i="6"/>
  <c r="H39" i="6"/>
  <c r="I39" i="6"/>
  <c r="J39" i="6"/>
  <c r="K39" i="6"/>
  <c r="L39" i="6"/>
  <c r="M39" i="6"/>
  <c r="N39" i="6"/>
  <c r="O39" i="6"/>
  <c r="P39" i="6"/>
  <c r="Q39" i="6"/>
  <c r="R39" i="6"/>
  <c r="S39" i="6"/>
  <c r="T39" i="6"/>
  <c r="U39" i="6"/>
  <c r="V39" i="6"/>
  <c r="W39" i="6"/>
  <c r="X39" i="6"/>
  <c r="Y39" i="6"/>
  <c r="Z39" i="6"/>
  <c r="AA39" i="6"/>
  <c r="A35" i="6"/>
  <c r="A36" i="6"/>
  <c r="A37" i="6"/>
  <c r="A38" i="6"/>
  <c r="A39" i="6"/>
  <c r="A14" i="6"/>
  <c r="A15" i="6"/>
  <c r="A16" i="6"/>
  <c r="A17" i="6"/>
  <c r="A18" i="6"/>
  <c r="A19" i="6"/>
  <c r="A20" i="6"/>
  <c r="A21" i="6"/>
  <c r="A22" i="6"/>
  <c r="A23" i="6"/>
  <c r="A24" i="6"/>
  <c r="A25" i="6"/>
  <c r="A26" i="6"/>
  <c r="A27" i="6"/>
  <c r="A28" i="6"/>
  <c r="A29" i="6"/>
  <c r="A30" i="6"/>
  <c r="A31" i="6"/>
  <c r="A32" i="6"/>
  <c r="A33" i="6"/>
  <c r="A34" i="6"/>
  <c r="A3" i="6"/>
  <c r="A4" i="6"/>
  <c r="A5" i="6"/>
  <c r="A6" i="6"/>
  <c r="A7" i="6"/>
  <c r="A8" i="6"/>
  <c r="A9" i="6"/>
  <c r="A10" i="6"/>
  <c r="A11" i="6"/>
  <c r="A12" i="6"/>
  <c r="A13" i="6"/>
  <c r="A2" i="6"/>
  <c r="R14" i="31" l="1"/>
  <c r="M26" i="31"/>
  <c r="L2" i="31" a="1"/>
  <c r="F7" i="31" l="1" a="1"/>
  <c r="F8" i="31" a="1"/>
  <c r="F9" i="31" a="1"/>
  <c r="F10" i="31" a="1"/>
  <c r="F11" i="31" a="1"/>
  <c r="F12" i="31" a="1"/>
  <c r="F13" i="31" a="1"/>
  <c r="F14" i="31" a="1"/>
  <c r="F15" i="31" a="1"/>
  <c r="F16" i="31" a="1"/>
  <c r="F17" i="31" a="1"/>
  <c r="F18" i="31" a="1"/>
  <c r="F19" i="31" a="1"/>
  <c r="F20" i="31" a="1"/>
  <c r="F21" i="31" a="1"/>
  <c r="F22" i="31" a="1"/>
  <c r="F23" i="31" a="1"/>
  <c r="G31" i="31" s="1"/>
  <c r="AB7"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Vera Sousa Teixeira</author>
  </authors>
  <commentList>
    <comment ref="L6" authorId="0" shapeId="0" xr:uid="{01FF2C98-81B8-4195-A711-1C4FC3AC6492}">
      <text>
        <r>
          <rPr>
            <b/>
            <sz val="9"/>
            <color indexed="81"/>
            <rFont val="Tahoma"/>
          </rPr>
          <t>Vera Sousa Teixeira:</t>
        </r>
        <r>
          <rPr>
            <sz val="9"/>
            <color indexed="81"/>
            <rFont val="Tahoma"/>
          </rPr>
          <t xml:space="preserve">
UPON REQUEST or NOT FOR SALE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tc={F8B0F97D-6BBB-4778-9916-E22A42CC1B36}</author>
    <author>tc={9CBFCEA5-1B99-4BAA-984C-9A3D0C8A2BEC}</author>
    <author>tc={6693E897-14D8-4D34-9532-D0803CCF01E7}</author>
    <author>tc={41573AA6-C2C7-4CB1-8685-540CCEBF83C5}</author>
    <author>tc={27A2D50D-4EB7-49D2-ACD0-BB82A4133ACD}</author>
    <author>tc={02CC4E60-D2DF-4406-9FDF-C171EF075A29}</author>
  </authors>
  <commentList>
    <comment ref="T145" authorId="0" shapeId="0" xr:uid="{F8B0F97D-6BBB-4778-9916-E22A42CC1B36}">
      <text>
        <t>[Threaded comment]
Your version of Excel allows you to read this threaded comment; however, any edits to it will get removed if the file is opened in a newer version of Excel. Learn more: https://go.microsoft.com/fwlink/?linkid=870924
Comment:
    Acresce lugar de estacionamento por +40k (€850.000,00). CPCV LE108 assinado a 29/12/2025</t>
      </text>
    </comment>
    <comment ref="U145" authorId="1" shapeId="0" xr:uid="{9CBFCEA5-1B99-4BAA-984C-9A3D0C8A2BEC}">
      <text>
        <t>[Threaded comment]
Your version of Excel allows you to read this threaded comment; however, any edits to it will get removed if the file is opened in a newer version of Excel. Learn more: https://go.microsoft.com/fwlink/?linkid=870924
Comment:
    Acresce lugar de estacionamento por +40k (€850.000,00). CPCV LE108 assinado a 29/12/2025</t>
      </text>
    </comment>
    <comment ref="T204" authorId="2" shapeId="0" xr:uid="{6693E897-14D8-4D34-9532-D0803CCF01E7}">
      <text>
        <t>[Threaded comment]
Your version of Excel allows you to read this threaded comment; however, any edits to it will get removed if the file is opened in a newer version of Excel. Learn more: https://go.microsoft.com/fwlink/?linkid=870924
Comment:
    Cliente pretende adquirir FF&amp;E. Acordado 130k (total €4.230.000,00)</t>
      </text>
    </comment>
    <comment ref="U204" authorId="3" shapeId="0" xr:uid="{41573AA6-C2C7-4CB1-8685-540CCEBF83C5}">
      <text>
        <t>[Threaded comment]
Your version of Excel allows you to read this threaded comment; however, any edits to it will get removed if the file is opened in a newer version of Excel. Learn more: https://go.microsoft.com/fwlink/?linkid=870924
Comment:
    Cliente pretende adquirir FF&amp;E. Acordado 130k (total €4.230.000,00)</t>
      </text>
    </comment>
    <comment ref="T208" authorId="4" shapeId="0" xr:uid="{27A2D50D-4EB7-49D2-ACD0-BB82A4133ACD}">
      <text>
        <t>[Threaded comment]
Your version of Excel allows you to read this threaded comment; however, any edits to it will get removed if the file is opened in a newer version of Excel. Learn more: https://go.microsoft.com/fwlink/?linkid=870924
Comment:
    OFERTA DE FF&amp;E AO CLIENTE</t>
      </text>
    </comment>
    <comment ref="U208" authorId="5" shapeId="0" xr:uid="{02CC4E60-D2DF-4406-9FDF-C171EF075A29}">
      <text>
        <t>[Threaded comment]
Your version of Excel allows you to read this threaded comment; however, any edits to it will get removed if the file is opened in a newer version of Excel. Learn more: https://go.microsoft.com/fwlink/?linkid=870924
Comment:
    OFERTA DE FF&amp;E AO CLIENTE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<sst xmlns="http://schemas.openxmlformats.org/spreadsheetml/2006/main" count="17851" uniqueCount="936">
  <si>
    <t>Project</t>
  </si>
  <si>
    <t>Location</t>
  </si>
  <si>
    <t>Website</t>
  </si>
  <si>
    <t>Positioning Statement</t>
  </si>
  <si>
    <t>Type</t>
  </si>
  <si>
    <t>Amenities</t>
  </si>
  <si>
    <t>Architecture</t>
  </si>
  <si>
    <t>Conclusion Expected</t>
  </si>
  <si>
    <t>Nobilus</t>
  </si>
  <si>
    <t>Vilamoura, Algarve</t>
  </si>
  <si>
    <t>Ana Damásio</t>
  </si>
  <si>
    <t>Elisabete Figueiredo</t>
  </si>
  <si>
    <t>https://www.vilamouraworld.com/real-estate/nobilus/</t>
  </si>
  <si>
    <t>Gym, Sauna, Condo Pool, Private Pools, Outdoor Areas, Smart Home Technology, Underground Parking</t>
  </si>
  <si>
    <t>Projeto construção sustentável; Excelente localização; Arquitetura de excelência em Vilamoura (Atelier Fragmentos); Piscina de condomínio e piscinas privativas; Garagens privadas.</t>
  </si>
  <si>
    <t>Fragmentos</t>
  </si>
  <si>
    <t>Natura Village</t>
  </si>
  <si>
    <t>https://www.vilamouraworld.com/real-estate/natura-village/</t>
  </si>
  <si>
    <t>A 5 minute bike ride away from the Environmental Park, this is the location for a serene lifestyle. Experience a home crafted with care and balance.</t>
  </si>
  <si>
    <t>Gym, Sauna, Condo Pool, Private Pools, Outdoor Areas, Private Parking</t>
  </si>
  <si>
    <t>Condomínio privado; Villas de 2 e 3 quartos; Piscinas privativas; Localização refúgio junto ao parque natural e campos de golfe; Garagens privadas; Ginásio e piscina comum; Excelentes espaços exteriores privados e de condomínio.</t>
  </si>
  <si>
    <t>AN_DRE</t>
  </si>
  <si>
    <t>The Nine</t>
  </si>
  <si>
    <t>Frederico Ferreira</t>
  </si>
  <si>
    <t>https://www.vilamouraworld.com/real-estate/the-nine/</t>
  </si>
  <si>
    <t>Condo Pool, Outdoor Areas, Underground Parking</t>
  </si>
  <si>
    <t>AAVV</t>
  </si>
  <si>
    <t>Terracota</t>
  </si>
  <si>
    <t>https://www.vilamouraworld.com/real-estate/terracota/</t>
  </si>
  <si>
    <t>Terracota offers a slice of nature in an urban area – sheltered by spectacular pine trees for a feeling of secluded serenity.</t>
  </si>
  <si>
    <t>Barbosa Guimarães</t>
  </si>
  <si>
    <t>Rivus</t>
  </si>
  <si>
    <t>TBD</t>
  </si>
  <si>
    <t>Private Pools and Rooftops, Underground Parking, Community Swimming Pool</t>
  </si>
  <si>
    <t>Eduardo Lopes</t>
  </si>
  <si>
    <t>Carla Veiga</t>
  </si>
  <si>
    <t>Samuel Torres de Carvalho</t>
  </si>
  <si>
    <t>Springs - At the Els</t>
  </si>
  <si>
    <t>Springs Els Club - *Vilamoura</t>
  </si>
  <si>
    <t>The new chapter of Vilamoura begins here. Join the inner circle with Club access to golf, sport, equestrian &amp; beach life.</t>
  </si>
  <si>
    <t>Gym, Spa, Lazy River, Private Pools, Outdoor Areas, Smart Home Technology, Tennis Court, Clubhouse, Private Parking, Vista Membership</t>
  </si>
  <si>
    <t>Promontório</t>
  </si>
  <si>
    <t>Zestia</t>
  </si>
  <si>
    <t>Zestia - New Apartments for Sale in Vilamoura - *Vilamoura</t>
  </si>
  <si>
    <t>Discover Zestia, a residential-touristic development, where prime hospitality meets exclusive luxury in the heart of Vilamoura. This new development redefines elegance only 600 meters from the vibrant Vilamoura Marina.</t>
  </si>
  <si>
    <t>Gym, Spa, Condo Pool, Private Pools, Outdoor Areas, Smart Home Technology, Underground Parking, Reception, Vista Membership</t>
  </si>
  <si>
    <t>Apartamentos com exploração turística profissional e possibilidade de uso pelos proprietários; Amenities de excelência: Piscina interior e exterior, spa, ginásio, F&amp;B; Localização de excelência a poucos metros de marina, restaurantes e clubes de tenis, padel e golf; Rooftops com plunge pool privativos.</t>
  </si>
  <si>
    <t>Metrourbe</t>
  </si>
  <si>
    <t>The Uncommon</t>
  </si>
  <si>
    <t>Condo Pool, Outdoor Areas, Underground Parking, Reception, Concierge, Vista Membership</t>
  </si>
  <si>
    <t>Apartamentos com exploração turística profissional e possibilidade de uso pelos proprietários; Amenities de excelência; Vistas excepcionais e em primeira linha de mar; Rooftops com plunge pool privativos.</t>
  </si>
  <si>
    <t>NLA</t>
  </si>
  <si>
    <t>Botanica</t>
  </si>
  <si>
    <t>Botanica Apartments - New Development - *Vilamoura</t>
  </si>
  <si>
    <t>Tranquil gardens. Communal parks. Perfectly-planted balconies. Botanica, a sense of well-being and connection to nature within a central urban location. One of the last opportunities to own a property in the heart of Vilamoura.</t>
  </si>
  <si>
    <t>Sutaya</t>
  </si>
  <si>
    <t>Quinta do Lago, Algarve</t>
  </si>
  <si>
    <t>Sandra Viegas</t>
  </si>
  <si>
    <t>Catarina Andrade</t>
  </si>
  <si>
    <t>Gym, Private Pools, Condo Pool, Outdoor Areas, Smart Home Technology, Underground Parking, San Lorenzo Golf Membership</t>
  </si>
  <si>
    <t>Projeto de enorme exclusividade localizado no campo de golfe Sao Lorenzo, Quinta do Lago; Arquitetura e acabamentos de excelência; Todas as unidades com piscina privativa e enorme privacidade; Amplas vistas de golfe e mar; Garagem com acesso de elevador privado à cada apartamento.</t>
  </si>
  <si>
    <t>Carvalho Araújo</t>
  </si>
  <si>
    <t>Azuya</t>
  </si>
  <si>
    <t>Ancão, Algarve</t>
  </si>
  <si>
    <t>www.azuya.pt</t>
  </si>
  <si>
    <t>Gym, Spa &amp; Welness Area, Private Pools, Condo Pool, Outdoor Areas, Smart Home Technology, Underground Parking, Kids Club</t>
  </si>
  <si>
    <t>Palmares</t>
  </si>
  <si>
    <t>Lagos, Algarve</t>
  </si>
  <si>
    <t>João Barra | José Guerreiro</t>
  </si>
  <si>
    <t>https://www.palmaresliving.com/</t>
  </si>
  <si>
    <t>Palmares Ocean &amp; Living : Where ocean breezes, world-class golf, and award-winning design converge to create a lifestyle beyond compare.</t>
  </si>
  <si>
    <t>Gym, Spa, Condo Pool, Private Pools, Outdoor Areas, Private Parking, Reception, World Class Golf Course</t>
  </si>
  <si>
    <t>RCR</t>
  </si>
  <si>
    <t>Monte Rei</t>
  </si>
  <si>
    <t>Vila Nova de Cacela, Algarve</t>
  </si>
  <si>
    <t>https://www.monte-rei.com/</t>
  </si>
  <si>
    <t>Golfe 18 buracos, Ténis, Ginásio, Health Center, Piscinas Exteriores, Spa e Concierge, Restaurantes</t>
  </si>
  <si>
    <t>O Monte Rei Golf &amp; Country Club é um resort de luxo exclusivo situado em mais de 400 hectares de paisagem intacta no sotavento algarvio, oferecendo a viajantes exigentes e amantes do golfe um refúgio de tranquilidade, sofisticação e privacidade. Com o seu campo de golfe assinatura Jack Nicklaus, gastronomia de excelência, serviço personalizado e um ambiente sereno entre a serra e o Atlântico, o Monte Rei posiciona-se como “o melhor lugar para viver e jogar” — um retiro privado e seguro, longe do ritmo agitado do quotidiano.</t>
  </si>
  <si>
    <t>Aroeira Collections</t>
  </si>
  <si>
    <t>Herdade da Aroeira, Almada</t>
  </si>
  <si>
    <t>João Gameiro</t>
  </si>
  <si>
    <t>Miguel Ribeiro</t>
  </si>
  <si>
    <t>https://www.aroeiracollections.com/</t>
  </si>
  <si>
    <t>Aroeira Collections by Missoni: Elegance inspired by iconic design, set beside the renowned PGA golf course — where luxury living meets the rhythm of the coast.</t>
  </si>
  <si>
    <t>Gym, Spa, Condo Pool, Private Pools, Tennis &amp; Padel Courts, Outdoor Areas, Smart Home Technology, Private Parking, Reception, Missoni Interiors, PGA Golf Course</t>
  </si>
  <si>
    <t>Primeiro grande projeto com uma marca de lifestyle/moda em Portugal - Missoni; Localização de excelência dentro da Herdade da Aroeira, a 30' de Lisboa e 10' das melhores praias do país; Design com contributo de arquitetos de renome; Excelente oportunidade de investimento; Junto ao campo de golfe PGA Aroeira; Diversas amenities como: Piscina interior e exterior, campos de tenis e padel, ginásio, spa e restaurante.</t>
  </si>
  <si>
    <t>Ana Costa, João Favila, Pedro Domingos</t>
  </si>
  <si>
    <t>Vale Pisão Grand Park</t>
  </si>
  <si>
    <t>Santo Tirso, Porto</t>
  </si>
  <si>
    <t>https://www.valepisao.com/</t>
  </si>
  <si>
    <t>Vale Pisão is a private residential and lifestyle community just 25 minutes from Porto, combining natural serenity with resort-level amenities. It offers families and individuals a secure, green haven to live, reconnect, and create a lasting home.</t>
  </si>
  <si>
    <t>Private &amp; Communal Pools, Private Parking, Bike Station, Concierge, Private Gardens, Tennis &amp; Padel, Kids Club, Spa &amp; Gym and Bar Service</t>
  </si>
  <si>
    <t>Vale Pisão situado a apenas 25 minutos do Porto, mas totalmente imerso na natureza e na privacidade. Combinando o dia a dia com amenidades de resort, Vale Pisão oferece uma oportunidade única para famílias e indivíduos se reconectarem com a natureza. É um lugar para construir um lar, deixar um legado duradouro ou simplesmente desfrutar de um refúgio tranquilo — tudo dentro de um ambiente verde, seguro, consolidado e em constante evolução.</t>
  </si>
  <si>
    <t>Typology</t>
  </si>
  <si>
    <t>Interior</t>
  </si>
  <si>
    <t>Exterior</t>
  </si>
  <si>
    <t>Status</t>
  </si>
  <si>
    <t>FF&amp;E</t>
  </si>
  <si>
    <t>Sell price (RE Asset)</t>
  </si>
  <si>
    <t>101B</t>
  </si>
  <si>
    <t>102A</t>
  </si>
  <si>
    <t>103A</t>
  </si>
  <si>
    <t>104A</t>
  </si>
  <si>
    <t>105A</t>
  </si>
  <si>
    <t>106A</t>
  </si>
  <si>
    <t>107A</t>
  </si>
  <si>
    <t>108A</t>
  </si>
  <si>
    <t>109B</t>
  </si>
  <si>
    <t>110A</t>
  </si>
  <si>
    <t>111B</t>
  </si>
  <si>
    <t>112B</t>
  </si>
  <si>
    <t>113B</t>
  </si>
  <si>
    <t>114A</t>
  </si>
  <si>
    <t>115B</t>
  </si>
  <si>
    <t>116A</t>
  </si>
  <si>
    <t>117A</t>
  </si>
  <si>
    <t>118A</t>
  </si>
  <si>
    <t>119A</t>
  </si>
  <si>
    <t>120A</t>
  </si>
  <si>
    <t>121A</t>
  </si>
  <si>
    <t>122A</t>
  </si>
  <si>
    <t>123B</t>
  </si>
  <si>
    <t>124A</t>
  </si>
  <si>
    <t>125B</t>
  </si>
  <si>
    <t>126B</t>
  </si>
  <si>
    <t>127B</t>
  </si>
  <si>
    <t>128A</t>
  </si>
  <si>
    <t>129A</t>
  </si>
  <si>
    <t>130A</t>
  </si>
  <si>
    <t>131A</t>
  </si>
  <si>
    <t>132A</t>
  </si>
  <si>
    <t>133A</t>
  </si>
  <si>
    <t>134A</t>
  </si>
  <si>
    <t>135A</t>
  </si>
  <si>
    <t>136A</t>
  </si>
  <si>
    <t>137A</t>
  </si>
  <si>
    <t>138A</t>
  </si>
  <si>
    <t>139A</t>
  </si>
  <si>
    <t>140A</t>
  </si>
  <si>
    <t>141A</t>
  </si>
  <si>
    <t>142A</t>
  </si>
  <si>
    <t>143A</t>
  </si>
  <si>
    <t>144A</t>
  </si>
  <si>
    <t>145A</t>
  </si>
  <si>
    <t>146A</t>
  </si>
  <si>
    <t>201B</t>
  </si>
  <si>
    <t>202A</t>
  </si>
  <si>
    <t>203A</t>
  </si>
  <si>
    <t>204A</t>
  </si>
  <si>
    <t>205A</t>
  </si>
  <si>
    <t>206A</t>
  </si>
  <si>
    <t>207A</t>
  </si>
  <si>
    <t>208A</t>
  </si>
  <si>
    <t>209B</t>
  </si>
  <si>
    <t>210A</t>
  </si>
  <si>
    <t>211B</t>
  </si>
  <si>
    <t>212B</t>
  </si>
  <si>
    <t>213B</t>
  </si>
  <si>
    <t>214A</t>
  </si>
  <si>
    <t>216A</t>
  </si>
  <si>
    <t>217A</t>
  </si>
  <si>
    <t>218A</t>
  </si>
  <si>
    <t>219A</t>
  </si>
  <si>
    <t>220A</t>
  </si>
  <si>
    <t>221A</t>
  </si>
  <si>
    <t>222A</t>
  </si>
  <si>
    <t>223B</t>
  </si>
  <si>
    <t>224A</t>
  </si>
  <si>
    <t>225B</t>
  </si>
  <si>
    <t>226B</t>
  </si>
  <si>
    <t>227B</t>
  </si>
  <si>
    <t>228A</t>
  </si>
  <si>
    <t>229A</t>
  </si>
  <si>
    <t>230A</t>
  </si>
  <si>
    <t>231A</t>
  </si>
  <si>
    <t>232A</t>
  </si>
  <si>
    <t>233A</t>
  </si>
  <si>
    <t>234A</t>
  </si>
  <si>
    <t>235A</t>
  </si>
  <si>
    <t>236A</t>
  </si>
  <si>
    <t>237A</t>
  </si>
  <si>
    <t>238A</t>
  </si>
  <si>
    <t>239A</t>
  </si>
  <si>
    <t>240A</t>
  </si>
  <si>
    <t>241A</t>
  </si>
  <si>
    <t>242A</t>
  </si>
  <si>
    <t>243A</t>
  </si>
  <si>
    <t>244A</t>
  </si>
  <si>
    <t>245A</t>
  </si>
  <si>
    <t>246A</t>
  </si>
  <si>
    <t>301B</t>
  </si>
  <si>
    <t>302A</t>
  </si>
  <si>
    <t>303A</t>
  </si>
  <si>
    <t>304A</t>
  </si>
  <si>
    <t>305A</t>
  </si>
  <si>
    <t>306A</t>
  </si>
  <si>
    <t>307A</t>
  </si>
  <si>
    <t>308A</t>
  </si>
  <si>
    <t>309B</t>
  </si>
  <si>
    <t>310A</t>
  </si>
  <si>
    <t>311B</t>
  </si>
  <si>
    <t>312B</t>
  </si>
  <si>
    <t>313B</t>
  </si>
  <si>
    <t>314A</t>
  </si>
  <si>
    <t>315B</t>
  </si>
  <si>
    <t>316A</t>
  </si>
  <si>
    <t>317A</t>
  </si>
  <si>
    <t>318A</t>
  </si>
  <si>
    <t>319A</t>
  </si>
  <si>
    <t>320A</t>
  </si>
  <si>
    <t>321A</t>
  </si>
  <si>
    <t>322A</t>
  </si>
  <si>
    <t>323B</t>
  </si>
  <si>
    <t>324A</t>
  </si>
  <si>
    <t>325B</t>
  </si>
  <si>
    <t>326B</t>
  </si>
  <si>
    <t>327B</t>
  </si>
  <si>
    <t>328A</t>
  </si>
  <si>
    <t>329A</t>
  </si>
  <si>
    <t>330A</t>
  </si>
  <si>
    <t>331A</t>
  </si>
  <si>
    <t>332A</t>
  </si>
  <si>
    <t>333A</t>
  </si>
  <si>
    <t>334A</t>
  </si>
  <si>
    <t>335A</t>
  </si>
  <si>
    <t>336A</t>
  </si>
  <si>
    <t>337A</t>
  </si>
  <si>
    <t>338A</t>
  </si>
  <si>
    <t>339A</t>
  </si>
  <si>
    <t>340A</t>
  </si>
  <si>
    <t>341A</t>
  </si>
  <si>
    <t>342A</t>
  </si>
  <si>
    <t>343A</t>
  </si>
  <si>
    <t>344A</t>
  </si>
  <si>
    <t>345A</t>
  </si>
  <si>
    <t>346A</t>
  </si>
  <si>
    <t>102B</t>
  </si>
  <si>
    <t>103B</t>
  </si>
  <si>
    <t>104B</t>
  </si>
  <si>
    <t>105B</t>
  </si>
  <si>
    <t>106B</t>
  </si>
  <si>
    <t>107B</t>
  </si>
  <si>
    <t>108B</t>
  </si>
  <si>
    <t>110B</t>
  </si>
  <si>
    <t>113C</t>
  </si>
  <si>
    <t>114B</t>
  </si>
  <si>
    <t>115C</t>
  </si>
  <si>
    <t>116B</t>
  </si>
  <si>
    <t>117C</t>
  </si>
  <si>
    <t>118B</t>
  </si>
  <si>
    <t>119B</t>
  </si>
  <si>
    <t>120B</t>
  </si>
  <si>
    <t>202B</t>
  </si>
  <si>
    <t>203B</t>
  </si>
  <si>
    <t>204B</t>
  </si>
  <si>
    <t>205B</t>
  </si>
  <si>
    <t>206B</t>
  </si>
  <si>
    <t>207B</t>
  </si>
  <si>
    <t>208B</t>
  </si>
  <si>
    <t>210B</t>
  </si>
  <si>
    <t>213C</t>
  </si>
  <si>
    <t>214B</t>
  </si>
  <si>
    <t>215C</t>
  </si>
  <si>
    <t>216B</t>
  </si>
  <si>
    <t>217C</t>
  </si>
  <si>
    <t>218B</t>
  </si>
  <si>
    <t>219B</t>
  </si>
  <si>
    <t>220B</t>
  </si>
  <si>
    <t>01B</t>
  </si>
  <si>
    <t>02B</t>
  </si>
  <si>
    <t>03B</t>
  </si>
  <si>
    <t>04B</t>
  </si>
  <si>
    <t>05B</t>
  </si>
  <si>
    <t>06B</t>
  </si>
  <si>
    <t>07B</t>
  </si>
  <si>
    <t>08B</t>
  </si>
  <si>
    <t>09B</t>
  </si>
  <si>
    <t>10C</t>
  </si>
  <si>
    <t>11D</t>
  </si>
  <si>
    <t>12C</t>
  </si>
  <si>
    <t>13D</t>
  </si>
  <si>
    <t>14D</t>
  </si>
  <si>
    <t>15B</t>
  </si>
  <si>
    <t>16B</t>
  </si>
  <si>
    <t>17C</t>
  </si>
  <si>
    <t>18C</t>
  </si>
  <si>
    <t>19B</t>
  </si>
  <si>
    <t>20C</t>
  </si>
  <si>
    <t>21B</t>
  </si>
  <si>
    <t>22B</t>
  </si>
  <si>
    <t>23B</t>
  </si>
  <si>
    <t>24C</t>
  </si>
  <si>
    <t>01E</t>
  </si>
  <si>
    <t>02E</t>
  </si>
  <si>
    <t>03E</t>
  </si>
  <si>
    <t>04E</t>
  </si>
  <si>
    <t>05D</t>
  </si>
  <si>
    <t>06D</t>
  </si>
  <si>
    <t>07D</t>
  </si>
  <si>
    <t>08D</t>
  </si>
  <si>
    <t>09E</t>
  </si>
  <si>
    <t>10E</t>
  </si>
  <si>
    <t>12D</t>
  </si>
  <si>
    <t>15D</t>
  </si>
  <si>
    <t>16D</t>
  </si>
  <si>
    <t>17D</t>
  </si>
  <si>
    <t>18D</t>
  </si>
  <si>
    <t>19C</t>
  </si>
  <si>
    <t>21C</t>
  </si>
  <si>
    <t>22C</t>
  </si>
  <si>
    <t>23C</t>
  </si>
  <si>
    <t>25C</t>
  </si>
  <si>
    <t>26C</t>
  </si>
  <si>
    <t>27C</t>
  </si>
  <si>
    <t>28C</t>
  </si>
  <si>
    <t>2-BR*</t>
  </si>
  <si>
    <t>1-BR</t>
  </si>
  <si>
    <t>2-BR</t>
  </si>
  <si>
    <t>3-BR</t>
  </si>
  <si>
    <t>T2</t>
  </si>
  <si>
    <t>T3</t>
  </si>
  <si>
    <t>T4</t>
  </si>
  <si>
    <t>T5</t>
  </si>
  <si>
    <t>T3+1</t>
  </si>
  <si>
    <t>T2+1</t>
  </si>
  <si>
    <t/>
  </si>
  <si>
    <t>RESERVED</t>
  </si>
  <si>
    <t>PRE-RESERVED</t>
  </si>
  <si>
    <t>NOT FOR SALE</t>
  </si>
  <si>
    <t>AVAILABLE</t>
  </si>
  <si>
    <t>Current Asking price (RE Asset)</t>
  </si>
  <si>
    <t>Inicial Asking Price (€) (RE Asset)</t>
  </si>
  <si>
    <t>Inicial Asking Price (€) (Total)</t>
  </si>
  <si>
    <t>Current Asking price( Total)</t>
  </si>
  <si>
    <t>Sell price (Total)</t>
  </si>
  <si>
    <t>Commercial ID</t>
  </si>
  <si>
    <t>A</t>
  </si>
  <si>
    <t>B</t>
  </si>
  <si>
    <t>C</t>
  </si>
  <si>
    <t>D</t>
  </si>
  <si>
    <t>E</t>
  </si>
  <si>
    <t>F</t>
  </si>
  <si>
    <t>G</t>
  </si>
  <si>
    <t>H</t>
  </si>
  <si>
    <t>I</t>
  </si>
  <si>
    <t>J</t>
  </si>
  <si>
    <t>K</t>
  </si>
  <si>
    <t>L</t>
  </si>
  <si>
    <t>M</t>
  </si>
  <si>
    <t>N</t>
  </si>
  <si>
    <t>O</t>
  </si>
  <si>
    <t>P</t>
  </si>
  <si>
    <t>Q</t>
  </si>
  <si>
    <t>R</t>
  </si>
  <si>
    <t>S</t>
  </si>
  <si>
    <t>T</t>
  </si>
  <si>
    <t>U</t>
  </si>
  <si>
    <t>V</t>
  </si>
  <si>
    <t>W</t>
  </si>
  <si>
    <t>X</t>
  </si>
  <si>
    <t>Y</t>
  </si>
  <si>
    <t>Z</t>
  </si>
  <si>
    <t>AA</t>
  </si>
  <si>
    <t>AB</t>
  </si>
  <si>
    <t>AC</t>
  </si>
  <si>
    <t>AD</t>
  </si>
  <si>
    <t>AE</t>
  </si>
  <si>
    <t>AF</t>
  </si>
  <si>
    <t>AG</t>
  </si>
  <si>
    <t>AH</t>
  </si>
  <si>
    <t>AI</t>
  </si>
  <si>
    <t>AJ</t>
  </si>
  <si>
    <t>AK</t>
  </si>
  <si>
    <t>AL</t>
  </si>
  <si>
    <t>AM</t>
  </si>
  <si>
    <t>AN</t>
  </si>
  <si>
    <t>AO</t>
  </si>
  <si>
    <t>AP</t>
  </si>
  <si>
    <t>AQ</t>
  </si>
  <si>
    <t>AR</t>
  </si>
  <si>
    <t>AS</t>
  </si>
  <si>
    <t>AT</t>
  </si>
  <si>
    <t>AU</t>
  </si>
  <si>
    <t>V3</t>
  </si>
  <si>
    <t>V2</t>
  </si>
  <si>
    <t>AV</t>
  </si>
  <si>
    <t>AW</t>
  </si>
  <si>
    <t>AX</t>
  </si>
  <si>
    <t>AY</t>
  </si>
  <si>
    <t>AZ</t>
  </si>
  <si>
    <t>BA</t>
  </si>
  <si>
    <t>BB</t>
  </si>
  <si>
    <t>BC</t>
  </si>
  <si>
    <t>BD</t>
  </si>
  <si>
    <t>BE</t>
  </si>
  <si>
    <t>BF</t>
  </si>
  <si>
    <t>BG</t>
  </si>
  <si>
    <t>BH</t>
  </si>
  <si>
    <t>BI</t>
  </si>
  <si>
    <t>BJ</t>
  </si>
  <si>
    <t>BK</t>
  </si>
  <si>
    <t>BL</t>
  </si>
  <si>
    <t>BM</t>
  </si>
  <si>
    <t>BN</t>
  </si>
  <si>
    <t>BO</t>
  </si>
  <si>
    <t>BP</t>
  </si>
  <si>
    <t>BQ</t>
  </si>
  <si>
    <t>BR</t>
  </si>
  <si>
    <t>BS</t>
  </si>
  <si>
    <t>BT</t>
  </si>
  <si>
    <t>BU</t>
  </si>
  <si>
    <t>BV</t>
  </si>
  <si>
    <t>BW</t>
  </si>
  <si>
    <t>BX</t>
  </si>
  <si>
    <t>BY</t>
  </si>
  <si>
    <t>BZ</t>
  </si>
  <si>
    <t>T2 LO</t>
  </si>
  <si>
    <t>T1 +</t>
  </si>
  <si>
    <t>T2 +</t>
  </si>
  <si>
    <t>T1</t>
  </si>
  <si>
    <t>T3 LO</t>
  </si>
  <si>
    <t>T4 Duplex</t>
  </si>
  <si>
    <t>CA</t>
  </si>
  <si>
    <t>CB</t>
  </si>
  <si>
    <t>CC</t>
  </si>
  <si>
    <t>CD</t>
  </si>
  <si>
    <t>CE</t>
  </si>
  <si>
    <t>CF</t>
  </si>
  <si>
    <t>CG</t>
  </si>
  <si>
    <t>CH</t>
  </si>
  <si>
    <t>CI</t>
  </si>
  <si>
    <t>CJ</t>
  </si>
  <si>
    <t>CK</t>
  </si>
  <si>
    <t>CL</t>
  </si>
  <si>
    <t>1A</t>
  </si>
  <si>
    <t>2A</t>
  </si>
  <si>
    <t>3A</t>
  </si>
  <si>
    <t>4A</t>
  </si>
  <si>
    <t>5A</t>
  </si>
  <si>
    <t>6A</t>
  </si>
  <si>
    <t>7A</t>
  </si>
  <si>
    <t>8A</t>
  </si>
  <si>
    <t>9A</t>
  </si>
  <si>
    <t>10A</t>
  </si>
  <si>
    <t>11A</t>
  </si>
  <si>
    <t>12A</t>
  </si>
  <si>
    <t>13A</t>
  </si>
  <si>
    <t>1B</t>
  </si>
  <si>
    <t>2B</t>
  </si>
  <si>
    <t>3B</t>
  </si>
  <si>
    <t>4B</t>
  </si>
  <si>
    <t>5B</t>
  </si>
  <si>
    <t>6B</t>
  </si>
  <si>
    <t>7B</t>
  </si>
  <si>
    <t>8B</t>
  </si>
  <si>
    <t>9B</t>
  </si>
  <si>
    <t>10B</t>
  </si>
  <si>
    <t>11B</t>
  </si>
  <si>
    <t>12B</t>
  </si>
  <si>
    <t>13B</t>
  </si>
  <si>
    <t>14B</t>
  </si>
  <si>
    <t>1C</t>
  </si>
  <si>
    <t>V3+1</t>
  </si>
  <si>
    <t>2C</t>
  </si>
  <si>
    <t>3C</t>
  </si>
  <si>
    <t>4C</t>
  </si>
  <si>
    <t>5C</t>
  </si>
  <si>
    <t>1D</t>
  </si>
  <si>
    <t>V4</t>
  </si>
  <si>
    <t>2D</t>
  </si>
  <si>
    <t>3D</t>
  </si>
  <si>
    <t>4D</t>
  </si>
  <si>
    <t>5D</t>
  </si>
  <si>
    <t>6D</t>
  </si>
  <si>
    <t>7D</t>
  </si>
  <si>
    <t>8D</t>
  </si>
  <si>
    <t>9D</t>
  </si>
  <si>
    <t>1E</t>
  </si>
  <si>
    <t>V4+1</t>
  </si>
  <si>
    <t>2E</t>
  </si>
  <si>
    <t>3E</t>
  </si>
  <si>
    <t>4E</t>
  </si>
  <si>
    <t>801A</t>
  </si>
  <si>
    <t>T2 (T1+1) Duplex</t>
  </si>
  <si>
    <t>802A</t>
  </si>
  <si>
    <t>803A</t>
  </si>
  <si>
    <t>804A</t>
  </si>
  <si>
    <t>805A</t>
  </si>
  <si>
    <t>806A</t>
  </si>
  <si>
    <t>807A</t>
  </si>
  <si>
    <t>808A</t>
  </si>
  <si>
    <t>809A</t>
  </si>
  <si>
    <t>810B</t>
  </si>
  <si>
    <t>811B</t>
  </si>
  <si>
    <t>812B</t>
  </si>
  <si>
    <t>813B</t>
  </si>
  <si>
    <t>814B</t>
  </si>
  <si>
    <t>815B</t>
  </si>
  <si>
    <t>816B</t>
  </si>
  <si>
    <t>817B</t>
  </si>
  <si>
    <t>818B (ACESS.)</t>
  </si>
  <si>
    <t>819B</t>
  </si>
  <si>
    <t>820B</t>
  </si>
  <si>
    <t>821B</t>
  </si>
  <si>
    <t>T3 (T2+1)</t>
  </si>
  <si>
    <t>822B</t>
  </si>
  <si>
    <t>T3 Duplex</t>
  </si>
  <si>
    <t>823B</t>
  </si>
  <si>
    <t>824B</t>
  </si>
  <si>
    <t>825B</t>
  </si>
  <si>
    <t>826B</t>
  </si>
  <si>
    <t>827B</t>
  </si>
  <si>
    <t>828B</t>
  </si>
  <si>
    <t>829B</t>
  </si>
  <si>
    <t>830B</t>
  </si>
  <si>
    <t>831B</t>
  </si>
  <si>
    <t>832B</t>
  </si>
  <si>
    <t>T2 (T1+1)</t>
  </si>
  <si>
    <t>833B</t>
  </si>
  <si>
    <t>834B</t>
  </si>
  <si>
    <t>835B</t>
  </si>
  <si>
    <t>836C</t>
  </si>
  <si>
    <t>837C</t>
  </si>
  <si>
    <t>838C</t>
  </si>
  <si>
    <t>839C</t>
  </si>
  <si>
    <t>840C</t>
  </si>
  <si>
    <t>841C</t>
  </si>
  <si>
    <t>842C</t>
  </si>
  <si>
    <t>843C</t>
  </si>
  <si>
    <t>844C</t>
  </si>
  <si>
    <t>T1 + 1</t>
  </si>
  <si>
    <t>9C</t>
  </si>
  <si>
    <t>T2 + 1 Duplex</t>
  </si>
  <si>
    <t>T2 + 1Duplex</t>
  </si>
  <si>
    <t>T2Duplex</t>
  </si>
  <si>
    <t>16C</t>
  </si>
  <si>
    <t>T1 + 1Accesible</t>
  </si>
  <si>
    <t>T3 + 1 Duplex</t>
  </si>
  <si>
    <t>19D</t>
  </si>
  <si>
    <t>20D</t>
  </si>
  <si>
    <t>21D</t>
  </si>
  <si>
    <t>22D</t>
  </si>
  <si>
    <t>23D</t>
  </si>
  <si>
    <t>24D</t>
  </si>
  <si>
    <t>T2  Simplex</t>
  </si>
  <si>
    <t>25E</t>
  </si>
  <si>
    <t>T3 + 1  Simplex</t>
  </si>
  <si>
    <t>26E</t>
  </si>
  <si>
    <t>27E</t>
  </si>
  <si>
    <t>28E</t>
  </si>
  <si>
    <t>T2 + 1   Simplex</t>
  </si>
  <si>
    <t>29E</t>
  </si>
  <si>
    <t>T2 Duplex</t>
  </si>
  <si>
    <t>Plot</t>
  </si>
  <si>
    <t>Monte Rei Golf &amp; Country Club is an ultra-exclusive resort in the Eastern Algarve, combining a Jack Nicklaus Signature golf course, Michelin-star dining, and luxury residences within a serene private estate — offering one of Europe’s most refined golf and lifestyle experiences.</t>
  </si>
  <si>
    <t>Units</t>
  </si>
  <si>
    <t>TOTAL UNITS</t>
  </si>
  <si>
    <t>QUICK NAVIGATION</t>
  </si>
  <si>
    <t>NOBILUS</t>
  </si>
  <si>
    <t>NATURA VILLAGE 4</t>
  </si>
  <si>
    <t>NATURA VILLAGE 7</t>
  </si>
  <si>
    <t>NATURA VILLAGE 9</t>
  </si>
  <si>
    <t>THE NINE</t>
  </si>
  <si>
    <t>TERRACOTA</t>
  </si>
  <si>
    <t>ZESTIA</t>
  </si>
  <si>
    <t>THE UNCOMMON</t>
  </si>
  <si>
    <t>VILAMOURA      ·      13 projects</t>
  </si>
  <si>
    <t>▸  Nobilus</t>
  </si>
  <si>
    <t>▸  Natura Village 4</t>
  </si>
  <si>
    <t>▸  Natura Village 7</t>
  </si>
  <si>
    <t>▸  Natura Village 9</t>
  </si>
  <si>
    <t>▸  The Nine</t>
  </si>
  <si>
    <t>▸  Terracota</t>
  </si>
  <si>
    <t>▸  Rivus</t>
  </si>
  <si>
    <t>▸  Fairways</t>
  </si>
  <si>
    <t>▸  Estalagem das Cegonhas</t>
  </si>
  <si>
    <t>▸  Springs - At the Els</t>
  </si>
  <si>
    <t>▸  Zestia</t>
  </si>
  <si>
    <t>▸  The Uncommon</t>
  </si>
  <si>
    <t>▸  Botanica</t>
  </si>
  <si>
    <t>ALGARVE      ·      4 projects</t>
  </si>
  <si>
    <t>▸  Sutaya</t>
  </si>
  <si>
    <t>▸  Azuya</t>
  </si>
  <si>
    <t>▸  Palmares</t>
  </si>
  <si>
    <t>▸  Monte Rei</t>
  </si>
  <si>
    <t>LISBON &amp; NORTH      ·      2 projects</t>
  </si>
  <si>
    <t>▸  Aroeira Collections</t>
  </si>
  <si>
    <t>▸  Vale Pisão Grand Park</t>
  </si>
  <si>
    <t>FROM  ·  PRICE LIST  TRACKER</t>
  </si>
  <si>
    <t>No</t>
  </si>
  <si>
    <t>Yes</t>
  </si>
  <si>
    <t>UPON  REQUEST</t>
  </si>
  <si>
    <t>31-32</t>
  </si>
  <si>
    <t>29-30</t>
  </si>
  <si>
    <t>27-28</t>
  </si>
  <si>
    <t>25-26</t>
  </si>
  <si>
    <t>23-24</t>
  </si>
  <si>
    <t>20-21</t>
  </si>
  <si>
    <t>16-17</t>
  </si>
  <si>
    <t>18-19</t>
  </si>
  <si>
    <t>14-15</t>
  </si>
  <si>
    <t>35-91</t>
  </si>
  <si>
    <t>36-37</t>
  </si>
  <si>
    <t>38-39</t>
  </si>
  <si>
    <t>87-88</t>
  </si>
  <si>
    <t>33-34</t>
  </si>
  <si>
    <t>89-90</t>
  </si>
  <si>
    <t>40-86</t>
  </si>
  <si>
    <t>41-42</t>
  </si>
  <si>
    <t>84-85</t>
  </si>
  <si>
    <t>82-83</t>
  </si>
  <si>
    <t>48-49</t>
  </si>
  <si>
    <t>73-74</t>
  </si>
  <si>
    <t>75-77</t>
  </si>
  <si>
    <t>80-81</t>
  </si>
  <si>
    <t>78-79</t>
  </si>
  <si>
    <t>46-47</t>
  </si>
  <si>
    <t>44-45</t>
  </si>
  <si>
    <t>70-71</t>
  </si>
  <si>
    <t>53-54</t>
  </si>
  <si>
    <t>51-52</t>
  </si>
  <si>
    <t>68-69</t>
  </si>
  <si>
    <t>63-64</t>
  </si>
  <si>
    <t>59-60-61-62</t>
  </si>
  <si>
    <t>55-56</t>
  </si>
  <si>
    <t>65-66</t>
  </si>
  <si>
    <t>57-58</t>
  </si>
  <si>
    <t>Selling Status</t>
  </si>
  <si>
    <t xml:space="preserve">PSPA </t>
  </si>
  <si>
    <t>ELS</t>
  </si>
  <si>
    <t>BOTÂNICA</t>
  </si>
  <si>
    <t>T3 PH</t>
  </si>
  <si>
    <t>T4 PH</t>
  </si>
  <si>
    <t>71+72</t>
  </si>
  <si>
    <t>69+70</t>
  </si>
  <si>
    <t>67+68</t>
  </si>
  <si>
    <t>65+66</t>
  </si>
  <si>
    <t>63+64</t>
  </si>
  <si>
    <t>61+62</t>
  </si>
  <si>
    <t>59+60</t>
  </si>
  <si>
    <t>01+58</t>
  </si>
  <si>
    <t>02+03</t>
  </si>
  <si>
    <t>32+33</t>
  </si>
  <si>
    <t>34+35</t>
  </si>
  <si>
    <t>36+37</t>
  </si>
  <si>
    <t>38+39</t>
  </si>
  <si>
    <t>12+13</t>
  </si>
  <si>
    <t>14+15</t>
  </si>
  <si>
    <t>16+17</t>
  </si>
  <si>
    <t>18+19</t>
  </si>
  <si>
    <t>87+88</t>
  </si>
  <si>
    <t>20+21</t>
  </si>
  <si>
    <t>85+86</t>
  </si>
  <si>
    <t>04+05</t>
  </si>
  <si>
    <t>22+23</t>
  </si>
  <si>
    <t>24+25</t>
  </si>
  <si>
    <t>26+27</t>
  </si>
  <si>
    <t>28+29</t>
  </si>
  <si>
    <t>30+31</t>
  </si>
  <si>
    <t>40+41</t>
  </si>
  <si>
    <t>42+43</t>
  </si>
  <si>
    <t>44+45</t>
  </si>
  <si>
    <t>46+47</t>
  </si>
  <si>
    <t>10+11</t>
  </si>
  <si>
    <t>08+09</t>
  </si>
  <si>
    <t>06+07</t>
  </si>
  <si>
    <t>83+84</t>
  </si>
  <si>
    <t>56+57</t>
  </si>
  <si>
    <t>48+49</t>
  </si>
  <si>
    <t>73+74</t>
  </si>
  <si>
    <t>75+76</t>
  </si>
  <si>
    <t>77+78</t>
  </si>
  <si>
    <t>79+80</t>
  </si>
  <si>
    <t>81+82</t>
  </si>
  <si>
    <t>54+55</t>
  </si>
  <si>
    <t>52+53</t>
  </si>
  <si>
    <t>50+51</t>
  </si>
  <si>
    <t>25/26</t>
  </si>
  <si>
    <t>Storage [sqm]</t>
  </si>
  <si>
    <t>Parking Lots [#]</t>
  </si>
  <si>
    <t>Pool [#]</t>
  </si>
  <si>
    <t>Balconies [sqm]</t>
  </si>
  <si>
    <t>Garden [sqm]</t>
  </si>
  <si>
    <t>Terrace [sqm]</t>
  </si>
  <si>
    <t>Rooftop [sqm]</t>
  </si>
  <si>
    <t>Vista membership</t>
  </si>
  <si>
    <t>The Uncommon is a front-row sea view masterpiece in Vilamoura, where vibrant energy meets serene coastal living. With an exclusive design and elevated services, in this touristic and residential project every moment feels uniquely exceptional.</t>
  </si>
  <si>
    <t>Local</t>
  </si>
  <si>
    <t>MOURAGOLFE</t>
  </si>
  <si>
    <t>VM PARQUE</t>
  </si>
  <si>
    <t>SPRINGS</t>
  </si>
  <si>
    <t>Vilamoura</t>
  </si>
  <si>
    <t>101</t>
  </si>
  <si>
    <t>102</t>
  </si>
  <si>
    <t>103</t>
  </si>
  <si>
    <t>104</t>
  </si>
  <si>
    <t>105</t>
  </si>
  <si>
    <t>106</t>
  </si>
  <si>
    <t>107</t>
  </si>
  <si>
    <t>108</t>
  </si>
  <si>
    <t>109</t>
  </si>
  <si>
    <t>111</t>
  </si>
  <si>
    <t>112</t>
  </si>
  <si>
    <t>113</t>
  </si>
  <si>
    <t>114</t>
  </si>
  <si>
    <t>116</t>
  </si>
  <si>
    <t>201</t>
  </si>
  <si>
    <t>202</t>
  </si>
  <si>
    <t>203</t>
  </si>
  <si>
    <t>204</t>
  </si>
  <si>
    <t>205</t>
  </si>
  <si>
    <t>206</t>
  </si>
  <si>
    <t>207</t>
  </si>
  <si>
    <t>208</t>
  </si>
  <si>
    <t>209</t>
  </si>
  <si>
    <t>211</t>
  </si>
  <si>
    <t>212</t>
  </si>
  <si>
    <t>213</t>
  </si>
  <si>
    <t>214</t>
  </si>
  <si>
    <t>216</t>
  </si>
  <si>
    <t>301</t>
  </si>
  <si>
    <t>302</t>
  </si>
  <si>
    <t>303</t>
  </si>
  <si>
    <t>304</t>
  </si>
  <si>
    <t>305</t>
  </si>
  <si>
    <t>306</t>
  </si>
  <si>
    <t>307</t>
  </si>
  <si>
    <t>308</t>
  </si>
  <si>
    <t>309</t>
  </si>
  <si>
    <t>311</t>
  </si>
  <si>
    <t>312</t>
  </si>
  <si>
    <t>313</t>
  </si>
  <si>
    <t>314</t>
  </si>
  <si>
    <t>315</t>
  </si>
  <si>
    <t>401</t>
  </si>
  <si>
    <t>402</t>
  </si>
  <si>
    <t>403</t>
  </si>
  <si>
    <t>404</t>
  </si>
  <si>
    <t>405</t>
  </si>
  <si>
    <t>406</t>
  </si>
  <si>
    <t>407</t>
  </si>
  <si>
    <t>408</t>
  </si>
  <si>
    <t>409</t>
  </si>
  <si>
    <t>411</t>
  </si>
  <si>
    <t>412</t>
  </si>
  <si>
    <t>413</t>
  </si>
  <si>
    <t>414</t>
  </si>
  <si>
    <t>416</t>
  </si>
  <si>
    <t>501</t>
  </si>
  <si>
    <t>502</t>
  </si>
  <si>
    <t>503</t>
  </si>
  <si>
    <t>504</t>
  </si>
  <si>
    <t>505</t>
  </si>
  <si>
    <t>506</t>
  </si>
  <si>
    <t>507</t>
  </si>
  <si>
    <t>508</t>
  </si>
  <si>
    <t>509</t>
  </si>
  <si>
    <t>511</t>
  </si>
  <si>
    <t>512</t>
  </si>
  <si>
    <t>513</t>
  </si>
  <si>
    <t>514</t>
  </si>
  <si>
    <t>515</t>
  </si>
  <si>
    <t>V4 Duplex</t>
  </si>
  <si>
    <t>V3 Duplex</t>
  </si>
  <si>
    <t>V3 Duplex A</t>
  </si>
  <si>
    <t>V2 Duplex</t>
  </si>
  <si>
    <t>Area Total  [sqm]</t>
  </si>
  <si>
    <t>Total Discunt (%)</t>
  </si>
  <si>
    <t>Pre Reservation Date</t>
  </si>
  <si>
    <t>Algarve</t>
  </si>
  <si>
    <t>Unit PH</t>
  </si>
  <si>
    <t>Launch Date</t>
  </si>
  <si>
    <t>Palmares - Signature Apartments</t>
  </si>
  <si>
    <t>Palmares - Plots</t>
  </si>
  <si>
    <t xml:space="preserve">MR - CHR </t>
  </si>
  <si>
    <t>MR - Linked Villas</t>
  </si>
  <si>
    <t>MR - LT do Golfe</t>
  </si>
  <si>
    <t>MR -LT da Casa do Campo</t>
  </si>
  <si>
    <t>MR - LT Miradouro Village</t>
  </si>
  <si>
    <t>Aroeira - HOTEL APARTMENTS</t>
  </si>
  <si>
    <t>Aroeira - APARTMENTS</t>
  </si>
  <si>
    <t>Aroeira - HOUSES</t>
  </si>
  <si>
    <t>Aroeira - VILLAS</t>
  </si>
  <si>
    <t>215B</t>
  </si>
  <si>
    <t>VP - TOWNHOUSES</t>
  </si>
  <si>
    <t>Patio [sqm]</t>
  </si>
  <si>
    <t>Center</t>
  </si>
  <si>
    <t>North</t>
  </si>
  <si>
    <t>Conclusion</t>
  </si>
  <si>
    <t>Available</t>
  </si>
  <si>
    <t>Reserved</t>
  </si>
  <si>
    <t>Under Contract</t>
  </si>
  <si>
    <t>Deeded</t>
  </si>
  <si>
    <t>Other</t>
  </si>
  <si>
    <t>% Sold</t>
  </si>
  <si>
    <t>GDV Asking (€M)</t>
  </si>
  <si>
    <t>Deeded Value (€M)</t>
  </si>
  <si>
    <t>TOTAL</t>
  </si>
  <si>
    <t>Owner Comercial</t>
  </si>
  <si>
    <t>Owner Asset Management</t>
  </si>
  <si>
    <t>Key-Selling Points</t>
  </si>
  <si>
    <t>Renowned as one of the area’s most high-end residential choices, Nobilus is made from the finest sustainable materials. Find your zen in this eco-minded paradise.</t>
  </si>
  <si>
    <t>Francisço Guerreiro</t>
  </si>
  <si>
    <t>Living here will allow you to enjoy sunny Vilamoura all year round. Close to the beach, close to the Marina, close to the very heart of nature.</t>
  </si>
  <si>
    <t>Condomínio privado com piscina de adultos e crianças inseridas em amplo jardim; Estacionamento disponível; Excelente localização; Price point competitivo para a região.</t>
  </si>
  <si>
    <t>Gym, Sauna, Co-Work Area, Condo Pool, Private Pools, Outdoor Areas, Smart Home Technology, Underground Parking</t>
  </si>
  <si>
    <t>Condomínio privado com exteriores de excelência e generosa piscina em estilo praia; Ginásio e spa; Zona de co-work e parque infantil; Rooftops com piscina privativa; Domótica residencial; Excelente price point considerando as amenities disponíveis.</t>
  </si>
  <si>
    <t>Alexandre Costa</t>
  </si>
  <si>
    <t>Rivus means contemporary comfort at the heart of Vilamoura. A five-minute cycle from the beach and the marina, this development offers open views, private terraces and pools. Ideal as a primary residence or a second home.</t>
  </si>
  <si>
    <t>Excelente localização; Arquitetura de excelência em Vilamoura (Atelier Fragmentos); Piscina de condomínio e piscinas privativas; Pricing atrativo; Enorme Potencial de Arrendamento (Rentabilização).</t>
  </si>
  <si>
    <t>Projeto de excelência com vista direta para o Els Club, o campo de Golf mais exclusivo de Vilamoura; Club-house com piscina e lazy river; Spa e campos de tenis / padel disponíveis; Possibilidade de rentabilidade através de exploração turística com gestão profissional (Details)</t>
  </si>
  <si>
    <t>Indoor Heated Pool, Spa, Outdoor Pool, Gym, Underground Parking</t>
  </si>
  <si>
    <t>Apartamentos residenciais com piscina e zonas exteriores comuns de excelência; Resident's Lounge e zona de co-work; Zona kids e piscina para crianças; Piscina de interior aquecida; Sauna, hamman e zona de massagens; Ginásio de topo; Garagem em box; Zona comercial dentro do condomínio.</t>
  </si>
  <si>
    <t>Welcome to Sutaya. A sanctuary of timeless elegance. Crafted for those who seek the extraordinary.</t>
  </si>
  <si>
    <t>Where the whispers of the sea meet the embrace of nature, lies a sanctuary of unparalleled elegance. Nestled in one of Algarve’s most iconic havens, Azuya is crafted for those who seek exquisite comfort and timeless beauty — a place where dreams find their home.</t>
  </si>
  <si>
    <t>Projeto exclusivo de 16 apartamentos com vista mar no Ancão; Arquitetura extraordinária e todas as unidades com piscina privativa; Penthouses com amplas áreas e piscina no rooftop; Ginásio, kids club, co-work area e area de spa e wellness.</t>
  </si>
  <si>
    <t>Com projeto assinado pelos vencedores do Pritzker award RCR Arquitectes; Primeira linha de mar com Apartamentos de assinatura, villas e branded residences JW Marriott; Vistas previlegiadas para o mar; Oportunidade de rentabilizar o investimento com gestão turística profissional e full-service.</t>
  </si>
  <si>
    <t>UNDER CONTRACT</t>
  </si>
  <si>
    <t>DEEDED</t>
  </si>
  <si>
    <t>% SOLD</t>
  </si>
  <si>
    <t>GDV (€M)</t>
  </si>
  <si>
    <t>PROJECT SPOTLIGHT</t>
  </si>
  <si>
    <t>ANALYTICS</t>
  </si>
  <si>
    <t>Region</t>
  </si>
  <si>
    <t>Sales Status</t>
  </si>
  <si>
    <t>All regions</t>
  </si>
  <si>
    <t>All statuses</t>
  </si>
  <si>
    <t>Active</t>
  </si>
  <si>
    <t>Sold Out</t>
  </si>
  <si>
    <t>Coming Soon</t>
  </si>
  <si>
    <t>Portfolio Overview</t>
  </si>
  <si>
    <t>developments match your filters</t>
  </si>
  <si>
    <t>SELECT PROJECT  →</t>
  </si>
  <si>
    <t xml:space="preserve">SELECT REGION  → </t>
  </si>
  <si>
    <t>SELECT STATUS  →</t>
  </si>
  <si>
    <t>11</t>
  </si>
  <si>
    <t>12</t>
  </si>
  <si>
    <t>13</t>
  </si>
  <si>
    <t>14</t>
  </si>
  <si>
    <t>15</t>
  </si>
  <si>
    <t>16</t>
  </si>
  <si>
    <t>17</t>
  </si>
  <si>
    <t>18</t>
  </si>
  <si>
    <t>19</t>
  </si>
  <si>
    <t>20</t>
  </si>
  <si>
    <t>21</t>
  </si>
  <si>
    <t>22</t>
  </si>
  <si>
    <t>23</t>
  </si>
  <si>
    <t>1</t>
  </si>
  <si>
    <t>2</t>
  </si>
  <si>
    <t>3</t>
  </si>
  <si>
    <t>4</t>
  </si>
  <si>
    <t>5</t>
  </si>
  <si>
    <t>6</t>
  </si>
  <si>
    <t>7</t>
  </si>
  <si>
    <t>8</t>
  </si>
  <si>
    <t>9</t>
  </si>
  <si>
    <t>10</t>
  </si>
  <si>
    <t>110</t>
  </si>
  <si>
    <t>115</t>
  </si>
  <si>
    <t>210</t>
  </si>
  <si>
    <t>215</t>
  </si>
  <si>
    <t>410</t>
  </si>
  <si>
    <t>415</t>
  </si>
  <si>
    <t>24</t>
  </si>
  <si>
    <t>25</t>
  </si>
  <si>
    <t>26</t>
  </si>
  <si>
    <t>35</t>
  </si>
  <si>
    <t>42</t>
  </si>
  <si>
    <t>44</t>
  </si>
  <si>
    <t>71</t>
  </si>
  <si>
    <t>72</t>
  </si>
  <si>
    <t>74</t>
  </si>
  <si>
    <t>75</t>
  </si>
  <si>
    <t>76</t>
  </si>
  <si>
    <t>83</t>
  </si>
  <si>
    <t>88</t>
  </si>
  <si>
    <t>91</t>
  </si>
  <si>
    <t>92</t>
  </si>
  <si>
    <t>93</t>
  </si>
  <si>
    <t>94</t>
  </si>
  <si>
    <t>95</t>
  </si>
  <si>
    <t>96</t>
  </si>
  <si>
    <t>97</t>
  </si>
  <si>
    <t>98</t>
  </si>
  <si>
    <t>99</t>
  </si>
  <si>
    <t>100</t>
  </si>
  <si>
    <t>28</t>
  </si>
  <si>
    <t>30</t>
  </si>
  <si>
    <t>31</t>
  </si>
  <si>
    <t>27</t>
  </si>
  <si>
    <t>32</t>
  </si>
  <si>
    <t>39</t>
  </si>
  <si>
    <t>45</t>
  </si>
  <si>
    <t>48</t>
  </si>
  <si>
    <t>52</t>
  </si>
  <si>
    <t>53</t>
  </si>
  <si>
    <t>46024</t>
  </si>
  <si>
    <t>46117</t>
  </si>
  <si>
    <t>46275</t>
  </si>
  <si>
    <t>46348</t>
  </si>
  <si>
    <t>46211</t>
  </si>
  <si>
    <t>46369</t>
  </si>
  <si>
    <t>43</t>
  </si>
  <si>
    <t>77</t>
  </si>
  <si>
    <t>50</t>
  </si>
  <si>
    <t>29</t>
  </si>
  <si>
    <t>29.2</t>
  </si>
  <si>
    <t>16.7</t>
  </si>
  <si>
    <t>16.36</t>
  </si>
  <si>
    <t>28.86</t>
  </si>
  <si>
    <t>7.28</t>
  </si>
  <si>
    <t>8.37</t>
  </si>
  <si>
    <t>15.29</t>
  </si>
  <si>
    <t>15.13</t>
  </si>
  <si>
    <t>15.28</t>
  </si>
  <si>
    <t>6.19</t>
  </si>
  <si>
    <t>28.24</t>
  </si>
  <si>
    <t>15.31</t>
  </si>
  <si>
    <t>15.34</t>
  </si>
  <si>
    <t>16.38</t>
  </si>
  <si>
    <t>32.8</t>
  </si>
  <si>
    <t>18.39</t>
  </si>
  <si>
    <t>18.78</t>
  </si>
  <si>
    <t>Development</t>
  </si>
  <si>
    <t>Total Discunt</t>
  </si>
  <si>
    <t>Selected Project Status</t>
  </si>
  <si>
    <t>Comparison</t>
  </si>
  <si>
    <t>Portfolio Avg</t>
  </si>
  <si>
    <t xml:space="preserve">DEED </t>
  </si>
  <si>
    <t xml:space="preserve">Pre-Reserved &amp; Reserved </t>
  </si>
  <si>
    <t>PSPA</t>
  </si>
  <si>
    <t>Delivery Expected</t>
  </si>
  <si>
    <t>Palmares - Signature Residences</t>
  </si>
  <si>
    <t>PSPA Date</t>
  </si>
  <si>
    <t>27/042/2026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</si>
</sst>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0.00\ &quot;€&quot;_-;\-* #,##0.00\ &quot;€&quot;_-;_-* &quot;-&quot;??\ &quot;€&quot;_-;_-@_-"/>
    <numFmt numFmtId="43" formatCode="_-* #,##0.00_-;\-* #,##0.00_-;_-* &quot;-&quot;??_-;_-@_-"/>
    <numFmt numFmtId="164" formatCode="_-[$€-2]\ * #,##0_-;\-[$€-2]\ * #,##0_-;_-[$€-2]\ * &quot;-&quot;??_-;_-@_-"/>
    <numFmt numFmtId="165" formatCode="#,##0.0"/>
    <numFmt numFmtId="166" formatCode="#,##0;\(#,##0\);\-"/>
    <numFmt numFmtId="167" formatCode="_-* #,##0\ &quot;€&quot;_-;\-* #,##0\ &quot;€&quot;_-;_-* &quot;-&quot;??\ &quot;€&quot;_-;_-@_-"/>
    <numFmt numFmtId="168" formatCode="m/d/yyyy"/>
    <numFmt numFmtId="169" formatCode="0.0%"/>
    <numFmt numFmtId="170" formatCode="\€#,##0"/>
    <numFmt numFmtId="171" formatCode="\€#,##0.0"/>
    <numFmt numFmtId="172" formatCode="\€0.0"/>
    <numFmt numFmtId="173" formatCode="dd\-mmm\-yyyy"/>
    <numFmt numFmtId="177" formatCode="[$-816]d\-mmm\-yy;@"/>
    <numFmt numFmtId="178" formatCode="[$-816]d\-mmm\-yyyy;@"/>
  </numFmts>
  <fonts count="61">
    <font>
      <sz val="11"/>
      <color theme="1"/>
      <name val="Aptos Narrow"/>
      <family val="2"/>
      <scheme val="minor"/>
    </font>
    <font>
      <sz val="8"/>
      <name val="Aptos Narrow"/>
      <family val="2"/>
      <scheme val="minor"/>
    </font>
    <font>
      <u/>
      <sz val="11"/>
      <color theme="10"/>
      <name val="Aptos Narrow"/>
      <family val="2"/>
      <scheme val="minor"/>
    </font>
    <font>
      <sz val="10"/>
      <color theme="1"/>
      <name val="Aptos Narrow"/>
      <family val="2"/>
      <scheme val="minor"/>
    </font>
    <font>
      <sz val="11"/>
      <color theme="1"/>
      <name val="Aptos Narrow"/>
      <family val="2"/>
      <scheme val="minor"/>
    </font>
    <font>
      <sz val="11"/>
      <name val="Space Grotesk"/>
    </font>
    <font>
      <sz val="10"/>
      <color theme="1"/>
      <name val="Space Grotesk"/>
    </font>
    <font>
      <b/>
      <sz val="10"/>
      <color theme="1"/>
      <name val="Space Grotesk"/>
    </font>
    <font>
      <sz val="11"/>
      <color theme="0"/>
      <name val="Space Grotesk"/>
    </font>
    <font>
      <sz val="11"/>
      <color rgb="FF0070C0"/>
      <name val="Space Grotesk"/>
    </font>
    <font>
      <sz val="11"/>
      <color theme="1"/>
      <name val="Space Grotesk"/>
    </font>
    <font>
      <b/>
      <sz val="11"/>
      <color rgb="FFFFFFFF"/>
      <name val="Aptos Narrow"/>
      <family val="2"/>
      <scheme val="minor"/>
    </font>
    <font>
      <b/>
      <sz val="9"/>
      <color rgb="FFFFFFFF"/>
      <name val="Aptos Narrow"/>
      <family val="2"/>
      <scheme val="minor"/>
    </font>
    <font>
      <b/>
      <sz val="22"/>
      <color rgb="FFFFFFFF"/>
      <name val="Aptos Display"/>
      <family val="2"/>
    </font>
    <font>
      <b/>
      <sz val="9"/>
      <color rgb="FFCFC6B5"/>
      <name val="Aptos Narrow"/>
      <family val="2"/>
      <scheme val="minor"/>
    </font>
    <font>
      <sz val="9.5"/>
      <color rgb="FF2C2E2A"/>
      <name val="Aptos Narrow"/>
      <family val="2"/>
      <scheme val="minor"/>
    </font>
    <font>
      <b/>
      <sz val="9"/>
      <color rgb="FF6B6E64"/>
      <name val="Aptos Narrow"/>
      <family val="2"/>
      <scheme val="minor"/>
    </font>
    <font>
      <b/>
      <sz val="10"/>
      <color rgb="FFFFFFFF"/>
      <name val="Aptos Display"/>
      <family val="2"/>
    </font>
    <font>
      <b/>
      <i/>
      <sz val="10"/>
      <color rgb="FFFFFFFF"/>
      <name val="Aptos Narrow"/>
      <family val="2"/>
      <scheme val="minor"/>
    </font>
    <font>
      <sz val="10"/>
      <color theme="1"/>
      <name val="Aptos"/>
    </font>
    <font>
      <b/>
      <sz val="9"/>
      <color rgb="FFFFFFFF"/>
      <name val="Aptos Narrow"/>
      <scheme val="minor"/>
    </font>
    <font>
      <b/>
      <sz val="14"/>
      <color rgb="FFFFFFFF"/>
      <name val="Aptos Narrow"/>
      <scheme val="minor"/>
    </font>
    <font>
      <b/>
      <sz val="8"/>
      <color rgb="FFFFFFFF"/>
      <name val="Aptos Narrow"/>
      <scheme val="minor"/>
    </font>
    <font>
      <sz val="11"/>
      <color rgb="FF1A1A1A"/>
      <name val="Aptos Narrow"/>
      <family val="2"/>
      <scheme val="minor"/>
    </font>
    <font>
      <b/>
      <sz val="12"/>
      <color rgb="FF1A1A1A"/>
      <name val="Aptos Display"/>
      <family val="2"/>
    </font>
    <font>
      <sz val="9"/>
      <color rgb="FF1A1A1A"/>
      <name val="Aptos Narrow"/>
      <family val="2"/>
      <scheme val="minor"/>
    </font>
    <font>
      <b/>
      <sz val="20"/>
      <color rgb="FF1A1A1A"/>
      <name val="Aptos Display"/>
    </font>
    <font>
      <b/>
      <sz val="8"/>
      <color rgb="FF1A1A1A"/>
      <name val="Aptos Narrow"/>
      <family val="2"/>
      <scheme val="minor"/>
    </font>
    <font>
      <b/>
      <sz val="10"/>
      <color rgb="FF1A1A1A"/>
      <name val="Aptos Narrow"/>
      <family val="2"/>
      <scheme val="minor"/>
    </font>
    <font>
      <i/>
      <sz val="10"/>
      <color rgb="FF1A1A1A"/>
      <name val="Aptos Narrow"/>
      <family val="2"/>
      <scheme val="minor"/>
    </font>
    <font>
      <i/>
      <sz val="11"/>
      <color rgb="FF1A1A1A"/>
      <name val="Aptos Display"/>
    </font>
    <font>
      <i/>
      <sz val="8"/>
      <color rgb="FF1A1A1A"/>
      <name val="Aptos Narrow"/>
      <family val="2"/>
      <scheme val="minor"/>
    </font>
    <font>
      <b/>
      <u/>
      <sz val="10"/>
      <color rgb="FF1A1A1A"/>
      <name val="Aptos Narrow"/>
      <family val="2"/>
      <scheme val="minor"/>
    </font>
    <font>
      <sz val="10"/>
      <color rgb="FF1A1A1A"/>
      <name val="Aptos Narrow"/>
      <scheme val="minor"/>
    </font>
    <font>
      <b/>
      <sz val="10"/>
      <color rgb="FF1A1A1A"/>
      <name val="Aptos Narrow"/>
      <scheme val="minor"/>
    </font>
    <font>
      <b/>
      <sz val="18"/>
      <color rgb="FF1A1A1A"/>
      <name val="Aptos Narrow"/>
      <scheme val="minor"/>
    </font>
    <font>
      <b/>
      <sz val="12"/>
      <color rgb="FF1A1A1A"/>
      <name val="Aptos Narrow"/>
      <scheme val="minor"/>
    </font>
    <font>
      <b/>
      <sz val="16"/>
      <color rgb="FF1A1A1A"/>
      <name val="Aptos Narrow"/>
      <scheme val="minor"/>
    </font>
    <font>
      <i/>
      <sz val="10"/>
      <color rgb="FF1A1A1A"/>
      <name val="Aptos Narrow"/>
      <scheme val="minor"/>
    </font>
    <font>
      <b/>
      <sz val="10"/>
      <color rgb="FF1A1A1A"/>
      <name val="Aptos Narrow"/>
    </font>
    <font>
      <sz val="10"/>
      <color rgb="FF1A1A1A"/>
      <name val="Aptos Narrow"/>
    </font>
    <font>
      <b/>
      <sz val="10"/>
      <color rgb="FFFFFFFF"/>
      <name val="Aptos Narrow"/>
      <scheme val="minor"/>
    </font>
    <font>
      <b/>
      <sz val="10"/>
      <color rgb="FFFFFFFF"/>
      <name val="Aptos Narrow"/>
    </font>
    <font>
      <sz val="11"/>
      <color rgb="FF1A1A1A"/>
      <name val="Aptos Narrow"/>
    </font>
    <font>
      <u/>
      <sz val="10"/>
      <color rgb="FF1A1A1A"/>
      <name val="Aptos Narrow"/>
    </font>
    <font>
      <sz val="11"/>
      <color rgb="FF1A1A1A"/>
      <name val="Aptos Narrow"/>
      <scheme val="minor"/>
    </font>
    <font>
      <sz val="8"/>
      <color rgb="FF1A1A1A"/>
      <name val="Aptos Narrow"/>
    </font>
    <font>
      <u/>
      <sz val="10"/>
      <color rgb="FF1A1A1A"/>
      <name val="Aptos Narrow"/>
      <scheme val="minor"/>
    </font>
    <font>
      <b/>
      <sz val="11"/>
      <color rgb="FF1A1A1A"/>
      <name val="Aptos Narrow"/>
    </font>
    <font>
      <sz val="11"/>
      <color theme="1"/>
      <name val="Aptos Narrow"/>
      <scheme val="minor"/>
    </font>
    <font>
      <sz val="8"/>
      <color rgb="FF1A1A1A"/>
      <name val="Aptos Narrow"/>
      <scheme val="minor"/>
    </font>
    <font>
      <sz val="11"/>
      <name val="Aptos Narrow"/>
      <scheme val="minor"/>
    </font>
    <font>
      <b/>
      <sz val="10"/>
      <color rgb="FFCABCA2"/>
      <name val="Aptos Narrow"/>
      <family val="2"/>
    </font>
    <font>
      <b/>
      <sz val="10"/>
      <color rgb="FFCABCA2"/>
      <name val="Aptos Narrow"/>
      <family val="2"/>
      <scheme val="minor"/>
    </font>
    <font>
      <b/>
      <sz val="10"/>
      <color rgb="FFFFFFFF"/>
      <name val="Aptos Narrow"/>
      <family val="2"/>
      <scheme val="minor"/>
    </font>
    <font>
      <b/>
      <sz val="11"/>
      <color rgb="FF1F1F1F"/>
      <name val="Aptos Narrow"/>
      <family val="2"/>
      <scheme val="minor"/>
    </font>
    <font>
      <b/>
      <sz val="9"/>
      <color theme="1"/>
      <name val="Aptos Narrow"/>
      <family val="2"/>
      <scheme val="minor"/>
    </font>
    <font>
      <sz val="8"/>
      <color theme="1"/>
      <name val="Aptos Narrow"/>
      <family val="2"/>
      <scheme val="minor"/>
    </font>
    <font>
      <sz val="9"/>
      <color indexed="81"/>
      <name val="Tahoma"/>
    </font>
    <font>
      <b/>
      <sz val="9"/>
      <color indexed="81"/>
      <name val="Tahoma"/>
    </font>
    <font>
      <sz val="11"/>
      <color rgb="FFFF0000"/>
      <name val="Aptos Narrow"/>
      <family val="2"/>
      <scheme val="minor"/>
    </font>
  </fonts>
  <fills count="9">
    <fill>
      <patternFill patternType="none"/>
    </fill>
    <fill>
      <patternFill patternType="gray125"/>
    </fill>
    <fill>
      <patternFill patternType="solid">
        <fgColor rgb="FF595959"/>
        <bgColor indexed="64"/>
      </patternFill>
    </fill>
    <fill>
      <patternFill patternType="solid">
        <fgColor rgb="FFFFFFFF"/>
        <bgColor indexed="64"/>
      </patternFill>
    </fill>
    <fill>
      <patternFill patternType="solid">
        <fgColor rgb="FFCABCA2"/>
        <bgColor indexed="64"/>
      </patternFill>
    </fill>
    <fill>
      <patternFill patternType="solid">
        <fgColor rgb="FFECE9E4"/>
        <bgColor indexed="64"/>
      </patternFill>
    </fill>
    <fill>
      <patternFill patternType="solid">
        <fgColor rgb="FFF4F2F0"/>
        <bgColor indexed="64"/>
      </patternFill>
    </fill>
    <fill>
      <patternFill patternType="solid">
        <fgColor theme="1" tint="0.249977111117893"/>
        <bgColor indexed="64"/>
      </patternFill>
    </fill>
    <fill>
      <patternFill patternType="solid">
        <fgColor theme="0"/>
        <bgColor indexed="64"/>
      </patternFill>
    </fill>
  </fills>
  <borders count="29">
    <border>
      <left/>
      <right/>
      <top/>
      <bottom/>
      <diagonal/>
    </border>
    <border>
      <left/>
      <right/>
      <top/>
      <bottom style="double">
        <color indexed="64"/>
      </bottom>
      <diagonal/>
    </border>
    <border>
      <left style="thin">
        <color theme="0"/>
      </left>
      <right style="thin">
        <color theme="0"/>
      </right>
      <top style="thin">
        <color theme="0"/>
      </top>
      <bottom style="thin">
        <color theme="0"/>
      </bottom>
      <diagonal/>
    </border>
    <border>
      <left/>
      <right/>
      <top style="medium">
        <color auto="1"/>
      </top>
      <bottom/>
      <diagonal/>
    </border>
    <border>
      <left style="thin">
        <color rgb="FFBFBFBF"/>
      </left>
      <right/>
      <top/>
      <bottom/>
      <diagonal/>
    </border>
    <border>
      <left/>
      <right/>
      <top style="thin">
        <color rgb="FFBFBFBF"/>
      </top>
      <bottom/>
      <diagonal/>
    </border>
    <border>
      <left/>
      <right/>
      <top style="medium">
        <color rgb="FFBFBFBF"/>
      </top>
      <bottom/>
      <diagonal/>
    </border>
    <border>
      <left/>
      <right style="thin">
        <color theme="0"/>
      </right>
      <top style="thin">
        <color theme="0"/>
      </top>
      <bottom style="thin">
        <color theme="0"/>
      </bottom>
      <diagonal/>
    </border>
    <border>
      <left style="thin">
        <color rgb="FFBFBFBF"/>
      </left>
      <right/>
      <top style="thin">
        <color rgb="FFBFBFBF"/>
      </top>
      <bottom style="thin">
        <color rgb="FFE8E8E8"/>
      </bottom>
      <diagonal/>
    </border>
    <border>
      <left/>
      <right/>
      <top style="thin">
        <color rgb="FFBFBFBF"/>
      </top>
      <bottom style="thin">
        <color rgb="FFE8E8E8"/>
      </bottom>
      <diagonal/>
    </border>
    <border>
      <left/>
      <right style="thin">
        <color rgb="FFBFBFBF"/>
      </right>
      <top style="thin">
        <color rgb="FFBFBFBF"/>
      </top>
      <bottom style="thin">
        <color rgb="FFE8E8E8"/>
      </bottom>
      <diagonal/>
    </border>
    <border>
      <left style="thin">
        <color rgb="FFBFBFBF"/>
      </left>
      <right/>
      <top style="thin">
        <color rgb="FFE8E8E8"/>
      </top>
      <bottom style="thin">
        <color rgb="FFE8E8E8"/>
      </bottom>
      <diagonal/>
    </border>
    <border>
      <left/>
      <right/>
      <top style="thin">
        <color rgb="FFE8E8E8"/>
      </top>
      <bottom style="thin">
        <color rgb="FFE8E8E8"/>
      </bottom>
      <diagonal/>
    </border>
    <border>
      <left/>
      <right style="thin">
        <color rgb="FFBFBFBF"/>
      </right>
      <top style="thin">
        <color rgb="FFE8E8E8"/>
      </top>
      <bottom style="thin">
        <color rgb="FFE8E8E8"/>
      </bottom>
      <diagonal/>
    </border>
    <border>
      <left style="thin">
        <color rgb="FFBFBFBF"/>
      </left>
      <right/>
      <top style="thin">
        <color rgb="FFE8E8E8"/>
      </top>
      <bottom style="thin">
        <color rgb="FFBFBFBF"/>
      </bottom>
      <diagonal/>
    </border>
    <border>
      <left/>
      <right/>
      <top style="thin">
        <color rgb="FFE8E8E8"/>
      </top>
      <bottom style="thin">
        <color rgb="FFBFBFBF"/>
      </bottom>
      <diagonal/>
    </border>
    <border>
      <left/>
      <right style="thin">
        <color rgb="FFBFBFBF"/>
      </right>
      <top style="thin">
        <color rgb="FFE8E8E8"/>
      </top>
      <bottom style="thin">
        <color rgb="FFBFBFBF"/>
      </bottom>
      <diagonal/>
    </border>
    <border>
      <left/>
      <right/>
      <top/>
      <bottom style="thin">
        <color rgb="FFE8E8E8"/>
      </bottom>
      <diagonal/>
    </border>
    <border>
      <left/>
      <right/>
      <top style="thin">
        <color rgb="FFE8E8E8"/>
      </top>
      <bottom/>
      <diagonal/>
    </border>
    <border>
      <left/>
      <right/>
      <top/>
      <bottom style="medium">
        <color rgb="FFBFBFBF"/>
      </bottom>
      <diagonal/>
    </border>
    <border>
      <left style="thin">
        <color indexed="64"/>
      </left>
      <right/>
      <top style="thin">
        <color rgb="FF45483F"/>
      </top>
      <bottom style="thin">
        <color rgb="FFBFBFBF"/>
      </bottom>
      <diagonal/>
    </border>
    <border>
      <left/>
      <right style="thin">
        <color indexed="64"/>
      </right>
      <top/>
      <bottom/>
      <diagonal/>
    </border>
    <border>
      <left/>
      <right style="thin">
        <color rgb="FFBFBFBF"/>
      </right>
      <top style="thin">
        <color rgb="FF45483F"/>
      </top>
      <bottom style="thin">
        <color rgb="FFBFBFBF"/>
      </bottom>
      <diagonal/>
    </border>
    <border>
      <left/>
      <right/>
      <top/>
      <bottom style="thin">
        <color indexed="64"/>
      </bottom>
      <diagonal/>
    </border>
    <border>
      <left style="thin">
        <color indexed="64"/>
      </left>
      <right/>
      <top style="thin">
        <color indexed="64"/>
      </top>
      <bottom style="thin">
        <color theme="2" tint="-9.9978637043366805E-2"/>
      </bottom>
      <diagonal/>
    </border>
    <border>
      <left/>
      <right style="thin">
        <color theme="2" tint="-9.9978637043366805E-2"/>
      </right>
      <top style="thin">
        <color indexed="64"/>
      </top>
      <bottom style="thin">
        <color theme="2" tint="-9.9978637043366805E-2"/>
      </bottom>
      <diagonal/>
    </border>
    <border>
      <left style="thin">
        <color rgb="FFBFBFBF"/>
      </left>
      <right/>
      <top style="thin">
        <color rgb="FFE8E8E8"/>
      </top>
      <bottom/>
      <diagonal/>
    </border>
    <border>
      <left/>
      <right style="thin">
        <color rgb="FFBFBFBF"/>
      </right>
      <top style="thin">
        <color rgb="FFE8E8E8"/>
      </top>
      <bottom/>
      <diagonal/>
    </border>
    <border>
      <left style="thin">
        <color indexed="64"/>
      </left>
      <right style="thin">
        <color indexed="64"/>
      </right>
      <top style="thin">
        <color indexed="64"/>
      </top>
      <bottom style="thin">
        <color indexed="64"/>
      </bottom>
      <diagonal/>
    </border>
  </borders>
  <cellStyleXfs count="14">
    <xf numFmtId="0" fontId="0" fillId="0" borderId="0"/>
    <xf numFmtId="0" fontId="2" fillId="0" borderId="0" applyNumberFormat="0" applyFill="0" applyBorder="0" applyAlignment="0" applyProtection="0"/>
    <xf numFmtId="0" fontId="4" fillId="0" borderId="0"/>
    <xf numFmtId="44"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cellStyleXfs>
  <cellXfs count="326">
    <xf numFmtId="0" fontId="0" fillId="0" borderId="0" xfId="0"/>
    <xf numFmtId="0" fontId="3" fillId="0" borderId="0" xfId="0" applyFont="1" applyAlignment="1">
      <alignment horizontal="center" vertical="center"/>
    </xf>
    <xf numFmtId="0" fontId="3"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167" fontId="5" fillId="0" borderId="0" xfId="3" applyNumberFormat="1" applyFont="1" applyFill="1" applyBorder="1" applyAlignment="1">
      <alignment horizontal="right" vertical="center"/>
    </xf>
    <xf numFmtId="0" fontId="3" fillId="0" borderId="0" xfId="2" applyFont="1"/>
    <xf numFmtId="0" fontId="0" fillId="0" borderId="0" xfId="0" applyAlignment="1">
      <alignment vertical="center"/>
    </xf>
    <xf numFmtId="0" fontId="6" fillId="0" borderId="0" xfId="2" applyFont="1"/>
    <xf numFmtId="4" fontId="7" fillId="0" borderId="0" xfId="2" applyNumberFormat="1" applyFont="1" applyAlignment="1">
      <alignment horizontal="center"/>
    </xf>
    <xf numFmtId="0" fontId="6" fillId="0" borderId="0" xfId="2" applyFont="1" applyAlignment="1">
      <alignment horizontal="right"/>
    </xf>
    <xf numFmtId="0" fontId="5" fillId="0" borderId="0" xfId="3" applyNumberFormat="1" applyFont="1" applyFill="1" applyBorder="1" applyAlignment="1">
      <alignment horizontal="right" vertical="center"/>
    </xf>
    <xf numFmtId="167" fontId="9" fillId="0" borderId="0" xfId="3" applyNumberFormat="1" applyFont="1" applyFill="1" applyBorder="1" applyAlignment="1">
      <alignment horizontal="right" vertical="center"/>
    </xf>
    <xf numFmtId="0" fontId="0" fillId="0" borderId="1" xfId="0" applyBorder="1"/>
    <xf numFmtId="0" fontId="4" fillId="0" borderId="2" xfId="0" applyFont="1" applyBorder="1"/>
    <xf numFmtId="0" fontId="10" fillId="0" borderId="0" xfId="0" applyFont="1" applyAlignment="1">
      <alignment horizontal="center"/>
    </xf>
    <xf numFmtId="4" fontId="10" fillId="0" borderId="0" xfId="0" applyNumberFormat="1" applyFont="1" applyAlignment="1">
      <alignment horizontal="center"/>
    </xf>
    <xf numFmtId="0" fontId="3" fillId="0" borderId="0" xfId="0" applyFont="1"/>
    <xf numFmtId="167" fontId="0" fillId="0" borderId="0" xfId="0" applyNumberFormat="1"/>
    <xf numFmtId="167" fontId="9" fillId="0" borderId="0" xfId="0" applyNumberFormat="1" applyFont="1" applyAlignment="1">
      <alignment horizontal="right"/>
    </xf>
    <xf numFmtId="4" fontId="3" fillId="0" borderId="0" xfId="0" applyNumberFormat="1" applyFont="1" applyAlignment="1">
      <alignment horizontal="center" vertical="center" wrapText="1"/>
    </xf>
    <xf numFmtId="167" fontId="0" fillId="0" borderId="0" xfId="4" applyNumberFormat="1" applyFont="1"/>
    <xf numFmtId="167" fontId="3" fillId="0" borderId="0" xfId="4" applyNumberFormat="1" applyFont="1"/>
    <xf numFmtId="0" fontId="3" fillId="0" borderId="0" xfId="0" applyFont="1" applyAlignment="1">
      <alignment horizontal="center"/>
    </xf>
    <xf numFmtId="167" fontId="0" fillId="0" borderId="0" xfId="4" applyNumberFormat="1" applyFont="1" applyFill="1" applyBorder="1"/>
    <xf numFmtId="0" fontId="10" fillId="0" borderId="0" xfId="0" applyFont="1"/>
    <xf numFmtId="0" fontId="6" fillId="0" borderId="0" xfId="2" applyFont="1" applyAlignment="1">
      <alignment horizontal="center"/>
    </xf>
    <xf numFmtId="3" fontId="8" fillId="0" borderId="0" xfId="2" applyNumberFormat="1" applyFont="1" applyAlignment="1">
      <alignment horizontal="center"/>
    </xf>
    <xf numFmtId="4" fontId="8" fillId="0" borderId="0" xfId="2" applyNumberFormat="1" applyFont="1" applyAlignment="1">
      <alignment horizontal="center"/>
    </xf>
    <xf numFmtId="0" fontId="11" fillId="2" borderId="0" xfId="0" applyFont="1" applyFill="1" applyAlignment="1">
      <alignment horizontal="center" vertical="center" wrapText="1"/>
    </xf>
    <xf numFmtId="0" fontId="19" fillId="0" borderId="0" xfId="0" applyFont="1" applyAlignment="1">
      <alignment horizontal="center" vertical="center"/>
    </xf>
    <xf numFmtId="0" fontId="15" fillId="0" borderId="0" xfId="0" applyFont="1" applyAlignment="1">
      <alignment vertical="top" wrapText="1"/>
    </xf>
    <xf numFmtId="0" fontId="12" fillId="0" borderId="0" xfId="1" applyFont="1" applyFill="1" applyAlignment="1">
      <alignment vertical="center"/>
    </xf>
    <xf numFmtId="0" fontId="14" fillId="0" borderId="0" xfId="0" applyFont="1" applyAlignment="1">
      <alignment vertical="center"/>
    </xf>
    <xf numFmtId="0" fontId="23" fillId="3" borderId="0" xfId="0" applyFont="1" applyFill="1"/>
    <xf numFmtId="0" fontId="23" fillId="3" borderId="5" xfId="0" applyFont="1" applyFill="1" applyBorder="1"/>
    <xf numFmtId="0" fontId="26" fillId="3" borderId="0" xfId="0" applyFont="1" applyFill="1"/>
    <xf numFmtId="0" fontId="27" fillId="3" borderId="0" xfId="0" applyFont="1" applyFill="1" applyAlignment="1">
      <alignment horizontal="right"/>
    </xf>
    <xf numFmtId="0" fontId="29" fillId="3" borderId="0" xfId="0" applyFont="1" applyFill="1" applyAlignment="1">
      <alignment horizontal="right"/>
    </xf>
    <xf numFmtId="0" fontId="30" fillId="3" borderId="0" xfId="0" applyFont="1" applyFill="1"/>
    <xf numFmtId="0" fontId="31" fillId="3" borderId="0" xfId="0" applyFont="1" applyFill="1" applyAlignment="1">
      <alignment horizontal="right"/>
    </xf>
    <xf numFmtId="0" fontId="32" fillId="3" borderId="0" xfId="1" applyFont="1" applyFill="1"/>
    <xf numFmtId="0" fontId="32" fillId="3" borderId="5" xfId="1" applyFont="1" applyFill="1" applyBorder="1"/>
    <xf numFmtId="169" fontId="33" fillId="3" borderId="0" xfId="0" applyNumberFormat="1" applyFont="1" applyFill="1" applyAlignment="1">
      <alignment horizontal="center"/>
    </xf>
    <xf numFmtId="169" fontId="33" fillId="3" borderId="5" xfId="0" applyNumberFormat="1" applyFont="1" applyFill="1" applyBorder="1" applyAlignment="1">
      <alignment horizontal="center"/>
    </xf>
    <xf numFmtId="0" fontId="34" fillId="3" borderId="0" xfId="0" applyFont="1" applyFill="1"/>
    <xf numFmtId="0" fontId="32" fillId="3" borderId="0" xfId="1" applyFont="1" applyFill="1" applyBorder="1"/>
    <xf numFmtId="0" fontId="22" fillId="2" borderId="0" xfId="0" applyFont="1" applyFill="1" applyAlignment="1">
      <alignment horizontal="center" vertical="center"/>
    </xf>
    <xf numFmtId="0" fontId="23" fillId="3" borderId="6" xfId="0" applyFont="1" applyFill="1" applyBorder="1"/>
    <xf numFmtId="169" fontId="35" fillId="3" borderId="0" xfId="0" applyNumberFormat="1" applyFont="1" applyFill="1" applyAlignment="1">
      <alignment horizontal="center" vertical="center"/>
    </xf>
    <xf numFmtId="0" fontId="38" fillId="3" borderId="0" xfId="0" applyFont="1" applyFill="1" applyAlignment="1">
      <alignment vertical="center"/>
    </xf>
    <xf numFmtId="0" fontId="4" fillId="0" borderId="7" xfId="0" applyFont="1" applyBorder="1"/>
    <xf numFmtId="0" fontId="40" fillId="3" borderId="11" xfId="0" applyFont="1" applyFill="1" applyBorder="1" applyAlignment="1">
      <alignment horizontal="center" vertical="center"/>
    </xf>
    <xf numFmtId="0" fontId="40" fillId="3" borderId="12" xfId="0" applyFont="1" applyFill="1" applyBorder="1" applyAlignment="1">
      <alignment horizontal="center" vertical="center"/>
    </xf>
    <xf numFmtId="168" fontId="40" fillId="3" borderId="13" xfId="0" applyNumberFormat="1" applyFont="1" applyFill="1" applyBorder="1" applyAlignment="1">
      <alignment horizontal="center" vertical="center"/>
    </xf>
    <xf numFmtId="0" fontId="40" fillId="3" borderId="14" xfId="0" applyFont="1" applyFill="1" applyBorder="1" applyAlignment="1">
      <alignment horizontal="center" vertical="center"/>
    </xf>
    <xf numFmtId="0" fontId="40" fillId="3" borderId="15" xfId="0" applyFont="1" applyFill="1" applyBorder="1" applyAlignment="1">
      <alignment horizontal="center" vertical="center"/>
    </xf>
    <xf numFmtId="168" fontId="40" fillId="3" borderId="16" xfId="0" applyNumberFormat="1" applyFont="1" applyFill="1" applyBorder="1" applyAlignment="1">
      <alignment horizontal="center" vertical="center"/>
    </xf>
    <xf numFmtId="0" fontId="41" fillId="2" borderId="8" xfId="0" applyFont="1" applyFill="1" applyBorder="1" applyAlignment="1">
      <alignment horizontal="center" vertical="center" wrapText="1"/>
    </xf>
    <xf numFmtId="0" fontId="41" fillId="2" borderId="9" xfId="0" applyFont="1" applyFill="1" applyBorder="1" applyAlignment="1">
      <alignment horizontal="center" vertical="center" wrapText="1"/>
    </xf>
    <xf numFmtId="4" fontId="42" fillId="2" borderId="9" xfId="2" applyNumberFormat="1" applyFont="1" applyFill="1" applyBorder="1" applyAlignment="1">
      <alignment horizontal="center" vertical="center" wrapText="1"/>
    </xf>
    <xf numFmtId="167" fontId="41" fillId="2" borderId="9" xfId="4" applyNumberFormat="1" applyFont="1" applyFill="1" applyBorder="1" applyAlignment="1">
      <alignment horizontal="center" vertical="center" wrapText="1"/>
    </xf>
    <xf numFmtId="10" fontId="41" fillId="2" borderId="9" xfId="13" applyNumberFormat="1" applyFont="1" applyFill="1" applyBorder="1" applyAlignment="1">
      <alignment horizontal="center" vertical="center" wrapText="1"/>
    </xf>
    <xf numFmtId="14" fontId="41" fillId="2" borderId="9" xfId="0" applyNumberFormat="1" applyFont="1" applyFill="1" applyBorder="1" applyAlignment="1">
      <alignment horizontal="center" vertical="center" wrapText="1"/>
    </xf>
    <xf numFmtId="0" fontId="41" fillId="2" borderId="10" xfId="0" applyFont="1" applyFill="1" applyBorder="1" applyAlignment="1">
      <alignment horizontal="center" vertical="center" wrapText="1"/>
    </xf>
    <xf numFmtId="0" fontId="33" fillId="3" borderId="11" xfId="0" applyFont="1" applyFill="1" applyBorder="1" applyAlignment="1">
      <alignment horizontal="center" vertical="center"/>
    </xf>
    <xf numFmtId="0" fontId="33" fillId="3" borderId="12" xfId="0" applyFont="1" applyFill="1" applyBorder="1" applyAlignment="1">
      <alignment horizontal="center" vertical="center"/>
    </xf>
    <xf numFmtId="168" fontId="33" fillId="3" borderId="13" xfId="0" applyNumberFormat="1" applyFont="1" applyFill="1" applyBorder="1" applyAlignment="1">
      <alignment horizontal="center" vertical="center"/>
    </xf>
    <xf numFmtId="0" fontId="33" fillId="3" borderId="14" xfId="0" applyFont="1" applyFill="1" applyBorder="1" applyAlignment="1">
      <alignment horizontal="center" vertical="center"/>
    </xf>
    <xf numFmtId="0" fontId="33" fillId="3" borderId="15" xfId="0" applyFont="1" applyFill="1" applyBorder="1" applyAlignment="1">
      <alignment horizontal="center" vertical="center"/>
    </xf>
    <xf numFmtId="168" fontId="33" fillId="3" borderId="16" xfId="0" applyNumberFormat="1" applyFont="1" applyFill="1" applyBorder="1" applyAlignment="1">
      <alignment horizontal="center" vertical="center"/>
    </xf>
    <xf numFmtId="0" fontId="43" fillId="3" borderId="11" xfId="0" applyFont="1" applyFill="1" applyBorder="1" applyAlignment="1">
      <alignment horizontal="center"/>
    </xf>
    <xf numFmtId="4" fontId="40" fillId="3" borderId="12" xfId="0" applyNumberFormat="1" applyFont="1" applyFill="1" applyBorder="1" applyAlignment="1">
      <alignment horizontal="center" vertical="center" wrapText="1"/>
    </xf>
    <xf numFmtId="4" fontId="40" fillId="3" borderId="12" xfId="0" applyNumberFormat="1" applyFont="1" applyFill="1" applyBorder="1" applyAlignment="1">
      <alignment horizontal="center" vertical="center"/>
    </xf>
    <xf numFmtId="4" fontId="44" fillId="3" borderId="12" xfId="1" applyNumberFormat="1" applyFont="1" applyFill="1" applyBorder="1" applyAlignment="1">
      <alignment horizontal="center" vertical="center"/>
    </xf>
    <xf numFmtId="4" fontId="45" fillId="3" borderId="12" xfId="0" applyNumberFormat="1" applyFont="1" applyFill="1" applyBorder="1"/>
    <xf numFmtId="167" fontId="40" fillId="3" borderId="12" xfId="4" applyNumberFormat="1" applyFont="1" applyFill="1" applyBorder="1" applyAlignment="1">
      <alignment horizontal="center" vertical="center"/>
    </xf>
    <xf numFmtId="167" fontId="43" fillId="3" borderId="12" xfId="4" applyNumberFormat="1" applyFont="1" applyFill="1" applyBorder="1" applyAlignment="1">
      <alignment horizontal="center" vertical="center"/>
    </xf>
    <xf numFmtId="167" fontId="45" fillId="3" borderId="12" xfId="4" applyNumberFormat="1" applyFont="1" applyFill="1" applyBorder="1"/>
    <xf numFmtId="0" fontId="45" fillId="3" borderId="12" xfId="0" applyFont="1" applyFill="1" applyBorder="1"/>
    <xf numFmtId="10" fontId="45" fillId="3" borderId="12" xfId="0" applyNumberFormat="1" applyFont="1" applyFill="1" applyBorder="1"/>
    <xf numFmtId="14" fontId="45" fillId="3" borderId="12" xfId="0" applyNumberFormat="1" applyFont="1" applyFill="1" applyBorder="1"/>
    <xf numFmtId="168" fontId="45" fillId="3" borderId="13" xfId="0" applyNumberFormat="1" applyFont="1" applyFill="1" applyBorder="1"/>
    <xf numFmtId="0" fontId="46" fillId="3" borderId="12" xfId="0" applyFont="1" applyFill="1" applyBorder="1" applyAlignment="1">
      <alignment horizontal="center"/>
    </xf>
    <xf numFmtId="4" fontId="46" fillId="3" borderId="12" xfId="0" applyNumberFormat="1" applyFont="1" applyFill="1" applyBorder="1" applyAlignment="1">
      <alignment horizontal="left" vertical="center"/>
    </xf>
    <xf numFmtId="4" fontId="46" fillId="3" borderId="12" xfId="0" applyNumberFormat="1" applyFont="1" applyFill="1" applyBorder="1" applyAlignment="1">
      <alignment horizontal="center"/>
    </xf>
    <xf numFmtId="4" fontId="46" fillId="3" borderId="12" xfId="0" applyNumberFormat="1" applyFont="1" applyFill="1" applyBorder="1" applyAlignment="1">
      <alignment horizontal="center" vertical="center"/>
    </xf>
    <xf numFmtId="167" fontId="46" fillId="3" borderId="12" xfId="4" applyNumberFormat="1" applyFont="1" applyFill="1" applyBorder="1"/>
    <xf numFmtId="167" fontId="43" fillId="3" borderId="12" xfId="4" applyNumberFormat="1" applyFont="1" applyFill="1" applyBorder="1"/>
    <xf numFmtId="0" fontId="43" fillId="3" borderId="12" xfId="0" applyFont="1" applyFill="1" applyBorder="1" applyAlignment="1">
      <alignment horizontal="center"/>
    </xf>
    <xf numFmtId="4" fontId="43" fillId="3" borderId="12" xfId="0" applyNumberFormat="1" applyFont="1" applyFill="1" applyBorder="1" applyAlignment="1">
      <alignment horizontal="left" vertical="center"/>
    </xf>
    <xf numFmtId="4" fontId="43" fillId="3" borderId="12" xfId="0" applyNumberFormat="1" applyFont="1" applyFill="1" applyBorder="1" applyAlignment="1">
      <alignment horizontal="center"/>
    </xf>
    <xf numFmtId="4" fontId="43" fillId="3" borderId="12" xfId="0" applyNumberFormat="1" applyFont="1" applyFill="1" applyBorder="1" applyAlignment="1">
      <alignment horizontal="center" vertical="center"/>
    </xf>
    <xf numFmtId="4" fontId="43" fillId="3" borderId="12" xfId="0" applyNumberFormat="1" applyFont="1" applyFill="1" applyBorder="1"/>
    <xf numFmtId="0" fontId="43" fillId="3" borderId="14" xfId="0" applyFont="1" applyFill="1" applyBorder="1" applyAlignment="1">
      <alignment horizontal="center"/>
    </xf>
    <xf numFmtId="0" fontId="43" fillId="3" borderId="15" xfId="0" applyFont="1" applyFill="1" applyBorder="1" applyAlignment="1">
      <alignment horizontal="center"/>
    </xf>
    <xf numFmtId="4" fontId="43" fillId="3" borderId="15" xfId="0" applyNumberFormat="1" applyFont="1" applyFill="1" applyBorder="1"/>
    <xf numFmtId="4" fontId="43" fillId="3" borderId="15" xfId="0" applyNumberFormat="1" applyFont="1" applyFill="1" applyBorder="1" applyAlignment="1">
      <alignment horizontal="center"/>
    </xf>
    <xf numFmtId="4" fontId="45" fillId="3" borderId="15" xfId="0" applyNumberFormat="1" applyFont="1" applyFill="1" applyBorder="1"/>
    <xf numFmtId="167" fontId="40" fillId="3" borderId="15" xfId="4" applyNumberFormat="1" applyFont="1" applyFill="1" applyBorder="1" applyAlignment="1">
      <alignment horizontal="center" vertical="center"/>
    </xf>
    <xf numFmtId="167" fontId="43" fillId="3" borderId="15" xfId="4" applyNumberFormat="1" applyFont="1" applyFill="1" applyBorder="1"/>
    <xf numFmtId="167" fontId="45" fillId="3" borderId="15" xfId="4" applyNumberFormat="1" applyFont="1" applyFill="1" applyBorder="1"/>
    <xf numFmtId="0" fontId="45" fillId="3" borderId="15" xfId="0" applyFont="1" applyFill="1" applyBorder="1"/>
    <xf numFmtId="10" fontId="45" fillId="3" borderId="15" xfId="0" applyNumberFormat="1" applyFont="1" applyFill="1" applyBorder="1"/>
    <xf numFmtId="14" fontId="45" fillId="3" borderId="15" xfId="0" applyNumberFormat="1" applyFont="1" applyFill="1" applyBorder="1"/>
    <xf numFmtId="168" fontId="45" fillId="3" borderId="16" xfId="0" applyNumberFormat="1" applyFont="1" applyFill="1" applyBorder="1"/>
    <xf numFmtId="0" fontId="39" fillId="3" borderId="11" xfId="0" applyFont="1" applyFill="1" applyBorder="1" applyAlignment="1">
      <alignment horizontal="center" vertical="center"/>
    </xf>
    <xf numFmtId="167" fontId="40" fillId="3" borderId="12" xfId="0" applyNumberFormat="1" applyFont="1" applyFill="1" applyBorder="1" applyAlignment="1">
      <alignment horizontal="center" vertical="center"/>
    </xf>
    <xf numFmtId="0" fontId="46" fillId="3" borderId="11" xfId="0" applyFont="1" applyFill="1" applyBorder="1" applyAlignment="1">
      <alignment horizontal="center"/>
    </xf>
    <xf numFmtId="167" fontId="46" fillId="3" borderId="12" xfId="0" applyNumberFormat="1" applyFont="1" applyFill="1" applyBorder="1" applyAlignment="1">
      <alignment horizontal="left" vertical="center"/>
    </xf>
    <xf numFmtId="167" fontId="43" fillId="3" borderId="12" xfId="0" applyNumberFormat="1" applyFont="1" applyFill="1" applyBorder="1" applyAlignment="1">
      <alignment horizontal="left" vertical="center"/>
    </xf>
    <xf numFmtId="167" fontId="43" fillId="3" borderId="12" xfId="0" applyNumberFormat="1" applyFont="1" applyFill="1" applyBorder="1"/>
    <xf numFmtId="167" fontId="43" fillId="3" borderId="15" xfId="0" applyNumberFormat="1" applyFont="1" applyFill="1" applyBorder="1"/>
    <xf numFmtId="0" fontId="43" fillId="3" borderId="12" xfId="0" applyFont="1" applyFill="1" applyBorder="1"/>
    <xf numFmtId="4" fontId="40" fillId="3" borderId="15" xfId="0" applyNumberFormat="1" applyFont="1" applyFill="1" applyBorder="1" applyAlignment="1">
      <alignment horizontal="center" vertical="center" wrapText="1"/>
    </xf>
    <xf numFmtId="0" fontId="43" fillId="3" borderId="15" xfId="0" applyFont="1" applyFill="1" applyBorder="1"/>
    <xf numFmtId="167" fontId="45" fillId="3" borderId="12" xfId="0" applyNumberFormat="1" applyFont="1" applyFill="1" applyBorder="1"/>
    <xf numFmtId="167" fontId="40" fillId="3" borderId="15" xfId="0" applyNumberFormat="1" applyFont="1" applyFill="1" applyBorder="1" applyAlignment="1">
      <alignment horizontal="center" vertical="center"/>
    </xf>
    <xf numFmtId="167" fontId="45" fillId="3" borderId="15" xfId="0" applyNumberFormat="1" applyFont="1" applyFill="1" applyBorder="1"/>
    <xf numFmtId="0" fontId="45" fillId="3" borderId="12" xfId="0" applyFont="1" applyFill="1" applyBorder="1" applyAlignment="1">
      <alignment horizontal="right"/>
    </xf>
    <xf numFmtId="3" fontId="45" fillId="3" borderId="12" xfId="0" applyNumberFormat="1" applyFont="1" applyFill="1" applyBorder="1"/>
    <xf numFmtId="167" fontId="40" fillId="3" borderId="12" xfId="0" applyNumberFormat="1" applyFont="1" applyFill="1" applyBorder="1"/>
    <xf numFmtId="0" fontId="45" fillId="3" borderId="15" xfId="0" applyFont="1" applyFill="1" applyBorder="1" applyAlignment="1">
      <alignment horizontal="right"/>
    </xf>
    <xf numFmtId="4" fontId="43" fillId="3" borderId="15" xfId="0" applyNumberFormat="1" applyFont="1" applyFill="1" applyBorder="1" applyAlignment="1">
      <alignment horizontal="center" vertical="center"/>
    </xf>
    <xf numFmtId="167" fontId="40" fillId="3" borderId="15" xfId="0" applyNumberFormat="1" applyFont="1" applyFill="1" applyBorder="1"/>
    <xf numFmtId="3" fontId="45" fillId="3" borderId="15" xfId="0" applyNumberFormat="1" applyFont="1" applyFill="1" applyBorder="1"/>
    <xf numFmtId="4" fontId="40" fillId="3" borderId="12" xfId="1" applyNumberFormat="1" applyFont="1" applyFill="1" applyBorder="1" applyAlignment="1">
      <alignment horizontal="center" vertical="center"/>
    </xf>
    <xf numFmtId="4" fontId="40" fillId="3" borderId="12" xfId="0" applyNumberFormat="1" applyFont="1" applyFill="1" applyBorder="1" applyAlignment="1">
      <alignment horizontal="right" vertical="center" wrapText="1"/>
    </xf>
    <xf numFmtId="0" fontId="40" fillId="3" borderId="11" xfId="0" applyFont="1" applyFill="1" applyBorder="1" applyAlignment="1">
      <alignment horizontal="center"/>
    </xf>
    <xf numFmtId="0" fontId="40" fillId="3" borderId="12" xfId="0" applyFont="1" applyFill="1" applyBorder="1" applyAlignment="1">
      <alignment horizontal="center"/>
    </xf>
    <xf numFmtId="4" fontId="40" fillId="3" borderId="12" xfId="0" applyNumberFormat="1" applyFont="1" applyFill="1" applyBorder="1" applyAlignment="1">
      <alignment horizontal="center"/>
    </xf>
    <xf numFmtId="4" fontId="33" fillId="3" borderId="12" xfId="0" applyNumberFormat="1" applyFont="1" applyFill="1" applyBorder="1" applyAlignment="1">
      <alignment horizontal="center"/>
    </xf>
    <xf numFmtId="167" fontId="33" fillId="3" borderId="12" xfId="4" applyNumberFormat="1" applyFont="1" applyFill="1" applyBorder="1" applyAlignment="1">
      <alignment horizontal="center"/>
    </xf>
    <xf numFmtId="167" fontId="40" fillId="3" borderId="12" xfId="4" applyNumberFormat="1" applyFont="1" applyFill="1" applyBorder="1" applyAlignment="1">
      <alignment horizontal="center"/>
    </xf>
    <xf numFmtId="0" fontId="33" fillId="3" borderId="12" xfId="0" applyFont="1" applyFill="1" applyBorder="1" applyAlignment="1">
      <alignment horizontal="center"/>
    </xf>
    <xf numFmtId="10" fontId="33" fillId="3" borderId="12" xfId="0" applyNumberFormat="1" applyFont="1" applyFill="1" applyBorder="1" applyAlignment="1">
      <alignment horizontal="center"/>
    </xf>
    <xf numFmtId="14" fontId="33" fillId="3" borderId="12" xfId="0" applyNumberFormat="1" applyFont="1" applyFill="1" applyBorder="1" applyAlignment="1">
      <alignment horizontal="center"/>
    </xf>
    <xf numFmtId="168" fontId="33" fillId="3" borderId="13" xfId="0" applyNumberFormat="1" applyFont="1" applyFill="1" applyBorder="1" applyAlignment="1">
      <alignment horizontal="center"/>
    </xf>
    <xf numFmtId="4" fontId="43" fillId="3" borderId="12" xfId="0" applyNumberFormat="1" applyFont="1" applyFill="1" applyBorder="1" applyAlignment="1">
      <alignment horizontal="right" vertical="center"/>
    </xf>
    <xf numFmtId="4" fontId="43" fillId="3" borderId="12" xfId="0" applyNumberFormat="1" applyFont="1" applyFill="1" applyBorder="1" applyAlignment="1">
      <alignment horizontal="right"/>
    </xf>
    <xf numFmtId="4" fontId="40" fillId="3" borderId="15" xfId="0" applyNumberFormat="1" applyFont="1" applyFill="1" applyBorder="1" applyAlignment="1">
      <alignment horizontal="center"/>
    </xf>
    <xf numFmtId="4" fontId="43" fillId="3" borderId="15" xfId="0" applyNumberFormat="1" applyFont="1" applyFill="1" applyBorder="1" applyAlignment="1">
      <alignment horizontal="right"/>
    </xf>
    <xf numFmtId="0" fontId="33" fillId="3" borderId="11" xfId="0" applyFont="1" applyFill="1" applyBorder="1"/>
    <xf numFmtId="0" fontId="33" fillId="3" borderId="12" xfId="0" applyFont="1" applyFill="1" applyBorder="1"/>
    <xf numFmtId="4" fontId="33" fillId="3" borderId="12" xfId="0" applyNumberFormat="1" applyFont="1" applyFill="1" applyBorder="1"/>
    <xf numFmtId="0" fontId="33" fillId="3" borderId="14" xfId="0" applyFont="1" applyFill="1" applyBorder="1"/>
    <xf numFmtId="0" fontId="33" fillId="3" borderId="15" xfId="0" applyFont="1" applyFill="1" applyBorder="1"/>
    <xf numFmtId="4" fontId="33" fillId="3" borderId="15" xfId="0" applyNumberFormat="1" applyFont="1" applyFill="1" applyBorder="1"/>
    <xf numFmtId="4" fontId="33" fillId="3" borderId="15" xfId="0" applyNumberFormat="1" applyFont="1" applyFill="1" applyBorder="1" applyAlignment="1">
      <alignment horizontal="center"/>
    </xf>
    <xf numFmtId="167" fontId="40" fillId="3" borderId="12" xfId="0" applyNumberFormat="1" applyFont="1" applyFill="1" applyBorder="1" applyAlignment="1">
      <alignment horizontal="center" vertical="center" wrapText="1"/>
    </xf>
    <xf numFmtId="0" fontId="43" fillId="3" borderId="12" xfId="0" applyFont="1" applyFill="1" applyBorder="1" applyAlignment="1">
      <alignment horizontal="center" vertical="center"/>
    </xf>
    <xf numFmtId="4" fontId="40" fillId="3" borderId="12" xfId="0" applyNumberFormat="1" applyFont="1" applyFill="1" applyBorder="1" applyAlignment="1">
      <alignment horizontal="left" vertical="center"/>
    </xf>
    <xf numFmtId="167" fontId="46" fillId="3" borderId="12" xfId="0" applyNumberFormat="1" applyFont="1" applyFill="1" applyBorder="1"/>
    <xf numFmtId="4" fontId="40" fillId="3" borderId="12" xfId="0" applyNumberFormat="1" applyFont="1" applyFill="1" applyBorder="1"/>
    <xf numFmtId="0" fontId="45" fillId="3" borderId="12" xfId="0" applyFont="1" applyFill="1" applyBorder="1" applyAlignment="1">
      <alignment horizontal="center"/>
    </xf>
    <xf numFmtId="0" fontId="45" fillId="3" borderId="11" xfId="0" applyFont="1" applyFill="1" applyBorder="1"/>
    <xf numFmtId="0" fontId="45" fillId="3" borderId="14" xfId="0" applyFont="1" applyFill="1" applyBorder="1"/>
    <xf numFmtId="0" fontId="45" fillId="3" borderId="15" xfId="0" applyFont="1" applyFill="1" applyBorder="1" applyAlignment="1">
      <alignment horizontal="center"/>
    </xf>
    <xf numFmtId="165" fontId="43" fillId="3" borderId="11" xfId="2" applyNumberFormat="1" applyFont="1" applyFill="1" applyBorder="1" applyAlignment="1">
      <alignment horizontal="center" vertical="center"/>
    </xf>
    <xf numFmtId="0" fontId="49" fillId="0" borderId="13" xfId="0" applyFont="1" applyBorder="1"/>
    <xf numFmtId="0" fontId="33" fillId="3" borderId="12" xfId="2" applyFont="1" applyFill="1" applyBorder="1"/>
    <xf numFmtId="0" fontId="45" fillId="3" borderId="12" xfId="0" applyFont="1" applyFill="1" applyBorder="1" applyAlignment="1">
      <alignment vertical="center"/>
    </xf>
    <xf numFmtId="0" fontId="33" fillId="3" borderId="15" xfId="2" applyFont="1" applyFill="1" applyBorder="1"/>
    <xf numFmtId="0" fontId="45" fillId="3" borderId="15" xfId="0" applyFont="1" applyFill="1" applyBorder="1" applyAlignment="1">
      <alignment vertical="center"/>
    </xf>
    <xf numFmtId="167" fontId="43" fillId="3" borderId="15" xfId="3" applyNumberFormat="1" applyFont="1" applyFill="1" applyBorder="1" applyAlignment="1">
      <alignment horizontal="right" vertical="center"/>
    </xf>
    <xf numFmtId="167" fontId="48" fillId="3" borderId="15" xfId="3" applyNumberFormat="1" applyFont="1" applyFill="1" applyBorder="1" applyAlignment="1">
      <alignment horizontal="center" vertical="center"/>
    </xf>
    <xf numFmtId="0" fontId="49" fillId="0" borderId="16" xfId="0" applyFont="1" applyBorder="1"/>
    <xf numFmtId="3" fontId="43" fillId="3" borderId="12" xfId="2" applyNumberFormat="1" applyFont="1" applyFill="1" applyBorder="1" applyAlignment="1">
      <alignment horizontal="center" vertical="center"/>
    </xf>
    <xf numFmtId="166" fontId="43" fillId="3" borderId="12" xfId="2" applyNumberFormat="1" applyFont="1" applyFill="1" applyBorder="1" applyAlignment="1">
      <alignment horizontal="center" vertical="center"/>
    </xf>
    <xf numFmtId="4" fontId="43" fillId="3" borderId="12" xfId="2" applyNumberFormat="1" applyFont="1" applyFill="1" applyBorder="1" applyAlignment="1">
      <alignment horizontal="center" vertical="center"/>
    </xf>
    <xf numFmtId="4" fontId="47" fillId="3" borderId="12" xfId="1" applyNumberFormat="1" applyFont="1" applyFill="1" applyBorder="1" applyAlignment="1">
      <alignment horizontal="center" vertical="center"/>
    </xf>
    <xf numFmtId="4" fontId="33" fillId="3" borderId="12" xfId="0" applyNumberFormat="1" applyFont="1" applyFill="1" applyBorder="1" applyAlignment="1">
      <alignment horizontal="center" vertical="center" wrapText="1"/>
    </xf>
    <xf numFmtId="4" fontId="43" fillId="3" borderId="12" xfId="3" applyNumberFormat="1" applyFont="1" applyFill="1" applyBorder="1" applyAlignment="1">
      <alignment horizontal="right" vertical="center"/>
    </xf>
    <xf numFmtId="167" fontId="43" fillId="3" borderId="12" xfId="3" applyNumberFormat="1" applyFont="1" applyFill="1" applyBorder="1" applyAlignment="1">
      <alignment horizontal="right" vertical="center"/>
    </xf>
    <xf numFmtId="167" fontId="33" fillId="3" borderId="12" xfId="0" applyNumberFormat="1" applyFont="1" applyFill="1" applyBorder="1" applyAlignment="1">
      <alignment horizontal="center" vertical="center" wrapText="1"/>
    </xf>
    <xf numFmtId="167" fontId="48" fillId="3" borderId="12" xfId="3" applyNumberFormat="1" applyFont="1" applyFill="1" applyBorder="1" applyAlignment="1">
      <alignment horizontal="center" vertical="center"/>
    </xf>
    <xf numFmtId="164" fontId="33" fillId="3" borderId="12" xfId="0" applyNumberFormat="1" applyFont="1" applyFill="1" applyBorder="1" applyAlignment="1">
      <alignment horizontal="center" vertical="center"/>
    </xf>
    <xf numFmtId="168" fontId="45" fillId="3" borderId="12" xfId="0" applyNumberFormat="1" applyFont="1" applyFill="1" applyBorder="1"/>
    <xf numFmtId="0" fontId="50" fillId="3" borderId="12" xfId="0" applyFont="1" applyFill="1" applyBorder="1"/>
    <xf numFmtId="0" fontId="41" fillId="2" borderId="10" xfId="0" applyFont="1" applyFill="1" applyBorder="1" applyAlignment="1">
      <alignment horizontal="center" vertical="center"/>
    </xf>
    <xf numFmtId="3" fontId="40" fillId="3" borderId="12" xfId="0" applyNumberFormat="1" applyFont="1" applyFill="1" applyBorder="1" applyAlignment="1">
      <alignment horizontal="center" vertical="center"/>
    </xf>
    <xf numFmtId="166" fontId="40" fillId="3" borderId="12" xfId="0" applyNumberFormat="1" applyFont="1" applyFill="1" applyBorder="1" applyAlignment="1">
      <alignment horizontal="center" vertical="center"/>
    </xf>
    <xf numFmtId="3" fontId="40" fillId="3" borderId="12" xfId="0" applyNumberFormat="1" applyFont="1" applyFill="1" applyBorder="1" applyAlignment="1">
      <alignment horizontal="center"/>
    </xf>
    <xf numFmtId="166" fontId="40" fillId="3" borderId="12" xfId="0" applyNumberFormat="1" applyFont="1" applyFill="1" applyBorder="1" applyAlignment="1">
      <alignment horizontal="center"/>
    </xf>
    <xf numFmtId="167" fontId="40" fillId="3" borderId="12" xfId="0" applyNumberFormat="1" applyFont="1" applyFill="1" applyBorder="1" applyAlignment="1">
      <alignment horizontal="left" vertical="center"/>
    </xf>
    <xf numFmtId="10" fontId="33" fillId="3" borderId="12" xfId="0" applyNumberFormat="1" applyFont="1" applyFill="1" applyBorder="1"/>
    <xf numFmtId="14" fontId="33" fillId="3" borderId="12" xfId="0" applyNumberFormat="1" applyFont="1" applyFill="1" applyBorder="1"/>
    <xf numFmtId="168" fontId="33" fillId="3" borderId="13" xfId="0" applyNumberFormat="1" applyFont="1" applyFill="1" applyBorder="1"/>
    <xf numFmtId="3" fontId="43" fillId="3" borderId="12" xfId="0" applyNumberFormat="1" applyFont="1" applyFill="1" applyBorder="1" applyAlignment="1">
      <alignment horizontal="center"/>
    </xf>
    <xf numFmtId="166" fontId="43" fillId="3" borderId="12" xfId="0" applyNumberFormat="1" applyFont="1" applyFill="1" applyBorder="1" applyAlignment="1">
      <alignment horizontal="center"/>
    </xf>
    <xf numFmtId="167" fontId="43" fillId="3" borderId="12" xfId="0" applyNumberFormat="1" applyFont="1" applyFill="1" applyBorder="1" applyAlignment="1">
      <alignment horizontal="center" vertical="center"/>
    </xf>
    <xf numFmtId="167" fontId="43" fillId="3" borderId="12" xfId="0" applyNumberFormat="1" applyFont="1" applyFill="1" applyBorder="1" applyAlignment="1">
      <alignment horizontal="center"/>
    </xf>
    <xf numFmtId="0" fontId="40" fillId="3" borderId="14" xfId="0" applyFont="1" applyFill="1" applyBorder="1" applyAlignment="1">
      <alignment horizontal="center"/>
    </xf>
    <xf numFmtId="3" fontId="43" fillId="3" borderId="15" xfId="0" applyNumberFormat="1" applyFont="1" applyFill="1" applyBorder="1" applyAlignment="1">
      <alignment horizontal="center"/>
    </xf>
    <xf numFmtId="166" fontId="43" fillId="3" borderId="15" xfId="0" applyNumberFormat="1" applyFont="1" applyFill="1" applyBorder="1" applyAlignment="1">
      <alignment horizontal="center"/>
    </xf>
    <xf numFmtId="4" fontId="44" fillId="3" borderId="15" xfId="1" applyNumberFormat="1" applyFont="1" applyFill="1" applyBorder="1" applyAlignment="1">
      <alignment horizontal="center" vertical="center"/>
    </xf>
    <xf numFmtId="167" fontId="43" fillId="3" borderId="15" xfId="0" applyNumberFormat="1" applyFont="1" applyFill="1" applyBorder="1" applyAlignment="1">
      <alignment horizontal="center"/>
    </xf>
    <xf numFmtId="0" fontId="49" fillId="0" borderId="0" xfId="0" applyFont="1" applyAlignment="1">
      <alignment horizontal="center"/>
    </xf>
    <xf numFmtId="0" fontId="49" fillId="0" borderId="12" xfId="0" applyFont="1" applyBorder="1" applyAlignment="1">
      <alignment horizontal="center"/>
    </xf>
    <xf numFmtId="0" fontId="49" fillId="0" borderId="18" xfId="0" applyFont="1" applyBorder="1" applyAlignment="1">
      <alignment horizontal="center"/>
    </xf>
    <xf numFmtId="0" fontId="23" fillId="0" borderId="0" xfId="0" applyFont="1"/>
    <xf numFmtId="0" fontId="21" fillId="0" borderId="0" xfId="0" applyFont="1" applyAlignment="1">
      <alignment vertical="center"/>
    </xf>
    <xf numFmtId="0" fontId="22" fillId="0" borderId="0" xfId="0" applyFont="1" applyAlignment="1">
      <alignment horizontal="center" vertical="center"/>
    </xf>
    <xf numFmtId="171" fontId="35" fillId="0" borderId="0" xfId="0" applyNumberFormat="1" applyFont="1" applyAlignment="1">
      <alignment horizontal="center" vertical="center"/>
    </xf>
    <xf numFmtId="0" fontId="38" fillId="0" borderId="0" xfId="0" applyFont="1" applyAlignment="1">
      <alignment vertical="center"/>
    </xf>
    <xf numFmtId="0" fontId="22" fillId="0" borderId="0" xfId="0" applyFont="1" applyAlignment="1">
      <alignment vertical="center"/>
    </xf>
    <xf numFmtId="171" fontId="35" fillId="0" borderId="0" xfId="0" applyNumberFormat="1" applyFont="1" applyAlignment="1">
      <alignment vertical="center"/>
    </xf>
    <xf numFmtId="0" fontId="21" fillId="4" borderId="0" xfId="0" applyFont="1" applyFill="1" applyAlignment="1">
      <alignment vertical="center"/>
    </xf>
    <xf numFmtId="0" fontId="22" fillId="4" borderId="0" xfId="0" applyFont="1" applyFill="1" applyAlignment="1">
      <alignment horizontal="center" vertical="center"/>
    </xf>
    <xf numFmtId="0" fontId="28" fillId="3" borderId="0" xfId="0" applyFont="1" applyFill="1" applyAlignment="1">
      <alignment horizontal="center"/>
    </xf>
    <xf numFmtId="0" fontId="30" fillId="3" borderId="0" xfId="0" applyFont="1" applyFill="1" applyAlignment="1">
      <alignment vertical="top"/>
    </xf>
    <xf numFmtId="0" fontId="23" fillId="3" borderId="0" xfId="0" applyFont="1" applyFill="1" applyAlignment="1">
      <alignment vertical="center"/>
    </xf>
    <xf numFmtId="0" fontId="27" fillId="3" borderId="0" xfId="0" applyFont="1" applyFill="1" applyAlignment="1">
      <alignment horizontal="right" vertical="center"/>
    </xf>
    <xf numFmtId="0" fontId="28" fillId="3" borderId="23" xfId="0" applyFont="1" applyFill="1" applyBorder="1" applyAlignment="1">
      <alignment horizontal="center" vertical="center"/>
    </xf>
    <xf numFmtId="49" fontId="49" fillId="0" borderId="12" xfId="0" applyNumberFormat="1" applyFont="1" applyBorder="1" applyAlignment="1">
      <alignment horizontal="center"/>
    </xf>
    <xf numFmtId="49" fontId="49" fillId="0" borderId="18" xfId="0" applyNumberFormat="1" applyFont="1" applyBorder="1" applyAlignment="1">
      <alignment horizontal="center"/>
    </xf>
    <xf numFmtId="169" fontId="49" fillId="0" borderId="12" xfId="13" applyNumberFormat="1" applyFont="1" applyBorder="1" applyAlignment="1">
      <alignment horizontal="center"/>
    </xf>
    <xf numFmtId="0" fontId="41" fillId="4" borderId="17" xfId="0" applyFont="1" applyFill="1" applyBorder="1" applyAlignment="1">
      <alignment horizontal="center" vertical="center" wrapText="1"/>
    </xf>
    <xf numFmtId="49" fontId="41" fillId="4" borderId="17" xfId="0" applyNumberFormat="1" applyFont="1" applyFill="1" applyBorder="1" applyAlignment="1">
      <alignment horizontal="center" vertical="center" wrapText="1"/>
    </xf>
    <xf numFmtId="167" fontId="41" fillId="4" borderId="17" xfId="4" applyNumberFormat="1" applyFont="1" applyFill="1" applyBorder="1" applyAlignment="1">
      <alignment horizontal="center" vertical="center" wrapText="1"/>
    </xf>
    <xf numFmtId="14" fontId="41" fillId="4" borderId="17" xfId="0" applyNumberFormat="1" applyFont="1" applyFill="1" applyBorder="1" applyAlignment="1">
      <alignment horizontal="center" vertical="center" wrapText="1"/>
    </xf>
    <xf numFmtId="0" fontId="20" fillId="4" borderId="9" xfId="0" applyFont="1" applyFill="1" applyBorder="1" applyAlignment="1">
      <alignment horizontal="center" vertical="center" wrapText="1"/>
    </xf>
    <xf numFmtId="0" fontId="20" fillId="4" borderId="10" xfId="0" applyFont="1" applyFill="1" applyBorder="1" applyAlignment="1">
      <alignment horizontal="center" vertical="center" wrapText="1"/>
    </xf>
    <xf numFmtId="0" fontId="53" fillId="5" borderId="17" xfId="0" applyFont="1" applyFill="1" applyBorder="1" applyAlignment="1">
      <alignment horizontal="center" vertical="center" wrapText="1"/>
    </xf>
    <xf numFmtId="4" fontId="52" fillId="6" borderId="17" xfId="2" applyNumberFormat="1" applyFont="1" applyFill="1" applyBorder="1" applyAlignment="1">
      <alignment horizontal="center" vertical="center" wrapText="1"/>
    </xf>
    <xf numFmtId="49" fontId="52" fillId="6" borderId="17" xfId="2" applyNumberFormat="1" applyFont="1" applyFill="1" applyBorder="1" applyAlignment="1">
      <alignment horizontal="center" vertical="center" wrapText="1"/>
    </xf>
    <xf numFmtId="2" fontId="52" fillId="6" borderId="17" xfId="2" applyNumberFormat="1" applyFont="1" applyFill="1" applyBorder="1" applyAlignment="1">
      <alignment horizontal="center" vertical="center" wrapText="1"/>
    </xf>
    <xf numFmtId="0" fontId="53" fillId="6" borderId="17" xfId="0" applyFont="1" applyFill="1" applyBorder="1" applyAlignment="1">
      <alignment horizontal="center" vertical="center" wrapText="1"/>
    </xf>
    <xf numFmtId="170" fontId="53" fillId="5" borderId="17" xfId="4" applyNumberFormat="1" applyFont="1" applyFill="1" applyBorder="1" applyAlignment="1">
      <alignment horizontal="center" vertical="center" wrapText="1"/>
    </xf>
    <xf numFmtId="167" fontId="53" fillId="5" borderId="17" xfId="4" applyNumberFormat="1" applyFont="1" applyFill="1" applyBorder="1" applyAlignment="1">
      <alignment horizontal="center" vertical="center" wrapText="1"/>
    </xf>
    <xf numFmtId="170" fontId="49" fillId="0" borderId="12" xfId="0" applyNumberFormat="1" applyFont="1" applyBorder="1" applyAlignment="1">
      <alignment horizontal="center"/>
    </xf>
    <xf numFmtId="170" fontId="49" fillId="0" borderId="12" xfId="4" applyNumberFormat="1" applyFont="1" applyBorder="1" applyAlignment="1">
      <alignment horizontal="center"/>
    </xf>
    <xf numFmtId="167" fontId="49" fillId="0" borderId="12" xfId="4" applyNumberFormat="1" applyFont="1" applyBorder="1" applyAlignment="1">
      <alignment horizontal="center"/>
    </xf>
    <xf numFmtId="167" fontId="49" fillId="0" borderId="12" xfId="0" applyNumberFormat="1" applyFont="1" applyBorder="1" applyAlignment="1">
      <alignment horizontal="center"/>
    </xf>
    <xf numFmtId="170" fontId="49" fillId="0" borderId="12" xfId="4" applyNumberFormat="1" applyFont="1" applyFill="1" applyBorder="1" applyAlignment="1">
      <alignment horizontal="center"/>
    </xf>
    <xf numFmtId="167" fontId="49" fillId="0" borderId="12" xfId="4" applyNumberFormat="1" applyFont="1" applyFill="1" applyBorder="1" applyAlignment="1">
      <alignment horizontal="center"/>
    </xf>
    <xf numFmtId="169" fontId="49" fillId="0" borderId="12" xfId="13" applyNumberFormat="1" applyFont="1" applyFill="1" applyBorder="1" applyAlignment="1">
      <alignment horizontal="center"/>
    </xf>
    <xf numFmtId="170" fontId="49" fillId="0" borderId="18" xfId="0" applyNumberFormat="1" applyFont="1" applyBorder="1" applyAlignment="1">
      <alignment horizontal="center"/>
    </xf>
    <xf numFmtId="170" fontId="49" fillId="0" borderId="18" xfId="4" applyNumberFormat="1" applyFont="1" applyFill="1" applyBorder="1" applyAlignment="1">
      <alignment horizontal="center"/>
    </xf>
    <xf numFmtId="167" fontId="49" fillId="0" borderId="18" xfId="4" applyNumberFormat="1" applyFont="1" applyFill="1" applyBorder="1" applyAlignment="1">
      <alignment horizontal="center"/>
    </xf>
    <xf numFmtId="167" fontId="49" fillId="0" borderId="18" xfId="0" applyNumberFormat="1" applyFont="1" applyBorder="1" applyAlignment="1">
      <alignment horizontal="center"/>
    </xf>
    <xf numFmtId="169" fontId="49" fillId="0" borderId="18" xfId="13" applyNumberFormat="1" applyFont="1" applyFill="1" applyBorder="1" applyAlignment="1">
      <alignment horizontal="center"/>
    </xf>
    <xf numFmtId="167" fontId="49" fillId="0" borderId="0" xfId="4" applyNumberFormat="1" applyFont="1" applyFill="1" applyBorder="1" applyAlignment="1">
      <alignment horizontal="center"/>
    </xf>
    <xf numFmtId="10" fontId="49" fillId="0" borderId="0" xfId="13" applyNumberFormat="1" applyFont="1" applyFill="1" applyBorder="1" applyAlignment="1">
      <alignment horizontal="center"/>
    </xf>
    <xf numFmtId="167" fontId="0" fillId="0" borderId="0" xfId="4" applyNumberFormat="1" applyFont="1" applyFill="1" applyBorder="1" applyAlignment="1">
      <alignment horizontal="center"/>
    </xf>
    <xf numFmtId="10" fontId="0" fillId="0" borderId="0" xfId="13" applyNumberFormat="1" applyFont="1" applyFill="1" applyBorder="1" applyAlignment="1">
      <alignment horizontal="center"/>
    </xf>
    <xf numFmtId="169" fontId="54" fillId="4" borderId="17" xfId="13" applyNumberFormat="1" applyFont="1" applyFill="1" applyBorder="1" applyAlignment="1">
      <alignment horizontal="center" vertical="center" wrapText="1"/>
    </xf>
    <xf numFmtId="3" fontId="33" fillId="3" borderId="5" xfId="0" applyNumberFormat="1" applyFont="1" applyFill="1" applyBorder="1" applyAlignment="1">
      <alignment horizontal="center"/>
    </xf>
    <xf numFmtId="3" fontId="33" fillId="3" borderId="0" xfId="0" applyNumberFormat="1" applyFont="1" applyFill="1" applyAlignment="1">
      <alignment horizontal="center"/>
    </xf>
    <xf numFmtId="172" fontId="33" fillId="3" borderId="5" xfId="0" applyNumberFormat="1" applyFont="1" applyFill="1" applyBorder="1" applyAlignment="1">
      <alignment horizontal="center"/>
    </xf>
    <xf numFmtId="172" fontId="33" fillId="3" borderId="0" xfId="0" applyNumberFormat="1" applyFont="1" applyFill="1" applyAlignment="1">
      <alignment horizontal="center"/>
    </xf>
    <xf numFmtId="0" fontId="33" fillId="3" borderId="5" xfId="0" applyFont="1" applyFill="1" applyBorder="1" applyAlignment="1">
      <alignment wrapText="1"/>
    </xf>
    <xf numFmtId="173" fontId="33" fillId="3" borderId="5" xfId="0" applyNumberFormat="1" applyFont="1" applyFill="1" applyBorder="1" applyAlignment="1">
      <alignment wrapText="1"/>
    </xf>
    <xf numFmtId="0" fontId="33" fillId="3" borderId="0" xfId="0" applyFont="1" applyFill="1" applyAlignment="1">
      <alignment wrapText="1"/>
    </xf>
    <xf numFmtId="173" fontId="33" fillId="3" borderId="0" xfId="0" applyNumberFormat="1" applyFont="1" applyFill="1" applyAlignment="1">
      <alignment wrapText="1"/>
    </xf>
    <xf numFmtId="0" fontId="38" fillId="3" borderId="4" xfId="0" applyFont="1" applyFill="1" applyBorder="1" applyAlignment="1">
      <alignment vertical="center" wrapText="1"/>
    </xf>
    <xf numFmtId="0" fontId="12" fillId="7" borderId="0" xfId="0" applyFont="1" applyFill="1" applyAlignment="1">
      <alignment horizontal="center" vertical="center"/>
    </xf>
    <xf numFmtId="0" fontId="55" fillId="6" borderId="3" xfId="0" applyFont="1" applyFill="1" applyBorder="1"/>
    <xf numFmtId="173" fontId="55" fillId="6" borderId="3" xfId="0" applyNumberFormat="1" applyFont="1" applyFill="1" applyBorder="1"/>
    <xf numFmtId="3" fontId="55" fillId="6" borderId="3" xfId="0" applyNumberFormat="1" applyFont="1" applyFill="1" applyBorder="1" applyAlignment="1">
      <alignment horizontal="center"/>
    </xf>
    <xf numFmtId="169" fontId="55" fillId="6" borderId="3" xfId="0" applyNumberFormat="1" applyFont="1" applyFill="1" applyBorder="1" applyAlignment="1">
      <alignment horizontal="center"/>
    </xf>
    <xf numFmtId="172" fontId="55" fillId="6" borderId="3" xfId="0" applyNumberFormat="1" applyFont="1" applyFill="1" applyBorder="1" applyAlignment="1">
      <alignment horizontal="center"/>
    </xf>
    <xf numFmtId="0" fontId="0" fillId="8" borderId="0" xfId="0" applyFill="1"/>
    <xf numFmtId="0" fontId="56" fillId="8" borderId="0" xfId="0" applyFont="1" applyFill="1" applyAlignment="1">
      <alignment horizontal="center" vertical="center"/>
    </xf>
    <xf numFmtId="0" fontId="57" fillId="8" borderId="0" xfId="0" applyFont="1" applyFill="1"/>
    <xf numFmtId="169" fontId="0" fillId="8" borderId="0" xfId="0" applyNumberFormat="1" applyFill="1"/>
    <xf numFmtId="172" fontId="0" fillId="8" borderId="0" xfId="0" applyNumberFormat="1" applyFill="1"/>
    <xf numFmtId="0" fontId="0" fillId="3" borderId="0" xfId="0" applyFill="1"/>
    <xf numFmtId="3" fontId="0" fillId="8" borderId="0" xfId="0" applyNumberFormat="1" applyFill="1"/>
    <xf numFmtId="0" fontId="51" fillId="0" borderId="12" xfId="0" applyFont="1" applyBorder="1" applyAlignment="1">
      <alignment horizontal="center"/>
    </xf>
    <xf numFmtId="0" fontId="49" fillId="0" borderId="26" xfId="0" applyFont="1" applyBorder="1" applyAlignment="1">
      <alignment horizontal="center"/>
    </xf>
    <xf numFmtId="2" fontId="49" fillId="0" borderId="12" xfId="0" applyNumberFormat="1" applyFont="1" applyBorder="1" applyAlignment="1">
      <alignment horizontal="center"/>
    </xf>
    <xf numFmtId="0" fontId="49" fillId="0" borderId="18" xfId="0" applyFont="1" applyBorder="1" applyAlignment="1">
      <alignment horizontal="center" wrapText="1"/>
    </xf>
    <xf numFmtId="0" fontId="49" fillId="0" borderId="27" xfId="0" applyFont="1" applyBorder="1" applyAlignment="1">
      <alignment horizontal="center"/>
    </xf>
    <xf numFmtId="0" fontId="49" fillId="0" borderId="0" xfId="0" applyFont="1" applyAlignment="1">
      <alignment horizontal="center" wrapText="1"/>
    </xf>
    <xf numFmtId="0" fontId="49" fillId="0" borderId="14" xfId="0" applyFont="1" applyBorder="1" applyAlignment="1">
      <alignment horizontal="center"/>
    </xf>
    <xf numFmtId="0" fontId="49" fillId="0" borderId="15" xfId="0" applyFont="1" applyBorder="1" applyAlignment="1">
      <alignment horizontal="center"/>
    </xf>
    <xf numFmtId="0" fontId="49" fillId="0" borderId="15" xfId="0" applyFont="1" applyBorder="1" applyAlignment="1">
      <alignment horizontal="center" wrapText="1"/>
    </xf>
    <xf numFmtId="0" fontId="49" fillId="0" borderId="16" xfId="0" applyFont="1" applyBorder="1" applyAlignment="1">
      <alignment horizontal="center"/>
    </xf>
    <xf numFmtId="0" fontId="49" fillId="0" borderId="12" xfId="0" applyFont="1" applyBorder="1" applyAlignment="1">
      <alignment horizontal="center" wrapText="1"/>
    </xf>
    <xf numFmtId="2" fontId="49" fillId="0" borderId="18" xfId="0" applyNumberFormat="1" applyFont="1" applyBorder="1" applyAlignment="1">
      <alignment horizontal="center"/>
    </xf>
    <xf numFmtId="169" fontId="35" fillId="3" borderId="28" xfId="0" applyNumberFormat="1" applyFont="1" applyFill="1" applyBorder="1" applyAlignment="1">
      <alignment horizontal="center" vertical="center"/>
    </xf>
    <xf numFmtId="0" fontId="11" fillId="4" borderId="0" xfId="0" applyFont="1" applyFill="1" applyAlignment="1">
      <alignment horizontal="center" vertical="center"/>
    </xf>
    <xf numFmtId="172" fontId="0" fillId="0" borderId="0" xfId="0" applyNumberFormat="1" applyAlignment="1">
      <alignment horizontal="center" vertical="center"/>
    </xf>
    <xf numFmtId="0" fontId="0" fillId="0" borderId="0" xfId="0" applyAlignment="1">
      <alignment horizontal="left" vertical="center"/>
    </xf>
    <xf numFmtId="172" fontId="0" fillId="8" borderId="0" xfId="0" applyNumberFormat="1" applyFill="1" applyAlignment="1">
      <alignment horizontal="center"/>
    </xf>
    <xf numFmtId="3" fontId="55" fillId="6" borderId="0" xfId="0" applyNumberFormat="1" applyFont="1" applyFill="1" applyAlignment="1">
      <alignment horizontal="center"/>
    </xf>
    <xf numFmtId="3" fontId="33" fillId="3" borderId="23" xfId="0" applyNumberFormat="1" applyFont="1" applyFill="1" applyBorder="1" applyAlignment="1">
      <alignment horizontal="center"/>
    </xf>
    <xf numFmtId="0" fontId="24" fillId="3" borderId="0" xfId="0" applyFont="1" applyFill="1"/>
    <xf numFmtId="0" fontId="23" fillId="3" borderId="0" xfId="0" applyFont="1" applyFill="1"/>
    <xf numFmtId="0" fontId="17" fillId="2" borderId="0" xfId="0" applyFont="1" applyFill="1" applyAlignment="1">
      <alignment vertical="center" indent="1"/>
    </xf>
    <xf numFmtId="0" fontId="13" fillId="2" borderId="0" xfId="0" applyFont="1" applyFill="1" applyAlignment="1">
      <alignment horizontal="center" vertical="center" wrapText="1" indent="1"/>
    </xf>
    <xf numFmtId="0" fontId="11" fillId="2" borderId="0" xfId="0" applyFont="1" applyFill="1" applyAlignment="1">
      <alignment horizontal="center" vertical="center" wrapText="1"/>
    </xf>
    <xf numFmtId="0" fontId="18" fillId="2" borderId="0" xfId="0" applyFont="1" applyFill="1" applyAlignment="1">
      <alignment horizontal="center" vertical="center" wrapText="1" indent="1"/>
    </xf>
    <xf numFmtId="0" fontId="25" fillId="3" borderId="0" xfId="1" applyFont="1" applyFill="1" applyAlignment="1">
      <alignment horizontal="left" vertical="center" indent="1"/>
    </xf>
    <xf numFmtId="0" fontId="28" fillId="3" borderId="24" xfId="0" applyFont="1" applyFill="1" applyBorder="1" applyAlignment="1">
      <alignment horizontal="center" vertical="center"/>
    </xf>
    <xf numFmtId="0" fontId="28" fillId="3" borderId="25" xfId="0" applyFont="1" applyFill="1" applyBorder="1" applyAlignment="1">
      <alignment horizontal="center" vertical="center"/>
    </xf>
    <xf numFmtId="0" fontId="29" fillId="3" borderId="0" xfId="0" applyFont="1" applyFill="1" applyAlignment="1">
      <alignment horizontal="right"/>
    </xf>
    <xf numFmtId="0" fontId="31" fillId="3" borderId="0" xfId="0" applyFont="1" applyFill="1" applyAlignment="1">
      <alignment horizontal="right" vertical="top"/>
    </xf>
    <xf numFmtId="0" fontId="22" fillId="4" borderId="0" xfId="0" applyFont="1" applyFill="1" applyAlignment="1">
      <alignment horizontal="center" vertical="center"/>
    </xf>
    <xf numFmtId="172" fontId="35" fillId="3" borderId="19" xfId="0" applyNumberFormat="1" applyFont="1" applyFill="1" applyBorder="1" applyAlignment="1">
      <alignment horizontal="center" vertical="center"/>
    </xf>
    <xf numFmtId="171" fontId="35" fillId="3" borderId="19" xfId="0" applyNumberFormat="1" applyFont="1" applyFill="1" applyBorder="1" applyAlignment="1">
      <alignment horizontal="center" vertical="center"/>
    </xf>
    <xf numFmtId="3" fontId="35" fillId="3" borderId="19" xfId="0" applyNumberFormat="1" applyFont="1" applyFill="1" applyBorder="1" applyAlignment="1">
      <alignment horizontal="center" vertical="center"/>
    </xf>
    <xf numFmtId="0" fontId="22" fillId="2" borderId="0" xfId="0" applyFont="1" applyFill="1" applyAlignment="1">
      <alignment horizontal="center" vertical="center"/>
    </xf>
    <xf numFmtId="0" fontId="36" fillId="3" borderId="0" xfId="0" applyFont="1" applyFill="1" applyAlignment="1">
      <alignment horizontal="right" vertical="center"/>
    </xf>
    <xf numFmtId="0" fontId="36" fillId="3" borderId="21" xfId="0" applyFont="1" applyFill="1" applyBorder="1" applyAlignment="1">
      <alignment horizontal="right" vertical="center"/>
    </xf>
    <xf numFmtId="0" fontId="37" fillId="3" borderId="20" xfId="0" applyFont="1" applyFill="1" applyBorder="1" applyAlignment="1">
      <alignment horizontal="center" vertical="center"/>
    </xf>
    <xf numFmtId="0" fontId="37" fillId="3" borderId="22" xfId="0" applyFont="1" applyFill="1" applyBorder="1" applyAlignment="1">
      <alignment horizontal="center" vertical="center"/>
    </xf>
    <xf numFmtId="0" fontId="15" fillId="0" borderId="0" xfId="0" applyFont="1" applyAlignment="1">
      <alignment vertical="top" wrapText="1" indent="1"/>
    </xf>
    <xf numFmtId="0" fontId="0" fillId="0" borderId="0" xfId="0"/>
    <xf numFmtId="0" fontId="12" fillId="0" borderId="0" xfId="1" applyFont="1" applyFill="1" applyBorder="1" applyAlignment="1">
      <alignment horizontal="center" vertical="center"/>
    </xf>
    <xf numFmtId="0" fontId="16" fillId="0" borderId="0" xfId="0" applyFont="1" applyAlignment="1">
      <alignment horizontal="center" vertical="center"/>
    </xf>
    <xf numFmtId="0" fontId="14" fillId="0" borderId="0" xfId="0" applyFont="1" applyAlignment="1">
      <alignment vertical="center" indent="1"/>
    </xf>
    <xf numFmtId="0" fontId="49" fillId="0" borderId="0" xfId="0" applyFont="1" applyBorder="1" applyAlignment="1">
      <alignment horizontal="center"/>
    </xf>
    <xf numFmtId="0" fontId="49" fillId="0" borderId="0" xfId="0" applyFont="1" applyBorder="1" applyAlignment="1">
      <alignment horizontal="center" wrapText="1"/>
    </xf>
    <xf numFmtId="177" fontId="49" fillId="0" borderId="12" xfId="0" applyNumberFormat="1" applyFont="1" applyBorder="1" applyAlignment="1">
      <alignment horizontal="center"/>
    </xf>
    <xf numFmtId="177" fontId="0" fillId="0" borderId="0" xfId="0" applyNumberFormat="1" applyAlignment="1">
      <alignment horizontal="center"/>
    </xf>
    <xf numFmtId="177" fontId="49" fillId="0" borderId="0" xfId="0" applyNumberFormat="1" applyFont="1" applyAlignment="1">
      <alignment horizontal="center"/>
    </xf>
    <xf numFmtId="177" fontId="60" fillId="0" borderId="12" xfId="0" applyNumberFormat="1" applyFont="1" applyBorder="1" applyAlignment="1">
      <alignment horizontal="center"/>
    </xf>
    <xf numFmtId="177" fontId="49" fillId="0" borderId="18" xfId="0" applyNumberFormat="1" applyFont="1" applyBorder="1" applyAlignment="1">
      <alignment horizontal="center"/>
    </xf>
    <xf numFmtId="178" fontId="41" fillId="4" borderId="17" xfId="0" applyNumberFormat="1" applyFont="1" applyFill="1" applyBorder="1" applyAlignment="1">
      <alignment horizontal="center" vertical="center" wrapText="1"/>
    </xf>
    <xf numFmtId="178" fontId="49" fillId="0" borderId="12" xfId="0" applyNumberFormat="1" applyFont="1" applyBorder="1" applyAlignment="1">
      <alignment horizontal="center"/>
    </xf>
    <xf numFmtId="178" fontId="49" fillId="0" borderId="18" xfId="0" applyNumberFormat="1" applyFont="1" applyBorder="1" applyAlignment="1">
      <alignment horizontal="center"/>
    </xf>
    <xf numFmtId="178" fontId="49" fillId="0" borderId="0" xfId="0" applyNumberFormat="1" applyFont="1" applyAlignment="1">
      <alignment horizontal="center"/>
    </xf>
    <xf numFmtId="178" fontId="0" fillId="0" borderId="0" xfId="0" applyNumberFormat="1" applyAlignment="1">
      <alignment horizontal="center"/>
    </xf>
    <xf numFmtId="0" fontId="0" fillId="0" borderId="12" xfId="0" applyFont="1" applyBorder="1" applyAlignment="1">
      <alignment horizontal="center"/>
    </xf>
  </cellXfs>
  <cellStyles count="14">
    <cellStyle name="Comma 2" xfId="8" xr:uid="{AFF71E0E-78D6-47F9-AB0A-42E2E4ACFD74}"/>
    <cellStyle name="Comma 3" xfId="6" xr:uid="{FFCD25E5-757B-491D-8281-23416996C8F0}"/>
    <cellStyle name="Currency" xfId="4" builtinId="4"/>
    <cellStyle name="Currency 3" xfId="3" xr:uid="{5625EFAA-43AA-4466-889A-675453D8E89D}"/>
    <cellStyle name="Currency 3 2" xfId="7" xr:uid="{A7B7AC84-48FB-43D0-B52C-2B61DAAAFD87}"/>
    <cellStyle name="Hyperlink" xfId="1" builtinId="8"/>
    <cellStyle name="Moeda 2" xfId="11" xr:uid="{1AAA8DBC-6D07-4210-8400-4612A0B6D705}"/>
    <cellStyle name="Moeda 3" xfId="10" xr:uid="{76EDF97A-29FE-4D14-8198-CADBC41B8F02}"/>
    <cellStyle name="Normal" xfId="0" builtinId="0"/>
    <cellStyle name="Normal 14" xfId="2" xr:uid="{91D2DFCF-72FC-4CCA-B1B8-9E5C227D8F27}"/>
    <cellStyle name="Percent" xfId="13" builtinId="5"/>
    <cellStyle name="Percent 4" xfId="5" xr:uid="{6E230C16-A762-40C3-8B74-F0EE5E80B25C}"/>
    <cellStyle name="Vírgula 2" xfId="12" xr:uid="{1C1FCAC9-8F6E-4537-9A4E-2ED5969A2F00}"/>
    <cellStyle name="Vírgula 3" xfId="9" xr:uid="{F134333A-EE03-466F-8855-23F7BF1983C3}"/>
  </cellStyles>
  <dxfs count="167">
    <dxf>
      <font>
        <name val="Aptos Narrow"/>
      </font>
      <numFmt numFmtId="178" formatCode="[$-816]d\-mmm\-yyyy;@"/>
      <alignment horizontal="center" textRotation="0" indent="0" justifyLastLine="0" shrinkToFit="0" readingOrder="0"/>
      <border diagonalUp="0" diagonalDown="0">
        <left/>
        <right/>
        <top style="thin">
          <color rgb="FFE8E8E8"/>
        </top>
        <bottom style="thin">
          <color rgb="FFE8E8E8"/>
        </bottom>
      </border>
    </dxf>
    <dxf>
      <font>
        <name val="Aptos Narrow"/>
      </font>
      <numFmt numFmtId="177" formatCode="[$-816]d\-mmm\-yy;@"/>
      <alignment horizontal="center" vertical="bottom" textRotation="0" wrapText="0" indent="0" justifyLastLine="0" shrinkToFit="0" readingOrder="0"/>
      <border diagonalUp="0" diagonalDown="0">
        <left/>
        <right/>
        <top style="thin">
          <color rgb="FFE8E8E8"/>
        </top>
        <bottom style="thin">
          <color rgb="FFE8E8E8"/>
        </bottom>
      </border>
    </dxf>
    <dxf>
      <font>
        <name val="Aptos Narrow"/>
      </font>
      <numFmt numFmtId="167" formatCode="_-* #,##0\ &quot;€&quot;_-;\-* #,##0\ &quot;€&quot;_-;_-* &quot;-&quot;??\ &quot;€&quot;_-;_-@_-"/>
      <alignment horizontal="center" textRotation="0" indent="0" justifyLastLine="0" shrinkToFit="0" readingOrder="0"/>
      <border diagonalUp="0" diagonalDown="0" outline="0">
        <left/>
        <right/>
        <top style="thin">
          <color rgb="FFE8E8E8"/>
        </top>
        <bottom style="thin">
          <color rgb="FFE8E8E8"/>
        </bottom>
      </border>
    </dxf>
    <dxf>
      <font>
        <b/>
        <i val="0"/>
        <color rgb="FFCABCA2"/>
      </font>
    </dxf>
    <dxf>
      <font>
        <b/>
        <i/>
        <color rgb="FF81AD83"/>
      </font>
    </dxf>
    <dxf>
      <font>
        <b/>
        <i val="0"/>
        <color rgb="FF91AEBD"/>
      </font>
    </dxf>
    <dxf>
      <font>
        <b/>
        <i val="0"/>
        <color rgb="FF91AEBD"/>
      </font>
    </dxf>
    <dxf>
      <fill>
        <patternFill>
          <bgColor theme="0" tint="-4.9989318521683403E-2"/>
        </patternFill>
      </fill>
    </dxf>
    <dxf>
      <fill>
        <patternFill>
          <bgColor rgb="FFEDC9AF"/>
        </patternFill>
      </fill>
    </dxf>
    <dxf>
      <fill>
        <patternFill>
          <bgColor rgb="FFCBC983"/>
        </patternFill>
      </fill>
    </dxf>
    <dxf>
      <font>
        <color theme="0"/>
      </font>
      <fill>
        <patternFill>
          <bgColor rgb="FF9C9666"/>
        </patternFill>
      </fill>
    </dxf>
    <dxf>
      <font>
        <b/>
        <i val="0"/>
        <color rgb="FFCABCA2"/>
      </font>
    </dxf>
    <dxf>
      <font>
        <b/>
        <i/>
        <color rgb="FF81AD83"/>
      </font>
    </dxf>
    <dxf>
      <font>
        <b/>
        <i val="0"/>
        <color rgb="FF91AEBD"/>
      </font>
    </dxf>
    <dxf>
      <font>
        <b/>
        <i val="0"/>
        <color rgb="FF91AEBD"/>
      </font>
    </dxf>
    <dxf>
      <font>
        <b/>
        <i val="0"/>
        <color rgb="FFCABCA2"/>
      </font>
    </dxf>
    <dxf>
      <font>
        <b/>
        <i/>
        <color rgb="FF81AD83"/>
      </font>
    </dxf>
    <dxf>
      <font>
        <b/>
        <i val="0"/>
        <color rgb="FF91AEBD"/>
      </font>
    </dxf>
    <dxf>
      <font>
        <b/>
        <i val="0"/>
        <color rgb="FF91AEBD"/>
      </font>
    </dxf>
    <dxf>
      <font>
        <b/>
        <i val="0"/>
        <color rgb="FFCABCA2"/>
      </font>
    </dxf>
    <dxf>
      <font>
        <b/>
        <i/>
        <color rgb="FF81AD83"/>
      </font>
    </dxf>
    <dxf>
      <font>
        <b/>
        <i val="0"/>
        <color rgb="FF91AEBD"/>
      </font>
    </dxf>
    <dxf>
      <font>
        <b/>
        <i val="0"/>
        <color rgb="FF91AEBD"/>
      </font>
    </dxf>
    <dxf>
      <font>
        <b/>
        <i val="0"/>
        <color rgb="FFCABCA2"/>
      </font>
    </dxf>
    <dxf>
      <font>
        <b/>
        <i/>
        <color rgb="FF81AD83"/>
      </font>
    </dxf>
    <dxf>
      <font>
        <b/>
        <i val="0"/>
        <color rgb="FF91AEBD"/>
      </font>
    </dxf>
    <dxf>
      <font>
        <b/>
        <i val="0"/>
        <color rgb="FF91AEBD"/>
      </font>
    </dxf>
    <dxf>
      <font>
        <b/>
        <i val="0"/>
        <color rgb="FFCABCA2"/>
      </font>
    </dxf>
    <dxf>
      <font>
        <b/>
        <i/>
        <color rgb="FF81AD83"/>
      </font>
    </dxf>
    <dxf>
      <font>
        <b/>
        <i val="0"/>
        <color rgb="FF91AEBD"/>
      </font>
    </dxf>
    <dxf>
      <font>
        <b/>
        <i val="0"/>
        <color rgb="FF91AEBD"/>
      </font>
    </dxf>
    <dxf>
      <font>
        <b/>
        <i val="0"/>
        <color rgb="FFCABCA2"/>
      </font>
    </dxf>
    <dxf>
      <font>
        <b/>
        <i/>
        <color rgb="FF81AD83"/>
      </font>
    </dxf>
    <dxf>
      <font>
        <b/>
        <i val="0"/>
        <color rgb="FF91AEBD"/>
      </font>
    </dxf>
    <dxf>
      <font>
        <b/>
        <i val="0"/>
        <color rgb="FF91AEBD"/>
      </font>
    </dxf>
    <dxf>
      <font>
        <b/>
        <i val="0"/>
        <color rgb="FFCABCA2"/>
      </font>
    </dxf>
    <dxf>
      <font>
        <b/>
        <i/>
        <color rgb="FF81AD83"/>
      </font>
    </dxf>
    <dxf>
      <font>
        <b/>
        <i val="0"/>
        <color rgb="FF91AEBD"/>
      </font>
    </dxf>
    <dxf>
      <font>
        <b/>
        <i val="0"/>
        <color rgb="FF91AEBD"/>
      </font>
    </dxf>
    <dxf>
      <font>
        <b/>
        <i val="0"/>
        <color rgb="FFCABCA2"/>
      </font>
    </dxf>
    <dxf>
      <font>
        <b/>
        <i/>
        <color rgb="FF81AD83"/>
      </font>
    </dxf>
    <dxf>
      <font>
        <b/>
        <i val="0"/>
        <color rgb="FF91AEBD"/>
      </font>
    </dxf>
    <dxf>
      <font>
        <b/>
        <i val="0"/>
        <color rgb="FF91AEBD"/>
      </font>
    </dxf>
    <dxf>
      <font>
        <b/>
        <i val="0"/>
        <color rgb="FFCABCA2"/>
      </font>
    </dxf>
    <dxf>
      <font>
        <b/>
        <i/>
        <color rgb="FF81AD83"/>
      </font>
    </dxf>
    <dxf>
      <font>
        <b/>
        <i val="0"/>
        <color rgb="FF91AEBD"/>
      </font>
    </dxf>
    <dxf>
      <font>
        <b/>
        <i val="0"/>
        <color rgb="FF91AEBD"/>
      </font>
    </dxf>
    <dxf>
      <font>
        <b/>
        <i val="0"/>
        <color rgb="FFCABCA2"/>
      </font>
    </dxf>
    <dxf>
      <font>
        <b/>
        <i/>
        <color rgb="FF81AD83"/>
      </font>
    </dxf>
    <dxf>
      <font>
        <b/>
        <i val="0"/>
        <color rgb="FF91AEBD"/>
      </font>
    </dxf>
    <dxf>
      <font>
        <b/>
        <i val="0"/>
        <color rgb="FF91AEBD"/>
      </font>
    </dxf>
    <dxf>
      <font>
        <b/>
        <i val="0"/>
        <color rgb="FFCABCA2"/>
      </font>
    </dxf>
    <dxf>
      <font>
        <b/>
        <i/>
        <color rgb="FF81AD83"/>
      </font>
    </dxf>
    <dxf>
      <font>
        <b/>
        <i val="0"/>
        <color rgb="FF91AEBD"/>
      </font>
    </dxf>
    <dxf>
      <font>
        <b/>
        <i val="0"/>
        <color rgb="FF91AEBD"/>
      </font>
    </dxf>
    <dxf>
      <font>
        <b/>
        <i val="0"/>
        <color rgb="FFCABCA2"/>
      </font>
    </dxf>
    <dxf>
      <font>
        <b/>
        <i/>
        <color rgb="FF81AD83"/>
      </font>
    </dxf>
    <dxf>
      <font>
        <b/>
        <i val="0"/>
        <color rgb="FF91AEBD"/>
      </font>
    </dxf>
    <dxf>
      <font>
        <b/>
        <i val="0"/>
        <color rgb="FF91AEBD"/>
      </font>
    </dxf>
    <dxf>
      <font>
        <b/>
        <i val="0"/>
        <color rgb="FFCABCA2"/>
      </font>
    </dxf>
    <dxf>
      <font>
        <b/>
        <i/>
        <color rgb="FF81AD83"/>
      </font>
    </dxf>
    <dxf>
      <font>
        <b/>
        <i val="0"/>
        <color rgb="FF91AEBD"/>
      </font>
    </dxf>
    <dxf>
      <font>
        <b/>
        <i val="0"/>
        <color rgb="FF91AEBD"/>
      </font>
    </dxf>
    <dxf>
      <font>
        <b/>
        <i val="0"/>
        <color rgb="FFCABCA2"/>
      </font>
    </dxf>
    <dxf>
      <font>
        <b/>
        <i/>
        <color rgb="FF81AD83"/>
      </font>
    </dxf>
    <dxf>
      <font>
        <b/>
        <i val="0"/>
        <color rgb="FF91AEBD"/>
      </font>
    </dxf>
    <dxf>
      <font>
        <b/>
        <i val="0"/>
        <color rgb="FF91AEBD"/>
      </font>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b/>
        <i val="0"/>
        <color rgb="FFCABCA2"/>
      </font>
    </dxf>
    <dxf>
      <font>
        <b/>
        <i/>
        <color rgb="FF81AD83"/>
      </font>
    </dxf>
    <dxf>
      <font>
        <b/>
        <i val="0"/>
        <color rgb="FF91AEBD"/>
      </font>
    </dxf>
    <dxf>
      <font>
        <b/>
        <i val="0"/>
        <color rgb="FF91AEBD"/>
      </font>
    </dxf>
    <dxf>
      <font>
        <color rgb="FFBAB8AD"/>
      </font>
      <fill>
        <patternFill patternType="solid">
          <fgColor indexed="64"/>
          <bgColor rgb="FFEFEEE9"/>
        </patternFill>
      </fill>
    </dxf>
    <dxf>
      <fill>
        <patternFill patternType="solid">
          <fgColor indexed="64"/>
          <bgColor rgb="FFFAF9F6"/>
        </patternFill>
      </fill>
    </dxf>
    <dxf>
      <font>
        <b val="0"/>
        <i val="0"/>
        <strike val="0"/>
        <condense val="0"/>
        <extend val="0"/>
        <outline val="0"/>
        <shadow val="0"/>
        <u val="none"/>
        <vertAlign val="baseline"/>
        <sz val="11"/>
        <color theme="1"/>
        <name val="Aptos Narrow"/>
        <scheme val="minor"/>
      </font>
      <alignment horizontal="general" vertical="bottom" textRotation="0" wrapText="1" indent="0" justifyLastLine="0" shrinkToFit="0" readingOrder="0"/>
      <border diagonalUp="0" diagonalDown="0">
        <left/>
        <right/>
        <top style="thin">
          <color rgb="FFE8E8E8"/>
        </top>
        <bottom/>
      </border>
    </dxf>
    <dxf>
      <font>
        <name val="Aptos Narrow"/>
      </font>
      <numFmt numFmtId="0" formatCode="General"/>
      <alignment horizontal="center" textRotation="0" wrapText="1" indent="0" justifyLastLine="0" shrinkToFit="0" readingOrder="0"/>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alignment horizontal="center" textRotation="0" indent="0" justifyLastLine="0" shrinkToFit="0" readingOrder="0"/>
    </dxf>
    <dxf>
      <font>
        <b val="0"/>
        <i val="0"/>
        <strike val="0"/>
        <condense val="0"/>
        <extend val="0"/>
        <outline val="0"/>
        <shadow val="0"/>
        <u val="none"/>
        <vertAlign val="baseline"/>
        <sz val="11"/>
        <color theme="1"/>
        <name val="Aptos Narrow"/>
        <scheme val="minor"/>
      </font>
      <alignment horizontal="general" vertical="bottom" textRotation="0" wrapText="1" indent="0" justifyLastLine="0" shrinkToFit="0" readingOrder="0"/>
      <border diagonalUp="0" diagonalDown="0" outline="0">
        <left/>
        <right/>
        <top style="thin">
          <color rgb="FFE8E8E8"/>
        </top>
        <bottom/>
      </border>
    </dxf>
    <dxf>
      <font>
        <name val="Aptos Narrow"/>
      </font>
      <alignment horizontal="center" textRotation="0" wrapText="1" indent="0" justifyLastLine="0" shrinkToFit="0" readingOrder="0"/>
    </dxf>
    <dxf>
      <font>
        <b val="0"/>
        <i val="0"/>
        <strike val="0"/>
        <condense val="0"/>
        <extend val="0"/>
        <outline val="0"/>
        <shadow val="0"/>
        <u val="none"/>
        <vertAlign val="baseline"/>
        <sz val="11"/>
        <color theme="1"/>
        <name val="Aptos Narrow"/>
        <scheme val="minor"/>
      </font>
      <alignment horizontal="general" vertical="bottom" textRotation="0" wrapText="1" indent="0" justifyLastLine="0" shrinkToFit="0" readingOrder="0"/>
      <border diagonalUp="0" diagonalDown="0" outline="0">
        <left/>
        <right/>
        <top style="thin">
          <color rgb="FFE8E8E8"/>
        </top>
        <bottom/>
      </border>
    </dxf>
    <dxf>
      <font>
        <name val="Aptos Narrow"/>
      </font>
      <alignment horizontal="center" textRotation="0" wrapText="1" indent="0" justifyLastLine="0" shrinkToFit="0" readingOrder="0"/>
    </dxf>
    <dxf>
      <font>
        <b val="0"/>
        <i val="0"/>
        <strike val="0"/>
        <condense val="0"/>
        <extend val="0"/>
        <outline val="0"/>
        <shadow val="0"/>
        <u val="none"/>
        <vertAlign val="baseline"/>
        <sz val="11"/>
        <color theme="1"/>
        <name val="Aptos Narrow"/>
        <scheme val="minor"/>
      </font>
      <alignment horizontal="general" vertical="bottom" textRotation="0" wrapText="1" indent="0" justifyLastLine="0" shrinkToFit="0" readingOrder="0"/>
      <border diagonalUp="0" diagonalDown="0" outline="0">
        <left/>
        <right/>
        <top style="thin">
          <color rgb="FFE8E8E8"/>
        </top>
        <bottom/>
      </border>
    </dxf>
    <dxf>
      <font>
        <name val="Aptos Narrow"/>
      </font>
      <alignment horizontal="center" textRotation="0" wrapText="1" indent="0" justifyLastLine="0" shrinkToFit="0" readingOrder="0"/>
    </dxf>
    <dxf>
      <font>
        <b val="0"/>
        <i val="0"/>
        <strike val="0"/>
        <condense val="0"/>
        <extend val="0"/>
        <outline val="0"/>
        <shadow val="0"/>
        <u val="none"/>
        <vertAlign val="baseline"/>
        <sz val="11"/>
        <color theme="1"/>
        <name val="Aptos Narrow"/>
        <scheme val="minor"/>
      </font>
      <alignment horizontal="general" vertical="bottom" textRotation="0" wrapText="1" indent="0" justifyLastLine="0" shrinkToFit="0" readingOrder="0"/>
      <border diagonalUp="0" diagonalDown="0" outline="0">
        <left/>
        <right/>
        <top style="thin">
          <color rgb="FFE8E8E8"/>
        </top>
        <bottom/>
      </border>
    </dxf>
    <dxf>
      <font>
        <name val="Aptos Narrow"/>
      </font>
      <alignment horizontal="center" textRotation="0" wrapText="1" indent="0" justifyLastLine="0" shrinkToFit="0" readingOrder="0"/>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alignment horizontal="center" textRotation="0" indent="0" justifyLastLine="0" shrinkToFit="0" readingOrder="0"/>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alignment horizontal="center" textRotation="0" indent="0" justifyLastLine="0" shrinkToFit="0" readingOrder="0"/>
    </dxf>
    <dxf>
      <font>
        <b val="0"/>
        <i val="0"/>
        <strike val="0"/>
        <condense val="0"/>
        <extend val="0"/>
        <outline val="0"/>
        <shadow val="0"/>
        <u val="none"/>
        <vertAlign val="baseline"/>
        <sz val="11"/>
        <color theme="1"/>
        <name val="Aptos Narrow"/>
        <scheme val="minor"/>
      </font>
      <numFmt numFmtId="174" formatCode="m/d/yy"/>
      <border diagonalUp="0" diagonalDown="0">
        <left/>
        <right/>
        <top style="thin">
          <color rgb="FFE8E8E8"/>
        </top>
        <bottom/>
      </border>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border diagonalUp="0" diagonalDown="0" outline="0">
        <left/>
        <right/>
        <top style="thin">
          <color rgb="FFE8E8E8"/>
        </top>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b val="0"/>
        <i val="0"/>
        <strike val="0"/>
        <condense val="0"/>
        <extend val="0"/>
        <outline val="0"/>
        <shadow val="0"/>
        <u val="none"/>
        <vertAlign val="baseline"/>
        <sz val="11"/>
        <color theme="1"/>
        <name val="Aptos Narrow"/>
        <scheme val="minor"/>
      </font>
      <numFmt numFmtId="167" formatCode="_-* #,##0\ &quot;€&quot;_-;\-* #,##0\ &quot;€&quot;_-;_-* &quot;-&quot;??\ &quot;€&quot;_-;_-@_-"/>
      <fill>
        <patternFill patternType="none">
          <fgColor indexed="64"/>
          <bgColor indexed="65"/>
        </patternFill>
      </fill>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b val="0"/>
        <i val="0"/>
        <strike val="0"/>
        <condense val="0"/>
        <extend val="0"/>
        <outline val="0"/>
        <shadow val="0"/>
        <u val="none"/>
        <vertAlign val="baseline"/>
        <sz val="11"/>
        <color theme="1"/>
        <name val="Aptos Narrow"/>
        <scheme val="minor"/>
      </font>
      <numFmt numFmtId="169" formatCode="0.0%"/>
      <fill>
        <patternFill patternType="none">
          <fgColor indexed="64"/>
          <bgColor indexed="65"/>
        </patternFill>
      </fill>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numFmt numFmtId="167" formatCode="_-* #,##0\ &quot;€&quot;_-;\-* #,##0\ &quot;€&quot;_-;_-* &quot;-&quot;??\ &quot;€&quot;_-;_-@_-"/>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b val="0"/>
        <i val="0"/>
        <strike val="0"/>
        <condense val="0"/>
        <extend val="0"/>
        <outline val="0"/>
        <shadow val="0"/>
        <u val="none"/>
        <vertAlign val="baseline"/>
        <sz val="11"/>
        <color theme="1"/>
        <name val="Aptos Narrow"/>
        <scheme val="minor"/>
      </font>
      <numFmt numFmtId="167" formatCode="_-* #,##0\ &quot;€&quot;_-;\-* #,##0\ &quot;€&quot;_-;_-* &quot;-&quot;??\ &quot;€&quot;_-;_-@_-"/>
      <fill>
        <patternFill patternType="none">
          <fgColor indexed="64"/>
          <bgColor indexed="65"/>
        </patternFill>
      </fill>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b val="0"/>
        <i val="0"/>
        <strike val="0"/>
        <condense val="0"/>
        <extend val="0"/>
        <outline val="0"/>
        <shadow val="0"/>
        <u val="none"/>
        <vertAlign val="baseline"/>
        <sz val="11"/>
        <color theme="1"/>
        <name val="Aptos Narrow"/>
        <scheme val="minor"/>
      </font>
      <numFmt numFmtId="170" formatCode="\€#,##0"/>
      <fill>
        <patternFill patternType="none">
          <fgColor indexed="64"/>
          <bgColor indexed="65"/>
        </patternFill>
      </fill>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numFmt numFmtId="170" formatCode="\€#,##0"/>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border diagonalUp="0" diagonalDown="0" outline="0">
        <left/>
        <right/>
        <top style="thin">
          <color rgb="FFE8E8E8"/>
        </top>
        <bottom/>
      </border>
    </dxf>
    <dxf>
      <font>
        <name val="Aptos Narrow"/>
      </font>
      <alignment horizontal="center" vertical="bottom" textRotation="0" wrapText="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numFmt numFmtId="2" formatCode="0.00"/>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border diagonalUp="0" diagonalDown="0" outline="0">
        <left/>
        <right/>
        <top style="thin">
          <color rgb="FFE8E8E8"/>
        </top>
        <bottom/>
      </border>
    </dxf>
    <dxf>
      <font>
        <name val="Aptos Narrow"/>
      </font>
      <numFmt numFmtId="30" formatCode="@"/>
      <alignment horizontal="center" vertical="bottom" textRotation="0" wrapText="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numFmt numFmtId="30" formatCode="@"/>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alignment horizontal="center" textRotation="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alignment horizontal="center" vertical="bottom" textRotation="0" wrapText="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border diagonalUp="0" diagonalDown="0" outline="0">
        <left/>
        <right/>
        <top style="thin">
          <color rgb="FFE8E8E8"/>
        </top>
        <bottom/>
      </border>
    </dxf>
    <dxf>
      <font>
        <name val="Aptos Narrow"/>
      </font>
      <numFmt numFmtId="30" formatCode="@"/>
      <alignment horizontal="center" vertical="bottom" textRotation="0" wrapText="0" indent="0" justifyLastLine="0" shrinkToFit="0" readingOrder="0"/>
      <border diagonalUp="0" diagonalDown="0">
        <left/>
        <right/>
        <top style="thin">
          <color rgb="FFE8E8E8"/>
        </top>
        <bottom style="thin">
          <color rgb="FFE8E8E8"/>
        </bottom>
        <vertical/>
        <horizontal/>
      </border>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border diagonalUp="0" diagonalDown="0" outline="0">
        <left/>
        <right/>
        <top style="thin">
          <color rgb="FFE8E8E8"/>
        </top>
        <bottom/>
      </border>
    </dxf>
    <dxf>
      <font>
        <name val="Aptos Narrow"/>
      </font>
      <alignment horizontal="center" vertical="bottom" textRotation="0" wrapText="0" indent="0" justifyLastLine="0" shrinkToFit="0" readingOrder="0"/>
      <border diagonalUp="0" diagonalDown="0" outline="0">
        <left/>
        <right/>
        <top style="thin">
          <color rgb="FFE8E8E8"/>
        </top>
        <bottom style="thin">
          <color rgb="FFE8E8E8"/>
        </bottom>
      </border>
    </dxf>
    <dxf>
      <font>
        <b val="0"/>
        <i val="0"/>
        <strike val="0"/>
        <condense val="0"/>
        <extend val="0"/>
        <outline val="0"/>
        <shadow val="0"/>
        <u val="none"/>
        <vertAlign val="baseline"/>
        <sz val="11"/>
        <color theme="1"/>
        <name val="Aptos Narrow"/>
        <scheme val="minor"/>
      </font>
      <border diagonalUp="0" diagonalDown="0" outline="0">
        <left/>
        <right/>
        <top style="thin">
          <color rgb="FFE8E8E8"/>
        </top>
        <bottom/>
      </border>
    </dxf>
    <dxf>
      <font>
        <name val="Aptos Narrow"/>
      </font>
      <alignment horizontal="center" textRotation="0" indent="0" justifyLastLine="0" shrinkToFit="0" readingOrder="0"/>
      <border diagonalUp="0" diagonalDown="0" outline="0">
        <left/>
        <right/>
        <top style="thin">
          <color rgb="FFE8E8E8"/>
        </top>
        <bottom style="thin">
          <color rgb="FFE8E8E8"/>
        </bottom>
      </border>
    </dxf>
    <dxf>
      <border>
        <top style="thin">
          <color rgb="FFE8E8E8"/>
        </top>
      </border>
    </dxf>
    <dxf>
      <border diagonalUp="0" diagonalDown="0">
        <left style="thin">
          <color rgb="FFBFBFBF"/>
        </left>
        <right style="thin">
          <color rgb="FFBFBFBF"/>
        </right>
        <top style="thin">
          <color rgb="FFBFBFBF"/>
        </top>
        <bottom style="thin">
          <color rgb="FFBFBFBF"/>
        </bottom>
      </border>
    </dxf>
    <dxf>
      <font>
        <name val="Aptos Narrow"/>
      </font>
      <alignment horizontal="center" textRotation="0" indent="0" justifyLastLine="0" shrinkToFit="0" readingOrder="0"/>
    </dxf>
    <dxf>
      <border>
        <bottom style="thin">
          <color rgb="FFE8E8E8"/>
        </bottom>
      </border>
    </dxf>
    <dxf>
      <font>
        <b/>
        <color rgb="FFFFFFFF"/>
        <name val="Aptos Narrow"/>
      </font>
      <fill>
        <patternFill patternType="solid">
          <fgColor indexed="64"/>
          <bgColor rgb="FFCABCA2"/>
        </patternFill>
      </fill>
      <alignment horizontal="center" textRotation="0" wrapText="1" indent="0" justifyLastLine="0" shrinkToFit="0" readingOrder="0"/>
    </dxf>
  </dxfs>
  <tableStyles count="0" defaultTableStyle="TableStyleMedium2" defaultPivotStyle="PivotStyleLight16"/>
  <colors>
    <mruColors>
      <color rgb="FFCABCA2"/>
      <color rgb="FF81AD83"/>
      <color rgb="FFF4F2F0"/>
      <color rgb="FFECE9E4"/>
      <color rgb="FF91AE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45483F"/>
                </a:solidFill>
                <a:latin typeface="+mn-lt"/>
                <a:ea typeface="+mn-ea"/>
                <a:cs typeface="+mn-cs"/>
              </a:defRPr>
            </a:pPr>
            <a:r>
              <a:rPr lang="en-US"/>
              <a:t>  Status </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45483F"/>
              </a:solidFill>
              <a:latin typeface="+mn-lt"/>
              <a:ea typeface="+mn-ea"/>
              <a:cs typeface="+mn-cs"/>
            </a:defRPr>
          </a:pPr>
          <a:endParaRPr lang="en-US"/>
        </a:p>
      </c:txPr>
    </c:title>
    <c:autoTitleDeleted val="0"/>
    <c:plotArea>
      <c:layout/>
      <c:doughnutChart>
        <c:varyColors val="1"/>
        <c:ser>
          <c:idx val="0"/>
          <c:order val="0"/>
          <c:tx>
            <c:strRef>
              <c:f>Overview!$R$2</c:f>
              <c:strCache>
                <c:ptCount val="1"/>
                <c:pt idx="0">
                  <c:v>Units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20-9D41-95FF-452C3DA43D89}"/>
              </c:ext>
            </c:extLst>
          </c:dPt>
          <c:dPt>
            <c:idx val="1"/>
            <c:bubble3D val="0"/>
            <c:spPr>
              <a:solidFill>
                <a:srgbClr val="7E8466"/>
              </a:solidFill>
              <a:ln w="19050">
                <a:solidFill>
                  <a:schemeClr val="lt1"/>
                </a:solidFill>
              </a:ln>
              <a:effectLst/>
            </c:spPr>
            <c:extLst>
              <c:ext xmlns:c16="http://schemas.microsoft.com/office/drawing/2014/chart" uri="{C3380CC4-5D6E-409C-BE32-E72D297353CC}">
                <c16:uniqueId val="{00000002-DE20-9D41-95FF-452C3DA43D89}"/>
              </c:ext>
            </c:extLst>
          </c:dPt>
          <c:dPt>
            <c:idx val="2"/>
            <c:bubble3D val="0"/>
            <c:spPr>
              <a:solidFill>
                <a:srgbClr val="81AD83"/>
              </a:solidFill>
              <a:ln w="19050">
                <a:solidFill>
                  <a:schemeClr val="lt1"/>
                </a:solidFill>
              </a:ln>
              <a:effectLst/>
            </c:spPr>
            <c:extLst>
              <c:ext xmlns:c16="http://schemas.microsoft.com/office/drawing/2014/chart" uri="{C3380CC4-5D6E-409C-BE32-E72D297353CC}">
                <c16:uniqueId val="{00000003-DE20-9D41-95FF-452C3DA43D89}"/>
              </c:ext>
            </c:extLst>
          </c:dPt>
          <c:dPt>
            <c:idx val="3"/>
            <c:bubble3D val="0"/>
            <c:spPr>
              <a:solidFill>
                <a:srgbClr val="B6BBA0"/>
              </a:solidFill>
              <a:ln w="19050">
                <a:solidFill>
                  <a:schemeClr val="lt1"/>
                </a:solidFill>
              </a:ln>
              <a:effectLst/>
            </c:spPr>
            <c:extLst>
              <c:ext xmlns:c16="http://schemas.microsoft.com/office/drawing/2014/chart" uri="{C3380CC4-5D6E-409C-BE32-E72D297353CC}">
                <c16:uniqueId val="{00000004-DE20-9D41-95FF-452C3DA43D89}"/>
              </c:ext>
            </c:extLst>
          </c:dPt>
          <c:dPt>
            <c:idx val="4"/>
            <c:bubble3D val="0"/>
            <c:spPr>
              <a:solidFill>
                <a:srgbClr val="CBD0BA"/>
              </a:solidFill>
              <a:ln w="19050">
                <a:solidFill>
                  <a:schemeClr val="lt1"/>
                </a:solidFill>
              </a:ln>
              <a:effectLst/>
            </c:spPr>
            <c:extLst>
              <c:ext xmlns:c16="http://schemas.microsoft.com/office/drawing/2014/chart" uri="{C3380CC4-5D6E-409C-BE32-E72D297353CC}">
                <c16:uniqueId val="{00000009-E531-4D3C-ADFB-DE77D884D780}"/>
              </c:ext>
            </c:extLst>
          </c:dPt>
          <c:dPt>
            <c:idx val="5"/>
            <c:bubble3D val="0"/>
            <c:spPr>
              <a:solidFill>
                <a:srgbClr val="45483F"/>
              </a:solidFill>
              <a:ln w="19050">
                <a:solidFill>
                  <a:schemeClr val="lt1"/>
                </a:solidFill>
              </a:ln>
              <a:effectLst/>
            </c:spPr>
            <c:extLst>
              <c:ext xmlns:c16="http://schemas.microsoft.com/office/drawing/2014/chart" uri="{C3380CC4-5D6E-409C-BE32-E72D297353CC}">
                <c16:uniqueId val="{0000000B-A460-4A83-A75B-5C4D04EEE1FB}"/>
              </c:ext>
            </c:extLst>
          </c:dPt>
          <c:cat>
            <c:strRef>
              <c:f>Overview!$Q$3:$Q$8</c:f>
              <c:strCache>
                <c:ptCount val="6"/>
                <c:pt idx="1">
                  <c:v>Available</c:v>
                </c:pt>
                <c:pt idx="2">
                  <c:v>Reserved</c:v>
                </c:pt>
                <c:pt idx="3">
                  <c:v>Under Contract</c:v>
                </c:pt>
                <c:pt idx="4">
                  <c:v>Deeded</c:v>
                </c:pt>
                <c:pt idx="5">
                  <c:v>Other</c:v>
                </c:pt>
              </c:strCache>
            </c:strRef>
          </c:cat>
          <c:val>
            <c:numRef>
              <c:f>Overview!$R$3:$R$8</c:f>
              <c:numCache>
                <c:formatCode>#,##0</c:formatCode>
                <c:ptCount val="6"/>
                <c:pt idx="1">
                  <c:v>15</c:v>
                </c:pt>
                <c:pt idx="2">
                  <c:v>5</c:v>
                </c:pt>
                <c:pt idx="3">
                  <c:v>0</c:v>
                </c:pt>
                <c:pt idx="4">
                  <c:v>0</c:v>
                </c:pt>
                <c:pt idx="5">
                  <c:v>25</c:v>
                </c:pt>
              </c:numCache>
            </c:numRef>
          </c:val>
          <c:extLst>
            <c:ext xmlns:c16="http://schemas.microsoft.com/office/drawing/2014/chart" uri="{C3380CC4-5D6E-409C-BE32-E72D297353CC}">
              <c16:uniqueId val="{00000000-DE20-9D41-95FF-452C3DA43D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egendEntry>
        <c:idx val="0"/>
        <c:delete val="1"/>
      </c:legendEntry>
      <c:layout>
        <c:manualLayout>
          <c:xMode val="edge"/>
          <c:yMode val="edge"/>
          <c:x val="0.67703416575059738"/>
          <c:y val="0.26475672249415511"/>
          <c:w val="0.13203937663816917"/>
          <c:h val="0.4046877942502637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45483F"/>
                </a:solidFill>
                <a:latin typeface="+mn-lt"/>
                <a:ea typeface="+mn-ea"/>
                <a:cs typeface="+mn-cs"/>
              </a:defRPr>
            </a:pPr>
            <a:r>
              <a:rPr lang="en-US"/>
              <a:t>Selected Project — % Sold vs Benchmarks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45483F"/>
              </a:solidFill>
              <a:latin typeface="+mn-lt"/>
              <a:ea typeface="+mn-ea"/>
              <a:cs typeface="+mn-cs"/>
            </a:defRPr>
          </a:pPr>
          <a:endParaRPr lang="en-US"/>
        </a:p>
      </c:txPr>
    </c:title>
    <c:autoTitleDeleted val="0"/>
    <c:plotArea>
      <c:layout/>
      <c:barChart>
        <c:barDir val="bar"/>
        <c:grouping val="clustered"/>
        <c:varyColors val="0"/>
        <c:ser>
          <c:idx val="0"/>
          <c:order val="0"/>
          <c:tx>
            <c:strRef>
              <c:f>Overview!$R$11</c:f>
              <c:strCache>
                <c:ptCount val="1"/>
                <c:pt idx="0">
                  <c:v>% Sold</c:v>
                </c:pt>
              </c:strCache>
            </c:strRef>
          </c:tx>
          <c:spPr>
            <a:solidFill>
              <a:srgbClr val="7E8466"/>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Overview!$Q$12:$Q$14</c:f>
              <c:strCache>
                <c:ptCount val="3"/>
                <c:pt idx="0">
                  <c:v>Vale Pisão Grand Park</c:v>
                </c:pt>
                <c:pt idx="1">
                  <c:v>North Avg</c:v>
                </c:pt>
                <c:pt idx="2">
                  <c:v>Portfolio Avg</c:v>
                </c:pt>
              </c:strCache>
            </c:strRef>
          </c:cat>
          <c:val>
            <c:numRef>
              <c:f>Overview!$R$12:$R$14</c:f>
              <c:numCache>
                <c:formatCode>0.0%</c:formatCode>
                <c:ptCount val="3"/>
                <c:pt idx="0">
                  <c:v>0.25</c:v>
                </c:pt>
                <c:pt idx="1">
                  <c:v>0.25</c:v>
                </c:pt>
                <c:pt idx="2">
                  <c:v>0.36222627737226276</c:v>
                </c:pt>
              </c:numCache>
            </c:numRef>
          </c:val>
          <c:extLst>
            <c:ext xmlns:c16="http://schemas.microsoft.com/office/drawing/2014/chart" uri="{C3380CC4-5D6E-409C-BE32-E72D297353CC}">
              <c16:uniqueId val="{00000000-3D23-DB4E-8C80-5F77381AEFA3}"/>
            </c:ext>
          </c:extLst>
        </c:ser>
        <c:dLbls>
          <c:showLegendKey val="0"/>
          <c:showVal val="0"/>
          <c:showCatName val="0"/>
          <c:showSerName val="0"/>
          <c:showPercent val="0"/>
          <c:showBubbleSize val="0"/>
        </c:dLbls>
        <c:gapWidth val="182"/>
        <c:axId val="126035136"/>
        <c:axId val="126028416"/>
      </c:barChart>
      <c:catAx>
        <c:axId val="12603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8416"/>
        <c:crosses val="autoZero"/>
        <c:auto val="1"/>
        <c:lblAlgn val="ctr"/>
        <c:lblOffset val="100"/>
        <c:noMultiLvlLbl val="0"/>
      </c:catAx>
      <c:valAx>
        <c:axId val="1260284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35136"/>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45483F"/>
                </a:solidFill>
                <a:latin typeface="+mn-lt"/>
                <a:ea typeface="+mn-ea"/>
                <a:cs typeface="+mn-cs"/>
              </a:defRPr>
            </a:pPr>
            <a:r>
              <a:rPr lang="en-US"/>
              <a:t>Sales Funnel</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45483F"/>
              </a:solidFill>
              <a:latin typeface="+mn-lt"/>
              <a:ea typeface="+mn-ea"/>
              <a:cs typeface="+mn-cs"/>
            </a:defRPr>
          </a:pPr>
          <a:endParaRPr lang="en-US"/>
        </a:p>
      </c:txPr>
    </c:title>
    <c:autoTitleDeleted val="0"/>
    <c:plotArea>
      <c:layout/>
      <c:barChart>
        <c:barDir val="col"/>
        <c:grouping val="clustered"/>
        <c:varyColors val="0"/>
        <c:ser>
          <c:idx val="0"/>
          <c:order val="0"/>
          <c:spPr>
            <a:solidFill>
              <a:srgbClr val="7E8466"/>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Overview!$Q$27:$Q$30</c:f>
              <c:strCache>
                <c:ptCount val="4"/>
                <c:pt idx="0">
                  <c:v>Available</c:v>
                </c:pt>
                <c:pt idx="1">
                  <c:v>Reserved</c:v>
                </c:pt>
                <c:pt idx="2">
                  <c:v>Under Contract</c:v>
                </c:pt>
                <c:pt idx="3">
                  <c:v>Deeded</c:v>
                </c:pt>
              </c:strCache>
            </c:strRef>
          </c:cat>
          <c:val>
            <c:numRef>
              <c:f>Overview!$R$27:$R$30</c:f>
              <c:numCache>
                <c:formatCode>#,##0</c:formatCode>
                <c:ptCount val="4"/>
                <c:pt idx="0">
                  <c:v>15</c:v>
                </c:pt>
                <c:pt idx="1">
                  <c:v>5</c:v>
                </c:pt>
                <c:pt idx="2">
                  <c:v>0</c:v>
                </c:pt>
                <c:pt idx="3">
                  <c:v>0</c:v>
                </c:pt>
              </c:numCache>
            </c:numRef>
          </c:val>
          <c:extLst>
            <c:ext xmlns:c16="http://schemas.microsoft.com/office/drawing/2014/chart" uri="{C3380CC4-5D6E-409C-BE32-E72D297353CC}">
              <c16:uniqueId val="{00000000-384A-D040-AECB-74BB0EB05172}"/>
            </c:ext>
          </c:extLst>
        </c:ser>
        <c:dLbls>
          <c:showLegendKey val="0"/>
          <c:showVal val="0"/>
          <c:showCatName val="0"/>
          <c:showSerName val="0"/>
          <c:showPercent val="0"/>
          <c:showBubbleSize val="0"/>
        </c:dLbls>
        <c:gapWidth val="219"/>
        <c:overlap val="-27"/>
        <c:axId val="99962368"/>
        <c:axId val="99967744"/>
      </c:barChart>
      <c:catAx>
        <c:axId val="9996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67744"/>
        <c:crosses val="autoZero"/>
        <c:auto val="1"/>
        <c:lblAlgn val="ctr"/>
        <c:lblOffset val="100"/>
        <c:noMultiLvlLbl val="0"/>
      </c:catAx>
      <c:valAx>
        <c:axId val="99967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62368"/>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45483F"/>
                </a:solidFill>
                <a:latin typeface="+mn-lt"/>
                <a:ea typeface="+mn-ea"/>
                <a:cs typeface="+mn-cs"/>
              </a:defRPr>
            </a:pPr>
            <a:r>
              <a:rPr lang="en-US"/>
              <a:t>Selected Project — GDV vs Benchmarks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45483F"/>
              </a:solidFill>
              <a:latin typeface="+mn-lt"/>
              <a:ea typeface="+mn-ea"/>
              <a:cs typeface="+mn-cs"/>
            </a:defRPr>
          </a:pPr>
          <a:endParaRPr lang="en-US"/>
        </a:p>
      </c:txPr>
    </c:title>
    <c:autoTitleDeleted val="0"/>
    <c:plotArea>
      <c:layout/>
      <c:barChart>
        <c:barDir val="bar"/>
        <c:grouping val="clustered"/>
        <c:varyColors val="0"/>
        <c:ser>
          <c:idx val="0"/>
          <c:order val="0"/>
          <c:tx>
            <c:strRef>
              <c:f>Overview!$V$11</c:f>
              <c:strCache>
                <c:ptCount val="1"/>
                <c:pt idx="0">
                  <c:v>GDV (€M)</c:v>
                </c:pt>
              </c:strCache>
            </c:strRef>
          </c:tx>
          <c:spPr>
            <a:solidFill>
              <a:srgbClr val="7E8466"/>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Overview!$U$12:$U$14</c:f>
              <c:strCache>
                <c:ptCount val="3"/>
                <c:pt idx="0">
                  <c:v>Vale Pisão Grand Park</c:v>
                </c:pt>
                <c:pt idx="1">
                  <c:v>North Avg</c:v>
                </c:pt>
                <c:pt idx="2">
                  <c:v>Portfolio Avg</c:v>
                </c:pt>
              </c:strCache>
            </c:strRef>
          </c:cat>
          <c:val>
            <c:numRef>
              <c:f>Overview!$V$12:$V$14</c:f>
              <c:numCache>
                <c:formatCode>\€0.0</c:formatCode>
                <c:ptCount val="3"/>
                <c:pt idx="0">
                  <c:v>37.42</c:v>
                </c:pt>
                <c:pt idx="1">
                  <c:v>37.42</c:v>
                </c:pt>
                <c:pt idx="2">
                  <c:v>77.328268823540171</c:v>
                </c:pt>
              </c:numCache>
            </c:numRef>
          </c:val>
          <c:extLst>
            <c:ext xmlns:c16="http://schemas.microsoft.com/office/drawing/2014/chart" uri="{C3380CC4-5D6E-409C-BE32-E72D297353CC}">
              <c16:uniqueId val="{00000000-80A5-B24C-928B-4475F8CFEEF8}"/>
            </c:ext>
          </c:extLst>
        </c:ser>
        <c:dLbls>
          <c:showLegendKey val="0"/>
          <c:showVal val="0"/>
          <c:showCatName val="0"/>
          <c:showSerName val="0"/>
          <c:showPercent val="0"/>
          <c:showBubbleSize val="0"/>
        </c:dLbls>
        <c:gapWidth val="182"/>
        <c:axId val="142239360"/>
        <c:axId val="142242048"/>
      </c:barChart>
      <c:catAx>
        <c:axId val="14223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42048"/>
        <c:crosses val="autoZero"/>
        <c:auto val="1"/>
        <c:lblAlgn val="ctr"/>
        <c:lblOffset val="100"/>
        <c:noMultiLvlLbl val="0"/>
      </c:catAx>
      <c:valAx>
        <c:axId val="14224204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39360"/>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3810</xdr:colOff>
      <xdr:row>37</xdr:row>
      <xdr:rowOff>118109</xdr:rowOff>
    </xdr:from>
    <xdr:to>
      <xdr:col>7</xdr:col>
      <xdr:colOff>314960</xdr:colOff>
      <xdr:row>57</xdr:row>
      <xdr:rowOff>118109</xdr:rowOff>
    </xdr:to>
    <xdr:graphicFrame macro="">
      <xdr:nvGraphicFramePr>
        <xdr:cNvPr id="15" name="SelStatus">
          <a:extLst>
            <a:ext uri="{FF2B5EF4-FFF2-40B4-BE49-F238E27FC236}">
              <a16:creationId xmlns:a16="http://schemas.microsoft.com/office/drawing/2014/main" id="{A5E8382E-0AE0-54C0-18E2-B69E75DBF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317499</xdr:colOff>
      <xdr:row>37</xdr:row>
      <xdr:rowOff>121919</xdr:rowOff>
    </xdr:from>
    <xdr:to>
      <xdr:col>15</xdr:col>
      <xdr:colOff>43542</xdr:colOff>
      <xdr:row>57</xdr:row>
      <xdr:rowOff>121919</xdr:rowOff>
    </xdr:to>
    <xdr:graphicFrame macro="">
      <xdr:nvGraphicFramePr>
        <xdr:cNvPr id="16" name="PctSold">
          <a:extLst>
            <a:ext uri="{FF2B5EF4-FFF2-40B4-BE49-F238E27FC236}">
              <a16:creationId xmlns:a16="http://schemas.microsoft.com/office/drawing/2014/main" id="{C70656A3-46DD-3D4E-51C3-EC5E223AA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32657</xdr:colOff>
      <xdr:row>58</xdr:row>
      <xdr:rowOff>100147</xdr:rowOff>
    </xdr:from>
    <xdr:to>
      <xdr:col>7</xdr:col>
      <xdr:colOff>347617</xdr:colOff>
      <xdr:row>78</xdr:row>
      <xdr:rowOff>100147</xdr:rowOff>
    </xdr:to>
    <xdr:graphicFrame macro="">
      <xdr:nvGraphicFramePr>
        <xdr:cNvPr id="17" name="Funnel">
          <a:extLst>
            <a:ext uri="{FF2B5EF4-FFF2-40B4-BE49-F238E27FC236}">
              <a16:creationId xmlns:a16="http://schemas.microsoft.com/office/drawing/2014/main" id="{96149087-C404-2051-C4E4-685AB6DD2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317499</xdr:colOff>
      <xdr:row>58</xdr:row>
      <xdr:rowOff>121919</xdr:rowOff>
    </xdr:from>
    <xdr:to>
      <xdr:col>15</xdr:col>
      <xdr:colOff>640079</xdr:colOff>
      <xdr:row>78</xdr:row>
      <xdr:rowOff>121919</xdr:rowOff>
    </xdr:to>
    <xdr:graphicFrame macro="">
      <xdr:nvGraphicFramePr>
        <xdr:cNvPr id="18" name="GDV">
          <a:extLst>
            <a:ext uri="{FF2B5EF4-FFF2-40B4-BE49-F238E27FC236}">
              <a16:creationId xmlns:a16="http://schemas.microsoft.com/office/drawing/2014/main" id="{A9A623FD-A703-8F49-341B-AA0EDD19C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297467</xdr:colOff>
      <xdr:row>23</xdr:row>
      <xdr:rowOff>190464</xdr:rowOff>
    </xdr:from>
    <xdr:to>
      <xdr:col>1</xdr:col>
      <xdr:colOff>184367</xdr:colOff>
      <xdr:row>23</xdr:row>
      <xdr:rowOff>190464</xdr:rowOff>
    </xdr:to>
    <xdr:grpSp>
      <xdr:nvGrpSpPr>
        <xdr:cNvPr id="2" name="Agrupar 20">
          <a:extLst>
            <a:ext uri="{FF2B5EF4-FFF2-40B4-BE49-F238E27FC236}">
              <a16:creationId xmlns:a16="http://schemas.microsoft.com/office/drawing/2014/main" id="{EAC7B633-0FCC-47E5-AC14-1D90B9ABB2A0}"/>
            </a:ext>
          </a:extLst>
        </xdr:cNvPr>
        <xdr:cNvGrpSpPr/>
      </xdr:nvGrpSpPr>
      <xdr:grpSpPr>
        <a:xfrm>
          <a:off x="299372" y="4902164"/>
          <a:ext cx="1703000" cy="0"/>
          <a:chOff x="17126421" y="9656457"/>
          <a:chExt cx="2035297" cy="832018"/>
        </a:xfrm>
      </xdr:grpSpPr>
      <xdr:pic>
        <xdr:nvPicPr>
          <xdr:cNvPr id="3" name="object 2">
            <a:extLst>
              <a:ext uri="{FF2B5EF4-FFF2-40B4-BE49-F238E27FC236}">
                <a16:creationId xmlns:a16="http://schemas.microsoft.com/office/drawing/2014/main" id="{0E148437-559D-9E60-FF12-02E841F84F3E}"/>
              </a:ext>
            </a:extLst>
          </xdr:cNvPr>
          <xdr:cNvPicPr/>
        </xdr:nvPicPr>
        <xdr:blipFill>
          <a:blip xmlns:r="http://schemas.openxmlformats.org/officeDocument/2006/relationships" r:embed="rId1" cstate="print"/>
          <a:stretch>
            <a:fillRect/>
          </a:stretch>
        </xdr:blipFill>
        <xdr:spPr>
          <a:xfrm>
            <a:off x="19059921" y="10137926"/>
            <a:ext cx="101797" cy="101797"/>
          </a:xfrm>
          <a:prstGeom prst="rect">
            <a:avLst/>
          </a:prstGeom>
        </xdr:spPr>
      </xdr:pic>
      <xdr:pic>
        <xdr:nvPicPr>
          <xdr:cNvPr id="4" name="object 3">
            <a:extLst>
              <a:ext uri="{FF2B5EF4-FFF2-40B4-BE49-F238E27FC236}">
                <a16:creationId xmlns:a16="http://schemas.microsoft.com/office/drawing/2014/main" id="{CFFB5E52-ACEB-A4FF-68E4-81C24931A452}"/>
              </a:ext>
            </a:extLst>
          </xdr:cNvPr>
          <xdr:cNvPicPr/>
        </xdr:nvPicPr>
        <xdr:blipFill>
          <a:blip xmlns:r="http://schemas.openxmlformats.org/officeDocument/2006/relationships" r:embed="rId2" cstate="print"/>
          <a:stretch>
            <a:fillRect/>
          </a:stretch>
        </xdr:blipFill>
        <xdr:spPr>
          <a:xfrm>
            <a:off x="19059921" y="9921639"/>
            <a:ext cx="101797" cy="101797"/>
          </a:xfrm>
          <a:prstGeom prst="rect">
            <a:avLst/>
          </a:prstGeom>
        </xdr:spPr>
      </xdr:pic>
      <xdr:pic>
        <xdr:nvPicPr>
          <xdr:cNvPr id="5" name="object 4">
            <a:extLst>
              <a:ext uri="{FF2B5EF4-FFF2-40B4-BE49-F238E27FC236}">
                <a16:creationId xmlns:a16="http://schemas.microsoft.com/office/drawing/2014/main" id="{4174856B-8BBD-9370-F80E-9482E315BDE2}"/>
              </a:ext>
            </a:extLst>
          </xdr:cNvPr>
          <xdr:cNvPicPr/>
        </xdr:nvPicPr>
        <xdr:blipFill>
          <a:blip xmlns:r="http://schemas.openxmlformats.org/officeDocument/2006/relationships" r:embed="rId3" cstate="print"/>
          <a:stretch>
            <a:fillRect/>
          </a:stretch>
        </xdr:blipFill>
        <xdr:spPr>
          <a:xfrm>
            <a:off x="17126421" y="9656457"/>
            <a:ext cx="1872916" cy="832018"/>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297467</xdr:colOff>
      <xdr:row>24</xdr:row>
      <xdr:rowOff>266664</xdr:rowOff>
    </xdr:from>
    <xdr:to>
      <xdr:col>1</xdr:col>
      <xdr:colOff>184367</xdr:colOff>
      <xdr:row>24</xdr:row>
      <xdr:rowOff>899059</xdr:rowOff>
    </xdr:to>
    <xdr:grpSp>
      <xdr:nvGrpSpPr>
        <xdr:cNvPr id="2" name="Agrupar 20">
          <a:extLst>
            <a:ext uri="{FF2B5EF4-FFF2-40B4-BE49-F238E27FC236}">
              <a16:creationId xmlns:a16="http://schemas.microsoft.com/office/drawing/2014/main" id="{0E0C4148-0C38-43C5-B605-105C7C967223}"/>
            </a:ext>
          </a:extLst>
        </xdr:cNvPr>
        <xdr:cNvGrpSpPr/>
      </xdr:nvGrpSpPr>
      <xdr:grpSpPr>
        <a:xfrm>
          <a:off x="299372" y="5299084"/>
          <a:ext cx="1239182" cy="3745"/>
          <a:chOff x="17126421" y="9656457"/>
          <a:chExt cx="2035297" cy="832018"/>
        </a:xfrm>
      </xdr:grpSpPr>
      <xdr:pic>
        <xdr:nvPicPr>
          <xdr:cNvPr id="3" name="object 2">
            <a:extLst>
              <a:ext uri="{FF2B5EF4-FFF2-40B4-BE49-F238E27FC236}">
                <a16:creationId xmlns:a16="http://schemas.microsoft.com/office/drawing/2014/main" id="{8FC09C49-CC02-C58F-FE85-80E3FB8314DA}"/>
              </a:ext>
            </a:extLst>
          </xdr:cNvPr>
          <xdr:cNvPicPr/>
        </xdr:nvPicPr>
        <xdr:blipFill>
          <a:blip xmlns:r="http://schemas.openxmlformats.org/officeDocument/2006/relationships" r:embed="rId1" cstate="print"/>
          <a:stretch>
            <a:fillRect/>
          </a:stretch>
        </xdr:blipFill>
        <xdr:spPr>
          <a:xfrm>
            <a:off x="19059921" y="10137926"/>
            <a:ext cx="101797" cy="101797"/>
          </a:xfrm>
          <a:prstGeom prst="rect">
            <a:avLst/>
          </a:prstGeom>
        </xdr:spPr>
      </xdr:pic>
      <xdr:pic>
        <xdr:nvPicPr>
          <xdr:cNvPr id="4" name="object 3">
            <a:extLst>
              <a:ext uri="{FF2B5EF4-FFF2-40B4-BE49-F238E27FC236}">
                <a16:creationId xmlns:a16="http://schemas.microsoft.com/office/drawing/2014/main" id="{CB9AC2ED-2119-BC1A-4BDA-E7B98099A9E7}"/>
              </a:ext>
            </a:extLst>
          </xdr:cNvPr>
          <xdr:cNvPicPr/>
        </xdr:nvPicPr>
        <xdr:blipFill>
          <a:blip xmlns:r="http://schemas.openxmlformats.org/officeDocument/2006/relationships" r:embed="rId2" cstate="print"/>
          <a:stretch>
            <a:fillRect/>
          </a:stretch>
        </xdr:blipFill>
        <xdr:spPr>
          <a:xfrm>
            <a:off x="19059921" y="9921639"/>
            <a:ext cx="101797" cy="101797"/>
          </a:xfrm>
          <a:prstGeom prst="rect">
            <a:avLst/>
          </a:prstGeom>
        </xdr:spPr>
      </xdr:pic>
      <xdr:pic>
        <xdr:nvPicPr>
          <xdr:cNvPr id="5" name="object 4">
            <a:extLst>
              <a:ext uri="{FF2B5EF4-FFF2-40B4-BE49-F238E27FC236}">
                <a16:creationId xmlns:a16="http://schemas.microsoft.com/office/drawing/2014/main" id="{0E1BAD24-C9E6-4265-5D06-A40EF25259D9}"/>
              </a:ext>
            </a:extLst>
          </xdr:cNvPr>
          <xdr:cNvPicPr/>
        </xdr:nvPicPr>
        <xdr:blipFill>
          <a:blip xmlns:r="http://schemas.openxmlformats.org/officeDocument/2006/relationships" r:embed="rId3" cstate="print"/>
          <a:stretch>
            <a:fillRect/>
          </a:stretch>
        </xdr:blipFill>
        <xdr:spPr>
          <a:xfrm>
            <a:off x="17126421" y="9656457"/>
            <a:ext cx="1872916" cy="832018"/>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297467</xdr:colOff>
      <xdr:row>24</xdr:row>
      <xdr:rowOff>266664</xdr:rowOff>
    </xdr:from>
    <xdr:to>
      <xdr:col>1</xdr:col>
      <xdr:colOff>184367</xdr:colOff>
      <xdr:row>24</xdr:row>
      <xdr:rowOff>899059</xdr:rowOff>
    </xdr:to>
    <xdr:grpSp>
      <xdr:nvGrpSpPr>
        <xdr:cNvPr id="2" name="Agrupar 20">
          <a:extLst>
            <a:ext uri="{FF2B5EF4-FFF2-40B4-BE49-F238E27FC236}">
              <a16:creationId xmlns:a16="http://schemas.microsoft.com/office/drawing/2014/main" id="{69B2049D-EA97-4682-8C0B-53BBAA5A4AFE}"/>
            </a:ext>
          </a:extLst>
        </xdr:cNvPr>
        <xdr:cNvGrpSpPr/>
      </xdr:nvGrpSpPr>
      <xdr:grpSpPr>
        <a:xfrm>
          <a:off x="299372" y="5219664"/>
          <a:ext cx="1704814" cy="3745"/>
          <a:chOff x="17126421" y="9656457"/>
          <a:chExt cx="2035297" cy="832018"/>
        </a:xfrm>
      </xdr:grpSpPr>
      <xdr:pic>
        <xdr:nvPicPr>
          <xdr:cNvPr id="3" name="object 2">
            <a:extLst>
              <a:ext uri="{FF2B5EF4-FFF2-40B4-BE49-F238E27FC236}">
                <a16:creationId xmlns:a16="http://schemas.microsoft.com/office/drawing/2014/main" id="{76F36804-C318-8EDD-03FE-8D4CF8739827}"/>
              </a:ext>
            </a:extLst>
          </xdr:cNvPr>
          <xdr:cNvPicPr/>
        </xdr:nvPicPr>
        <xdr:blipFill>
          <a:blip xmlns:r="http://schemas.openxmlformats.org/officeDocument/2006/relationships" r:embed="rId1" cstate="print"/>
          <a:stretch>
            <a:fillRect/>
          </a:stretch>
        </xdr:blipFill>
        <xdr:spPr>
          <a:xfrm>
            <a:off x="19059921" y="10137926"/>
            <a:ext cx="101797" cy="101797"/>
          </a:xfrm>
          <a:prstGeom prst="rect">
            <a:avLst/>
          </a:prstGeom>
        </xdr:spPr>
      </xdr:pic>
      <xdr:pic>
        <xdr:nvPicPr>
          <xdr:cNvPr id="4" name="object 3">
            <a:extLst>
              <a:ext uri="{FF2B5EF4-FFF2-40B4-BE49-F238E27FC236}">
                <a16:creationId xmlns:a16="http://schemas.microsoft.com/office/drawing/2014/main" id="{1C26FD59-9E63-FB57-5D41-1C255EA78E70}"/>
              </a:ext>
            </a:extLst>
          </xdr:cNvPr>
          <xdr:cNvPicPr/>
        </xdr:nvPicPr>
        <xdr:blipFill>
          <a:blip xmlns:r="http://schemas.openxmlformats.org/officeDocument/2006/relationships" r:embed="rId2" cstate="print"/>
          <a:stretch>
            <a:fillRect/>
          </a:stretch>
        </xdr:blipFill>
        <xdr:spPr>
          <a:xfrm>
            <a:off x="19059921" y="9921639"/>
            <a:ext cx="101797" cy="101797"/>
          </a:xfrm>
          <a:prstGeom prst="rect">
            <a:avLst/>
          </a:prstGeom>
        </xdr:spPr>
      </xdr:pic>
      <xdr:pic>
        <xdr:nvPicPr>
          <xdr:cNvPr id="5" name="object 4">
            <a:extLst>
              <a:ext uri="{FF2B5EF4-FFF2-40B4-BE49-F238E27FC236}">
                <a16:creationId xmlns:a16="http://schemas.microsoft.com/office/drawing/2014/main" id="{9D2D33D8-8852-071A-019F-CB3E3125355D}"/>
              </a:ext>
            </a:extLst>
          </xdr:cNvPr>
          <xdr:cNvPicPr/>
        </xdr:nvPicPr>
        <xdr:blipFill>
          <a:blip xmlns:r="http://schemas.openxmlformats.org/officeDocument/2006/relationships" r:embed="rId3" cstate="print"/>
          <a:stretch>
            <a:fillRect/>
          </a:stretch>
        </xdr:blipFill>
        <xdr:spPr>
          <a:xfrm>
            <a:off x="17126421" y="9656457"/>
            <a:ext cx="1872916" cy="832018"/>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297467</xdr:colOff>
      <xdr:row>23</xdr:row>
      <xdr:rowOff>190464</xdr:rowOff>
    </xdr:from>
    <xdr:to>
      <xdr:col>1</xdr:col>
      <xdr:colOff>184367</xdr:colOff>
      <xdr:row>23</xdr:row>
      <xdr:rowOff>190464</xdr:rowOff>
    </xdr:to>
    <xdr:grpSp>
      <xdr:nvGrpSpPr>
        <xdr:cNvPr id="2" name="Agrupar 20">
          <a:extLst>
            <a:ext uri="{FF2B5EF4-FFF2-40B4-BE49-F238E27FC236}">
              <a16:creationId xmlns:a16="http://schemas.microsoft.com/office/drawing/2014/main" id="{73CF0222-7FCE-4A03-ABF7-D293699BEC02}"/>
            </a:ext>
          </a:extLst>
        </xdr:cNvPr>
        <xdr:cNvGrpSpPr/>
      </xdr:nvGrpSpPr>
      <xdr:grpSpPr>
        <a:xfrm>
          <a:off x="299372" y="4899624"/>
          <a:ext cx="1700460" cy="0"/>
          <a:chOff x="17126421" y="9656457"/>
          <a:chExt cx="2035297" cy="832018"/>
        </a:xfrm>
      </xdr:grpSpPr>
      <xdr:pic>
        <xdr:nvPicPr>
          <xdr:cNvPr id="3" name="object 2">
            <a:extLst>
              <a:ext uri="{FF2B5EF4-FFF2-40B4-BE49-F238E27FC236}">
                <a16:creationId xmlns:a16="http://schemas.microsoft.com/office/drawing/2014/main" id="{89E73F03-3AC5-F51C-4B7A-E70551708569}"/>
              </a:ext>
            </a:extLst>
          </xdr:cNvPr>
          <xdr:cNvPicPr/>
        </xdr:nvPicPr>
        <xdr:blipFill>
          <a:blip xmlns:r="http://schemas.openxmlformats.org/officeDocument/2006/relationships" r:embed="rId1" cstate="print"/>
          <a:stretch>
            <a:fillRect/>
          </a:stretch>
        </xdr:blipFill>
        <xdr:spPr>
          <a:xfrm>
            <a:off x="19059921" y="10137926"/>
            <a:ext cx="101797" cy="101797"/>
          </a:xfrm>
          <a:prstGeom prst="rect">
            <a:avLst/>
          </a:prstGeom>
        </xdr:spPr>
      </xdr:pic>
      <xdr:pic>
        <xdr:nvPicPr>
          <xdr:cNvPr id="4" name="object 3">
            <a:extLst>
              <a:ext uri="{FF2B5EF4-FFF2-40B4-BE49-F238E27FC236}">
                <a16:creationId xmlns:a16="http://schemas.microsoft.com/office/drawing/2014/main" id="{E9AB3DDD-4AC8-23D4-0151-9FFEFE40353E}"/>
              </a:ext>
            </a:extLst>
          </xdr:cNvPr>
          <xdr:cNvPicPr/>
        </xdr:nvPicPr>
        <xdr:blipFill>
          <a:blip xmlns:r="http://schemas.openxmlformats.org/officeDocument/2006/relationships" r:embed="rId2" cstate="print"/>
          <a:stretch>
            <a:fillRect/>
          </a:stretch>
        </xdr:blipFill>
        <xdr:spPr>
          <a:xfrm>
            <a:off x="19059921" y="9921639"/>
            <a:ext cx="101797" cy="101797"/>
          </a:xfrm>
          <a:prstGeom prst="rect">
            <a:avLst/>
          </a:prstGeom>
        </xdr:spPr>
      </xdr:pic>
      <xdr:pic>
        <xdr:nvPicPr>
          <xdr:cNvPr id="5" name="object 4">
            <a:extLst>
              <a:ext uri="{FF2B5EF4-FFF2-40B4-BE49-F238E27FC236}">
                <a16:creationId xmlns:a16="http://schemas.microsoft.com/office/drawing/2014/main" id="{2482043C-CAA4-0ED5-9341-7EC4A4B1475D}"/>
              </a:ext>
            </a:extLst>
          </xdr:cNvPr>
          <xdr:cNvPicPr/>
        </xdr:nvPicPr>
        <xdr:blipFill>
          <a:blip xmlns:r="http://schemas.openxmlformats.org/officeDocument/2006/relationships" r:embed="rId3" cstate="print"/>
          <a:stretch>
            <a:fillRect/>
          </a:stretch>
        </xdr:blipFill>
        <xdr:spPr>
          <a:xfrm>
            <a:off x="17126421" y="9656457"/>
            <a:ext cx="1872916" cy="832018"/>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297467</xdr:colOff>
      <xdr:row>24</xdr:row>
      <xdr:rowOff>266664</xdr:rowOff>
    </xdr:from>
    <xdr:to>
      <xdr:col>1</xdr:col>
      <xdr:colOff>184367</xdr:colOff>
      <xdr:row>24</xdr:row>
      <xdr:rowOff>899059</xdr:rowOff>
    </xdr:to>
    <xdr:grpSp>
      <xdr:nvGrpSpPr>
        <xdr:cNvPr id="2" name="Agrupar 20">
          <a:extLst>
            <a:ext uri="{FF2B5EF4-FFF2-40B4-BE49-F238E27FC236}">
              <a16:creationId xmlns:a16="http://schemas.microsoft.com/office/drawing/2014/main" id="{89583AE4-1119-4618-A476-AF4EC4B273F5}"/>
            </a:ext>
          </a:extLst>
        </xdr:cNvPr>
        <xdr:cNvGrpSpPr/>
      </xdr:nvGrpSpPr>
      <xdr:grpSpPr>
        <a:xfrm>
          <a:off x="299372" y="5429214"/>
          <a:ext cx="1696650" cy="3745"/>
          <a:chOff x="17126421" y="9656457"/>
          <a:chExt cx="2035297" cy="832018"/>
        </a:xfrm>
      </xdr:grpSpPr>
      <xdr:pic>
        <xdr:nvPicPr>
          <xdr:cNvPr id="3" name="object 2">
            <a:extLst>
              <a:ext uri="{FF2B5EF4-FFF2-40B4-BE49-F238E27FC236}">
                <a16:creationId xmlns:a16="http://schemas.microsoft.com/office/drawing/2014/main" id="{0387699B-B1CD-F818-DC73-B15B7A9E6E3B}"/>
              </a:ext>
            </a:extLst>
          </xdr:cNvPr>
          <xdr:cNvPicPr/>
        </xdr:nvPicPr>
        <xdr:blipFill>
          <a:blip xmlns:r="http://schemas.openxmlformats.org/officeDocument/2006/relationships" r:embed="rId1" cstate="print"/>
          <a:stretch>
            <a:fillRect/>
          </a:stretch>
        </xdr:blipFill>
        <xdr:spPr>
          <a:xfrm>
            <a:off x="19059921" y="10137926"/>
            <a:ext cx="101797" cy="101797"/>
          </a:xfrm>
          <a:prstGeom prst="rect">
            <a:avLst/>
          </a:prstGeom>
        </xdr:spPr>
      </xdr:pic>
      <xdr:pic>
        <xdr:nvPicPr>
          <xdr:cNvPr id="4" name="object 3">
            <a:extLst>
              <a:ext uri="{FF2B5EF4-FFF2-40B4-BE49-F238E27FC236}">
                <a16:creationId xmlns:a16="http://schemas.microsoft.com/office/drawing/2014/main" id="{00F163BA-7901-C92C-CA2E-6A984EC5C3E7}"/>
              </a:ext>
            </a:extLst>
          </xdr:cNvPr>
          <xdr:cNvPicPr/>
        </xdr:nvPicPr>
        <xdr:blipFill>
          <a:blip xmlns:r="http://schemas.openxmlformats.org/officeDocument/2006/relationships" r:embed="rId2" cstate="print"/>
          <a:stretch>
            <a:fillRect/>
          </a:stretch>
        </xdr:blipFill>
        <xdr:spPr>
          <a:xfrm>
            <a:off x="19059921" y="9921639"/>
            <a:ext cx="101797" cy="101797"/>
          </a:xfrm>
          <a:prstGeom prst="rect">
            <a:avLst/>
          </a:prstGeom>
        </xdr:spPr>
      </xdr:pic>
      <xdr:pic>
        <xdr:nvPicPr>
          <xdr:cNvPr id="5" name="object 4">
            <a:extLst>
              <a:ext uri="{FF2B5EF4-FFF2-40B4-BE49-F238E27FC236}">
                <a16:creationId xmlns:a16="http://schemas.microsoft.com/office/drawing/2014/main" id="{2243CB4C-1BEE-7169-87C0-1281CA95E664}"/>
              </a:ext>
            </a:extLst>
          </xdr:cNvPr>
          <xdr:cNvPicPr/>
        </xdr:nvPicPr>
        <xdr:blipFill>
          <a:blip xmlns:r="http://schemas.openxmlformats.org/officeDocument/2006/relationships" r:embed="rId3" cstate="print"/>
          <a:stretch>
            <a:fillRect/>
          </a:stretch>
        </xdr:blipFill>
        <xdr:spPr>
          <a:xfrm>
            <a:off x="17126421" y="9656457"/>
            <a:ext cx="1872916" cy="832018"/>
          </a:xfrm>
          <a:prstGeom prst="rect">
            <a:avLst/>
          </a:prstGeom>
        </xdr:spPr>
      </xdr:pic>
    </xdr:grpSp>
    <xdr:clientData/>
  </xdr:twoCellAnchor>
</xdr:wsDr>
</file>

<file path=xl/persons/person.xml><?xml version="1.0" encoding="utf-8"?>
<personList xmlns="http://schemas.microsoft.com/office/spreadsheetml/2018/threadedcomments" xmlns:x="http://schemas.openxmlformats.org/spreadsheetml/2006/main">
  <person displayName="Sara Loureiro" id="{01898A9F-3A45-4D73-9A53-D732B2AAC49A}" userId="S::sloureiro@from.pt::b2932a60-db2b-44e9-9781-13607e48576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FCC5EF-E86F-C74F-AB4A-C20BE88873EE}" name="DATABASE_Table" displayName="DATABASE_Table" ref="A1:AJ1142" totalsRowShown="0" headerRowDxfId="166" dataDxfId="164" headerRowBorderDxfId="165" tableBorderDxfId="163" totalsRowBorderDxfId="162">
  <autoFilter ref="A1:AJ1142" xr:uid="{63FCC5EF-E86F-C74F-AB4A-C20BE88873EE}">
    <filterColumn colId="0">
      <filters>
        <filter val="MOURAGOLFE"/>
      </filters>
    </filterColumn>
  </autoFilter>
  <tableColumns count="36">
    <tableColumn id="1" xr3:uid="{B943FC6E-5E76-0F43-B48D-5AE07D3A49B8}" name="Commercial ID" dataDxfId="161" totalsRowDxfId="160"/>
    <tableColumn id="2" xr3:uid="{FDCC5543-7CB6-6048-9EE0-C22F2CCB1771}" name="Local" dataDxfId="159" totalsRowDxfId="158"/>
    <tableColumn id="3" xr3:uid="{F603CFDE-B003-B94B-ADEE-2FADA161351E}" name="Unit PH" dataDxfId="157" totalsRowDxfId="156"/>
    <tableColumn id="28" xr3:uid="{E9BB9EAD-7849-472D-A5F1-754D38EC75CC}" name="Location" dataDxfId="155" totalsRowDxfId="154"/>
    <tableColumn id="4" xr3:uid="{06EDFDDF-D9A8-E04F-BAF6-F7000E048FFD}" name="Typology" dataDxfId="153" totalsRowDxfId="152"/>
    <tableColumn id="5" xr3:uid="{E273D5AC-6436-0E47-809F-49010E5032A1}" name="Area Total  [sqm]" dataDxfId="151" totalsRowDxfId="150"/>
    <tableColumn id="6" xr3:uid="{818567ED-9E04-D945-A026-3DBDF0F17C37}" name="Storage [sqm]" dataDxfId="149" totalsRowDxfId="148"/>
    <tableColumn id="7" xr3:uid="{295FC741-6A74-B84A-B7D8-F23C1F3E0D99}" name="Parking Lots [#]" dataDxfId="147" totalsRowDxfId="146"/>
    <tableColumn id="8" xr3:uid="{51CA1C19-BE41-0E45-8513-E2C25F1BB13F}" name="Pool [#]" dataDxfId="145" totalsRowDxfId="144"/>
    <tableColumn id="9" xr3:uid="{2C1E66AC-513A-3546-86FB-BF0790E4711C}" name="Balconies [sqm]" dataDxfId="143" totalsRowDxfId="142"/>
    <tableColumn id="10" xr3:uid="{7FE97706-3883-2048-9193-C7BA3B30F67E}" name="Garden [sqm]" dataDxfId="141" totalsRowDxfId="140"/>
    <tableColumn id="11" xr3:uid="{128C2524-7E1E-FF41-8880-ED5C6D9C1750}" name="Patio [sqm]" dataDxfId="139" totalsRowDxfId="138"/>
    <tableColumn id="12" xr3:uid="{B50D8C68-471D-AA49-B928-7753D7F2C210}" name="Terrace [sqm]" dataDxfId="137" totalsRowDxfId="136"/>
    <tableColumn id="13" xr3:uid="{46FA90EA-5977-4243-9914-C88A46216EDD}" name="Rooftop [sqm]" dataDxfId="135" totalsRowDxfId="134"/>
    <tableColumn id="14" xr3:uid="{9A13E477-2654-ED42-BE37-9F3F50311814}" name="Interior" dataDxfId="133" totalsRowDxfId="132"/>
    <tableColumn id="15" xr3:uid="{29CF9265-2254-034E-BF05-A596F0DD534B}" name="Exterior" dataDxfId="131" totalsRowDxfId="130"/>
    <tableColumn id="16" xr3:uid="{8B2A24E8-255F-A147-8CED-394123B9AB24}" name="Selling Status" dataDxfId="129" totalsRowDxfId="128"/>
    <tableColumn id="17" xr3:uid="{71A1B3B6-1B13-4543-BCB4-8F55F3D507D9}" name="Inicial Asking Price (€) (RE Asset)" dataDxfId="127" totalsRowDxfId="126">
      <calculatedColumnFormula>DATABASE_Table[[#This Row],[Inicial Asking Price (€) (Total)]]-DATABASE_Table[[#This Row],[Vista membership]]-DATABASE_Table[[#This Row],[FF&amp;E]]</calculatedColumnFormula>
    </tableColumn>
    <tableColumn id="18" xr3:uid="{A62EB300-6336-0F4C-BDE1-0EE63C1C4E03}" name="Inicial Asking Price (€) (Total)" dataDxfId="125" totalsRowDxfId="124" dataCellStyle="Currency"/>
    <tableColumn id="19" xr3:uid="{89ADA552-96EB-C04E-B695-1D2F5CCE951F}" name="Current Asking price( Total)" dataDxfId="123" totalsRowDxfId="122" dataCellStyle="Currency"/>
    <tableColumn id="20" xr3:uid="{4561EA59-E46E-2D41-9CF5-6B894E29E154}" name="Vista membership" dataDxfId="121" totalsRowDxfId="120"/>
    <tableColumn id="21" xr3:uid="{A05D6E2D-9ACE-4C4F-9C00-B8F251F8D55A}" name="FF&amp;E" dataDxfId="119" totalsRowDxfId="118"/>
    <tableColumn id="22" xr3:uid="{4F1891CA-49EB-1D4C-A6A1-2D57EF2BA971}" name="Current Asking price (RE Asset)" dataDxfId="117" totalsRowDxfId="116">
      <calculatedColumnFormula>DATABASE_Table[[#This Row],[Current Asking price( Total)]]-DATABASE_Table[[#This Row],[Vista membership]]-DATABASE_Table[[#This Row],[FF&amp;E]]</calculatedColumnFormula>
    </tableColumn>
    <tableColumn id="23" xr3:uid="{8C1911B6-7036-ED4E-A943-8DCBEC742AA1}" name="Total Discunt" dataDxfId="115" totalsRowDxfId="114" dataCellStyle="Percent"/>
    <tableColumn id="24" xr3:uid="{029087F4-A172-3D49-8043-B7B3736068F5}" name="Sell price (Total)" dataDxfId="113" totalsRowDxfId="112" dataCellStyle="Currency"/>
    <tableColumn id="25" xr3:uid="{D54A0525-0900-984E-82CC-CC78EE387A49}" name="Sell price (RE Asset)" dataDxfId="2" totalsRowDxfId="111">
      <calculatedColumnFormula>DATABASE_Table[[#This Row],[Sell price (Total)]]-DATABASE_Table[[#This Row],[FF&amp;E]]-DATABASE_Table[[#This Row],[Vista membership]]</calculatedColumnFormula>
    </tableColumn>
    <tableColumn id="27" xr3:uid="{890FA5FA-0062-6347-9EFA-671A56A65D75}" name="PSPA Date" dataDxfId="1" totalsRowDxfId="110"/>
    <tableColumn id="29" xr3:uid="{2326D8FB-26F4-044E-BF2D-554D56616205}" name="Delivery Expected" dataDxfId="0" totalsRowDxfId="109"/>
    <tableColumn id="30" xr3:uid="{09C02240-B6C9-40D9-826D-AA21BC7E80E5}" name="Owner Comercial" dataDxfId="108" totalsRowDxfId="107"/>
    <tableColumn id="31" xr3:uid="{EE0B9818-CE87-4DB1-92E3-D9C0DAE40FDC}" name="Owner Asset Management" dataDxfId="106" totalsRowDxfId="105"/>
    <tableColumn id="32" xr3:uid="{CCC82B3C-3344-4F23-A8D4-33FD10B6701B}" name="Website" dataDxfId="104" totalsRowDxfId="103"/>
    <tableColumn id="33" xr3:uid="{BAA14FF8-8035-46D4-80DD-5F7EF64C7743}" name="Positioning Statement" dataDxfId="102" totalsRowDxfId="101"/>
    <tableColumn id="34" xr3:uid="{9CF8AF56-9B59-4914-B099-94A889B38B63}" name="Amenities" dataDxfId="100" totalsRowDxfId="99"/>
    <tableColumn id="35" xr3:uid="{90EDC372-753C-411C-9558-153442B49222}" name="Key-Selling Points" dataDxfId="98" totalsRowDxfId="97"/>
    <tableColumn id="36" xr3:uid="{58D3AF83-4846-4CE7-AD66-10FA460E8A2A}" name="Architecture" dataDxfId="96" totalsRowDxfId="95"/>
    <tableColumn id="37" xr3:uid="{2E2568A7-323C-AC42-A822-993A170D2B8D}" name="Development" dataDxfId="94" totalsRowDxfId="93"/>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T145" dT="2025-09-29T17:13:53.32" personId="{01898A9F-3A45-4D73-9A53-D732B2AAC49A}" id="{F8B0F97D-6BBB-4778-9916-E22A42CC1B36}">
    <text>Acresce lugar de estacionamento por +40k (€850.000,00). CPCV LE108 assinado a 29/12/2025</text>
  </threadedComment>
  <threadedComment ref="U145" dT="2025-09-29T17:13:53.32" personId="{01898A9F-3A45-4D73-9A53-D732B2AAC49A}" id="{9CBFCEA5-1B99-4BAA-984C-9A3D0C8A2BEC}">
    <text>Acresce lugar de estacionamento por +40k (€850.000,00). CPCV LE108 assinado a 29/12/2025</text>
  </threadedComment>
  <threadedComment ref="T204" dT="2026-03-10T20:29:39.38" personId="{01898A9F-3A45-4D73-9A53-D732B2AAC49A}" id="{6693E897-14D8-4D34-9532-D0803CCF01E7}">
    <text>Cliente pretende adquirir FF&amp;E. Acordado 130k (total €4.230.000,00)</text>
  </threadedComment>
  <threadedComment ref="U204" dT="2026-03-10T20:29:39.38" personId="{01898A9F-3A45-4D73-9A53-D732B2AAC49A}" id="{41573AA6-C2C7-4CB1-8685-540CCEBF83C5}">
    <text>Cliente pretende adquirir FF&amp;E. Acordado 130k (total €4.230.000,00)</text>
  </threadedComment>
  <threadedComment ref="T208" dT="2025-12-05T12:01:01.17" personId="{01898A9F-3A45-4D73-9A53-D732B2AAC49A}" id="{27A2D50D-4EB7-49D2-ACD0-BB82A4133ACD}">
    <text>OFERTA DE FF&amp;E AO CLIENTE</text>
  </threadedComment>
  <threadedComment ref="U208" dT="2025-12-05T12:01:01.17" personId="{01898A9F-3A45-4D73-9A53-D732B2AAC49A}" id="{02CC4E60-D2DF-4406-9FDF-C171EF075A29}">
    <text>OFERTA DE FF&amp;E AO CLIENTE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08E222-646E-1E43-A0E3-A2EB445E314B}">
  <we:reference id="WA200010725" version="1.0.0.1" store="Omex" storeType="OMEX"/>
  <we:alternateReferences>
    <we:reference id="WA200010725" version="1.0.0.1" store="WA200010725" storeType="OMEX"/>
  </we:alternateReferences>
  <we:properties>
    <we:property name="claude.fileId" value="&quot;1404bc21-c7a9-47e5-8ec0-05a959ef0f6e&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5.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8F976-DDA4-DE49-9A2B-4502567D6999}">
  <sheetPr>
    <tabColor rgb="FF45483F"/>
  </sheetPr>
  <dimension ref="A1:W43"/>
  <sheetViews>
    <sheetView showGridLines="0" topLeftCell="A3" workbookViewId="0">
      <selection activeCell="F17" sqref="F17:H17"/>
    </sheetView>
  </sheetViews>
  <sheetFormatPr defaultColWidth="11.42578125" defaultRowHeight="15"/>
  <cols>
    <col min="1" max="1" width="3.7109375" customWidth="1"/>
    <col min="2" max="16" width="10.7109375" customWidth="1"/>
    <col min="17" max="17" width="3.7109375" customWidth="1"/>
  </cols>
  <sheetData>
    <row r="1" spans="1:23">
      <c r="A1" s="29"/>
      <c r="B1" s="29"/>
      <c r="C1" s="29"/>
      <c r="D1" s="29"/>
      <c r="E1" s="29"/>
      <c r="F1" s="29"/>
      <c r="G1" s="29"/>
      <c r="H1" s="29"/>
      <c r="I1" s="29"/>
      <c r="J1" s="29"/>
      <c r="K1" s="29"/>
      <c r="L1" s="29"/>
      <c r="M1" s="29"/>
      <c r="N1" s="29"/>
      <c r="O1" s="29"/>
      <c r="P1" s="29"/>
      <c r="Q1" s="29"/>
      <c r="R1" s="29"/>
      <c r="S1" s="29"/>
      <c r="T1" s="29"/>
      <c r="U1" s="29"/>
      <c r="V1" s="29"/>
      <c r="W1" s="29"/>
    </row>
    <row r="2" spans="1:23" ht="25.9" customHeight="1">
      <c r="A2" s="29"/>
      <c r="B2" s="291" t="s">
        <v>588</v>
      </c>
      <c r="C2" s="292"/>
      <c r="D2" s="292"/>
      <c r="E2" s="292"/>
      <c r="F2" s="292"/>
      <c r="G2" s="292"/>
      <c r="H2" s="292"/>
      <c r="I2" s="292"/>
      <c r="J2" s="292"/>
      <c r="K2" s="292"/>
      <c r="L2" s="292"/>
      <c r="M2" s="292"/>
      <c r="N2" s="292"/>
      <c r="O2" s="292"/>
      <c r="P2" s="292"/>
      <c r="Q2" s="29"/>
      <c r="R2" s="29"/>
      <c r="S2" s="29"/>
      <c r="T2" s="29"/>
      <c r="U2" s="29"/>
      <c r="V2" s="29"/>
      <c r="W2" s="29"/>
    </row>
    <row r="3" spans="1:23" ht="22.15" customHeight="1">
      <c r="A3" s="29"/>
      <c r="B3" s="293" t="str">
        <f>"Real estate development portfolio  ·  Last Updated 28 june 2026"</f>
        <v>Real estate development portfolio  ·  Last Updated 28 june 2026</v>
      </c>
      <c r="C3" s="292"/>
      <c r="D3" s="292"/>
      <c r="E3" s="292"/>
      <c r="F3" s="292"/>
      <c r="G3" s="292"/>
      <c r="H3" s="292"/>
      <c r="I3" s="292"/>
      <c r="J3" s="292"/>
      <c r="K3" s="292"/>
      <c r="L3" s="292"/>
      <c r="M3" s="292"/>
      <c r="N3" s="292"/>
      <c r="O3" s="292"/>
      <c r="P3" s="292"/>
      <c r="Q3" s="29"/>
      <c r="R3" s="29"/>
      <c r="S3" s="29"/>
      <c r="T3" s="29"/>
      <c r="U3" s="29"/>
      <c r="V3" s="29"/>
      <c r="W3" s="29"/>
    </row>
    <row r="4" spans="1:23">
      <c r="A4" s="29"/>
      <c r="B4" s="29"/>
      <c r="C4" s="29"/>
      <c r="D4" s="29"/>
      <c r="E4" s="29"/>
      <c r="F4" s="29"/>
      <c r="G4" s="29"/>
      <c r="H4" s="29"/>
      <c r="I4" s="29"/>
      <c r="J4" s="29"/>
      <c r="K4" s="29"/>
      <c r="L4" s="29"/>
      <c r="M4" s="29"/>
      <c r="N4" s="29"/>
      <c r="O4" s="29"/>
      <c r="P4" s="29"/>
      <c r="Q4" s="29"/>
      <c r="R4" s="29"/>
      <c r="S4" s="29"/>
      <c r="T4" s="29"/>
      <c r="U4" s="29"/>
      <c r="V4" s="29"/>
      <c r="W4" s="29"/>
    </row>
    <row r="5" spans="1:23" ht="25.9" customHeight="1">
      <c r="A5" s="34"/>
      <c r="B5" s="288" t="s">
        <v>557</v>
      </c>
      <c r="C5" s="289"/>
      <c r="D5" s="289"/>
      <c r="E5" s="289"/>
      <c r="F5" s="289"/>
      <c r="G5" s="289"/>
      <c r="H5" s="289"/>
      <c r="I5" s="289"/>
      <c r="J5" s="289"/>
      <c r="K5" s="289"/>
      <c r="L5" s="289"/>
      <c r="M5" s="289"/>
      <c r="N5" s="289"/>
      <c r="O5" s="289"/>
      <c r="P5" s="289"/>
      <c r="Q5" s="34"/>
      <c r="R5" s="34"/>
      <c r="S5" s="34"/>
      <c r="T5" s="34"/>
      <c r="U5" s="34"/>
      <c r="V5" s="34"/>
      <c r="W5" s="34"/>
    </row>
    <row r="6" spans="1:23">
      <c r="A6" s="34"/>
      <c r="B6" s="35"/>
      <c r="C6" s="34"/>
      <c r="D6" s="34"/>
      <c r="E6" s="34"/>
      <c r="F6" s="34"/>
      <c r="G6" s="34"/>
      <c r="H6" s="34"/>
      <c r="I6" s="34"/>
      <c r="J6" s="34"/>
      <c r="K6" s="34"/>
      <c r="L6" s="34"/>
      <c r="M6" s="34"/>
      <c r="N6" s="34"/>
      <c r="O6" s="34"/>
      <c r="P6" s="34"/>
      <c r="Q6" s="34"/>
      <c r="R6" s="34"/>
      <c r="S6" s="34"/>
      <c r="T6" s="34"/>
      <c r="U6" s="34"/>
      <c r="V6" s="34"/>
      <c r="W6" s="34"/>
    </row>
    <row r="7" spans="1:23" ht="22.15" customHeight="1">
      <c r="A7" s="34"/>
      <c r="B7" s="290" t="s">
        <v>566</v>
      </c>
      <c r="C7" s="289"/>
      <c r="D7" s="289"/>
      <c r="E7" s="289"/>
      <c r="F7" s="289"/>
      <c r="G7" s="289"/>
      <c r="H7" s="289"/>
      <c r="I7" s="289"/>
      <c r="J7" s="289"/>
      <c r="K7" s="289"/>
      <c r="L7" s="289"/>
      <c r="M7" s="289"/>
      <c r="N7" s="289"/>
      <c r="O7" s="289"/>
      <c r="P7" s="289"/>
      <c r="Q7" s="34"/>
      <c r="R7" s="34"/>
      <c r="S7" s="34"/>
      <c r="T7" s="34"/>
      <c r="U7" s="34"/>
      <c r="V7" s="34"/>
      <c r="W7" s="34"/>
    </row>
    <row r="8" spans="1:23" ht="24" customHeight="1">
      <c r="A8" s="34"/>
      <c r="B8" s="294" t="s">
        <v>567</v>
      </c>
      <c r="C8" s="289"/>
      <c r="D8" s="289"/>
      <c r="E8" s="34"/>
      <c r="F8" s="294" t="s">
        <v>568</v>
      </c>
      <c r="G8" s="289"/>
      <c r="H8" s="289"/>
      <c r="I8" s="34"/>
      <c r="J8" s="294" t="s">
        <v>569</v>
      </c>
      <c r="K8" s="289"/>
      <c r="L8" s="289"/>
      <c r="M8" s="34"/>
      <c r="N8" s="294" t="s">
        <v>570</v>
      </c>
      <c r="O8" s="289"/>
      <c r="P8" s="289"/>
      <c r="Q8" s="34"/>
      <c r="R8" s="34"/>
      <c r="S8" s="34"/>
      <c r="T8" s="34"/>
      <c r="U8" s="34"/>
      <c r="V8" s="34"/>
      <c r="W8" s="34"/>
    </row>
    <row r="9" spans="1:23" ht="24" customHeight="1">
      <c r="A9" s="34"/>
      <c r="B9" s="294" t="s">
        <v>571</v>
      </c>
      <c r="C9" s="289"/>
      <c r="D9" s="289"/>
      <c r="E9" s="34"/>
      <c r="F9" s="294" t="s">
        <v>572</v>
      </c>
      <c r="G9" s="289"/>
      <c r="H9" s="289"/>
      <c r="I9" s="34"/>
      <c r="J9" s="294" t="s">
        <v>573</v>
      </c>
      <c r="K9" s="289"/>
      <c r="L9" s="289"/>
      <c r="M9" s="34"/>
      <c r="N9" s="294" t="s">
        <v>574</v>
      </c>
      <c r="O9" s="289"/>
      <c r="P9" s="289"/>
      <c r="Q9" s="34"/>
      <c r="R9" s="34"/>
      <c r="S9" s="34"/>
      <c r="T9" s="34"/>
      <c r="U9" s="34"/>
      <c r="V9" s="34"/>
      <c r="W9" s="34"/>
    </row>
    <row r="10" spans="1:23" ht="24" customHeight="1">
      <c r="A10" s="34"/>
      <c r="B10" s="294" t="s">
        <v>575</v>
      </c>
      <c r="C10" s="289"/>
      <c r="D10" s="289"/>
      <c r="E10" s="34"/>
      <c r="F10" s="294" t="s">
        <v>576</v>
      </c>
      <c r="G10" s="289"/>
      <c r="H10" s="289"/>
      <c r="I10" s="34"/>
      <c r="J10" s="294" t="s">
        <v>577</v>
      </c>
      <c r="K10" s="289"/>
      <c r="L10" s="289"/>
      <c r="M10" s="34"/>
      <c r="N10" s="294" t="s">
        <v>578</v>
      </c>
      <c r="O10" s="289"/>
      <c r="P10" s="289"/>
      <c r="Q10" s="34"/>
      <c r="R10" s="34"/>
      <c r="S10" s="34"/>
      <c r="T10" s="34"/>
      <c r="U10" s="34"/>
      <c r="V10" s="34"/>
      <c r="W10" s="34"/>
    </row>
    <row r="11" spans="1:23" ht="24" customHeight="1">
      <c r="A11" s="34"/>
      <c r="B11" s="294" t="s">
        <v>579</v>
      </c>
      <c r="C11" s="289"/>
      <c r="D11" s="289"/>
      <c r="E11" s="34"/>
      <c r="F11" s="34"/>
      <c r="G11" s="34"/>
      <c r="H11" s="34"/>
      <c r="I11" s="34"/>
      <c r="J11" s="34"/>
      <c r="K11" s="34"/>
      <c r="L11" s="34"/>
      <c r="M11" s="34"/>
      <c r="N11" s="34"/>
      <c r="O11" s="34"/>
      <c r="P11" s="34"/>
      <c r="Q11" s="34"/>
      <c r="R11" s="34"/>
      <c r="S11" s="34"/>
      <c r="T11" s="34"/>
      <c r="U11" s="34"/>
      <c r="V11" s="34"/>
      <c r="W11" s="34"/>
    </row>
    <row r="12" spans="1:23">
      <c r="A12" s="34"/>
      <c r="B12" s="34"/>
      <c r="C12" s="34"/>
      <c r="D12" s="34"/>
      <c r="E12" s="34"/>
      <c r="F12" s="34"/>
      <c r="G12" s="34"/>
      <c r="H12" s="34"/>
      <c r="I12" s="34"/>
      <c r="J12" s="34"/>
      <c r="K12" s="34"/>
      <c r="L12" s="34"/>
      <c r="M12" s="34"/>
      <c r="N12" s="34"/>
      <c r="O12" s="34"/>
      <c r="P12" s="34"/>
      <c r="Q12" s="34"/>
      <c r="R12" s="34"/>
      <c r="S12" s="34"/>
      <c r="T12" s="34"/>
      <c r="U12" s="34"/>
      <c r="V12" s="34"/>
      <c r="W12" s="34"/>
    </row>
    <row r="13" spans="1:23" ht="22.15" customHeight="1">
      <c r="A13" s="34"/>
      <c r="B13" s="290" t="s">
        <v>580</v>
      </c>
      <c r="C13" s="289"/>
      <c r="D13" s="289"/>
      <c r="E13" s="289"/>
      <c r="F13" s="289"/>
      <c r="G13" s="289"/>
      <c r="H13" s="289"/>
      <c r="I13" s="289"/>
      <c r="J13" s="289"/>
      <c r="K13" s="289"/>
      <c r="L13" s="289"/>
      <c r="M13" s="289"/>
      <c r="N13" s="289"/>
      <c r="O13" s="289"/>
      <c r="P13" s="289"/>
      <c r="Q13" s="34"/>
      <c r="R13" s="34"/>
      <c r="S13" s="34"/>
      <c r="T13" s="34"/>
      <c r="U13" s="34"/>
      <c r="V13" s="34"/>
      <c r="W13" s="34"/>
    </row>
    <row r="14" spans="1:23" ht="24" customHeight="1">
      <c r="A14" s="34"/>
      <c r="B14" s="294" t="s">
        <v>581</v>
      </c>
      <c r="C14" s="289"/>
      <c r="D14" s="289"/>
      <c r="E14" s="34"/>
      <c r="F14" s="294" t="s">
        <v>582</v>
      </c>
      <c r="G14" s="289"/>
      <c r="H14" s="289"/>
      <c r="I14" s="34"/>
      <c r="J14" s="294" t="s">
        <v>583</v>
      </c>
      <c r="K14" s="289"/>
      <c r="L14" s="289"/>
      <c r="M14" s="34"/>
      <c r="N14" s="294" t="s">
        <v>584</v>
      </c>
      <c r="O14" s="289"/>
      <c r="P14" s="289"/>
      <c r="Q14" s="34"/>
      <c r="R14" s="34"/>
      <c r="S14" s="34"/>
      <c r="T14" s="34"/>
      <c r="U14" s="34"/>
      <c r="V14" s="34"/>
      <c r="W14" s="34"/>
    </row>
    <row r="15" spans="1:23">
      <c r="A15" s="34"/>
      <c r="B15" s="34"/>
      <c r="C15" s="34"/>
      <c r="D15" s="34"/>
      <c r="E15" s="34"/>
      <c r="F15" s="34"/>
      <c r="G15" s="34"/>
      <c r="H15" s="34"/>
      <c r="I15" s="34"/>
      <c r="J15" s="34"/>
      <c r="K15" s="34"/>
      <c r="L15" s="34"/>
      <c r="M15" s="34"/>
      <c r="N15" s="34"/>
      <c r="O15" s="34"/>
      <c r="P15" s="34"/>
      <c r="Q15" s="34"/>
      <c r="R15" s="34"/>
      <c r="S15" s="34"/>
      <c r="T15" s="34"/>
      <c r="U15" s="34"/>
      <c r="V15" s="34"/>
      <c r="W15" s="34"/>
    </row>
    <row r="16" spans="1:23" ht="22.15" customHeight="1">
      <c r="A16" s="34"/>
      <c r="B16" s="290" t="s">
        <v>585</v>
      </c>
      <c r="C16" s="289"/>
      <c r="D16" s="289"/>
      <c r="E16" s="289"/>
      <c r="F16" s="289"/>
      <c r="G16" s="289"/>
      <c r="H16" s="289"/>
      <c r="I16" s="289"/>
      <c r="J16" s="289"/>
      <c r="K16" s="289"/>
      <c r="L16" s="289"/>
      <c r="M16" s="289"/>
      <c r="N16" s="289"/>
      <c r="O16" s="289"/>
      <c r="P16" s="289"/>
      <c r="Q16" s="34"/>
      <c r="R16" s="34"/>
      <c r="S16" s="34"/>
      <c r="T16" s="34"/>
      <c r="U16" s="34"/>
      <c r="V16" s="34"/>
      <c r="W16" s="34"/>
    </row>
    <row r="17" spans="1:23" ht="24" customHeight="1">
      <c r="A17" s="34"/>
      <c r="B17" s="294" t="s">
        <v>586</v>
      </c>
      <c r="C17" s="289"/>
      <c r="D17" s="289"/>
      <c r="E17" s="34"/>
      <c r="F17" s="294" t="s">
        <v>587</v>
      </c>
      <c r="G17" s="289"/>
      <c r="H17" s="289"/>
      <c r="I17" s="34"/>
      <c r="J17" s="34"/>
      <c r="K17" s="34"/>
      <c r="L17" s="34"/>
      <c r="M17" s="34"/>
      <c r="N17" s="34"/>
      <c r="O17" s="34"/>
      <c r="P17" s="34"/>
      <c r="Q17" s="34"/>
      <c r="R17" s="34"/>
      <c r="S17" s="34"/>
      <c r="T17" s="34"/>
      <c r="U17" s="34"/>
      <c r="V17" s="34"/>
      <c r="W17" s="34"/>
    </row>
    <row r="18" spans="1:23">
      <c r="A18" s="34"/>
      <c r="B18" s="34"/>
      <c r="C18" s="34"/>
      <c r="D18" s="34"/>
      <c r="E18" s="34"/>
      <c r="F18" s="34"/>
      <c r="G18" s="34"/>
      <c r="H18" s="34"/>
      <c r="I18" s="34"/>
      <c r="J18" s="34"/>
      <c r="K18" s="34"/>
      <c r="L18" s="34"/>
      <c r="M18" s="34"/>
      <c r="N18" s="34"/>
      <c r="O18" s="34"/>
      <c r="P18" s="34"/>
      <c r="Q18" s="34"/>
      <c r="R18" s="34"/>
      <c r="S18" s="34"/>
      <c r="T18" s="34"/>
      <c r="U18" s="34"/>
      <c r="V18" s="34"/>
      <c r="W18" s="34"/>
    </row>
    <row r="32" spans="1:23">
      <c r="A32" s="34"/>
      <c r="B32" s="34"/>
      <c r="C32" s="34"/>
      <c r="D32" s="34"/>
      <c r="E32" s="34"/>
      <c r="F32" s="34"/>
      <c r="G32" s="34"/>
      <c r="H32" s="34"/>
      <c r="I32" s="34"/>
      <c r="J32" s="34"/>
      <c r="K32" s="34"/>
      <c r="L32" s="34"/>
      <c r="M32" s="34"/>
      <c r="N32" s="34"/>
      <c r="O32" s="34"/>
      <c r="P32" s="34"/>
      <c r="Q32" s="34"/>
      <c r="R32" s="34"/>
      <c r="S32" s="34"/>
      <c r="T32" s="34"/>
      <c r="U32" s="34"/>
      <c r="V32" s="34"/>
      <c r="W32" s="34"/>
    </row>
    <row r="33" spans="1:23">
      <c r="A33" s="34"/>
      <c r="B33" s="34"/>
      <c r="C33" s="34"/>
      <c r="D33" s="34"/>
      <c r="E33" s="34"/>
      <c r="F33" s="34"/>
      <c r="G33" s="34"/>
      <c r="H33" s="34"/>
      <c r="I33" s="34"/>
      <c r="J33" s="34"/>
      <c r="K33" s="34"/>
      <c r="L33" s="34"/>
      <c r="M33" s="34"/>
      <c r="N33" s="34"/>
      <c r="O33" s="34"/>
      <c r="P33" s="34"/>
      <c r="Q33" s="34"/>
      <c r="R33" s="34"/>
      <c r="S33" s="34"/>
      <c r="T33" s="34"/>
      <c r="U33" s="34"/>
      <c r="V33" s="34"/>
      <c r="W33" s="34"/>
    </row>
    <row r="34" spans="1:23">
      <c r="A34" s="34"/>
      <c r="B34" s="34"/>
      <c r="C34" s="34"/>
      <c r="D34" s="34"/>
      <c r="E34" s="34"/>
      <c r="F34" s="34"/>
      <c r="G34" s="34"/>
      <c r="H34" s="34"/>
      <c r="I34" s="34"/>
      <c r="J34" s="34"/>
      <c r="K34" s="34"/>
      <c r="L34" s="34"/>
      <c r="M34" s="34"/>
      <c r="N34" s="34"/>
      <c r="O34" s="34"/>
      <c r="P34" s="34"/>
      <c r="Q34" s="34"/>
      <c r="R34" s="34"/>
      <c r="S34" s="34"/>
      <c r="T34" s="34"/>
      <c r="U34" s="34"/>
      <c r="V34" s="34"/>
      <c r="W34" s="34"/>
    </row>
    <row r="35" spans="1:23">
      <c r="A35" s="34"/>
      <c r="B35" s="34"/>
      <c r="C35" s="34"/>
      <c r="D35" s="34"/>
      <c r="E35" s="34"/>
      <c r="F35" s="34"/>
      <c r="G35" s="34"/>
      <c r="H35" s="34"/>
      <c r="I35" s="34"/>
      <c r="J35" s="34"/>
      <c r="K35" s="34"/>
      <c r="L35" s="34"/>
      <c r="M35" s="34"/>
      <c r="N35" s="34"/>
      <c r="O35" s="34"/>
      <c r="P35" s="34"/>
      <c r="Q35" s="34"/>
      <c r="R35" s="34"/>
      <c r="S35" s="34"/>
      <c r="T35" s="34"/>
      <c r="U35" s="34"/>
      <c r="V35" s="34"/>
      <c r="W35" s="34"/>
    </row>
    <row r="36" spans="1:23">
      <c r="A36" s="34"/>
      <c r="B36" s="34"/>
      <c r="C36" s="34"/>
      <c r="D36" s="34"/>
      <c r="E36" s="34"/>
      <c r="F36" s="34"/>
      <c r="G36" s="34"/>
      <c r="H36" s="34"/>
      <c r="I36" s="34"/>
      <c r="J36" s="34"/>
      <c r="K36" s="34"/>
      <c r="L36" s="34"/>
      <c r="M36" s="34"/>
      <c r="N36" s="34"/>
      <c r="O36" s="34"/>
      <c r="P36" s="34"/>
      <c r="Q36" s="34"/>
      <c r="R36" s="34"/>
      <c r="S36" s="34"/>
      <c r="T36" s="34"/>
      <c r="U36" s="34"/>
      <c r="V36" s="34"/>
      <c r="W36" s="34"/>
    </row>
    <row r="37" spans="1:23">
      <c r="A37" s="34"/>
      <c r="B37" s="34"/>
      <c r="C37" s="34"/>
      <c r="D37" s="34"/>
      <c r="E37" s="34"/>
      <c r="F37" s="34"/>
      <c r="G37" s="34"/>
      <c r="H37" s="34"/>
      <c r="I37" s="34"/>
      <c r="J37" s="34"/>
      <c r="K37" s="34"/>
      <c r="L37" s="34"/>
      <c r="M37" s="34"/>
      <c r="N37" s="34"/>
      <c r="O37" s="34"/>
      <c r="P37" s="34"/>
      <c r="Q37" s="34"/>
      <c r="R37" s="34"/>
      <c r="S37" s="34"/>
      <c r="T37" s="34"/>
      <c r="U37" s="34"/>
      <c r="V37" s="34"/>
      <c r="W37" s="34"/>
    </row>
    <row r="38" spans="1:23">
      <c r="A38" s="34"/>
      <c r="B38" s="34"/>
      <c r="C38" s="34"/>
      <c r="D38" s="34"/>
      <c r="E38" s="34"/>
      <c r="F38" s="34"/>
      <c r="G38" s="34"/>
      <c r="H38" s="34"/>
      <c r="I38" s="34"/>
      <c r="J38" s="34"/>
      <c r="K38" s="34"/>
      <c r="L38" s="34"/>
      <c r="M38" s="34"/>
      <c r="N38" s="34"/>
      <c r="O38" s="34"/>
      <c r="P38" s="34"/>
      <c r="Q38" s="34"/>
      <c r="R38" s="34"/>
      <c r="S38" s="34"/>
      <c r="T38" s="34"/>
      <c r="U38" s="34"/>
      <c r="V38" s="34"/>
      <c r="W38" s="34"/>
    </row>
    <row r="39" spans="1:23">
      <c r="A39" s="34"/>
      <c r="B39" s="34"/>
      <c r="C39" s="34"/>
      <c r="D39" s="34"/>
      <c r="E39" s="34"/>
      <c r="F39" s="34"/>
      <c r="G39" s="34"/>
      <c r="H39" s="34"/>
      <c r="I39" s="34"/>
      <c r="J39" s="34"/>
      <c r="K39" s="34"/>
      <c r="L39" s="34"/>
      <c r="M39" s="34"/>
      <c r="N39" s="34"/>
      <c r="O39" s="34"/>
      <c r="P39" s="34"/>
      <c r="Q39" s="34"/>
      <c r="R39" s="34"/>
      <c r="S39" s="34"/>
      <c r="T39" s="34"/>
      <c r="U39" s="34"/>
      <c r="V39" s="34"/>
      <c r="W39" s="34"/>
    </row>
    <row r="40" spans="1:23">
      <c r="A40" s="34"/>
      <c r="B40" s="34"/>
      <c r="C40" s="34"/>
      <c r="D40" s="34"/>
      <c r="E40" s="34"/>
      <c r="F40" s="34"/>
      <c r="G40" s="34"/>
      <c r="H40" s="34"/>
      <c r="I40" s="34"/>
      <c r="J40" s="34"/>
      <c r="K40" s="34"/>
      <c r="L40" s="34"/>
      <c r="M40" s="34"/>
      <c r="N40" s="34"/>
      <c r="O40" s="34"/>
      <c r="P40" s="34"/>
      <c r="Q40" s="34"/>
      <c r="R40" s="34"/>
      <c r="S40" s="34"/>
      <c r="T40" s="34"/>
      <c r="U40" s="34"/>
      <c r="V40" s="34"/>
      <c r="W40" s="34"/>
    </row>
    <row r="41" spans="1:23">
      <c r="A41" s="34"/>
      <c r="B41" s="34"/>
      <c r="C41" s="34"/>
      <c r="D41" s="34"/>
      <c r="E41" s="34"/>
      <c r="F41" s="34"/>
      <c r="G41" s="34"/>
      <c r="H41" s="34"/>
      <c r="I41" s="34"/>
      <c r="J41" s="34"/>
      <c r="K41" s="34"/>
      <c r="L41" s="34"/>
      <c r="M41" s="34"/>
      <c r="N41" s="34"/>
      <c r="O41" s="34"/>
      <c r="P41" s="34"/>
      <c r="Q41" s="34"/>
      <c r="R41" s="34"/>
      <c r="S41" s="34"/>
      <c r="T41" s="34"/>
      <c r="U41" s="34"/>
      <c r="V41" s="34"/>
      <c r="W41" s="34"/>
    </row>
    <row r="42" spans="1:23">
      <c r="A42" s="34"/>
      <c r="B42" s="34"/>
      <c r="C42" s="34"/>
      <c r="D42" s="34"/>
      <c r="E42" s="34"/>
      <c r="F42" s="34"/>
      <c r="G42" s="34"/>
      <c r="H42" s="34"/>
      <c r="I42" s="34"/>
      <c r="J42" s="34"/>
      <c r="K42" s="34"/>
      <c r="L42" s="34"/>
      <c r="M42" s="34"/>
      <c r="N42" s="34"/>
      <c r="O42" s="34"/>
      <c r="P42" s="34"/>
      <c r="Q42" s="34"/>
      <c r="R42" s="34"/>
      <c r="S42" s="34"/>
      <c r="T42" s="34"/>
      <c r="U42" s="34"/>
      <c r="V42" s="34"/>
      <c r="W42" s="34"/>
    </row>
    <row r="43" spans="1:23">
      <c r="A43" s="34"/>
      <c r="B43" s="34"/>
      <c r="C43" s="34"/>
      <c r="D43" s="34"/>
      <c r="E43" s="34"/>
      <c r="F43" s="34"/>
      <c r="G43" s="34"/>
      <c r="H43" s="34"/>
      <c r="I43" s="34"/>
      <c r="J43" s="34"/>
      <c r="K43" s="34"/>
      <c r="L43" s="34"/>
      <c r="M43" s="34"/>
      <c r="N43" s="34"/>
      <c r="O43" s="34"/>
      <c r="P43" s="34"/>
      <c r="Q43" s="34"/>
      <c r="R43" s="34"/>
      <c r="S43" s="34"/>
      <c r="T43" s="34"/>
      <c r="U43" s="34"/>
      <c r="V43" s="34"/>
      <c r="W43" s="34"/>
    </row>
  </sheetData>
  <mergeCells count="25">
    <mergeCell ref="B16:P16"/>
    <mergeCell ref="B17:D17"/>
    <mergeCell ref="F17:H17"/>
    <mergeCell ref="B10:D10"/>
    <mergeCell ref="F10:H10"/>
    <mergeCell ref="J10:L10"/>
    <mergeCell ref="B14:D14"/>
    <mergeCell ref="F14:H14"/>
    <mergeCell ref="J14:L14"/>
    <mergeCell ref="N10:P10"/>
    <mergeCell ref="B11:D11"/>
    <mergeCell ref="B13:P13"/>
    <mergeCell ref="B9:D9"/>
    <mergeCell ref="F9:H9"/>
    <mergeCell ref="J9:L9"/>
    <mergeCell ref="N9:P9"/>
    <mergeCell ref="N14:P14"/>
    <mergeCell ref="B5:P5"/>
    <mergeCell ref="B7:P7"/>
    <mergeCell ref="B2:P2"/>
    <mergeCell ref="B3:P3"/>
    <mergeCell ref="B8:D8"/>
    <mergeCell ref="F8:H8"/>
    <mergeCell ref="J8:L8"/>
    <mergeCell ref="N8:P8"/>
  </mergeCells>
  <hyperlinks>
    <hyperlink ref="B8" location="'Nobilus'!A1" display="▸  Nobilus" xr:uid="{393A20E1-FEDF-C845-B0F4-4AEDA3AED4E5}"/>
    <hyperlink ref="F8" location="'Natura Village 4'!A1" display="▸  Natura Village 4" xr:uid="{95592E36-1742-3F41-9C60-2CCD9CE1E5A5}"/>
    <hyperlink ref="J8" location="'Natura Village 7'!A1" display="▸  Natura Village 7" xr:uid="{B2FA55EE-CF92-6E44-AE29-3C0FE9B66D77}"/>
    <hyperlink ref="N8" location="'Natura Village 9'!A1" display="▸  Natura Village 9" xr:uid="{C22B63BC-95A3-D740-910A-C64E30096CAB}"/>
    <hyperlink ref="B9" location="'The Nine'!A1" display="▸  The Nine" xr:uid="{C00FA2C5-9B3C-2842-BBB4-500B46099702}"/>
    <hyperlink ref="F9" location="'Terracota'!A1" display="▸  Terracota" xr:uid="{B7C71315-A0AE-924F-973F-1F046A948D5D}"/>
    <hyperlink ref="J9" location="'Rivus'!A1" display="▸  Rivus" xr:uid="{265A6D90-418F-A040-9A43-1051814B4352}"/>
    <hyperlink ref="N9" location="'Fairways'!A1" display="▸  Fairways" xr:uid="{EE3EB7BA-22E4-5B48-9F96-053CE8C32358}"/>
    <hyperlink ref="B10" location="'Estalagem das Cegonhas'!A1" display="▸  Estalagem das Cegonhas" xr:uid="{CD2042FA-DA3D-B44B-A3F6-1DC689D628D2}"/>
    <hyperlink ref="F10" location="'Springs - At the Els'!A1" display="▸  Springs - At the Els" xr:uid="{4872278D-2E50-B442-BFC6-0EA92CF45B21}"/>
    <hyperlink ref="J10" location="'Zestia'!A1" display="▸  Zestia" xr:uid="{A61B988C-787E-CA4E-82B9-9B47662BC9FD}"/>
    <hyperlink ref="N10" location="'The Uncommon'!A1" display="▸  The Uncommon" xr:uid="{367EB1A3-4A47-DD4A-9742-96A300E0CE5A}"/>
    <hyperlink ref="B11" location="'Botanica'!A1" display="▸  Botanica" xr:uid="{3BDE54F7-FAEF-E246-B15F-C52AF9EAB67B}"/>
    <hyperlink ref="B14" location="'Sutaya'!A1" display="▸  Sutaya" xr:uid="{284B6DD2-2B06-2047-8C0A-CA7BD429F2BA}"/>
    <hyperlink ref="F14" location="'Azuya'!A1" display="▸  Azuya" xr:uid="{450E98FD-B2EC-5445-9C8F-824D4892E04A}"/>
    <hyperlink ref="J14" location="'Palmares'!A1" display="▸  Palmares" xr:uid="{4646DB0E-3569-F946-A65F-8885B48BA892}"/>
    <hyperlink ref="N14" location="'Monte Rei'!A1" display="▸  Monte Rei" xr:uid="{39994A0E-2B0B-7345-BB46-A0B857F069CF}"/>
    <hyperlink ref="B17" location="'Aroeira Collections'!A1" display="▸  Aroeira Collections" xr:uid="{96E72979-A98E-9F49-8BAD-DC63648E05E7}"/>
    <hyperlink ref="F17" location="'Vale Pisão Grand Park'!A1" display="▸  Vale Pisão Grand Park" xr:uid="{B80CB3FE-0BA6-8042-A7C5-37EDD99C243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E52B8-725A-7241-A1EC-ACBA291ADDE1}">
  <dimension ref="B1:AE36"/>
  <sheetViews>
    <sheetView showGridLines="0" zoomScale="56" zoomScaleNormal="63" workbookViewId="0">
      <selection activeCell="M13" sqref="M13"/>
    </sheetView>
  </sheetViews>
  <sheetFormatPr defaultColWidth="11.42578125" defaultRowHeight="15" outlineLevelCol="1"/>
  <cols>
    <col min="2" max="2" width="33.85546875" bestFit="1" customWidth="1"/>
    <col min="3" max="3" width="23.28515625" bestFit="1" customWidth="1"/>
    <col min="4" max="4" width="26.7109375" bestFit="1" customWidth="1"/>
    <col min="5" max="5" width="19.7109375" customWidth="1"/>
    <col min="6" max="6" width="20" customWidth="1"/>
    <col min="7" max="7" width="99.7109375" bestFit="1" customWidth="1"/>
    <col min="8" max="8" width="18.28515625" bestFit="1" customWidth="1"/>
    <col min="9" max="9" width="28.28515625" bestFit="1" customWidth="1"/>
    <col min="10" max="10" width="17.85546875" customWidth="1"/>
    <col min="11" max="11" width="13.28515625" customWidth="1"/>
    <col min="12" max="12" width="13" customWidth="1"/>
    <col min="13" max="13" width="25.5703125" customWidth="1"/>
    <col min="14" max="14" width="18.140625" bestFit="1" customWidth="1"/>
    <col min="15" max="15" width="19.5703125" bestFit="1" customWidth="1"/>
    <col min="17" max="17" width="22.42578125" bestFit="1" customWidth="1" outlineLevel="1"/>
    <col min="18" max="18" width="8.42578125" customWidth="1" outlineLevel="1"/>
    <col min="19" max="19" width="7" customWidth="1" outlineLevel="1"/>
    <col min="20" max="20" width="10.7109375" customWidth="1" outlineLevel="1"/>
    <col min="21" max="21" width="19.5703125" customWidth="1" outlineLevel="1"/>
    <col min="22" max="22" width="9.42578125" bestFit="1" customWidth="1" outlineLevel="1"/>
    <col min="23" max="23" width="10.7109375"/>
    <col min="24" max="24" width="11" hidden="1" customWidth="1" outlineLevel="1"/>
    <col min="25" max="25" width="9.7109375" hidden="1" customWidth="1" outlineLevel="1"/>
    <col min="26" max="26" width="11.42578125" hidden="1" customWidth="1" outlineLevel="1"/>
    <col min="27" max="27" width="11.28515625" hidden="1" customWidth="1" outlineLevel="1"/>
    <col min="28" max="28" width="11.42578125" hidden="1" customWidth="1" outlineLevel="1"/>
    <col min="29" max="29" width="14.28515625" hidden="1" customWidth="1" outlineLevel="1"/>
    <col min="30" max="30" width="10.7109375" collapsed="1"/>
  </cols>
  <sheetData>
    <row r="1" spans="2:31" ht="7.9" customHeight="1"/>
    <row r="2" spans="2:31" ht="26.25">
      <c r="B2" s="36" t="s">
        <v>830</v>
      </c>
      <c r="C2" s="34"/>
      <c r="D2" s="34"/>
      <c r="E2" s="34"/>
      <c r="F2" s="34"/>
      <c r="G2" s="211"/>
      <c r="H2" s="212" t="s">
        <v>833</v>
      </c>
      <c r="I2" s="295" t="s">
        <v>825</v>
      </c>
      <c r="J2" s="296"/>
      <c r="K2" s="34"/>
      <c r="L2" s="297" t="str" cm="1">
        <f t="array" ref="L2">"Showing "&amp;SUMPRODUCT((($I$2="All regions")+($X$7:$X$23=$I$2)&gt;0)*(($I$4="All statuses")+($Y$7:$Y$23=$I$4)&gt;0))&amp;" of "&amp;COUNTA($B$7:$B$23)</f>
        <v>Showing 17 of 17</v>
      </c>
      <c r="M2" s="297"/>
      <c r="N2" s="297"/>
      <c r="O2" s="297"/>
      <c r="P2" s="34"/>
      <c r="Q2" s="282" t="s">
        <v>926</v>
      </c>
      <c r="R2" s="282" t="s">
        <v>555</v>
      </c>
      <c r="S2" s="262"/>
      <c r="T2" s="262"/>
      <c r="U2" s="262"/>
      <c r="V2" s="262"/>
      <c r="W2" s="262"/>
      <c r="X2" s="262"/>
      <c r="Y2" s="262"/>
      <c r="Z2" s="262"/>
      <c r="AA2" s="262"/>
      <c r="AB2" s="262"/>
      <c r="AC2" s="262"/>
      <c r="AD2" s="262"/>
      <c r="AE2" s="262"/>
    </row>
    <row r="3" spans="2:31" ht="26.25">
      <c r="B3" s="36"/>
      <c r="C3" s="34"/>
      <c r="D3" s="34"/>
      <c r="E3" s="34"/>
      <c r="F3" s="34"/>
      <c r="G3" s="211"/>
      <c r="H3" s="212"/>
      <c r="I3" s="213"/>
      <c r="J3" s="213"/>
      <c r="K3" s="34"/>
      <c r="L3" s="38"/>
      <c r="M3" s="38"/>
      <c r="N3" s="38"/>
      <c r="O3" s="38"/>
      <c r="P3" s="34"/>
      <c r="Q3" s="262"/>
      <c r="R3" s="262"/>
      <c r="S3" s="262"/>
      <c r="T3" s="262"/>
      <c r="U3" s="262"/>
      <c r="V3" s="262"/>
      <c r="W3" s="262"/>
      <c r="X3" s="262"/>
      <c r="Y3" s="262"/>
      <c r="Z3" s="262"/>
      <c r="AA3" s="262"/>
      <c r="AB3" s="262"/>
      <c r="AC3" s="262"/>
      <c r="AD3" s="262"/>
      <c r="AE3" s="262"/>
    </row>
    <row r="4" spans="2:31">
      <c r="B4" s="210" t="str">
        <f>COUNTA($B$7:$B$23)&amp;" developments  ·  one curation"</f>
        <v>17 developments  ·  one curation</v>
      </c>
      <c r="C4" s="34"/>
      <c r="D4" s="34"/>
      <c r="E4" s="34"/>
      <c r="F4" s="34"/>
      <c r="G4" s="211"/>
      <c r="H4" s="212" t="s">
        <v>834</v>
      </c>
      <c r="I4" s="295" t="s">
        <v>826</v>
      </c>
      <c r="J4" s="296"/>
      <c r="K4" s="34"/>
      <c r="L4" s="298" t="s">
        <v>831</v>
      </c>
      <c r="M4" s="298"/>
      <c r="N4" s="298"/>
      <c r="O4" s="298"/>
      <c r="P4" s="34"/>
      <c r="Q4" s="262" t="s">
        <v>789</v>
      </c>
      <c r="R4" s="268">
        <f>E34</f>
        <v>15</v>
      </c>
      <c r="S4" s="262"/>
      <c r="T4" s="262"/>
      <c r="U4" s="262"/>
      <c r="V4" s="262"/>
      <c r="W4" s="262"/>
      <c r="X4" s="262"/>
      <c r="Y4" s="262"/>
      <c r="Z4" s="262"/>
      <c r="AA4" s="262" t="s">
        <v>825</v>
      </c>
      <c r="AB4" s="262"/>
      <c r="AC4" s="262" t="s">
        <v>826</v>
      </c>
      <c r="AD4" s="262"/>
      <c r="AE4" s="262"/>
    </row>
    <row r="5" spans="2:31">
      <c r="B5" s="39"/>
      <c r="C5" s="34"/>
      <c r="D5" s="34"/>
      <c r="E5" s="34"/>
      <c r="F5" s="34"/>
      <c r="G5" s="34"/>
      <c r="H5" s="37"/>
      <c r="I5" s="209"/>
      <c r="J5" s="209"/>
      <c r="K5" s="34"/>
      <c r="L5" s="40"/>
      <c r="M5" s="40"/>
      <c r="N5" s="40"/>
      <c r="O5" s="40"/>
      <c r="P5" s="34"/>
      <c r="Q5" s="262" t="s">
        <v>790</v>
      </c>
      <c r="R5" s="268">
        <f>G34</f>
        <v>5</v>
      </c>
      <c r="S5" s="262"/>
      <c r="T5" s="262"/>
      <c r="U5" s="262"/>
      <c r="V5" s="262"/>
      <c r="W5" s="262"/>
      <c r="X5" s="262"/>
      <c r="Y5" s="262"/>
      <c r="Z5" s="262"/>
      <c r="AA5" s="262"/>
      <c r="AB5" s="262"/>
      <c r="AC5" s="262"/>
      <c r="AD5" s="262"/>
      <c r="AE5" s="262"/>
    </row>
    <row r="6" spans="2:31">
      <c r="B6" s="256" t="s">
        <v>0</v>
      </c>
      <c r="C6" s="256" t="s">
        <v>96</v>
      </c>
      <c r="D6" s="256" t="s">
        <v>1</v>
      </c>
      <c r="E6" s="256" t="s">
        <v>4</v>
      </c>
      <c r="F6" s="256" t="s">
        <v>788</v>
      </c>
      <c r="G6" s="256" t="s">
        <v>555</v>
      </c>
      <c r="H6" s="256" t="s">
        <v>789</v>
      </c>
      <c r="I6" s="256" t="s">
        <v>930</v>
      </c>
      <c r="J6" s="256" t="s">
        <v>931</v>
      </c>
      <c r="K6" s="256" t="s">
        <v>792</v>
      </c>
      <c r="L6" s="256" t="s">
        <v>793</v>
      </c>
      <c r="M6" s="256" t="s">
        <v>794</v>
      </c>
      <c r="N6" s="256" t="s">
        <v>795</v>
      </c>
      <c r="O6" s="256" t="s">
        <v>796</v>
      </c>
      <c r="P6" s="34"/>
      <c r="Q6" s="263" t="s">
        <v>791</v>
      </c>
      <c r="R6" s="268">
        <f>I34</f>
        <v>0</v>
      </c>
      <c r="S6" s="262"/>
      <c r="T6" s="262"/>
      <c r="U6" s="262"/>
      <c r="V6" s="262"/>
      <c r="W6" s="262"/>
      <c r="X6" s="264" t="s">
        <v>823</v>
      </c>
      <c r="Y6" s="264" t="s">
        <v>824</v>
      </c>
      <c r="Z6" s="262"/>
      <c r="AA6" s="262" t="s">
        <v>691</v>
      </c>
      <c r="AB6" s="262"/>
      <c r="AC6" s="262" t="s">
        <v>827</v>
      </c>
      <c r="AD6" s="262"/>
      <c r="AE6" s="262"/>
    </row>
    <row r="7" spans="2:31">
      <c r="B7" s="42" t="s">
        <v>16</v>
      </c>
      <c r="C7" s="251" t="str">
        <f>IFERROR(TRIM(_xlfn.XLOOKUP($B7,DATABASE_Table[Development],DATABASE_Table[Selling Status],"—")),"—")</f>
        <v>DEED</v>
      </c>
      <c r="D7" s="251" t="str" cm="1">
        <f t="array" ref="D7">IFERROR(INDEX(_xlfn._xlws.FILTER(DATABASE_Table[Location],(DATABASE_Table[Development]=$B7)*(DATABASE_Table[Location]&lt;&gt;"")),1),IFERROR(_xlfn.XLOOKUP($B7,DATABASE_Table[Development],DATABASE_Table[Local],"—"),"—"))</f>
        <v>Vilamoura, Algarve</v>
      </c>
      <c r="E7" s="251" t="str" cm="1">
        <f t="array" ref="E7">IFERROR(INDEX(_xlfn._xlws.FILTER(DATABASE_Table[Typology],(DATABASE_Table[Development]=$B7)*(DATABASE_Table[Typology]&lt;&gt;"")),1),"—")</f>
        <v>V3</v>
      </c>
      <c r="F7" s="252" t="str" cm="1">
        <f t="array" ref="F7">IFERROR(INDEX(_xlfn._xlws.FILTER(DATABASE_Table[Delivery Expected],(DATABASE_Table[Development]=$B7)*(DATABASE_Table[Delivery Expected]&lt;&gt;"")),1),"—")</f>
        <v>—</v>
      </c>
      <c r="G7" s="247">
        <f>COUNTIF(DATABASE_Table[Development],$B7)</f>
        <v>38</v>
      </c>
      <c r="H7" s="247" cm="1">
        <f t="array" ref="H7">SUMPRODUCT((DATABASE_Table[Development]=$B7)*(TRIM(DATABASE_Table[Selling Status])="AVAILABLE"))</f>
        <v>8</v>
      </c>
      <c r="I7" s="247" cm="1">
        <f t="array" ref="I7">SUMPRODUCT((DATABASE_Table[Development]=$B7)*((TRIM(DATABASE_Table[Selling Status])="RESERVED")+(TRIM(DATABASE_Table[Selling Status])="PRE-RESERVED")))</f>
        <v>4</v>
      </c>
      <c r="J7" s="247" cm="1">
        <f t="array" ref="J7">SUMPRODUCT((DATABASE_Table[Development]=$B7)*(LEFT(TRIM(DATABASE_Table[Selling Status]),4)="PSPA"))</f>
        <v>3</v>
      </c>
      <c r="K7" s="248" cm="1">
        <f t="array" ref="K7">SUMPRODUCT((DATABASE_Table[Development]=$B7)*(TRIM(DATABASE_Table[Selling Status])="DEED"))</f>
        <v>23</v>
      </c>
      <c r="L7" s="247" cm="1">
        <f t="array" ref="L7">SUMPRODUCT((DATABASE_Table[Development]=$B7)*((TRIM(DATABASE_Table[Selling Status])="NOT FOR SALE")+(LEFT(TRIM(DATABASE_Table[Selling Status]),4)="UPON")))</f>
        <v>0</v>
      </c>
      <c r="M7" s="44">
        <f>IFERROR((I7+J7+K7)/(G7-L7),0)</f>
        <v>0.78947368421052633</v>
      </c>
      <c r="N7" s="249">
        <f>SUMIF(DATABASE_Table[Development],$B7,DATABASE_Table[Current Asking price( Total)])/1000000</f>
        <v>37.774500000000003</v>
      </c>
      <c r="O7" s="249" cm="1">
        <f t="array" ref="O7">SUMPRODUCT((DATABASE_Table[Development]=$B7)*(TRIM(DATABASE_Table[Selling Status])="DEED SIGNED")*DATABASE_Table[Sell price (RE Asset)])/1000000</f>
        <v>0</v>
      </c>
      <c r="P7" s="34"/>
      <c r="Q7" s="262" t="s">
        <v>792</v>
      </c>
      <c r="R7" s="268">
        <f>K34</f>
        <v>0</v>
      </c>
      <c r="S7" s="262"/>
      <c r="T7" s="262"/>
      <c r="U7" s="262"/>
      <c r="V7" s="262"/>
      <c r="W7" s="262"/>
      <c r="X7" s="262" t="str" cm="1">
        <f t="array" ref="X7">IFERROR(_xlfn.SWITCH(_xlfn.XLOOKUP($B7,DATABASE_Table[Development],DATABASE_Table[Local],"Center"),"Vilamoura","Vilamoura","Algarve","Algarve","North","North","Center"),"Center")</f>
        <v>Vilamoura</v>
      </c>
      <c r="Y7" s="262" t="str" cm="1">
        <f t="array" ref="Y7">_xlfn.IFS(G7=0,"—",M7&gt;=0.999,"Sold Out",(I7+J7+K7)=0,"Coming Soon",TRUE,"Active")</f>
        <v>Active</v>
      </c>
      <c r="Z7" s="262"/>
      <c r="AA7" s="262" t="s">
        <v>769</v>
      </c>
      <c r="AB7" s="262"/>
      <c r="AC7" s="262" t="s">
        <v>828</v>
      </c>
      <c r="AD7" s="262"/>
      <c r="AE7" s="262"/>
    </row>
    <row r="8" spans="2:31">
      <c r="B8" s="41" t="s">
        <v>22</v>
      </c>
      <c r="C8" s="253" t="str">
        <f>IFERROR(TRIM(_xlfn.XLOOKUP($B8,DATABASE_Table[Development],DATABASE_Table[Selling Status],"—")),"—")</f>
        <v>DEED</v>
      </c>
      <c r="D8" s="253" t="str" cm="1">
        <f t="array" ref="D8">IFERROR(INDEX(_xlfn._xlws.FILTER(DATABASE_Table[Location],(DATABASE_Table[Development]=$B8)*(DATABASE_Table[Location]&lt;&gt;"")),1),IFERROR(_xlfn.XLOOKUP($B8,DATABASE_Table[Development],DATABASE_Table[Local],"—"),"—"))</f>
        <v>Vilamoura, Algarve</v>
      </c>
      <c r="E8" s="253" t="str" cm="1">
        <f t="array" ref="E8">IFERROR(INDEX(_xlfn._xlws.FILTER(DATABASE_Table[Typology],(DATABASE_Table[Development]=$B8)*(DATABASE_Table[Typology]&lt;&gt;"")),1),"—")</f>
        <v>T3</v>
      </c>
      <c r="F8" s="254" t="str" cm="1">
        <f t="array" ref="F8">IFERROR(INDEX(_xlfn._xlws.FILTER(DATABASE_Table[Delivery Expected],(DATABASE_Table[Development]=$B8)*(DATABASE_Table[Delivery Expected]&lt;&gt;"")),1),"—")</f>
        <v>—</v>
      </c>
      <c r="G8" s="248">
        <f>COUNTIF(DATABASE_Table[Development],$B8)</f>
        <v>48</v>
      </c>
      <c r="H8" s="248" cm="1">
        <f t="array" ref="H8">SUMPRODUCT((DATABASE_Table[Development]=$B8)*(TRIM(DATABASE_Table[Selling Status])="AVAILABLE"))</f>
        <v>0</v>
      </c>
      <c r="I8" s="248" cm="1">
        <f t="array" ref="I8">SUMPRODUCT((DATABASE_Table[Development]=$B8)*((TRIM(DATABASE_Table[Selling Status])="RESERVED")+(TRIM(DATABASE_Table[Selling Status])="PRE-RESERVED")))</f>
        <v>0</v>
      </c>
      <c r="J8" s="248" cm="1">
        <f t="array" ref="J8">SUMPRODUCT((DATABASE_Table[Development]=$B8)*(LEFT(TRIM(DATABASE_Table[Selling Status]),4)="PSPA"))</f>
        <v>0</v>
      </c>
      <c r="K8" s="248" cm="1">
        <f t="array" ref="K8">SUMPRODUCT((DATABASE_Table[Development]=$B8)*(TRIM(DATABASE_Table[Selling Status])="DEED"))</f>
        <v>48</v>
      </c>
      <c r="L8" s="248" cm="1">
        <f t="array" ref="L8">SUMPRODUCT((DATABASE_Table[Development]=$B8)*((TRIM(DATABASE_Table[Selling Status])="NOT FOR SALE")+(LEFT(TRIM(DATABASE_Table[Selling Status]),4)="UPON")))</f>
        <v>0</v>
      </c>
      <c r="M8" s="43">
        <f t="shared" ref="M8:M24" si="0">IFERROR((I8+J8+K8)/(G8-L8),0)</f>
        <v>1</v>
      </c>
      <c r="N8" s="250">
        <f>SUMIF(DATABASE_Table[Development],$B8,DATABASE_Table[Current Asking price( Total)])/1000000</f>
        <v>32.79</v>
      </c>
      <c r="O8" s="250" cm="1">
        <f t="array" ref="O8">SUMPRODUCT((DATABASE_Table[Development]=$B8)*(TRIM(DATABASE_Table[Selling Status])="DEED SIGNED")*DATABASE_Table[Sell price (RE Asset)])/1000000</f>
        <v>0</v>
      </c>
      <c r="P8" s="34"/>
      <c r="Q8" s="262" t="s">
        <v>793</v>
      </c>
      <c r="R8" s="268">
        <f>_xlfn.XLOOKUP($E$31,$B$7:$B$23,$L$7:$L$23,0)</f>
        <v>25</v>
      </c>
      <c r="S8" s="262"/>
      <c r="T8" s="262"/>
      <c r="U8" s="262"/>
      <c r="V8" s="262"/>
      <c r="W8" s="262"/>
      <c r="X8" s="262" t="str" cm="1">
        <f t="array" ref="X8">IFERROR(_xlfn.SWITCH(_xlfn.XLOOKUP($B8,DATABASE_Table[Development],DATABASE_Table[Local],"Center"),"Vilamoura","Vilamoura","Algarve","Algarve","North","North","Center"),"Center")</f>
        <v>Vilamoura</v>
      </c>
      <c r="Y8" s="262" t="str" cm="1">
        <f t="array" ref="Y8">_xlfn.IFS(G8=0,"—",M8&gt;=0.999,"Sold Out",(I8+J8+K8)=0,"Coming Soon",TRUE,"Active")</f>
        <v>Sold Out</v>
      </c>
      <c r="Z8" s="262"/>
      <c r="AA8" s="262" t="s">
        <v>786</v>
      </c>
      <c r="AB8" s="262"/>
      <c r="AC8" s="262" t="s">
        <v>829</v>
      </c>
      <c r="AD8" s="262"/>
      <c r="AE8" s="262"/>
    </row>
    <row r="9" spans="2:31">
      <c r="B9" s="45" t="s">
        <v>688</v>
      </c>
      <c r="C9" s="253" t="str">
        <f>IFERROR(TRIM(_xlfn.XLOOKUP($B9,DATABASE_Table[Development],DATABASE_Table[Selling Status],"—")),"—")</f>
        <v>DEED</v>
      </c>
      <c r="D9" s="253" t="str" cm="1">
        <f t="array" ref="D9">IFERROR(INDEX(_xlfn._xlws.FILTER(DATABASE_Table[Location],(DATABASE_Table[Development]=$B9)*(DATABASE_Table[Location]&lt;&gt;"")),1),IFERROR(_xlfn.XLOOKUP($B9,DATABASE_Table[Development],DATABASE_Table[Local],"—"),"—"))</f>
        <v>Vilamoura</v>
      </c>
      <c r="E9" s="253" t="str" cm="1">
        <f t="array" ref="E9">IFERROR(INDEX(_xlfn._xlws.FILTER(DATABASE_Table[Typology],(DATABASE_Table[Development]=$B9)*(DATABASE_Table[Typology]&lt;&gt;"")),1),"—")</f>
        <v>Plot</v>
      </c>
      <c r="F9" s="254" t="str" cm="1">
        <f t="array" ref="F9">IFERROR(INDEX(_xlfn._xlws.FILTER(DATABASE_Table[Delivery Expected],(DATABASE_Table[Development]=$B9)*(DATABASE_Table[Delivery Expected]&lt;&gt;"")),1),"—")</f>
        <v>—</v>
      </c>
      <c r="G9" s="248">
        <f>COUNTIF(DATABASE_Table[Development],$B9)</f>
        <v>13</v>
      </c>
      <c r="H9" s="248" cm="1">
        <f t="array" ref="H9">SUMPRODUCT((DATABASE_Table[Development]=$B9)*(TRIM(DATABASE_Table[Selling Status])="AVAILABLE"))</f>
        <v>0</v>
      </c>
      <c r="I9" s="248" cm="1">
        <f t="array" ref="I9">SUMPRODUCT((DATABASE_Table[Development]=$B9)*((TRIM(DATABASE_Table[Selling Status])="RESERVED")+(TRIM(DATABASE_Table[Selling Status])="PRE-RESERVED")))</f>
        <v>0</v>
      </c>
      <c r="J9" s="248" cm="1">
        <f t="array" ref="J9">SUMPRODUCT((DATABASE_Table[Development]=$B9)*(LEFT(TRIM(DATABASE_Table[Selling Status]),4)="PSPA"))</f>
        <v>1</v>
      </c>
      <c r="K9" s="248" cm="1">
        <f t="array" ref="K9">SUMPRODUCT((DATABASE_Table[Development]=$B9)*(TRIM(DATABASE_Table[Selling Status])="DEED"))</f>
        <v>12</v>
      </c>
      <c r="L9" s="248" cm="1">
        <f t="array" ref="L9">SUMPRODUCT((DATABASE_Table[Development]=$B9)*((TRIM(DATABASE_Table[Selling Status])="NOT FOR SALE")+(LEFT(TRIM(DATABASE_Table[Selling Status]),4)="UPON")))</f>
        <v>0</v>
      </c>
      <c r="M9" s="43">
        <f t="shared" si="0"/>
        <v>1</v>
      </c>
      <c r="N9" s="250">
        <f>SUMIF(DATABASE_Table[Development],$B9,DATABASE_Table[Current Asking price( Total)])/1000000</f>
        <v>8.6649999999999991</v>
      </c>
      <c r="O9" s="250" cm="1">
        <f t="array" ref="O9">SUMPRODUCT((DATABASE_Table[Development]=$B9)*(TRIM(DATABASE_Table[Selling Status])="DEED SIGNED")*DATABASE_Table[Sell price (RE Asset)])/1000000</f>
        <v>0</v>
      </c>
      <c r="P9" s="34"/>
      <c r="Q9" s="262"/>
      <c r="R9" s="262"/>
      <c r="S9" s="262"/>
      <c r="T9" s="262"/>
      <c r="U9" s="262"/>
      <c r="V9" s="262"/>
      <c r="W9" s="262"/>
      <c r="X9" s="262" t="str" cm="1">
        <f t="array" ref="X9">IFERROR(_xlfn.SWITCH(_xlfn.XLOOKUP($B9,DATABASE_Table[Development],DATABASE_Table[Local],"Center"),"Vilamoura","Vilamoura","Algarve","Algarve","North","North","Center"),"Center")</f>
        <v>Vilamoura</v>
      </c>
      <c r="Y9" s="262" t="str" cm="1">
        <f t="array" ref="Y9">_xlfn.IFS(G9=0,"—",M9&gt;=0.999,"Sold Out",(I9+J9+K9)=0,"Coming Soon",TRUE,"Active")</f>
        <v>Sold Out</v>
      </c>
      <c r="Z9" s="262"/>
      <c r="AA9" s="262" t="s">
        <v>787</v>
      </c>
      <c r="AB9" s="262"/>
      <c r="AC9" s="262"/>
      <c r="AD9" s="262"/>
      <c r="AE9" s="262"/>
    </row>
    <row r="10" spans="2:31">
      <c r="B10" s="41" t="s">
        <v>27</v>
      </c>
      <c r="C10" s="253" t="str">
        <f>IFERROR(TRIM(_xlfn.XLOOKUP($B10,DATABASE_Table[Development],DATABASE_Table[Selling Status],"—")),"—")</f>
        <v>PSPA</v>
      </c>
      <c r="D10" s="253" t="str" cm="1">
        <f t="array" ref="D10">IFERROR(INDEX(_xlfn._xlws.FILTER(DATABASE_Table[Location],(DATABASE_Table[Development]=$B10)*(DATABASE_Table[Location]&lt;&gt;"")),1),IFERROR(_xlfn.XLOOKUP($B10,DATABASE_Table[Development],DATABASE_Table[Local],"—"),"—"))</f>
        <v>Vilamoura, Algarve</v>
      </c>
      <c r="E10" s="253" t="str" cm="1">
        <f t="array" ref="E10">IFERROR(INDEX(_xlfn._xlws.FILTER(DATABASE_Table[Typology],(DATABASE_Table[Development]=$B10)*(DATABASE_Table[Typology]&lt;&gt;"")),1),"—")</f>
        <v>T3</v>
      </c>
      <c r="F10" s="254" t="str" cm="1">
        <f t="array" ref="F10">IFERROR(INDEX(_xlfn._xlws.FILTER(DATABASE_Table[Delivery Expected],(DATABASE_Table[Development]=$B10)*(DATABASE_Table[Delivery Expected]&lt;&gt;"")),1),"—")</f>
        <v>—</v>
      </c>
      <c r="G10" s="248">
        <f>COUNTIF(DATABASE_Table[Development],$B10)</f>
        <v>87</v>
      </c>
      <c r="H10" s="248" cm="1">
        <f t="array" ref="H10">SUMPRODUCT((DATABASE_Table[Development]=$B10)*(TRIM(DATABASE_Table[Selling Status])="AVAILABLE"))</f>
        <v>12</v>
      </c>
      <c r="I10" s="248" cm="1">
        <f t="array" ref="I10">SUMPRODUCT((DATABASE_Table[Development]=$B10)*((TRIM(DATABASE_Table[Selling Status])="RESERVED")+(TRIM(DATABASE_Table[Selling Status])="PRE-RESERVED")))</f>
        <v>3</v>
      </c>
      <c r="J10" s="248" cm="1">
        <f t="array" ref="J10">SUMPRODUCT((DATABASE_Table[Development]=$B10)*(LEFT(TRIM(DATABASE_Table[Selling Status]),4)="PSPA"))</f>
        <v>72</v>
      </c>
      <c r="K10" s="248" cm="1">
        <f t="array" ref="K10">SUMPRODUCT((DATABASE_Table[Development]=$B10)*(TRIM(DATABASE_Table[Selling Status])="DEED"))</f>
        <v>0</v>
      </c>
      <c r="L10" s="248" cm="1">
        <f t="array" ref="L10">SUMPRODUCT((DATABASE_Table[Development]=$B10)*((TRIM(DATABASE_Table[Selling Status])="NOT FOR SALE")+(LEFT(TRIM(DATABASE_Table[Selling Status]),4)="UPON")))</f>
        <v>0</v>
      </c>
      <c r="M10" s="43">
        <f t="shared" si="0"/>
        <v>0.86206896551724133</v>
      </c>
      <c r="N10" s="250">
        <f>SUMIF(DATABASE_Table[Development],$B10,DATABASE_Table[Current Asking price( Total)])/1000000</f>
        <v>52.351849999999999</v>
      </c>
      <c r="O10" s="250" cm="1">
        <f t="array" ref="O10">SUMPRODUCT((DATABASE_Table[Development]=$B10)*(TRIM(DATABASE_Table[Selling Status])="DEED SIGNED")*DATABASE_Table[Sell price (RE Asset)])/1000000</f>
        <v>0</v>
      </c>
      <c r="P10" s="34"/>
      <c r="Q10" s="262"/>
      <c r="R10" s="262"/>
      <c r="S10" s="262"/>
      <c r="T10" s="262"/>
      <c r="U10" s="262"/>
      <c r="V10" s="262"/>
      <c r="W10" s="262"/>
      <c r="X10" s="262" t="str" cm="1">
        <f t="array" ref="X10">IFERROR(_xlfn.SWITCH(_xlfn.XLOOKUP($B10,DATABASE_Table[Development],DATABASE_Table[Local],"Center"),"Vilamoura","Vilamoura","Algarve","Algarve","North","North","Center"),"Center")</f>
        <v>Vilamoura</v>
      </c>
      <c r="Y10" s="262" t="str" cm="1">
        <f t="array" ref="Y10">_xlfn.IFS(G10=0,"—",M10&gt;=0.999,"Sold Out",(I10+J10+K10)=0,"Coming Soon",TRUE,"Active")</f>
        <v>Active</v>
      </c>
      <c r="Z10" s="262"/>
      <c r="AA10" s="262"/>
      <c r="AB10" s="262"/>
      <c r="AC10" s="262"/>
      <c r="AD10" s="262"/>
      <c r="AE10" s="262"/>
    </row>
    <row r="11" spans="2:31">
      <c r="B11" s="41" t="s">
        <v>8</v>
      </c>
      <c r="C11" s="253" t="str">
        <f>IFERROR(TRIM(_xlfn.XLOOKUP($B11,DATABASE_Table[Development],DATABASE_Table[Selling Status],"—")),"—")</f>
        <v>PSPA</v>
      </c>
      <c r="D11" s="253" t="str" cm="1">
        <f t="array" ref="D11">IFERROR(INDEX(_xlfn._xlws.FILTER(DATABASE_Table[Location],(DATABASE_Table[Development]=$B11)*(DATABASE_Table[Location]&lt;&gt;"")),1),IFERROR(_xlfn.XLOOKUP($B11,DATABASE_Table[Development],DATABASE_Table[Local],"—"),"—"))</f>
        <v>Vilamoura, Algarve</v>
      </c>
      <c r="E11" s="253" t="str" cm="1">
        <f t="array" ref="E11">IFERROR(INDEX(_xlfn._xlws.FILTER(DATABASE_Table[Typology],(DATABASE_Table[Development]=$B11)*(DATABASE_Table[Typology]&lt;&gt;"")),1),"—")</f>
        <v>T2</v>
      </c>
      <c r="F11" s="254" t="str" cm="1">
        <f t="array" ref="F11">IFERROR(INDEX(_xlfn._xlws.FILTER(DATABASE_Table[Delivery Expected],(DATABASE_Table[Development]=$B11)*(DATABASE_Table[Delivery Expected]&lt;&gt;"")),1),"—")</f>
        <v>—</v>
      </c>
      <c r="G11" s="248">
        <f>COUNTIF(DATABASE_Table[Development],$B11)</f>
        <v>47</v>
      </c>
      <c r="H11" s="248" cm="1">
        <f t="array" ref="H11">SUMPRODUCT((DATABASE_Table[Development]=$B11)*(TRIM(DATABASE_Table[Selling Status])="AVAILABLE"))</f>
        <v>33</v>
      </c>
      <c r="I11" s="248" cm="1">
        <f t="array" ref="I11">SUMPRODUCT((DATABASE_Table[Development]=$B11)*((TRIM(DATABASE_Table[Selling Status])="RESERVED")+(TRIM(DATABASE_Table[Selling Status])="PRE-RESERVED")))</f>
        <v>0</v>
      </c>
      <c r="J11" s="248" cm="1">
        <f t="array" ref="J11">SUMPRODUCT((DATABASE_Table[Development]=$B11)*(LEFT(TRIM(DATABASE_Table[Selling Status]),4)="PSPA"))</f>
        <v>14</v>
      </c>
      <c r="K11" s="248" cm="1">
        <f t="array" ref="K11">SUMPRODUCT((DATABASE_Table[Development]=$B11)*(TRIM(DATABASE_Table[Selling Status])="DEED"))</f>
        <v>0</v>
      </c>
      <c r="L11" s="248" cm="1">
        <f t="array" ref="L11">SUMPRODUCT((DATABASE_Table[Development]=$B11)*((TRIM(DATABASE_Table[Selling Status])="NOT FOR SALE")+(LEFT(TRIM(DATABASE_Table[Selling Status]),4)="UPON")))</f>
        <v>0</v>
      </c>
      <c r="M11" s="43">
        <f t="shared" si="0"/>
        <v>0.2978723404255319</v>
      </c>
      <c r="N11" s="250">
        <f>SUMIF(DATABASE_Table[Development],$B11,DATABASE_Table[Current Asking price( Total)])/1000000</f>
        <v>45.426499999999997</v>
      </c>
      <c r="O11" s="250" cm="1">
        <f t="array" ref="O11">SUMPRODUCT((DATABASE_Table[Development]=$B11)*(TRIM(DATABASE_Table[Selling Status])="DEED SIGNED")*DATABASE_Table[Sell price (RE Asset)])/1000000</f>
        <v>0</v>
      </c>
      <c r="P11" s="34"/>
      <c r="Q11" s="282" t="s">
        <v>927</v>
      </c>
      <c r="R11" s="282" t="s">
        <v>794</v>
      </c>
      <c r="S11" s="262"/>
      <c r="T11" s="262"/>
      <c r="U11" s="282" t="s">
        <v>927</v>
      </c>
      <c r="V11" s="282" t="s">
        <v>820</v>
      </c>
      <c r="W11" s="262"/>
      <c r="X11" s="262" t="str" cm="1">
        <f t="array" ref="X11">IFERROR(_xlfn.SWITCH(_xlfn.XLOOKUP($B11,DATABASE_Table[Development],DATABASE_Table[Local],"Center"),"Vilamoura","Vilamoura","Algarve","Algarve","North","North","Center"),"Center")</f>
        <v>Vilamoura</v>
      </c>
      <c r="Y11" s="262" t="str" cm="1">
        <f t="array" ref="Y11">_xlfn.IFS(G11=0,"—",M11&gt;=0.999,"Sold Out",(I11+J11+K11)=0,"Coming Soon",TRUE,"Active")</f>
        <v>Active</v>
      </c>
      <c r="Z11" s="262"/>
      <c r="AA11" s="262"/>
      <c r="AB11" s="262"/>
      <c r="AC11" s="262"/>
      <c r="AD11" s="262"/>
      <c r="AE11" s="262"/>
    </row>
    <row r="12" spans="2:31">
      <c r="B12" s="41" t="s">
        <v>42</v>
      </c>
      <c r="C12" s="253" t="str">
        <f>IFERROR(TRIM(_xlfn.XLOOKUP($B12,DATABASE_Table[Development],DATABASE_Table[Selling Status],"—")),"—")</f>
        <v>AVAILABLE</v>
      </c>
      <c r="D12" s="253" t="str" cm="1">
        <f t="array" ref="D12">IFERROR(INDEX(_xlfn._xlws.FILTER(DATABASE_Table[Location],(DATABASE_Table[Development]=$B12)*(DATABASE_Table[Location]&lt;&gt;"")),1),IFERROR(_xlfn.XLOOKUP($B12,DATABASE_Table[Development],DATABASE_Table[Local],"—"),"—"))</f>
        <v>Vilamoura, Algarve</v>
      </c>
      <c r="E12" s="253" t="str" cm="1">
        <f t="array" ref="E12">IFERROR(INDEX(_xlfn._xlws.FILTER(DATABASE_Table[Typology],(DATABASE_Table[Development]=$B12)*(DATABASE_Table[Typology]&lt;&gt;"")),1),"—")</f>
        <v>T2</v>
      </c>
      <c r="F12" s="254" t="str" cm="1">
        <f t="array" ref="F12">IFERROR(INDEX(_xlfn._xlws.FILTER(DATABASE_Table[Delivery Expected],(DATABASE_Table[Development]=$B12)*(DATABASE_Table[Delivery Expected]&lt;&gt;"")),1),"—")</f>
        <v>—</v>
      </c>
      <c r="G12" s="248">
        <f>COUNTIF(DATABASE_Table[Development],$B12)</f>
        <v>62</v>
      </c>
      <c r="H12" s="248" cm="1">
        <f t="array" ref="H12">SUMPRODUCT((DATABASE_Table[Development]=$B12)*(TRIM(DATABASE_Table[Selling Status])="AVAILABLE"))</f>
        <v>55</v>
      </c>
      <c r="I12" s="248" cm="1">
        <f t="array" ref="I12">SUMPRODUCT((DATABASE_Table[Development]=$B12)*((TRIM(DATABASE_Table[Selling Status])="RESERVED")+(TRIM(DATABASE_Table[Selling Status])="PRE-RESERVED")))</f>
        <v>0</v>
      </c>
      <c r="J12" s="248" cm="1">
        <f t="array" ref="J12">SUMPRODUCT((DATABASE_Table[Development]=$B12)*(LEFT(TRIM(DATABASE_Table[Selling Status]),4)="PSPA"))</f>
        <v>7</v>
      </c>
      <c r="K12" s="248" cm="1">
        <f t="array" ref="K12">SUMPRODUCT((DATABASE_Table[Development]=$B12)*(TRIM(DATABASE_Table[Selling Status])="DEED"))</f>
        <v>0</v>
      </c>
      <c r="L12" s="248" cm="1">
        <f t="array" ref="L12">SUMPRODUCT((DATABASE_Table[Development]=$B12)*((TRIM(DATABASE_Table[Selling Status])="NOT FOR SALE")+(LEFT(TRIM(DATABASE_Table[Selling Status]),4)="UPON")))</f>
        <v>0</v>
      </c>
      <c r="M12" s="43">
        <f t="shared" si="0"/>
        <v>0.11290322580645161</v>
      </c>
      <c r="N12" s="250">
        <f>SUMIF(DATABASE_Table[Development],$B12,DATABASE_Table[Current Asking price( Total)])/1000000</f>
        <v>54.5</v>
      </c>
      <c r="O12" s="250" cm="1">
        <f t="array" ref="O12">SUMPRODUCT((DATABASE_Table[Development]=$B12)*(TRIM(DATABASE_Table[Selling Status])="DEED SIGNED")*DATABASE_Table[Sell price (RE Asset)])/1000000</f>
        <v>0</v>
      </c>
      <c r="P12" s="34"/>
      <c r="Q12" s="262" t="str">
        <f>$E$31</f>
        <v>Vale Pisão Grand Park</v>
      </c>
      <c r="R12" s="265">
        <f>M34</f>
        <v>0.25</v>
      </c>
      <c r="S12" s="266"/>
      <c r="T12" s="262"/>
      <c r="U12" s="284" t="str">
        <f>$E$31</f>
        <v>Vale Pisão Grand Park</v>
      </c>
      <c r="V12" s="283">
        <f>N34</f>
        <v>37.42</v>
      </c>
      <c r="W12" s="262"/>
      <c r="X12" s="262" t="str" cm="1">
        <f t="array" ref="X12">IFERROR(_xlfn.SWITCH(_xlfn.XLOOKUP($B12,DATABASE_Table[Development],DATABASE_Table[Local],"Center"),"Vilamoura","Vilamoura","Algarve","Algarve","North","North","Center"),"Center")</f>
        <v>Vilamoura</v>
      </c>
      <c r="Y12" s="262" t="str" cm="1">
        <f t="array" ref="Y12">_xlfn.IFS(G12=0,"—",M12&gt;=0.999,"Sold Out",(I12+J12+K12)=0,"Coming Soon",TRUE,"Active")</f>
        <v>Active</v>
      </c>
      <c r="Z12" s="262"/>
      <c r="AA12" s="262"/>
      <c r="AB12" s="262"/>
      <c r="AC12" s="262"/>
      <c r="AD12" s="262"/>
      <c r="AE12" s="262"/>
    </row>
    <row r="13" spans="2:31">
      <c r="B13" s="45" t="s">
        <v>689</v>
      </c>
      <c r="C13" s="253" t="str">
        <f>IFERROR(TRIM(_xlfn.XLOOKUP($B13,DATABASE_Table[Development],DATABASE_Table[Selling Status],"—")),"—")</f>
        <v>DEED</v>
      </c>
      <c r="D13" s="253" t="str" cm="1">
        <f t="array" ref="D13">IFERROR(INDEX(_xlfn._xlws.FILTER(DATABASE_Table[Location],(DATABASE_Table[Development]=$B13)*(DATABASE_Table[Location]&lt;&gt;"")),1),IFERROR(_xlfn.XLOOKUP($B13,DATABASE_Table[Development],DATABASE_Table[Local],"—"),"—"))</f>
        <v>Vilamoura</v>
      </c>
      <c r="E13" s="253" t="str" cm="1">
        <f t="array" ref="E13">IFERROR(INDEX(_xlfn._xlws.FILTER(DATABASE_Table[Typology],(DATABASE_Table[Development]=$B13)*(DATABASE_Table[Typology]&lt;&gt;"")),1),"—")</f>
        <v>V2</v>
      </c>
      <c r="F13" s="254" t="str" cm="1">
        <f t="array" ref="F13">IFERROR(INDEX(_xlfn._xlws.FILTER(DATABASE_Table[Delivery Expected],(DATABASE_Table[Development]=$B13)*(DATABASE_Table[Delivery Expected]&lt;&gt;"")),1),"—")</f>
        <v>—</v>
      </c>
      <c r="G13" s="248">
        <f>COUNTIF(DATABASE_Table[Development],$B13)</f>
        <v>40</v>
      </c>
      <c r="H13" s="248" cm="1">
        <f t="array" ref="H13">SUMPRODUCT((DATABASE_Table[Development]=$B13)*(TRIM(DATABASE_Table[Selling Status])="AVAILABLE"))</f>
        <v>0</v>
      </c>
      <c r="I13" s="248" cm="1">
        <f t="array" ref="I13">SUMPRODUCT((DATABASE_Table[Development]=$B13)*((TRIM(DATABASE_Table[Selling Status])="RESERVED")+(TRIM(DATABASE_Table[Selling Status])="PRE-RESERVED")))</f>
        <v>0</v>
      </c>
      <c r="J13" s="248" cm="1">
        <f t="array" ref="J13">SUMPRODUCT((DATABASE_Table[Development]=$B13)*(LEFT(TRIM(DATABASE_Table[Selling Status]),4)="PSPA"))</f>
        <v>0</v>
      </c>
      <c r="K13" s="248" cm="1">
        <f t="array" ref="K13">SUMPRODUCT((DATABASE_Table[Development]=$B13)*(TRIM(DATABASE_Table[Selling Status])="DEED"))</f>
        <v>40</v>
      </c>
      <c r="L13" s="248" cm="1">
        <f t="array" ref="L13">SUMPRODUCT((DATABASE_Table[Development]=$B13)*((TRIM(DATABASE_Table[Selling Status])="NOT FOR SALE")+(LEFT(TRIM(DATABASE_Table[Selling Status]),4)="UPON")))</f>
        <v>0</v>
      </c>
      <c r="M13" s="43">
        <f t="shared" si="0"/>
        <v>1</v>
      </c>
      <c r="N13" s="250">
        <f>SUMIF(DATABASE_Table[Development],$B13,DATABASE_Table[Current Asking price( Total)])/1000000</f>
        <v>43.051970000183005</v>
      </c>
      <c r="O13" s="250" cm="1">
        <f t="array" ref="O13">SUMPRODUCT((DATABASE_Table[Development]=$B13)*(TRIM(DATABASE_Table[Selling Status])="DEED SIGNED")*DATABASE_Table[Sell price (RE Asset)])/1000000</f>
        <v>0</v>
      </c>
      <c r="P13" s="34"/>
      <c r="Q13" s="262" t="str">
        <f>_xlfn.XLOOKUP($E$31,$B$7:$B$23,$X$7:$X$23)&amp;" Avg"</f>
        <v>North Avg</v>
      </c>
      <c r="R13" s="265">
        <f>IFERROR(AVERAGEIF($X$7:$X$23,_xlfn.XLOOKUP($E$31,$B$7:$B$23,$X$7:$X$23),$M$7:$M$23),0)</f>
        <v>0.25</v>
      </c>
      <c r="S13" s="266"/>
      <c r="T13" s="262"/>
      <c r="U13" s="262" t="str">
        <f>_xlfn.XLOOKUP($E$31,$B$7:$B$23,$X$7:$X$23)&amp;" Avg"</f>
        <v>North Avg</v>
      </c>
      <c r="V13" s="285">
        <f>IFERROR(AVERAGEIF($X$7:$X$23,_xlfn.XLOOKUP($E$31,$B$7:$B$23,$X$7:$X$23),$N$7:$N$23),0)</f>
        <v>37.42</v>
      </c>
      <c r="W13" s="262"/>
      <c r="X13" s="262" t="str" cm="1">
        <f t="array" ref="X13">IFERROR(_xlfn.SWITCH(_xlfn.XLOOKUP($B13,DATABASE_Table[Development],DATABASE_Table[Local],"Center"),"Vilamoura","Vilamoura","Algarve","Algarve","North","North","Center"),"Center")</f>
        <v>Vilamoura</v>
      </c>
      <c r="Y13" s="262" t="str" cm="1">
        <f t="array" ref="Y13">_xlfn.IFS(G13=0,"—",M13&gt;=0.999,"Sold Out",(I13+J13+K13)=0,"Coming Soon",TRUE,"Active")</f>
        <v>Sold Out</v>
      </c>
      <c r="Z13" s="262"/>
      <c r="AA13" s="262"/>
      <c r="AB13" s="262"/>
      <c r="AC13" s="262"/>
      <c r="AD13" s="262"/>
      <c r="AE13" s="262"/>
    </row>
    <row r="14" spans="2:31">
      <c r="B14" s="41" t="s">
        <v>37</v>
      </c>
      <c r="C14" s="253" t="str">
        <f>IFERROR(TRIM(_xlfn.XLOOKUP($B14,DATABASE_Table[Development],DATABASE_Table[Selling Status],"—")),"—")</f>
        <v>AVAILABLE</v>
      </c>
      <c r="D14" s="253" t="str" cm="1">
        <f t="array" ref="D14">IFERROR(INDEX(_xlfn._xlws.FILTER(DATABASE_Table[Location],(DATABASE_Table[Development]=$B14)*(DATABASE_Table[Location]&lt;&gt;"")),1),IFERROR(_xlfn.XLOOKUP($B14,DATABASE_Table[Development],DATABASE_Table[Local],"—"),"—"))</f>
        <v>Vilamoura, Algarve</v>
      </c>
      <c r="E14" s="253" t="str" cm="1">
        <f t="array" ref="E14">IFERROR(INDEX(_xlfn._xlws.FILTER(DATABASE_Table[Typology],(DATABASE_Table[Development]=$B14)*(DATABASE_Table[Typology]&lt;&gt;"")),1),"—")</f>
        <v>Plot</v>
      </c>
      <c r="F14" s="254" t="str" cm="1">
        <f t="array" ref="F14">IFERROR(INDEX(_xlfn._xlws.FILTER(DATABASE_Table[Delivery Expected],(DATABASE_Table[Development]=$B14)*(DATABASE_Table[Delivery Expected]&lt;&gt;"")),1),"—")</f>
        <v>—</v>
      </c>
      <c r="G14" s="248">
        <f>COUNTIF(DATABASE_Table[Development],$B14)</f>
        <v>101</v>
      </c>
      <c r="H14" s="248" cm="1">
        <f t="array" ref="H14">SUMPRODUCT((DATABASE_Table[Development]=$B14)*(TRIM(DATABASE_Table[Selling Status])="AVAILABLE"))</f>
        <v>92</v>
      </c>
      <c r="I14" s="248" cm="1">
        <f t="array" ref="I14">SUMPRODUCT((DATABASE_Table[Development]=$B14)*((TRIM(DATABASE_Table[Selling Status])="RESERVED")+(TRIM(DATABASE_Table[Selling Status])="PRE-RESERVED")))</f>
        <v>3</v>
      </c>
      <c r="J14" s="248" cm="1">
        <f t="array" ref="J14">SUMPRODUCT((DATABASE_Table[Development]=$B14)*(LEFT(TRIM(DATABASE_Table[Selling Status]),4)="PSPA"))</f>
        <v>6</v>
      </c>
      <c r="K14" s="248" cm="1">
        <f t="array" ref="K14">SUMPRODUCT((DATABASE_Table[Development]=$B14)*(TRIM(DATABASE_Table[Selling Status])="DEED"))</f>
        <v>0</v>
      </c>
      <c r="L14" s="248" cm="1">
        <f t="array" ref="L14">SUMPRODUCT((DATABASE_Table[Development]=$B14)*((TRIM(DATABASE_Table[Selling Status])="NOT FOR SALE")+(LEFT(TRIM(DATABASE_Table[Selling Status]),4)="UPON")))</f>
        <v>0</v>
      </c>
      <c r="M14" s="43">
        <f t="shared" si="0"/>
        <v>8.9108910891089105E-2</v>
      </c>
      <c r="N14" s="250">
        <f>SUMIF(DATABASE_Table[Development],$B14,DATABASE_Table[Current Asking price( Total)])/1000000</f>
        <v>183.77</v>
      </c>
      <c r="O14" s="250" cm="1">
        <f t="array" ref="O14">SUMPRODUCT((DATABASE_Table[Development]=$B14)*(TRIM(DATABASE_Table[Selling Status])="DEED SIGNED")*DATABASE_Table[Sell price (RE Asset)])/1000000</f>
        <v>0</v>
      </c>
      <c r="P14" s="34"/>
      <c r="Q14" s="262" t="s">
        <v>928</v>
      </c>
      <c r="R14" s="265">
        <f>$M$24</f>
        <v>0.36222627737226276</v>
      </c>
      <c r="S14" s="266"/>
      <c r="T14" s="262"/>
      <c r="U14" s="262" t="s">
        <v>928</v>
      </c>
      <c r="V14" s="285">
        <f>AVERAGE($N$7:$N$23)</f>
        <v>77.328268823540171</v>
      </c>
      <c r="W14" s="262"/>
      <c r="X14" s="262" t="str" cm="1">
        <f t="array" ref="X14">IFERROR(_xlfn.SWITCH(_xlfn.XLOOKUP($B14,DATABASE_Table[Development],DATABASE_Table[Local],"Center"),"Vilamoura","Vilamoura","Algarve","Algarve","North","North","Center"),"Center")</f>
        <v>Vilamoura</v>
      </c>
      <c r="Y14" s="262" t="str" cm="1">
        <f t="array" ref="Y14">_xlfn.IFS(G14=0,"—",M14&gt;=0.999,"Sold Out",(I14+J14+K14)=0,"Coming Soon",TRUE,"Active")</f>
        <v>Active</v>
      </c>
      <c r="Z14" s="262"/>
      <c r="AA14" s="262"/>
      <c r="AB14" s="262"/>
      <c r="AC14" s="262"/>
      <c r="AD14" s="262"/>
      <c r="AE14" s="262"/>
    </row>
    <row r="15" spans="2:31">
      <c r="B15" s="41" t="s">
        <v>52</v>
      </c>
      <c r="C15" s="253" t="str">
        <f>IFERROR(TRIM(_xlfn.XLOOKUP($B15,DATABASE_Table[Development],DATABASE_Table[Selling Status],"—")),"—")</f>
        <v>RESERVED</v>
      </c>
      <c r="D15" s="253" t="str" cm="1">
        <f t="array" ref="D15">IFERROR(INDEX(_xlfn._xlws.FILTER(DATABASE_Table[Location],(DATABASE_Table[Development]=$B15)*(DATABASE_Table[Location]&lt;&gt;"")),1),IFERROR(_xlfn.XLOOKUP($B15,DATABASE_Table[Development],DATABASE_Table[Local],"—"),"—"))</f>
        <v>Vilamoura, Algarve</v>
      </c>
      <c r="E15" s="253" t="str" cm="1">
        <f t="array" ref="E15">IFERROR(INDEX(_xlfn._xlws.FILTER(DATABASE_Table[Typology],(DATABASE_Table[Development]=$B15)*(DATABASE_Table[Typology]&lt;&gt;"")),1),"—")</f>
        <v>T2</v>
      </c>
      <c r="F15" s="254" t="str" cm="1">
        <f t="array" ref="F15">IFERROR(INDEX(_xlfn._xlws.FILTER(DATABASE_Table[Delivery Expected],(DATABASE_Table[Development]=$B15)*(DATABASE_Table[Delivery Expected]&lt;&gt;"")),1),"—")</f>
        <v>—</v>
      </c>
      <c r="G15" s="248">
        <f>COUNTIF(DATABASE_Table[Development],$B15)</f>
        <v>55</v>
      </c>
      <c r="H15" s="248" cm="1">
        <f t="array" ref="H15">SUMPRODUCT((DATABASE_Table[Development]=$B15)*(TRIM(DATABASE_Table[Selling Status])="AVAILABLE"))</f>
        <v>33</v>
      </c>
      <c r="I15" s="248" cm="1">
        <f t="array" ref="I15">SUMPRODUCT((DATABASE_Table[Development]=$B15)*((TRIM(DATABASE_Table[Selling Status])="RESERVED")+(TRIM(DATABASE_Table[Selling Status])="PRE-RESERVED")))</f>
        <v>15</v>
      </c>
      <c r="J15" s="248" cm="1">
        <f t="array" ref="J15">SUMPRODUCT((DATABASE_Table[Development]=$B15)*(LEFT(TRIM(DATABASE_Table[Selling Status]),4)="PSPA"))</f>
        <v>7</v>
      </c>
      <c r="K15" s="248" cm="1">
        <f t="array" ref="K15">SUMPRODUCT((DATABASE_Table[Development]=$B15)*(TRIM(DATABASE_Table[Selling Status])="DEED"))</f>
        <v>0</v>
      </c>
      <c r="L15" s="248" cm="1">
        <f t="array" ref="L15">SUMPRODUCT((DATABASE_Table[Development]=$B15)*((TRIM(DATABASE_Table[Selling Status])="NOT FOR SALE")+(LEFT(TRIM(DATABASE_Table[Selling Status]),4)="UPON")))</f>
        <v>0</v>
      </c>
      <c r="M15" s="43">
        <f t="shared" si="0"/>
        <v>0.4</v>
      </c>
      <c r="N15" s="250">
        <f>SUMIF(DATABASE_Table[Development],$B15,DATABASE_Table[Current Asking price( Total)])/1000000</f>
        <v>73.623500000000007</v>
      </c>
      <c r="O15" s="250" cm="1">
        <f t="array" ref="O15">SUMPRODUCT((DATABASE_Table[Development]=$B15)*(TRIM(DATABASE_Table[Selling Status])="DEED SIGNED")*DATABASE_Table[Sell price (RE Asset)])/1000000</f>
        <v>0</v>
      </c>
      <c r="P15" s="34"/>
      <c r="Q15" s="262"/>
      <c r="R15" s="265"/>
      <c r="S15" s="266"/>
      <c r="T15" s="262"/>
      <c r="U15" s="262"/>
      <c r="V15" s="266"/>
      <c r="W15" s="262"/>
      <c r="X15" s="262" t="str" cm="1">
        <f t="array" ref="X15">IFERROR(_xlfn.SWITCH(_xlfn.XLOOKUP($B15,DATABASE_Table[Development],DATABASE_Table[Local],"Center"),"Vilamoura","Vilamoura","Algarve","Algarve","North","North","Center"),"Center")</f>
        <v>Vilamoura</v>
      </c>
      <c r="Y15" s="262" t="str" cm="1">
        <f t="array" ref="Y15">_xlfn.IFS(G15=0,"—",M15&gt;=0.999,"Sold Out",(I15+J15+K15)=0,"Coming Soon",TRUE,"Active")</f>
        <v>Active</v>
      </c>
      <c r="Z15" s="262"/>
      <c r="AA15" s="262"/>
      <c r="AB15" s="262"/>
      <c r="AC15" s="262"/>
      <c r="AD15" s="262"/>
      <c r="AE15" s="262"/>
    </row>
    <row r="16" spans="2:31">
      <c r="B16" s="41" t="s">
        <v>48</v>
      </c>
      <c r="C16" s="253" t="str">
        <f>IFERROR(TRIM(_xlfn.XLOOKUP($B16,DATABASE_Table[Development],DATABASE_Table[Selling Status],"—")),"—")</f>
        <v>AVAILABLE</v>
      </c>
      <c r="D16" s="253" t="str" cm="1">
        <f t="array" ref="D16">IFERROR(INDEX(_xlfn._xlws.FILTER(DATABASE_Table[Location],(DATABASE_Table[Development]=$B16)*(DATABASE_Table[Location]&lt;&gt;"")),1),IFERROR(_xlfn.XLOOKUP($B16,DATABASE_Table[Development],DATABASE_Table[Local],"—"),"—"))</f>
        <v>Vilamoura, Algarve</v>
      </c>
      <c r="E16" s="253" t="str" cm="1">
        <f t="array" ref="E16">IFERROR(INDEX(_xlfn._xlws.FILTER(DATABASE_Table[Typology],(DATABASE_Table[Development]=$B16)*(DATABASE_Table[Typology]&lt;&gt;"")),1),"—")</f>
        <v>T3</v>
      </c>
      <c r="F16" s="254" t="str" cm="1">
        <f t="array" ref="F16">IFERROR(INDEX(_xlfn._xlws.FILTER(DATABASE_Table[Delivery Expected],(DATABASE_Table[Development]=$B16)*(DATABASE_Table[Delivery Expected]&lt;&gt;"")),1),"—")</f>
        <v>—</v>
      </c>
      <c r="G16" s="248">
        <f>COUNTIF(DATABASE_Table[Development],$B16)</f>
        <v>92</v>
      </c>
      <c r="H16" s="248" cm="1">
        <f t="array" ref="H16">SUMPRODUCT((DATABASE_Table[Development]=$B16)*(TRIM(DATABASE_Table[Selling Status])="AVAILABLE"))</f>
        <v>89</v>
      </c>
      <c r="I16" s="248" cm="1">
        <f t="array" ref="I16">SUMPRODUCT((DATABASE_Table[Development]=$B16)*((TRIM(DATABASE_Table[Selling Status])="RESERVED")+(TRIM(DATABASE_Table[Selling Status])="PRE-RESERVED")))</f>
        <v>1</v>
      </c>
      <c r="J16" s="248" cm="1">
        <f t="array" ref="J16">SUMPRODUCT((DATABASE_Table[Development]=$B16)*(LEFT(TRIM(DATABASE_Table[Selling Status]),4)="PSPA"))</f>
        <v>2</v>
      </c>
      <c r="K16" s="248" cm="1">
        <f t="array" ref="K16">SUMPRODUCT((DATABASE_Table[Development]=$B16)*(TRIM(DATABASE_Table[Selling Status])="DEED"))</f>
        <v>0</v>
      </c>
      <c r="L16" s="248" cm="1">
        <f t="array" ref="L16">SUMPRODUCT((DATABASE_Table[Development]=$B16)*((TRIM(DATABASE_Table[Selling Status])="NOT FOR SALE")+(LEFT(TRIM(DATABASE_Table[Selling Status]),4)="UPON")))</f>
        <v>0</v>
      </c>
      <c r="M16" s="43">
        <f t="shared" si="0"/>
        <v>3.2608695652173912E-2</v>
      </c>
      <c r="N16" s="250">
        <f>SUMIF(DATABASE_Table[Development],$B16,DATABASE_Table[Current Asking price( Total)])/1000000</f>
        <v>125.53</v>
      </c>
      <c r="O16" s="250" cm="1">
        <f t="array" ref="O16">SUMPRODUCT((DATABASE_Table[Development]=$B16)*(TRIM(DATABASE_Table[Selling Status])="DEED SIGNED")*DATABASE_Table[Sell price (RE Asset)])/1000000</f>
        <v>0</v>
      </c>
      <c r="P16" s="34"/>
      <c r="Q16" s="262"/>
      <c r="R16" s="265"/>
      <c r="S16" s="266"/>
      <c r="T16" s="262"/>
      <c r="U16" s="262"/>
      <c r="V16" s="266"/>
      <c r="W16" s="262"/>
      <c r="X16" s="262" t="str" cm="1">
        <f t="array" ref="X16">IFERROR(_xlfn.SWITCH(_xlfn.XLOOKUP($B16,DATABASE_Table[Development],DATABASE_Table[Local],"Center"),"Vilamoura","Vilamoura","Algarve","Algarve","North","North","Center"),"Center")</f>
        <v>Vilamoura</v>
      </c>
      <c r="Y16" s="262" t="str" cm="1">
        <f t="array" ref="Y16">_xlfn.IFS(G16=0,"—",M16&gt;=0.999,"Sold Out",(I16+J16+K16)=0,"Coming Soon",TRUE,"Active")</f>
        <v>Active</v>
      </c>
      <c r="Z16" s="262"/>
      <c r="AA16" s="262"/>
      <c r="AB16" s="262"/>
      <c r="AC16" s="262"/>
      <c r="AD16" s="262"/>
      <c r="AE16" s="262"/>
    </row>
    <row r="17" spans="2:31">
      <c r="B17" s="41" t="s">
        <v>31</v>
      </c>
      <c r="C17" s="253" t="str">
        <f>IFERROR(TRIM(_xlfn.XLOOKUP($B17,DATABASE_Table[Development],DATABASE_Table[Selling Status],"—")),"—")</f>
        <v>AVAILABLE</v>
      </c>
      <c r="D17" s="253" t="str" cm="1">
        <f t="array" ref="D17">IFERROR(INDEX(_xlfn._xlws.FILTER(DATABASE_Table[Location],(DATABASE_Table[Development]=$B17)*(DATABASE_Table[Location]&lt;&gt;"")),1),IFERROR(_xlfn.XLOOKUP($B17,DATABASE_Table[Development],DATABASE_Table[Local],"—"),"—"))</f>
        <v>Vilamoura, Algarve</v>
      </c>
      <c r="E17" s="253" t="str" cm="1">
        <f t="array" ref="E17">IFERROR(INDEX(_xlfn._xlws.FILTER(DATABASE_Table[Typology],(DATABASE_Table[Development]=$B17)*(DATABASE_Table[Typology]&lt;&gt;"")),1),"—")</f>
        <v>T2</v>
      </c>
      <c r="F17" s="254" t="str" cm="1">
        <f t="array" ref="F17">IFERROR(INDEX(_xlfn._xlws.FILTER(DATABASE_Table[Delivery Expected],(DATABASE_Table[Development]=$B17)*(DATABASE_Table[Delivery Expected]&lt;&gt;"")),1),"—")</f>
        <v>—</v>
      </c>
      <c r="G17" s="248">
        <f>COUNTIF(DATABASE_Table[Development],$B17)</f>
        <v>39</v>
      </c>
      <c r="H17" s="248" cm="1">
        <f t="array" ref="H17">SUMPRODUCT((DATABASE_Table[Development]=$B17)*(TRIM(DATABASE_Table[Selling Status])="AVAILABLE"))</f>
        <v>16</v>
      </c>
      <c r="I17" s="248" cm="1">
        <f t="array" ref="I17">SUMPRODUCT((DATABASE_Table[Development]=$B17)*((TRIM(DATABASE_Table[Selling Status])="RESERVED")+(TRIM(DATABASE_Table[Selling Status])="PRE-RESERVED")))</f>
        <v>16</v>
      </c>
      <c r="J17" s="248" cm="1">
        <f t="array" ref="J17">SUMPRODUCT((DATABASE_Table[Development]=$B17)*(LEFT(TRIM(DATABASE_Table[Selling Status]),4)="PSPA"))</f>
        <v>7</v>
      </c>
      <c r="K17" s="248" cm="1">
        <f t="array" ref="K17">SUMPRODUCT((DATABASE_Table[Development]=$B17)*(TRIM(DATABASE_Table[Selling Status])="DEED"))</f>
        <v>0</v>
      </c>
      <c r="L17" s="248" cm="1">
        <f t="array" ref="L17">SUMPRODUCT((DATABASE_Table[Development]=$B17)*((TRIM(DATABASE_Table[Selling Status])="NOT FOR SALE")+(LEFT(TRIM(DATABASE_Table[Selling Status]),4)="UPON")))</f>
        <v>0</v>
      </c>
      <c r="M17" s="43">
        <f t="shared" si="0"/>
        <v>0.58974358974358976</v>
      </c>
      <c r="N17" s="250">
        <f>SUMIF(DATABASE_Table[Development],$B17,DATABASE_Table[Current Asking price( Total)])/1000000</f>
        <v>35.56</v>
      </c>
      <c r="O17" s="250" cm="1">
        <f t="array" ref="O17">SUMPRODUCT((DATABASE_Table[Development]=$B17)*(TRIM(DATABASE_Table[Selling Status])="DEED SIGNED")*DATABASE_Table[Sell price (RE Asset)])/1000000</f>
        <v>0</v>
      </c>
      <c r="P17" s="34"/>
      <c r="Q17" s="262"/>
      <c r="R17" s="265"/>
      <c r="S17" s="266"/>
      <c r="T17" s="262"/>
      <c r="U17" s="262"/>
      <c r="V17" s="266"/>
      <c r="W17" s="262"/>
      <c r="X17" s="262" t="str" cm="1">
        <f t="array" ref="X17">IFERROR(_xlfn.SWITCH(_xlfn.XLOOKUP($B17,DATABASE_Table[Development],DATABASE_Table[Local],"Center"),"Vilamoura","Vilamoura","Algarve","Algarve","North","North","Center"),"Center")</f>
        <v>Vilamoura</v>
      </c>
      <c r="Y17" s="262" t="str" cm="1">
        <f t="array" ref="Y17">_xlfn.IFS(G17=0,"—",M17&gt;=0.999,"Sold Out",(I17+J17+K17)=0,"Coming Soon",TRUE,"Active")</f>
        <v>Active</v>
      </c>
      <c r="Z17" s="262"/>
      <c r="AA17" s="262"/>
      <c r="AB17" s="262"/>
      <c r="AC17" s="262"/>
      <c r="AD17" s="262"/>
      <c r="AE17" s="262"/>
    </row>
    <row r="18" spans="2:31">
      <c r="B18" s="41" t="s">
        <v>55</v>
      </c>
      <c r="C18" s="253" t="str">
        <f>IFERROR(TRIM(_xlfn.XLOOKUP($B18,DATABASE_Table[Development],DATABASE_Table[Selling Status],"—")),"—")</f>
        <v>AVAILABLE</v>
      </c>
      <c r="D18" s="253" t="str" cm="1">
        <f t="array" ref="D18">IFERROR(INDEX(_xlfn._xlws.FILTER(DATABASE_Table[Location],(DATABASE_Table[Development]=$B18)*(DATABASE_Table[Location]&lt;&gt;"")),1),IFERROR(_xlfn.XLOOKUP($B18,DATABASE_Table[Development],DATABASE_Table[Local],"—"),"—"))</f>
        <v>Quinta do Lago, Algarve</v>
      </c>
      <c r="E18" s="253" t="str" cm="1">
        <f t="array" ref="E18">IFERROR(INDEX(_xlfn._xlws.FILTER(DATABASE_Table[Typology],(DATABASE_Table[Development]=$B18)*(DATABASE_Table[Typology]&lt;&gt;"")),1),"—")</f>
        <v>T3</v>
      </c>
      <c r="F18" s="254" t="str" cm="1">
        <f t="array" ref="F18">IFERROR(INDEX(_xlfn._xlws.FILTER(DATABASE_Table[Delivery Expected],(DATABASE_Table[Development]=$B18)*(DATABASE_Table[Delivery Expected]&lt;&gt;"")),1),"—")</f>
        <v>TBD</v>
      </c>
      <c r="G18" s="248">
        <f>COUNTIF(DATABASE_Table[Development],$B18)</f>
        <v>16</v>
      </c>
      <c r="H18" s="248" cm="1">
        <f t="array" ref="H18">SUMPRODUCT((DATABASE_Table[Development]=$B18)*(TRIM(DATABASE_Table[Selling Status])="AVAILABLE"))</f>
        <v>13</v>
      </c>
      <c r="I18" s="248" cm="1">
        <f t="array" ref="I18">SUMPRODUCT((DATABASE_Table[Development]=$B18)*((TRIM(DATABASE_Table[Selling Status])="RESERVED")+(TRIM(DATABASE_Table[Selling Status])="PRE-RESERVED")))</f>
        <v>3</v>
      </c>
      <c r="J18" s="248" cm="1">
        <f t="array" ref="J18">SUMPRODUCT((DATABASE_Table[Development]=$B18)*(LEFT(TRIM(DATABASE_Table[Selling Status]),4)="PSPA"))</f>
        <v>0</v>
      </c>
      <c r="K18" s="248" cm="1">
        <f t="array" ref="K18">SUMPRODUCT((DATABASE_Table[Development]=$B18)*(TRIM(DATABASE_Table[Selling Status])="DEED"))</f>
        <v>0</v>
      </c>
      <c r="L18" s="248" cm="1">
        <f t="array" ref="L18">SUMPRODUCT((DATABASE_Table[Development]=$B18)*((TRIM(DATABASE_Table[Selling Status])="NOT FOR SALE")+(LEFT(TRIM(DATABASE_Table[Selling Status]),4)="UPON")))</f>
        <v>0</v>
      </c>
      <c r="M18" s="43">
        <f t="shared" si="0"/>
        <v>0.1875</v>
      </c>
      <c r="N18" s="250">
        <f>SUMIF(DATABASE_Table[Development],$B18,DATABASE_Table[Current Asking price( Total)])/1000000</f>
        <v>94.8</v>
      </c>
      <c r="O18" s="250" cm="1">
        <f t="array" ref="O18">SUMPRODUCT((DATABASE_Table[Development]=$B18)*(TRIM(DATABASE_Table[Selling Status])="DEED SIGNED")*DATABASE_Table[Sell price (RE Asset)])/1000000</f>
        <v>0</v>
      </c>
      <c r="P18" s="34"/>
      <c r="Q18" s="262"/>
      <c r="R18" s="265"/>
      <c r="S18" s="266"/>
      <c r="T18" s="262"/>
      <c r="U18" s="262"/>
      <c r="V18" s="266"/>
      <c r="W18" s="262"/>
      <c r="X18" s="262" t="str" cm="1">
        <f t="array" ref="X18">IFERROR(_xlfn.SWITCH(_xlfn.XLOOKUP($B18,DATABASE_Table[Development],DATABASE_Table[Local],"Center"),"Vilamoura","Vilamoura","Algarve","Algarve","North","North","Center"),"Center")</f>
        <v>Algarve</v>
      </c>
      <c r="Y18" s="262" t="str" cm="1">
        <f t="array" ref="Y18">_xlfn.IFS(G18=0,"—",M18&gt;=0.999,"Sold Out",(I18+J18+K18)=0,"Coming Soon",TRUE,"Active")</f>
        <v>Active</v>
      </c>
      <c r="Z18" s="262"/>
      <c r="AA18" s="262"/>
      <c r="AB18" s="262"/>
      <c r="AC18" s="262"/>
      <c r="AD18" s="262"/>
      <c r="AE18" s="262"/>
    </row>
    <row r="19" spans="2:31">
      <c r="B19" s="41" t="s">
        <v>62</v>
      </c>
      <c r="C19" s="253" t="str">
        <f>IFERROR(TRIM(_xlfn.XLOOKUP($B19,DATABASE_Table[Development],DATABASE_Table[Selling Status],"—")),"—")</f>
        <v>AVAILABLE</v>
      </c>
      <c r="D19" s="253" t="str" cm="1">
        <f t="array" ref="D19">IFERROR(INDEX(_xlfn._xlws.FILTER(DATABASE_Table[Location],(DATABASE_Table[Development]=$B19)*(DATABASE_Table[Location]&lt;&gt;"")),1),IFERROR(_xlfn.XLOOKUP($B19,DATABASE_Table[Development],DATABASE_Table[Local],"—"),"—"))</f>
        <v>Ancão, Algarve</v>
      </c>
      <c r="E19" s="253" t="str" cm="1">
        <f t="array" ref="E19">IFERROR(INDEX(_xlfn._xlws.FILTER(DATABASE_Table[Typology],(DATABASE_Table[Development]=$B19)*(DATABASE_Table[Typology]&lt;&gt;"")),1),"—")</f>
        <v>T3 Duplex</v>
      </c>
      <c r="F19" s="254" cm="1">
        <f t="array" ref="F19">IFERROR(INDEX(_xlfn._xlws.FILTER(DATABASE_Table[Delivery Expected],(DATABASE_Table[Development]=$B19)*(DATABASE_Table[Delivery Expected]&lt;&gt;"")),1),"—")</f>
        <v>46752</v>
      </c>
      <c r="G19" s="248">
        <f>COUNTIF(DATABASE_Table[Development],$B19)</f>
        <v>16</v>
      </c>
      <c r="H19" s="248" cm="1">
        <f t="array" ref="H19">SUMPRODUCT((DATABASE_Table[Development]=$B19)*(TRIM(DATABASE_Table[Selling Status])="AVAILABLE"))</f>
        <v>14</v>
      </c>
      <c r="I19" s="248" cm="1">
        <f t="array" ref="I19">SUMPRODUCT((DATABASE_Table[Development]=$B19)*((TRIM(DATABASE_Table[Selling Status])="RESERVED")+(TRIM(DATABASE_Table[Selling Status])="PRE-RESERVED")))</f>
        <v>1</v>
      </c>
      <c r="J19" s="248" cm="1">
        <f t="array" ref="J19">SUMPRODUCT((DATABASE_Table[Development]=$B19)*(LEFT(TRIM(DATABASE_Table[Selling Status]),4)="PSPA"))</f>
        <v>1</v>
      </c>
      <c r="K19" s="248" cm="1">
        <f t="array" ref="K19">SUMPRODUCT((DATABASE_Table[Development]=$B19)*(TRIM(DATABASE_Table[Selling Status])="DEED"))</f>
        <v>0</v>
      </c>
      <c r="L19" s="248" cm="1">
        <f t="array" ref="L19">SUMPRODUCT((DATABASE_Table[Development]=$B19)*((TRIM(DATABASE_Table[Selling Status])="NOT FOR SALE")+(LEFT(TRIM(DATABASE_Table[Selling Status]),4)="UPON")))</f>
        <v>0</v>
      </c>
      <c r="M19" s="43">
        <f t="shared" si="0"/>
        <v>0.125</v>
      </c>
      <c r="N19" s="250">
        <f>SUMIF(DATABASE_Table[Development],$B19,DATABASE_Table[Current Asking price( Total)])/1000000</f>
        <v>39.31</v>
      </c>
      <c r="O19" s="250" cm="1">
        <f t="array" ref="O19">SUMPRODUCT((DATABASE_Table[Development]=$B19)*(TRIM(DATABASE_Table[Selling Status])="DEED SIGNED")*DATABASE_Table[Sell price (RE Asset)])/1000000</f>
        <v>0</v>
      </c>
      <c r="P19" s="34"/>
      <c r="Q19" s="262"/>
      <c r="R19" s="265"/>
      <c r="S19" s="266"/>
      <c r="T19" s="262"/>
      <c r="U19" s="262"/>
      <c r="V19" s="266"/>
      <c r="W19" s="262"/>
      <c r="X19" s="262" t="str" cm="1">
        <f t="array" ref="X19">IFERROR(_xlfn.SWITCH(_xlfn.XLOOKUP($B19,DATABASE_Table[Development],DATABASE_Table[Local],"Center"),"Vilamoura","Vilamoura","Algarve","Algarve","North","North","Center"),"Center")</f>
        <v>Algarve</v>
      </c>
      <c r="Y19" s="262" t="str" cm="1">
        <f t="array" ref="Y19">_xlfn.IFS(G19=0,"—",M19&gt;=0.999,"Sold Out",(I19+J19+K19)=0,"Coming Soon",TRUE,"Active")</f>
        <v>Active</v>
      </c>
      <c r="Z19" s="262"/>
      <c r="AA19" s="262"/>
      <c r="AB19" s="262"/>
      <c r="AC19" s="262"/>
      <c r="AD19" s="262"/>
      <c r="AE19" s="262"/>
    </row>
    <row r="20" spans="2:31">
      <c r="B20" s="41" t="s">
        <v>66</v>
      </c>
      <c r="C20" s="253" t="str">
        <f>IFERROR(TRIM(_xlfn.XLOOKUP($B20,DATABASE_Table[Development],DATABASE_Table[Selling Status],"—")),"—")</f>
        <v>AVAILABLE</v>
      </c>
      <c r="D20" s="253" t="str" cm="1">
        <f t="array" ref="D20">IFERROR(INDEX(_xlfn._xlws.FILTER(DATABASE_Table[Location],(DATABASE_Table[Development]=$B20)*(DATABASE_Table[Location]&lt;&gt;"")),1),IFERROR(_xlfn.XLOOKUP($B20,DATABASE_Table[Development],DATABASE_Table[Local],"—"),"—"))</f>
        <v>Lagos, Algarve</v>
      </c>
      <c r="E20" s="253" t="str" cm="1">
        <f t="array" ref="E20">IFERROR(INDEX(_xlfn._xlws.FILTER(DATABASE_Table[Typology],(DATABASE_Table[Development]=$B20)*(DATABASE_Table[Typology]&lt;&gt;"")),1),"—")</f>
        <v>Plot</v>
      </c>
      <c r="F20" s="254" cm="1">
        <f t="array" ref="F20">IFERROR(INDEX(_xlfn._xlws.FILTER(DATABASE_Table[Delivery Expected],(DATABASE_Table[Development]=$B20)*(DATABASE_Table[Delivery Expected]&lt;&gt;"")),1),"—")</f>
        <v>46843</v>
      </c>
      <c r="G20" s="248">
        <f>COUNTIF(DATABASE_Table[Development],$B20)</f>
        <v>113</v>
      </c>
      <c r="H20" s="248" cm="1">
        <f t="array" ref="H20">SUMPRODUCT((DATABASE_Table[Development]=$B20)*(TRIM(DATABASE_Table[Selling Status])="AVAILABLE"))</f>
        <v>71</v>
      </c>
      <c r="I20" s="248" cm="1">
        <f t="array" ref="I20">SUMPRODUCT((DATABASE_Table[Development]=$B20)*((TRIM(DATABASE_Table[Selling Status])="RESERVED")+(TRIM(DATABASE_Table[Selling Status])="PRE-RESERVED")))</f>
        <v>6</v>
      </c>
      <c r="J20" s="248" cm="1">
        <f t="array" ref="J20">SUMPRODUCT((DATABASE_Table[Development]=$B20)*(LEFT(TRIM(DATABASE_Table[Selling Status]),4)="PSPA"))</f>
        <v>33</v>
      </c>
      <c r="K20" s="248" cm="1">
        <f t="array" ref="K20">SUMPRODUCT((DATABASE_Table[Development]=$B20)*(TRIM(DATABASE_Table[Selling Status])="DEED"))</f>
        <v>3</v>
      </c>
      <c r="L20" s="248" cm="1">
        <f t="array" ref="L20">SUMPRODUCT((DATABASE_Table[Development]=$B20)*((TRIM(DATABASE_Table[Selling Status])="NOT FOR SALE")+(LEFT(TRIM(DATABASE_Table[Selling Status]),4)="UPON")))</f>
        <v>0</v>
      </c>
      <c r="M20" s="43">
        <f t="shared" si="0"/>
        <v>0.37168141592920356</v>
      </c>
      <c r="N20" s="250">
        <f>SUMIF(DATABASE_Table[Development],$B20,DATABASE_Table[Current Asking price( Total)])/1000000</f>
        <v>151.85724999999999</v>
      </c>
      <c r="O20" s="250" cm="1">
        <f t="array" ref="O20">SUMPRODUCT((DATABASE_Table[Development]=$B20)*(TRIM(DATABASE_Table[Selling Status])="DEED SIGNED")*DATABASE_Table[Sell price (RE Asset)])/1000000</f>
        <v>0</v>
      </c>
      <c r="P20" s="34"/>
      <c r="Q20" s="262"/>
      <c r="R20" s="265"/>
      <c r="S20" s="266"/>
      <c r="T20" s="262"/>
      <c r="U20" s="262"/>
      <c r="V20" s="266"/>
      <c r="W20" s="262"/>
      <c r="X20" s="262" t="str" cm="1">
        <f t="array" ref="X20">IFERROR(_xlfn.SWITCH(_xlfn.XLOOKUP($B20,DATABASE_Table[Development],DATABASE_Table[Local],"Center"),"Vilamoura","Vilamoura","Algarve","Algarve","North","North","Center"),"Center")</f>
        <v>Algarve</v>
      </c>
      <c r="Y20" s="262" t="str" cm="1">
        <f t="array" ref="Y20">_xlfn.IFS(G20=0,"—",M20&gt;=0.999,"Sold Out",(I20+J20+K20)=0,"Coming Soon",TRUE,"Active")</f>
        <v>Active</v>
      </c>
      <c r="Z20" s="262"/>
      <c r="AA20" s="262"/>
      <c r="AB20" s="262"/>
      <c r="AC20" s="262"/>
      <c r="AD20" s="262"/>
      <c r="AE20" s="262"/>
    </row>
    <row r="21" spans="2:31">
      <c r="B21" s="41" t="s">
        <v>73</v>
      </c>
      <c r="C21" s="253" t="str">
        <f>IFERROR(TRIM(_xlfn.XLOOKUP($B21,DATABASE_Table[Development],DATABASE_Table[Selling Status],"—")),"—")</f>
        <v>AVAILABLE</v>
      </c>
      <c r="D21" s="253" t="str" cm="1">
        <f t="array" ref="D21">IFERROR(INDEX(_xlfn._xlws.FILTER(DATABASE_Table[Location],(DATABASE_Table[Development]=$B21)*(DATABASE_Table[Location]&lt;&gt;"")),1),IFERROR(_xlfn.XLOOKUP($B21,DATABASE_Table[Development],DATABASE_Table[Local],"—"),"—"))</f>
        <v>Vila Nova de Cacela, Algarve</v>
      </c>
      <c r="E21" s="253" t="str" cm="1">
        <f t="array" ref="E21">IFERROR(INDEX(_xlfn._xlws.FILTER(DATABASE_Table[Typology],(DATABASE_Table[Development]=$B21)*(DATABASE_Table[Typology]&lt;&gt;"")),1),"—")</f>
        <v>T3</v>
      </c>
      <c r="F21" s="254" t="str" cm="1">
        <f t="array" ref="F21">IFERROR(INDEX(_xlfn._xlws.FILTER(DATABASE_Table[Delivery Expected],(DATABASE_Table[Development]=$B21)*(DATABASE_Table[Delivery Expected]&lt;&gt;"")),1),"—")</f>
        <v>TBD</v>
      </c>
      <c r="G21" s="248">
        <f>COUNTIF(DATABASE_Table[Development],$B21)</f>
        <v>99</v>
      </c>
      <c r="H21" s="248" cm="1">
        <f t="array" ref="H21">SUMPRODUCT((DATABASE_Table[Development]=$B21)*(TRIM(DATABASE_Table[Selling Status])="AVAILABLE"))</f>
        <v>95</v>
      </c>
      <c r="I21" s="248" cm="1">
        <f t="array" ref="I21">SUMPRODUCT((DATABASE_Table[Development]=$B21)*((TRIM(DATABASE_Table[Selling Status])="RESERVED")+(TRIM(DATABASE_Table[Selling Status])="PRE-RESERVED")))</f>
        <v>4</v>
      </c>
      <c r="J21" s="248" cm="1">
        <f t="array" ref="J21">SUMPRODUCT((DATABASE_Table[Development]=$B21)*(LEFT(TRIM(DATABASE_Table[Selling Status]),4)="PSPA"))</f>
        <v>0</v>
      </c>
      <c r="K21" s="248" cm="1">
        <f t="array" ref="K21">SUMPRODUCT((DATABASE_Table[Development]=$B21)*(TRIM(DATABASE_Table[Selling Status])="DEED"))</f>
        <v>0</v>
      </c>
      <c r="L21" s="248" cm="1">
        <f t="array" ref="L21">SUMPRODUCT((DATABASE_Table[Development]=$B21)*((TRIM(DATABASE_Table[Selling Status])="NOT FOR SALE")+(LEFT(TRIM(DATABASE_Table[Selling Status]),4)="UPON")))</f>
        <v>0</v>
      </c>
      <c r="M21" s="43">
        <f t="shared" si="0"/>
        <v>4.0404040404040407E-2</v>
      </c>
      <c r="N21" s="250">
        <f>SUMIF(DATABASE_Table[Development],$B21,DATABASE_Table[Current Asking price( Total)])/1000000</f>
        <v>106.69499999999999</v>
      </c>
      <c r="O21" s="250" cm="1">
        <f t="array" ref="O21">SUMPRODUCT((DATABASE_Table[Development]=$B21)*(TRIM(DATABASE_Table[Selling Status])="DEED SIGNED")*DATABASE_Table[Sell price (RE Asset)])/1000000</f>
        <v>0</v>
      </c>
      <c r="P21" s="34"/>
      <c r="Q21" s="262"/>
      <c r="R21" s="265"/>
      <c r="S21" s="266"/>
      <c r="T21" s="262"/>
      <c r="U21" s="262"/>
      <c r="V21" s="266"/>
      <c r="W21" s="262"/>
      <c r="X21" s="262" t="str" cm="1">
        <f t="array" ref="X21">IFERROR(_xlfn.SWITCH(_xlfn.XLOOKUP($B21,DATABASE_Table[Development],DATABASE_Table[Local],"Center"),"Vilamoura","Vilamoura","Algarve","Algarve","North","North","Center"),"Center")</f>
        <v>Algarve</v>
      </c>
      <c r="Y21" s="262" t="str" cm="1">
        <f t="array" ref="Y21">_xlfn.IFS(G21=0,"—",M21&gt;=0.999,"Sold Out",(I21+J21+K21)=0,"Coming Soon",TRUE,"Active")</f>
        <v>Active</v>
      </c>
      <c r="Z21" s="262"/>
      <c r="AA21" s="262"/>
      <c r="AB21" s="262"/>
      <c r="AC21" s="262"/>
      <c r="AD21" s="262"/>
      <c r="AE21" s="262"/>
    </row>
    <row r="22" spans="2:31">
      <c r="B22" s="41" t="s">
        <v>78</v>
      </c>
      <c r="C22" s="253" t="str">
        <f>IFERROR(TRIM(_xlfn.XLOOKUP($B22,DATABASE_Table[Development],DATABASE_Table[Selling Status],"—")),"—")</f>
        <v>PSPA</v>
      </c>
      <c r="D22" s="253" t="str" cm="1">
        <f t="array" ref="D22">IFERROR(INDEX(_xlfn._xlws.FILTER(DATABASE_Table[Location],(DATABASE_Table[Development]=$B22)*(DATABASE_Table[Location]&lt;&gt;"")),1),IFERROR(_xlfn.XLOOKUP($B22,DATABASE_Table[Development],DATABASE_Table[Local],"—"),"—"))</f>
        <v>Herdade da Aroeira, Almada</v>
      </c>
      <c r="E22" s="253" t="str" cm="1">
        <f t="array" ref="E22">IFERROR(INDEX(_xlfn._xlws.FILTER(DATABASE_Table[Typology],(DATABASE_Table[Development]=$B22)*(DATABASE_Table[Typology]&lt;&gt;"")),1),"—")</f>
        <v>T2</v>
      </c>
      <c r="F22" s="254" cm="1">
        <f t="array" ref="F22">IFERROR(INDEX(_xlfn._xlws.FILTER(DATABASE_Table[Delivery Expected],(DATABASE_Table[Development]=$B22)*(DATABASE_Table[Delivery Expected]&lt;&gt;"")),1),"—")</f>
        <v>47118</v>
      </c>
      <c r="G22" s="248">
        <f>COUNTIF(DATABASE_Table[Development],$B22)</f>
        <v>230</v>
      </c>
      <c r="H22" s="248" cm="1">
        <f t="array" ref="H22">SUMPRODUCT((DATABASE_Table[Development]=$B22)*(TRIM(DATABASE_Table[Selling Status])="AVAILABLE"))</f>
        <v>153</v>
      </c>
      <c r="I22" s="248" cm="1">
        <f t="array" ref="I22">SUMPRODUCT((DATABASE_Table[Development]=$B22)*((TRIM(DATABASE_Table[Selling Status])="RESERVED")+(TRIM(DATABASE_Table[Selling Status])="PRE-RESERVED")))</f>
        <v>25</v>
      </c>
      <c r="J22" s="248" cm="1">
        <f t="array" ref="J22">SUMPRODUCT((DATABASE_Table[Development]=$B22)*(LEFT(TRIM(DATABASE_Table[Selling Status]),4)="PSPA"))</f>
        <v>32</v>
      </c>
      <c r="K22" s="248" cm="1">
        <f t="array" ref="K22">SUMPRODUCT((DATABASE_Table[Development]=$B22)*(TRIM(DATABASE_Table[Selling Status])="DEED"))</f>
        <v>0</v>
      </c>
      <c r="L22" s="248" cm="1">
        <f t="array" ref="L22">SUMPRODUCT((DATABASE_Table[Development]=$B22)*((TRIM(DATABASE_Table[Selling Status])="NOT FOR SALE")+(LEFT(TRIM(DATABASE_Table[Selling Status]),4)="UPON")))</f>
        <v>20</v>
      </c>
      <c r="M22" s="43">
        <f t="shared" si="0"/>
        <v>0.27142857142857141</v>
      </c>
      <c r="N22" s="250">
        <f>SUMIF(DATABASE_Table[Development],$B22,DATABASE_Table[Current Asking price( Total)])/1000000</f>
        <v>191.45500000000001</v>
      </c>
      <c r="O22" s="250" cm="1">
        <f t="array" ref="O22">SUMPRODUCT((DATABASE_Table[Development]=$B22)*(TRIM(DATABASE_Table[Selling Status])="DEED SIGNED")*DATABASE_Table[Sell price (RE Asset)])/1000000</f>
        <v>0</v>
      </c>
      <c r="P22" s="34"/>
      <c r="Q22" s="262"/>
      <c r="R22" s="265"/>
      <c r="S22" s="266"/>
      <c r="T22" s="262"/>
      <c r="U22" s="262"/>
      <c r="V22" s="266"/>
      <c r="W22" s="262"/>
      <c r="X22" s="262" t="str" cm="1">
        <f t="array" ref="X22">IFERROR(_xlfn.SWITCH(_xlfn.XLOOKUP($B22,DATABASE_Table[Development],DATABASE_Table[Local],"Center"),"Vilamoura","Vilamoura","Algarve","Algarve","North","North","Center"),"Center")</f>
        <v>Center</v>
      </c>
      <c r="Y22" s="262" t="str" cm="1">
        <f t="array" ref="Y22">_xlfn.IFS(G22=0,"—",M22&gt;=0.999,"Sold Out",(I22+J22+K22)=0,"Coming Soon",TRUE,"Active")</f>
        <v>Active</v>
      </c>
      <c r="Z22" s="262"/>
      <c r="AA22" s="262"/>
      <c r="AB22" s="262"/>
      <c r="AC22" s="262"/>
      <c r="AD22" s="262"/>
      <c r="AE22" s="262"/>
    </row>
    <row r="23" spans="2:31" ht="15.75" thickBot="1">
      <c r="B23" s="46" t="s">
        <v>87</v>
      </c>
      <c r="C23" s="253" t="str">
        <f>IFERROR(TRIM(_xlfn.XLOOKUP($B23,DATABASE_Table[Development],DATABASE_Table[Selling Status],"—")),"—")</f>
        <v>AVAILABLE</v>
      </c>
      <c r="D23" s="253" t="str" cm="1">
        <f t="array" ref="D23">IFERROR(INDEX(_xlfn._xlws.FILTER(DATABASE_Table[Location],(DATABASE_Table[Development]=$B23)*(DATABASE_Table[Location]&lt;&gt;"")),1),IFERROR(_xlfn.XLOOKUP($B23,DATABASE_Table[Development],DATABASE_Table[Local],"—"),"—"))</f>
        <v>Santo Tirso, Porto</v>
      </c>
      <c r="E23" s="253" t="str" cm="1">
        <f t="array" ref="E23">IFERROR(INDEX(_xlfn._xlws.FILTER(DATABASE_Table[Typology],(DATABASE_Table[Development]=$B23)*(DATABASE_Table[Typology]&lt;&gt;"")),1),"—")</f>
        <v>V3</v>
      </c>
      <c r="F23" s="254" cm="1">
        <f t="array" ref="F23">IFERROR(INDEX(_xlfn._xlws.FILTER(DATABASE_Table[Delivery Expected],(DATABASE_Table[Development]=$B23)*(DATABASE_Table[Delivery Expected]&lt;&gt;"")),1),"—")</f>
        <v>47208</v>
      </c>
      <c r="G23" s="248">
        <f>COUNTIF(DATABASE_Table[Development],$B23)</f>
        <v>45</v>
      </c>
      <c r="H23" s="248" cm="1">
        <f t="array" ref="H23">SUMPRODUCT((DATABASE_Table[Development]=$B23)*(TRIM(DATABASE_Table[Selling Status])="AVAILABLE"))</f>
        <v>15</v>
      </c>
      <c r="I23" s="248" cm="1">
        <f t="array" ref="I23">SUMPRODUCT((DATABASE_Table[Development]=$B23)*((TRIM(DATABASE_Table[Selling Status])="RESERVED")+(TRIM(DATABASE_Table[Selling Status])="PRE-RESERVED")))</f>
        <v>5</v>
      </c>
      <c r="J23" s="248" cm="1">
        <f t="array" ref="J23">SUMPRODUCT((DATABASE_Table[Development]=$B23)*(LEFT(TRIM(DATABASE_Table[Selling Status]),4)="PSPA"))</f>
        <v>0</v>
      </c>
      <c r="K23" s="287" cm="1">
        <f t="array" ref="K23">SUMPRODUCT((DATABASE_Table[Development]=$B23)*(TRIM(DATABASE_Table[Selling Status])="DEED"))</f>
        <v>0</v>
      </c>
      <c r="L23" s="248" cm="1">
        <f t="array" ref="L23">SUMPRODUCT((DATABASE_Table[Development]=$B23)*((TRIM(DATABASE_Table[Selling Status])="NOT FOR SALE")+(LEFT(TRIM(DATABASE_Table[Selling Status]),4)="UPON")))</f>
        <v>25</v>
      </c>
      <c r="M23" s="43">
        <f t="shared" si="0"/>
        <v>0.25</v>
      </c>
      <c r="N23" s="250">
        <f>SUMIF(DATABASE_Table[Development],$B23,DATABASE_Table[Current Asking price( Total)])/1000000</f>
        <v>37.42</v>
      </c>
      <c r="O23" s="250" cm="1">
        <f t="array" ref="O23">SUMPRODUCT((DATABASE_Table[Development]=$B23)*(TRIM(DATABASE_Table[Selling Status])="DEED SIGNED")*DATABASE_Table[Sell price (RE Asset)])/1000000</f>
        <v>0</v>
      </c>
      <c r="P23" s="34"/>
      <c r="Q23" s="262"/>
      <c r="R23" s="265"/>
      <c r="S23" s="266"/>
      <c r="T23" s="262"/>
      <c r="U23" s="262"/>
      <c r="V23" s="266"/>
      <c r="W23" s="262"/>
      <c r="X23" s="262" t="str" cm="1">
        <f t="array" ref="X23">IFERROR(_xlfn.SWITCH(_xlfn.XLOOKUP($B23,DATABASE_Table[Development],DATABASE_Table[Local],"Center"),"Vilamoura","Vilamoura","Algarve","Algarve","North","North","Center"),"Center")</f>
        <v>North</v>
      </c>
      <c r="Y23" s="262" t="str" cm="1">
        <f t="array" ref="Y23">_xlfn.IFS(G23=0,"—",M23&gt;=0.999,"Sold Out",(I23+J23+K23)=0,"Coming Soon",TRUE,"Active")</f>
        <v>Active</v>
      </c>
      <c r="Z23" s="262"/>
      <c r="AA23" s="262"/>
      <c r="AB23" s="262"/>
      <c r="AC23" s="262"/>
      <c r="AD23" s="262"/>
      <c r="AE23" s="262"/>
    </row>
    <row r="24" spans="2:31">
      <c r="B24" s="257" t="s">
        <v>797</v>
      </c>
      <c r="C24" s="257"/>
      <c r="D24" s="257"/>
      <c r="E24" s="257"/>
      <c r="F24" s="258"/>
      <c r="G24" s="259">
        <f t="shared" ref="G24:L24" si="1">SUM(G7:G23)</f>
        <v>1141</v>
      </c>
      <c r="H24" s="259">
        <f t="shared" si="1"/>
        <v>699</v>
      </c>
      <c r="I24" s="259">
        <f t="shared" si="1"/>
        <v>86</v>
      </c>
      <c r="J24" s="259">
        <f t="shared" si="1"/>
        <v>185</v>
      </c>
      <c r="K24" s="286">
        <f t="shared" si="1"/>
        <v>126</v>
      </c>
      <c r="L24" s="259">
        <f t="shared" si="1"/>
        <v>45</v>
      </c>
      <c r="M24" s="260">
        <f t="shared" si="0"/>
        <v>0.36222627737226276</v>
      </c>
      <c r="N24" s="261">
        <f>SUM(N7:N23)</f>
        <v>1314.5805700001829</v>
      </c>
      <c r="O24" s="261">
        <f>SUM(O7:O23)</f>
        <v>0</v>
      </c>
      <c r="P24" s="34"/>
      <c r="Q24" s="262"/>
      <c r="R24" s="265"/>
      <c r="S24" s="266"/>
      <c r="T24" s="262"/>
      <c r="U24" s="262"/>
      <c r="V24" s="266"/>
      <c r="W24" s="262"/>
      <c r="X24" s="262"/>
      <c r="Y24" s="262"/>
      <c r="Z24" s="262"/>
      <c r="AA24" s="262"/>
      <c r="AB24" s="262"/>
      <c r="AC24" s="262"/>
      <c r="AD24" s="262"/>
      <c r="AE24" s="262"/>
    </row>
    <row r="25" spans="2:31">
      <c r="C25" s="303" t="s">
        <v>556</v>
      </c>
      <c r="D25" s="303"/>
      <c r="E25" s="303" t="s">
        <v>329</v>
      </c>
      <c r="F25" s="303"/>
      <c r="G25" s="303" t="s">
        <v>326</v>
      </c>
      <c r="H25" s="303"/>
      <c r="I25" s="303" t="s">
        <v>817</v>
      </c>
      <c r="J25" s="303"/>
      <c r="K25" s="303" t="s">
        <v>818</v>
      </c>
      <c r="L25" s="303"/>
      <c r="M25" s="47" t="s">
        <v>819</v>
      </c>
      <c r="N25" s="303" t="s">
        <v>820</v>
      </c>
      <c r="O25" s="303"/>
      <c r="P25" s="202"/>
      <c r="Q25" s="262"/>
      <c r="R25" s="262"/>
      <c r="S25" s="262"/>
      <c r="T25" s="262"/>
      <c r="U25" s="262"/>
      <c r="V25" s="262"/>
      <c r="W25" s="262"/>
      <c r="X25" s="262"/>
      <c r="Y25" s="262"/>
      <c r="Z25" s="262"/>
      <c r="AA25" s="262"/>
      <c r="AB25" s="262"/>
      <c r="AC25" s="262"/>
      <c r="AD25" s="262"/>
      <c r="AE25" s="262"/>
    </row>
    <row r="26" spans="2:31" ht="24.75" thickBot="1">
      <c r="C26" s="302">
        <f>G24</f>
        <v>1141</v>
      </c>
      <c r="D26" s="302"/>
      <c r="E26" s="302">
        <f>H24</f>
        <v>699</v>
      </c>
      <c r="F26" s="302"/>
      <c r="G26" s="302">
        <f>I24</f>
        <v>86</v>
      </c>
      <c r="H26" s="302"/>
      <c r="I26" s="302">
        <f>J24</f>
        <v>185</v>
      </c>
      <c r="J26" s="302"/>
      <c r="K26" s="302">
        <f>K24</f>
        <v>126</v>
      </c>
      <c r="L26" s="302"/>
      <c r="M26" s="49">
        <f>M24</f>
        <v>0.36222627737226276</v>
      </c>
      <c r="N26" s="300">
        <f>N24</f>
        <v>1314.5805700001829</v>
      </c>
      <c r="O26" s="301"/>
      <c r="P26" s="203"/>
      <c r="Q26" s="262"/>
      <c r="R26" s="262"/>
      <c r="S26" s="262"/>
      <c r="T26" s="262"/>
      <c r="U26" s="262"/>
      <c r="V26" s="262"/>
      <c r="W26" s="262"/>
      <c r="X26" s="262"/>
      <c r="Y26" s="262"/>
      <c r="Z26" s="262"/>
      <c r="AA26" s="262"/>
      <c r="AB26" s="262"/>
      <c r="AC26" s="262"/>
      <c r="AD26" s="262"/>
      <c r="AE26" s="262"/>
    </row>
    <row r="27" spans="2:31">
      <c r="C27" s="48"/>
      <c r="D27" s="48"/>
      <c r="E27" s="48"/>
      <c r="F27" s="48"/>
      <c r="G27" s="48"/>
      <c r="H27" s="48"/>
      <c r="I27" s="48"/>
      <c r="J27" s="48"/>
      <c r="K27" s="48"/>
      <c r="L27" s="48"/>
      <c r="M27" s="48"/>
      <c r="N27" s="48"/>
      <c r="O27" s="48"/>
      <c r="P27" s="200"/>
      <c r="Q27" s="262" t="s">
        <v>789</v>
      </c>
      <c r="R27" s="268">
        <f>E34</f>
        <v>15</v>
      </c>
      <c r="S27" s="262"/>
      <c r="T27" s="262"/>
      <c r="U27" s="262"/>
      <c r="V27" s="262"/>
      <c r="W27" s="262"/>
      <c r="X27" s="262"/>
      <c r="Y27" s="262"/>
      <c r="Z27" s="262"/>
      <c r="AA27" s="262"/>
      <c r="AB27" s="262"/>
      <c r="AC27" s="262"/>
      <c r="AD27" s="262"/>
      <c r="AE27" s="262"/>
    </row>
    <row r="28" spans="2:31">
      <c r="C28" s="34"/>
      <c r="D28" s="34"/>
      <c r="E28" s="34"/>
      <c r="F28" s="34"/>
      <c r="G28" s="34"/>
      <c r="H28" s="34"/>
      <c r="I28" s="34"/>
      <c r="J28" s="34"/>
      <c r="K28" s="34"/>
      <c r="L28" s="34"/>
      <c r="M28" s="34"/>
      <c r="N28" s="34"/>
      <c r="O28" s="34"/>
      <c r="P28" s="200"/>
      <c r="Q28" s="262" t="s">
        <v>790</v>
      </c>
      <c r="R28" s="268">
        <f>G34</f>
        <v>5</v>
      </c>
      <c r="S28" s="262"/>
      <c r="T28" s="262"/>
      <c r="U28" s="262"/>
      <c r="V28" s="262"/>
      <c r="W28" s="262"/>
      <c r="X28" s="262"/>
      <c r="Y28" s="262"/>
      <c r="Z28" s="262"/>
      <c r="AA28" s="262"/>
      <c r="AB28" s="262"/>
      <c r="AC28" s="262"/>
      <c r="AD28" s="262"/>
      <c r="AE28" s="262"/>
    </row>
    <row r="29" spans="2:31" ht="18.75">
      <c r="C29" s="207" t="s">
        <v>821</v>
      </c>
      <c r="D29" s="207"/>
      <c r="E29" s="207"/>
      <c r="F29" s="207"/>
      <c r="G29" s="207"/>
      <c r="H29" s="207"/>
      <c r="I29" s="207"/>
      <c r="J29" s="207"/>
      <c r="K29" s="207"/>
      <c r="L29" s="207"/>
      <c r="M29" s="207"/>
      <c r="N29" s="207"/>
      <c r="O29" s="207"/>
      <c r="P29" s="201"/>
      <c r="Q29" s="262" t="s">
        <v>791</v>
      </c>
      <c r="R29" s="268">
        <f>I34</f>
        <v>0</v>
      </c>
      <c r="S29" s="262"/>
      <c r="T29" s="262"/>
      <c r="U29" s="262"/>
      <c r="V29" s="262"/>
      <c r="W29" s="262"/>
      <c r="X29" s="262"/>
      <c r="Y29" s="262"/>
      <c r="Z29" s="262"/>
      <c r="AA29" s="262"/>
      <c r="AB29" s="262"/>
      <c r="AC29" s="262"/>
      <c r="AD29" s="262"/>
      <c r="AE29" s="262"/>
    </row>
    <row r="30" spans="2:31">
      <c r="C30" s="34"/>
      <c r="D30" s="34"/>
      <c r="E30" s="34"/>
      <c r="F30" s="34"/>
      <c r="G30" s="34"/>
      <c r="H30" s="34"/>
      <c r="I30" s="34"/>
      <c r="J30" s="34"/>
      <c r="K30" s="34"/>
      <c r="L30" s="34"/>
      <c r="M30" s="34"/>
      <c r="N30" s="34"/>
      <c r="O30" s="34"/>
      <c r="P30" s="200"/>
      <c r="Q30" s="262" t="s">
        <v>792</v>
      </c>
      <c r="R30" s="268">
        <f>K34</f>
        <v>0</v>
      </c>
      <c r="S30" s="262"/>
      <c r="T30" s="262"/>
      <c r="U30" s="262"/>
      <c r="V30" s="262"/>
      <c r="W30" s="262"/>
      <c r="X30" s="262"/>
      <c r="Y30" s="262"/>
      <c r="Z30" s="262"/>
      <c r="AA30" s="262"/>
      <c r="AB30" s="262"/>
      <c r="AC30" s="262"/>
      <c r="AD30" s="262"/>
      <c r="AE30" s="262"/>
    </row>
    <row r="31" spans="2:31" ht="21">
      <c r="C31" s="304" t="s">
        <v>832</v>
      </c>
      <c r="D31" s="305"/>
      <c r="E31" s="306" t="s">
        <v>87</v>
      </c>
      <c r="F31" s="307"/>
      <c r="G31" s="255" t="str">
        <f>"📍  "&amp;IFERROR(_xlfn.XLOOKUP($E$31,$B$7:$B$23,$D$7:$D$23),"—")&amp;"      ·      "&amp;IFERROR(_xlfn.XLOOKUP($E$31,$B$7:$B$23,$E$7:$E$23),"—")&amp;"      ·      "&amp;IFERROR(_xlfn.XLOOKUP($E$31,$B$7:$B$23,$X$7:$X$23),"—")&amp;" region      ·      Status: "&amp;IFERROR(_xlfn.XLOOKUP($E$31,$B$7:$B$23,$Y$7:$Y$23),"—")&amp;"      ·      Completion: "&amp;IFERROR(TEXT(_xlfn.XLOOKUP($E$31,$B$7:$B$23,$F$7:$F$23),"dd-mmm-yyyy"),_xlfn.XLOOKUP($E$31,$B$7:$B$23,$F$7:$F$23))</f>
        <v>📍  Santo Tirso, Porto      ·      V3      ·      North region      ·      Status: Active      ·      Completion: 31-mar-yyyy</v>
      </c>
      <c r="H31" s="50"/>
      <c r="I31" s="50"/>
      <c r="J31" s="50"/>
      <c r="K31" s="50"/>
      <c r="L31" s="50"/>
      <c r="M31" s="50"/>
      <c r="N31" s="50"/>
      <c r="O31" s="50"/>
      <c r="P31" s="204"/>
      <c r="Q31" s="262"/>
      <c r="R31" s="262"/>
      <c r="S31" s="262"/>
      <c r="T31" s="262"/>
      <c r="U31" s="262"/>
      <c r="V31" s="262"/>
      <c r="W31" s="262"/>
      <c r="X31" s="262"/>
      <c r="Y31" s="262"/>
      <c r="Z31" s="262"/>
      <c r="AA31" s="262"/>
      <c r="AB31" s="262"/>
      <c r="AC31" s="262"/>
      <c r="AD31" s="262"/>
      <c r="AE31" s="262"/>
    </row>
    <row r="32" spans="2:31">
      <c r="C32" s="34"/>
      <c r="D32" s="34"/>
      <c r="E32" s="35"/>
      <c r="F32" s="35"/>
      <c r="G32" s="34"/>
      <c r="H32" s="34"/>
      <c r="I32" s="34"/>
      <c r="J32" s="34"/>
      <c r="K32" s="34"/>
      <c r="L32" s="34"/>
      <c r="M32" s="34"/>
      <c r="N32" s="34"/>
      <c r="O32" s="34"/>
      <c r="P32" s="200"/>
      <c r="Q32" s="262"/>
      <c r="R32" s="262"/>
      <c r="S32" s="262"/>
      <c r="T32" s="262"/>
      <c r="U32" s="262"/>
      <c r="V32" s="262"/>
      <c r="W32" s="262"/>
      <c r="X32" s="262"/>
      <c r="Y32" s="262"/>
      <c r="Z32" s="262"/>
      <c r="AA32" s="262"/>
      <c r="AB32" s="262"/>
      <c r="AC32" s="262"/>
      <c r="AD32" s="262"/>
      <c r="AE32" s="262"/>
    </row>
    <row r="33" spans="2:31">
      <c r="C33" s="299" t="s">
        <v>556</v>
      </c>
      <c r="D33" s="299"/>
      <c r="E33" s="299" t="s">
        <v>329</v>
      </c>
      <c r="F33" s="299"/>
      <c r="G33" s="299" t="s">
        <v>326</v>
      </c>
      <c r="H33" s="299"/>
      <c r="I33" s="299" t="s">
        <v>817</v>
      </c>
      <c r="J33" s="299"/>
      <c r="K33" s="299" t="s">
        <v>818</v>
      </c>
      <c r="L33" s="299"/>
      <c r="M33" s="208" t="s">
        <v>819</v>
      </c>
      <c r="N33" s="299" t="s">
        <v>820</v>
      </c>
      <c r="O33" s="299"/>
      <c r="P33" s="205"/>
      <c r="Q33" s="262"/>
      <c r="R33" s="262"/>
      <c r="S33" s="262"/>
      <c r="T33" s="262"/>
      <c r="U33" s="262"/>
      <c r="V33" s="262"/>
      <c r="W33" s="262"/>
      <c r="X33" s="262"/>
      <c r="Y33" s="262"/>
      <c r="Z33" s="262"/>
      <c r="AA33" s="262"/>
      <c r="AB33" s="262"/>
      <c r="AC33" s="262"/>
      <c r="AD33" s="262"/>
      <c r="AE33" s="262"/>
    </row>
    <row r="34" spans="2:31" ht="27.6" customHeight="1" thickBot="1">
      <c r="C34" s="302">
        <f>_xlfn.XLOOKUP($E$31,$B$7:$B$23,$G$7:$G$23,0)</f>
        <v>45</v>
      </c>
      <c r="D34" s="302"/>
      <c r="E34" s="302">
        <f>_xlfn.XLOOKUP($E$31,$B$7:$B$23,$H$7:$H$23,0)</f>
        <v>15</v>
      </c>
      <c r="F34" s="302"/>
      <c r="G34" s="302">
        <f>_xlfn.XLOOKUP($E$31,$B$7:$B$23,$I$7:$I$23,0)</f>
        <v>5</v>
      </c>
      <c r="H34" s="302"/>
      <c r="I34" s="302">
        <f>_xlfn.XLOOKUP($E$31,$B$7:$B$23,$J$7:$J$23,0)</f>
        <v>0</v>
      </c>
      <c r="J34" s="302"/>
      <c r="K34" s="302">
        <f>_xlfn.XLOOKUP($E$31,$B$7:$B$23,$K$7:$K$23,0)</f>
        <v>0</v>
      </c>
      <c r="L34" s="302"/>
      <c r="M34" s="281">
        <f>_xlfn.XLOOKUP($E$31,$B$7:$B$23,$M$7:$M$23,0)</f>
        <v>0.25</v>
      </c>
      <c r="N34" s="300">
        <f>_xlfn.XLOOKUP($E$31,$B$7:$B$23,$N$7:$N$23,0)</f>
        <v>37.42</v>
      </c>
      <c r="O34" s="301"/>
      <c r="P34" s="206"/>
      <c r="Q34" s="267"/>
      <c r="R34" s="267"/>
      <c r="S34" s="267"/>
      <c r="T34" s="267"/>
      <c r="U34" s="267"/>
      <c r="V34" s="267"/>
      <c r="W34" s="267"/>
      <c r="X34" s="267"/>
      <c r="Y34" s="267"/>
      <c r="Z34" s="267"/>
      <c r="AA34" s="267"/>
      <c r="AB34" s="267"/>
      <c r="AC34" s="267"/>
    </row>
    <row r="35" spans="2:31">
      <c r="B35" s="34"/>
      <c r="C35" s="48"/>
      <c r="D35" s="48"/>
      <c r="E35" s="48"/>
      <c r="F35" s="48"/>
      <c r="G35" s="48"/>
      <c r="H35" s="48"/>
      <c r="I35" s="48"/>
      <c r="J35" s="48"/>
      <c r="K35" s="48"/>
      <c r="L35" s="48"/>
      <c r="M35" s="34"/>
      <c r="N35" s="48"/>
      <c r="O35" s="48"/>
      <c r="P35" s="200"/>
      <c r="Q35" s="267"/>
      <c r="R35" s="267"/>
      <c r="S35" s="267"/>
      <c r="T35" s="267"/>
      <c r="U35" s="267"/>
      <c r="V35" s="267"/>
      <c r="W35" s="267"/>
      <c r="X35" s="267"/>
      <c r="Y35" s="267"/>
      <c r="Z35" s="267"/>
      <c r="AA35" s="267"/>
      <c r="AB35" s="267"/>
      <c r="AC35" s="267"/>
    </row>
    <row r="36" spans="2:31" ht="18.75">
      <c r="C36" s="207" t="s">
        <v>822</v>
      </c>
      <c r="D36" s="207"/>
      <c r="E36" s="207"/>
      <c r="F36" s="207"/>
      <c r="G36" s="207"/>
      <c r="H36" s="207"/>
      <c r="I36" s="207"/>
      <c r="J36" s="207"/>
      <c r="K36" s="207"/>
      <c r="L36" s="207"/>
      <c r="M36" s="207"/>
      <c r="N36" s="207"/>
      <c r="O36" s="207"/>
      <c r="P36" s="201"/>
      <c r="Q36" s="267"/>
      <c r="R36" s="267"/>
      <c r="S36" s="267"/>
      <c r="T36" s="267"/>
      <c r="U36" s="267"/>
      <c r="V36" s="267"/>
      <c r="W36" s="267"/>
      <c r="X36" s="267"/>
      <c r="Y36" s="267"/>
      <c r="Z36" s="267"/>
      <c r="AA36" s="267"/>
      <c r="AB36" s="267"/>
      <c r="AC36" s="267"/>
    </row>
  </sheetData>
  <mergeCells count="30">
    <mergeCell ref="K34:L34"/>
    <mergeCell ref="K33:L33"/>
    <mergeCell ref="C31:D31"/>
    <mergeCell ref="E31:F31"/>
    <mergeCell ref="C33:D33"/>
    <mergeCell ref="E34:F34"/>
    <mergeCell ref="E33:F33"/>
    <mergeCell ref="G34:H34"/>
    <mergeCell ref="G33:H33"/>
    <mergeCell ref="N34:O34"/>
    <mergeCell ref="C34:D34"/>
    <mergeCell ref="N25:O25"/>
    <mergeCell ref="N26:O26"/>
    <mergeCell ref="C26:D26"/>
    <mergeCell ref="C25:D25"/>
    <mergeCell ref="E26:F26"/>
    <mergeCell ref="E25:F25"/>
    <mergeCell ref="G26:H26"/>
    <mergeCell ref="G25:H25"/>
    <mergeCell ref="I26:J26"/>
    <mergeCell ref="I25:J25"/>
    <mergeCell ref="K26:L26"/>
    <mergeCell ref="K25:L25"/>
    <mergeCell ref="I34:J34"/>
    <mergeCell ref="I33:J33"/>
    <mergeCell ref="I2:J2"/>
    <mergeCell ref="I4:J4"/>
    <mergeCell ref="L2:O2"/>
    <mergeCell ref="L4:O4"/>
    <mergeCell ref="N33:O33"/>
  </mergeCells>
  <conditionalFormatting sqref="B7:O23">
    <cfRule type="expression" dxfId="92" priority="3">
      <formula>ISEVEN(ROW())</formula>
    </cfRule>
    <cfRule type="expression" dxfId="91" priority="8" stopIfTrue="1">
      <formula>NOT(AND(OR($I$2="All regions",$I$2=$X7),OR($I$4="All statuses",$I$4=$Y7)))</formula>
    </cfRule>
  </conditionalFormatting>
  <conditionalFormatting sqref="H7:H23">
    <cfRule type="colorScale" priority="2">
      <colorScale>
        <cfvo type="min"/>
        <cfvo type="percentile" val="50"/>
        <cfvo type="max"/>
        <color rgb="FFFFFFFF"/>
        <color rgb="FFE4E7D9"/>
        <color rgb="FFB6BBA0"/>
      </colorScale>
    </cfRule>
  </conditionalFormatting>
  <conditionalFormatting sqref="M7:M23">
    <cfRule type="dataBar" priority="7">
      <dataBar>
        <cfvo type="num" val="0"/>
        <cfvo type="num" val="1"/>
        <color rgb="FF7E8466"/>
      </dataBar>
      <extLst>
        <ext xmlns:x14="http://schemas.microsoft.com/office/spreadsheetml/2009/9/main" uri="{B025F937-C7B1-47D3-B67F-A62EFF666E3E}">
          <x14:id>{DBA0DF1E-C622-3D47-A673-3C8095DEF319}</x14:id>
        </ext>
      </extLst>
    </cfRule>
  </conditionalFormatting>
  <conditionalFormatting sqref="M26">
    <cfRule type="dataBar" priority="9">
      <dataBar>
        <cfvo type="num" val="0"/>
        <cfvo type="num" val="1"/>
        <color rgb="FFCBD0BA"/>
      </dataBar>
      <extLst>
        <ext xmlns:x14="http://schemas.microsoft.com/office/spreadsheetml/2009/9/main" uri="{B025F937-C7B1-47D3-B67F-A62EFF666E3E}">
          <x14:id>{502E702A-845C-434B-BA98-8AC97B77AEE3}</x14:id>
        </ext>
      </extLst>
    </cfRule>
  </conditionalFormatting>
  <conditionalFormatting sqref="M34">
    <cfRule type="dataBar" priority="10">
      <dataBar>
        <cfvo type="num" val="0"/>
        <cfvo type="num" val="1"/>
        <color rgb="FFCABCA2"/>
      </dataBar>
      <extLst>
        <ext xmlns:x14="http://schemas.microsoft.com/office/spreadsheetml/2009/9/main" uri="{B025F937-C7B1-47D3-B67F-A62EFF666E3E}">
          <x14:id>{F535D608-DFD6-E74E-A7B7-BD7C3CEFC3C8}</x14:id>
        </ext>
      </extLst>
    </cfRule>
  </conditionalFormatting>
  <dataValidations count="3">
    <dataValidation type="list" allowBlank="1" showInputMessage="1" showErrorMessage="1" sqref="I2:I3" xr:uid="{2DC63DEE-630B-CA4D-A566-181F6F0C3F4E}">
      <formula1>$AA$4:$AA$9</formula1>
    </dataValidation>
    <dataValidation type="list" allowBlank="1" showInputMessage="1" showErrorMessage="1" sqref="I4:I5" xr:uid="{8AD21CC5-389A-0A44-B60D-7B10F0D3D580}">
      <formula1>$AC$4:$AC$8</formula1>
    </dataValidation>
    <dataValidation type="list" allowBlank="1" showInputMessage="1" showErrorMessage="1" sqref="E31" xr:uid="{291641DA-3471-444E-A996-B3D20EC90CA9}">
      <formula1>$B$7:$B$23</formula1>
    </dataValidation>
  </dataValidations>
  <hyperlinks>
    <hyperlink ref="B7" location="'Natura Village '!A1" display="Natura Village" xr:uid="{CAAA47DA-12D4-1B45-A05F-A6D4596DB27D}"/>
    <hyperlink ref="B8" location="'The Nine'!A1" display="The Nine" xr:uid="{9BE7D145-CC72-474C-8B4E-06BFDD88C54A}"/>
    <hyperlink ref="B10" location="'Terracota'!A1" display="Terracota" xr:uid="{A68FB623-FB40-4A42-8CD3-4354BD04416C}"/>
    <hyperlink ref="B11" location="'Nobilus'!A1" display="Nobilus" xr:uid="{4E493A55-BDD9-8248-8544-34F1087F3E90}"/>
    <hyperlink ref="B12" location="'Zestia'!A1" display="Zestia" xr:uid="{24F72B4F-BC72-2F4A-8970-07A4ACB94A59}"/>
    <hyperlink ref="B14" location="'Springs - At the Els'!A1" display="Springs - At the Els" xr:uid="{4A86E6F9-B4E3-B148-A8FD-6C8E2D6B82C5}"/>
    <hyperlink ref="B15" location="'Botanica'!A1" display="Botanica" xr:uid="{093E27FB-4A5D-7D48-9D84-BE4518A297F5}"/>
    <hyperlink ref="B16" location="'The Uncommon'!A1" display="The Uncommon" xr:uid="{CBA3A064-B2A6-4E4A-B8DC-A8BA21190A19}"/>
    <hyperlink ref="B17" location="'Rivus'!A1" display="Rivus" xr:uid="{C69B5FC0-19D2-7B49-B56A-5513F6A215EC}"/>
    <hyperlink ref="B18" location="'Sutaya'!A1" display="Sutaya" xr:uid="{1B8B61E0-B13B-1A40-8C9D-E79435B9406B}"/>
    <hyperlink ref="B19" location="'Azuya'!A1" display="Azuya" xr:uid="{0E113289-DD7B-184A-B499-578529B63567}"/>
    <hyperlink ref="B20" location="'Palmares'!A1" display="Palmares" xr:uid="{99133502-CBE9-064C-80F9-5BAF591FAFC6}"/>
    <hyperlink ref="B21" location="'Monte Rei'!A1" display="Monte Rei" xr:uid="{DE87292E-E6CD-644D-B7E7-A847597C0969}"/>
    <hyperlink ref="B22" location="'Aroeira Collections'!A1" display="Aroeira Collections" xr:uid="{D5357CA8-59DD-2242-B322-F21B37BDBA81}"/>
    <hyperlink ref="B23" location="'Vale Pisão Grand Park'!A1" display="Vale Pisão Grand Park" xr:uid="{E238BD2B-9F7A-FB4C-A238-94E6527CF98E}"/>
  </hyperlink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DBA0DF1E-C622-3D47-A673-3C8095DEF319}">
            <x14:dataBar minLength="0" maxLength="100" gradient="0" direction="leftToRight" negativeBarColorSameAsPositive="1" axisPosition="none">
              <x14:cfvo type="num">
                <xm:f>0</xm:f>
              </x14:cfvo>
              <x14:cfvo type="num">
                <xm:f>1</xm:f>
              </x14:cfvo>
            </x14:dataBar>
          </x14:cfRule>
          <xm:sqref>M7:M23</xm:sqref>
        </x14:conditionalFormatting>
        <x14:conditionalFormatting xmlns:xm="http://schemas.microsoft.com/office/excel/2006/main">
          <x14:cfRule type="dataBar" id="{502E702A-845C-434B-BA98-8AC97B77AEE3}">
            <x14:dataBar minLength="0" maxLength="100" gradient="0" direction="leftToRight" negativeBarColorSameAsPositive="1" axisPosition="none">
              <x14:cfvo type="num">
                <xm:f>0</xm:f>
              </x14:cfvo>
              <x14:cfvo type="num">
                <xm:f>1</xm:f>
              </x14:cfvo>
            </x14:dataBar>
          </x14:cfRule>
          <xm:sqref>M26</xm:sqref>
        </x14:conditionalFormatting>
        <x14:conditionalFormatting xmlns:xm="http://schemas.microsoft.com/office/excel/2006/main">
          <x14:cfRule type="dataBar" id="{F535D608-DFD6-E74E-A7B7-BD7C3CEFC3C8}">
            <x14:dataBar minLength="0" maxLength="100" gradient="0" direction="leftToRight" negativeBarColorSameAsPositive="1" axisPosition="none">
              <x14:cfvo type="num">
                <xm:f>0</xm:f>
              </x14:cfvo>
              <x14:cfvo type="num">
                <xm:f>1</xm:f>
              </x14:cfvo>
            </x14:dataBar>
          </x14:cfRule>
          <xm:sqref>M34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7B412-B938-4A00-AA83-46A9072C0421}">
  <sheetPr>
    <tabColor theme="2" tint="-0.749992370372631"/>
  </sheetPr>
  <dimension ref="A1:AL1225"/>
  <sheetViews>
    <sheetView showGridLines="0" tabSelected="1" zoomScale="64" workbookViewId="0">
      <pane xSplit="3" ySplit="1" topLeftCell="D117" activePane="bottomRight" state="frozen"/>
      <selection pane="topRight" activeCell="D1" sqref="D1"/>
      <selection pane="bottomLeft" activeCell="A2" sqref="A2"/>
      <selection pane="bottomRight" activeCell="R1147" sqref="R1147"/>
    </sheetView>
  </sheetViews>
  <sheetFormatPr defaultColWidth="9.140625" defaultRowHeight="15" outlineLevelCol="2"/>
  <cols>
    <col min="1" max="1" width="35.28515625" style="4" bestFit="1" customWidth="1"/>
    <col min="2" max="2" width="11.42578125" style="4" bestFit="1" customWidth="1"/>
    <col min="3" max="3" width="16.42578125" style="4" bestFit="1" customWidth="1"/>
    <col min="4" max="4" width="30.42578125" style="4" bestFit="1" customWidth="1"/>
    <col min="6" max="6" width="18.28515625" style="4" bestFit="1" customWidth="1"/>
    <col min="7" max="7" width="14.140625" style="4" hidden="1" customWidth="1" outlineLevel="2"/>
    <col min="8" max="8" width="11.7109375" style="4" hidden="1" customWidth="1" outlineLevel="2"/>
    <col min="9" max="9" width="12.7109375" style="4" hidden="1" customWidth="1" outlineLevel="2"/>
    <col min="10" max="10" width="9.7109375" style="4" hidden="1" customWidth="1" outlineLevel="2"/>
    <col min="11" max="11" width="13.7109375" style="4" hidden="1" customWidth="1" outlineLevel="2"/>
    <col min="12" max="12" width="11.7109375" style="4" hidden="1" customWidth="1" outlineLevel="2"/>
    <col min="13" max="13" width="9.7109375" style="4" hidden="1" customWidth="1" outlineLevel="2"/>
    <col min="14" max="14" width="11.7109375" style="4" hidden="1" customWidth="1" outlineLevel="2"/>
    <col min="15" max="15" width="12.140625" style="4" hidden="1" customWidth="1" outlineLevel="1" collapsed="1"/>
    <col min="16" max="16" width="10.42578125" style="4" hidden="1" customWidth="1" outlineLevel="1"/>
    <col min="17" max="17" width="9.7109375" style="4" customWidth="1" collapsed="1"/>
    <col min="18" max="18" width="20" style="4" bestFit="1" customWidth="1"/>
    <col min="19" max="19" width="31.42578125" style="4" hidden="1" customWidth="1" outlineLevel="1"/>
    <col min="20" max="20" width="23.7109375" style="244" hidden="1" customWidth="1" outlineLevel="1"/>
    <col min="21" max="21" width="22.42578125" style="244" hidden="1" customWidth="1" outlineLevel="1"/>
    <col min="22" max="22" width="20.140625" style="4" hidden="1" customWidth="1" outlineLevel="1"/>
    <col min="23" max="23" width="33" style="4" bestFit="1" customWidth="1" collapsed="1"/>
    <col min="24" max="24" width="26.7109375" style="4" customWidth="1"/>
    <col min="25" max="25" width="16" style="245" hidden="1" customWidth="1" outlineLevel="1"/>
    <col min="26" max="26" width="21.28515625" style="244" customWidth="1" collapsed="1"/>
    <col min="27" max="27" width="19.5703125" style="4" customWidth="1"/>
    <col min="28" max="28" width="18.7109375" style="324" bestFit="1" customWidth="1"/>
    <col min="29" max="29" width="24.42578125" style="4" bestFit="1" customWidth="1"/>
    <col min="30" max="30" width="17.28515625" style="4" bestFit="1" customWidth="1"/>
    <col min="31" max="31" width="23" style="4" bestFit="1" customWidth="1"/>
    <col min="32" max="32" width="28.7109375" style="4" bestFit="1" customWidth="1"/>
    <col min="33" max="36" width="33.28515625" style="4" customWidth="1"/>
    <col min="37" max="37" width="42.7109375" style="4" bestFit="1" customWidth="1"/>
  </cols>
  <sheetData>
    <row r="1" spans="1:37" s="1" customFormat="1" ht="29.25" customHeight="1">
      <c r="A1" s="217" t="s">
        <v>335</v>
      </c>
      <c r="B1" s="217" t="s">
        <v>687</v>
      </c>
      <c r="C1" s="218" t="s">
        <v>770</v>
      </c>
      <c r="D1" s="221" t="s">
        <v>1</v>
      </c>
      <c r="E1" s="217" t="s">
        <v>93</v>
      </c>
      <c r="F1" s="217" t="s">
        <v>766</v>
      </c>
      <c r="G1" s="224" t="s">
        <v>678</v>
      </c>
      <c r="H1" s="225" t="s">
        <v>679</v>
      </c>
      <c r="I1" s="225" t="s">
        <v>680</v>
      </c>
      <c r="J1" s="226" t="s">
        <v>681</v>
      </c>
      <c r="K1" s="224" t="s">
        <v>682</v>
      </c>
      <c r="L1" s="224" t="s">
        <v>785</v>
      </c>
      <c r="M1" s="224" t="s">
        <v>683</v>
      </c>
      <c r="N1" s="227" t="s">
        <v>684</v>
      </c>
      <c r="O1" s="223" t="s">
        <v>94</v>
      </c>
      <c r="P1" s="223" t="s">
        <v>95</v>
      </c>
      <c r="Q1" s="217" t="s">
        <v>627</v>
      </c>
      <c r="R1" s="219" t="s">
        <v>331</v>
      </c>
      <c r="S1" s="228" t="s">
        <v>332</v>
      </c>
      <c r="T1" s="229" t="s">
        <v>333</v>
      </c>
      <c r="U1" s="229" t="s">
        <v>685</v>
      </c>
      <c r="V1" s="229" t="s">
        <v>97</v>
      </c>
      <c r="W1" s="217" t="s">
        <v>330</v>
      </c>
      <c r="X1" s="246" t="s">
        <v>925</v>
      </c>
      <c r="Y1" s="229" t="s">
        <v>334</v>
      </c>
      <c r="Z1" s="217" t="s">
        <v>98</v>
      </c>
      <c r="AA1" s="220" t="s">
        <v>934</v>
      </c>
      <c r="AB1" s="320" t="s">
        <v>932</v>
      </c>
      <c r="AC1" s="221" t="s">
        <v>798</v>
      </c>
      <c r="AD1" s="221" t="s">
        <v>799</v>
      </c>
      <c r="AE1" s="221" t="s">
        <v>2</v>
      </c>
      <c r="AF1" s="221" t="s">
        <v>3</v>
      </c>
      <c r="AG1" s="221" t="s">
        <v>5</v>
      </c>
      <c r="AH1" s="221" t="s">
        <v>800</v>
      </c>
      <c r="AI1" s="222" t="s">
        <v>6</v>
      </c>
      <c r="AJ1" s="217" t="s">
        <v>924</v>
      </c>
    </row>
    <row r="2" spans="1:37" ht="15.75" hidden="1" customHeight="1">
      <c r="A2" s="198" t="s">
        <v>775</v>
      </c>
      <c r="B2" s="198" t="s">
        <v>769</v>
      </c>
      <c r="C2" s="214" t="s">
        <v>355</v>
      </c>
      <c r="D2" s="270" t="s">
        <v>74</v>
      </c>
      <c r="E2" s="198" t="s">
        <v>320</v>
      </c>
      <c r="F2" s="198">
        <v>422.36</v>
      </c>
      <c r="G2" s="198">
        <v>45.06</v>
      </c>
      <c r="H2" s="214" t="s">
        <v>325</v>
      </c>
      <c r="I2" s="214" t="s">
        <v>325</v>
      </c>
      <c r="J2" s="271">
        <v>131.68</v>
      </c>
      <c r="K2" s="198"/>
      <c r="L2" s="198"/>
      <c r="M2" s="198"/>
      <c r="N2" s="198"/>
      <c r="O2" s="198">
        <v>245.62</v>
      </c>
      <c r="P2" s="198"/>
      <c r="Q2" s="198" t="s">
        <v>329</v>
      </c>
      <c r="R2" s="230">
        <f>DATABASE_Table[[#This Row],[Inicial Asking Price (€) (Total)]]-DATABASE_Table[[#This Row],[Vista membership]]-DATABASE_Table[[#This Row],[FF&amp;E]]</f>
        <v>1160000</v>
      </c>
      <c r="S2" s="235">
        <v>1160000</v>
      </c>
      <c r="T2" s="235">
        <v>1160000</v>
      </c>
      <c r="U2" s="198"/>
      <c r="V2" s="198"/>
      <c r="W2" s="233">
        <f>DATABASE_Table[[#This Row],[Current Asking price( Total)]]-DATABASE_Table[[#This Row],[Vista membership]]-DATABASE_Table[[#This Row],[FF&amp;E]]</f>
        <v>1160000</v>
      </c>
      <c r="X2" s="236"/>
      <c r="Y2" s="235"/>
      <c r="Z2" s="233">
        <f>DATABASE_Table[[#This Row],[Sell price (Total)]]-DATABASE_Table[[#This Row],[FF&amp;E]]-DATABASE_Table[[#This Row],[Vista membership]]</f>
        <v>0</v>
      </c>
      <c r="AA2" s="315"/>
      <c r="AB2" s="321" t="s">
        <v>32</v>
      </c>
      <c r="AC2" s="199" t="s">
        <v>57</v>
      </c>
      <c r="AD2" s="199"/>
      <c r="AE2" s="272" t="s">
        <v>75</v>
      </c>
      <c r="AF2" s="272" t="s">
        <v>554</v>
      </c>
      <c r="AG2" s="272" t="s">
        <v>76</v>
      </c>
      <c r="AH2" s="272" t="s">
        <v>77</v>
      </c>
      <c r="AI2" s="273" t="s">
        <v>32</v>
      </c>
      <c r="AJ2" s="274" t="s">
        <v>73</v>
      </c>
      <c r="AK2"/>
    </row>
    <row r="3" spans="1:37" ht="15.75" hidden="1" customHeight="1">
      <c r="A3" s="198" t="s">
        <v>781</v>
      </c>
      <c r="B3" s="198" t="s">
        <v>786</v>
      </c>
      <c r="C3" s="214" t="s">
        <v>268</v>
      </c>
      <c r="D3" s="270" t="s">
        <v>79</v>
      </c>
      <c r="E3" s="198" t="s">
        <v>319</v>
      </c>
      <c r="F3" s="198">
        <v>167</v>
      </c>
      <c r="G3" s="198"/>
      <c r="H3" s="214" t="s">
        <v>848</v>
      </c>
      <c r="I3" s="214" t="s">
        <v>325</v>
      </c>
      <c r="J3" s="271"/>
      <c r="K3" s="198"/>
      <c r="L3" s="198"/>
      <c r="M3" s="198">
        <v>31</v>
      </c>
      <c r="N3" s="198">
        <v>20</v>
      </c>
      <c r="O3" s="198">
        <v>116</v>
      </c>
      <c r="P3" s="198"/>
      <c r="Q3" s="198" t="s">
        <v>628</v>
      </c>
      <c r="R3" s="230">
        <f>DATABASE_Table[[#This Row],[Inicial Asking Price (€) (Total)]]-DATABASE_Table[[#This Row],[Vista membership]]-DATABASE_Table[[#This Row],[FF&amp;E]]</f>
        <v>925000</v>
      </c>
      <c r="S3" s="234">
        <v>925000</v>
      </c>
      <c r="T3" s="235">
        <v>925000</v>
      </c>
      <c r="U3" s="198"/>
      <c r="V3" s="235">
        <v>0</v>
      </c>
      <c r="W3" s="233">
        <f>DATABASE_Table[[#This Row],[Current Asking price( Total)]]-DATABASE_Table[[#This Row],[Vista membership]]-DATABASE_Table[[#This Row],[FF&amp;E]]</f>
        <v>925000</v>
      </c>
      <c r="X3" s="236">
        <v>0</v>
      </c>
      <c r="Y3" s="235">
        <v>925000</v>
      </c>
      <c r="Z3" s="233">
        <f>DATABASE_Table[[#This Row],[Sell price (Total)]]-DATABASE_Table[[#This Row],[FF&amp;E]]-DATABASE_Table[[#This Row],[Vista membership]]</f>
        <v>925000</v>
      </c>
      <c r="AA3" s="316">
        <v>45904</v>
      </c>
      <c r="AB3" s="321">
        <v>47118</v>
      </c>
      <c r="AC3" s="199" t="s">
        <v>80</v>
      </c>
      <c r="AD3" s="199" t="s">
        <v>81</v>
      </c>
      <c r="AE3" s="272" t="s">
        <v>82</v>
      </c>
      <c r="AF3" s="272" t="s">
        <v>83</v>
      </c>
      <c r="AG3" s="272" t="s">
        <v>84</v>
      </c>
      <c r="AH3" s="272" t="s">
        <v>85</v>
      </c>
      <c r="AI3" s="273" t="s">
        <v>86</v>
      </c>
      <c r="AJ3" s="274" t="s">
        <v>78</v>
      </c>
      <c r="AK3"/>
    </row>
    <row r="4" spans="1:37" ht="15.75" hidden="1" customHeight="1">
      <c r="A4" s="198" t="s">
        <v>781</v>
      </c>
      <c r="B4" s="198" t="s">
        <v>786</v>
      </c>
      <c r="C4" s="214" t="s">
        <v>269</v>
      </c>
      <c r="D4" s="270" t="s">
        <v>79</v>
      </c>
      <c r="E4" s="198" t="s">
        <v>319</v>
      </c>
      <c r="F4" s="198">
        <v>194.4</v>
      </c>
      <c r="G4" s="198"/>
      <c r="H4" s="214" t="s">
        <v>848</v>
      </c>
      <c r="I4" s="214" t="s">
        <v>325</v>
      </c>
      <c r="J4" s="271"/>
      <c r="K4" s="198"/>
      <c r="L4" s="198"/>
      <c r="M4" s="198">
        <v>27</v>
      </c>
      <c r="N4" s="198">
        <v>30</v>
      </c>
      <c r="O4" s="198">
        <v>137.4</v>
      </c>
      <c r="P4" s="198"/>
      <c r="Q4" s="198" t="s">
        <v>628</v>
      </c>
      <c r="R4" s="230">
        <f>DATABASE_Table[[#This Row],[Inicial Asking Price (€) (Total)]]-DATABASE_Table[[#This Row],[Vista membership]]-DATABASE_Table[[#This Row],[FF&amp;E]]</f>
        <v>1105000</v>
      </c>
      <c r="S4" s="234">
        <v>1105000</v>
      </c>
      <c r="T4" s="235">
        <v>1105000</v>
      </c>
      <c r="U4" s="198"/>
      <c r="V4" s="235">
        <v>0</v>
      </c>
      <c r="W4" s="233">
        <f>DATABASE_Table[[#This Row],[Current Asking price( Total)]]-DATABASE_Table[[#This Row],[Vista membership]]-DATABASE_Table[[#This Row],[FF&amp;E]]</f>
        <v>1105000</v>
      </c>
      <c r="X4" s="236">
        <v>0</v>
      </c>
      <c r="Y4" s="235">
        <v>1105000</v>
      </c>
      <c r="Z4" s="233">
        <f>DATABASE_Table[[#This Row],[Sell price (Total)]]-DATABASE_Table[[#This Row],[FF&amp;E]]-DATABASE_Table[[#This Row],[Vista membership]]</f>
        <v>1105000</v>
      </c>
      <c r="AA4" s="316">
        <v>45996</v>
      </c>
      <c r="AB4" s="321">
        <v>47118</v>
      </c>
      <c r="AC4" s="199" t="s">
        <v>80</v>
      </c>
      <c r="AD4" s="199" t="s">
        <v>81</v>
      </c>
      <c r="AE4" s="272" t="s">
        <v>82</v>
      </c>
      <c r="AF4" s="272" t="s">
        <v>83</v>
      </c>
      <c r="AG4" s="272" t="s">
        <v>84</v>
      </c>
      <c r="AH4" s="272" t="s">
        <v>85</v>
      </c>
      <c r="AI4" s="273" t="s">
        <v>86</v>
      </c>
      <c r="AJ4" s="274" t="s">
        <v>78</v>
      </c>
      <c r="AK4"/>
    </row>
    <row r="5" spans="1:37" ht="15.75" hidden="1" customHeight="1">
      <c r="A5" s="198" t="s">
        <v>781</v>
      </c>
      <c r="B5" s="198" t="s">
        <v>786</v>
      </c>
      <c r="C5" s="214" t="s">
        <v>270</v>
      </c>
      <c r="D5" s="270" t="s">
        <v>79</v>
      </c>
      <c r="E5" s="198" t="s">
        <v>319</v>
      </c>
      <c r="F5" s="198">
        <v>167</v>
      </c>
      <c r="G5" s="198"/>
      <c r="H5" s="214" t="s">
        <v>848</v>
      </c>
      <c r="I5" s="214" t="s">
        <v>325</v>
      </c>
      <c r="J5" s="271"/>
      <c r="K5" s="198"/>
      <c r="L5" s="198"/>
      <c r="M5" s="198">
        <v>31</v>
      </c>
      <c r="N5" s="198">
        <v>20</v>
      </c>
      <c r="O5" s="198">
        <v>116</v>
      </c>
      <c r="P5" s="198"/>
      <c r="Q5" s="198" t="s">
        <v>628</v>
      </c>
      <c r="R5" s="230">
        <f>DATABASE_Table[[#This Row],[Inicial Asking Price (€) (Total)]]-DATABASE_Table[[#This Row],[Vista membership]]-DATABASE_Table[[#This Row],[FF&amp;E]]</f>
        <v>925000</v>
      </c>
      <c r="S5" s="234">
        <v>925000</v>
      </c>
      <c r="T5" s="235">
        <v>925000</v>
      </c>
      <c r="U5" s="198"/>
      <c r="V5" s="235">
        <v>0</v>
      </c>
      <c r="W5" s="233">
        <f>DATABASE_Table[[#This Row],[Current Asking price( Total)]]-DATABASE_Table[[#This Row],[Vista membership]]-DATABASE_Table[[#This Row],[FF&amp;E]]</f>
        <v>925000</v>
      </c>
      <c r="X5" s="236">
        <v>0</v>
      </c>
      <c r="Y5" s="235">
        <v>925000</v>
      </c>
      <c r="Z5" s="233">
        <f>DATABASE_Table[[#This Row],[Sell price (Total)]]-DATABASE_Table[[#This Row],[FF&amp;E]]-DATABASE_Table[[#This Row],[Vista membership]]</f>
        <v>925000</v>
      </c>
      <c r="AA5" s="316">
        <v>45967</v>
      </c>
      <c r="AB5" s="321">
        <v>47118</v>
      </c>
      <c r="AC5" s="199" t="s">
        <v>80</v>
      </c>
      <c r="AD5" s="199" t="s">
        <v>81</v>
      </c>
      <c r="AE5" s="272" t="s">
        <v>82</v>
      </c>
      <c r="AF5" s="272" t="s">
        <v>83</v>
      </c>
      <c r="AG5" s="272" t="s">
        <v>84</v>
      </c>
      <c r="AH5" s="272" t="s">
        <v>85</v>
      </c>
      <c r="AI5" s="273" t="s">
        <v>86</v>
      </c>
      <c r="AJ5" s="274" t="s">
        <v>78</v>
      </c>
      <c r="AK5"/>
    </row>
    <row r="6" spans="1:37" ht="15.75" hidden="1" customHeight="1">
      <c r="A6" s="198" t="s">
        <v>781</v>
      </c>
      <c r="B6" s="198" t="s">
        <v>786</v>
      </c>
      <c r="C6" s="214" t="s">
        <v>271</v>
      </c>
      <c r="D6" s="270" t="s">
        <v>79</v>
      </c>
      <c r="E6" s="198" t="s">
        <v>319</v>
      </c>
      <c r="F6" s="198">
        <v>167</v>
      </c>
      <c r="G6" s="198"/>
      <c r="H6" s="214" t="s">
        <v>848</v>
      </c>
      <c r="I6" s="214" t="s">
        <v>325</v>
      </c>
      <c r="J6" s="271"/>
      <c r="K6" s="198"/>
      <c r="L6" s="198"/>
      <c r="M6" s="198">
        <v>31</v>
      </c>
      <c r="N6" s="198">
        <v>20</v>
      </c>
      <c r="O6" s="198">
        <v>116</v>
      </c>
      <c r="P6" s="198"/>
      <c r="Q6" s="198" t="s">
        <v>628</v>
      </c>
      <c r="R6" s="230">
        <f>DATABASE_Table[[#This Row],[Inicial Asking Price (€) (Total)]]-DATABASE_Table[[#This Row],[Vista membership]]-DATABASE_Table[[#This Row],[FF&amp;E]]</f>
        <v>925000</v>
      </c>
      <c r="S6" s="234">
        <v>925000</v>
      </c>
      <c r="T6" s="235">
        <v>925000</v>
      </c>
      <c r="U6" s="198"/>
      <c r="V6" s="235">
        <v>0</v>
      </c>
      <c r="W6" s="233">
        <f>DATABASE_Table[[#This Row],[Current Asking price( Total)]]-DATABASE_Table[[#This Row],[Vista membership]]-DATABASE_Table[[#This Row],[FF&amp;E]]</f>
        <v>925000</v>
      </c>
      <c r="X6" s="236">
        <v>0</v>
      </c>
      <c r="Y6" s="235">
        <v>925000</v>
      </c>
      <c r="Z6" s="233">
        <f>DATABASE_Table[[#This Row],[Sell price (Total)]]-DATABASE_Table[[#This Row],[FF&amp;E]]-DATABASE_Table[[#This Row],[Vista membership]]</f>
        <v>925000</v>
      </c>
      <c r="AA6" s="316">
        <v>45968</v>
      </c>
      <c r="AB6" s="321">
        <v>47118</v>
      </c>
      <c r="AC6" s="199" t="s">
        <v>80</v>
      </c>
      <c r="AD6" s="199" t="s">
        <v>81</v>
      </c>
      <c r="AE6" s="272" t="s">
        <v>82</v>
      </c>
      <c r="AF6" s="272" t="s">
        <v>83</v>
      </c>
      <c r="AG6" s="272" t="s">
        <v>84</v>
      </c>
      <c r="AH6" s="272" t="s">
        <v>85</v>
      </c>
      <c r="AI6" s="273" t="s">
        <v>86</v>
      </c>
      <c r="AJ6" s="274" t="s">
        <v>78</v>
      </c>
      <c r="AK6"/>
    </row>
    <row r="7" spans="1:37" ht="15.75" hidden="1" customHeight="1">
      <c r="A7" s="198" t="s">
        <v>779</v>
      </c>
      <c r="B7" s="198" t="s">
        <v>786</v>
      </c>
      <c r="C7" s="214" t="s">
        <v>141</v>
      </c>
      <c r="D7" s="270" t="s">
        <v>79</v>
      </c>
      <c r="E7" s="198" t="s">
        <v>316</v>
      </c>
      <c r="F7" s="198">
        <v>56.5</v>
      </c>
      <c r="G7" s="198"/>
      <c r="H7" s="214" t="s">
        <v>848</v>
      </c>
      <c r="I7" s="214" t="s">
        <v>325</v>
      </c>
      <c r="J7" s="271">
        <v>5</v>
      </c>
      <c r="K7" s="198"/>
      <c r="L7" s="198"/>
      <c r="M7" s="198"/>
      <c r="N7" s="198"/>
      <c r="O7" s="198">
        <v>51.5</v>
      </c>
      <c r="P7" s="198"/>
      <c r="Q7" s="198" t="s">
        <v>326</v>
      </c>
      <c r="R7" s="230">
        <f>DATABASE_Table[[#This Row],[Inicial Asking Price (€) (Total)]]-DATABASE_Table[[#This Row],[Vista membership]]-DATABASE_Table[[#This Row],[FF&amp;E]]</f>
        <v>1915000</v>
      </c>
      <c r="S7" s="235">
        <v>1950000</v>
      </c>
      <c r="T7" s="235">
        <v>370000</v>
      </c>
      <c r="U7" s="198"/>
      <c r="V7" s="235">
        <v>35000</v>
      </c>
      <c r="W7" s="233">
        <f>DATABASE_Table[[#This Row],[Current Asking price( Total)]]-DATABASE_Table[[#This Row],[Vista membership]]-DATABASE_Table[[#This Row],[FF&amp;E]]</f>
        <v>335000</v>
      </c>
      <c r="X7" s="236">
        <v>0</v>
      </c>
      <c r="Y7" s="235">
        <v>370000</v>
      </c>
      <c r="Z7" s="233">
        <f>DATABASE_Table[[#This Row],[Sell price (Total)]]-DATABASE_Table[[#This Row],[FF&amp;E]]-DATABASE_Table[[#This Row],[Vista membership]]</f>
        <v>335000</v>
      </c>
      <c r="AA7" s="315">
        <v>46104</v>
      </c>
      <c r="AB7" s="321">
        <v>47118</v>
      </c>
      <c r="AC7" s="199" t="s">
        <v>80</v>
      </c>
      <c r="AD7" s="199" t="s">
        <v>81</v>
      </c>
      <c r="AE7" s="272" t="s">
        <v>82</v>
      </c>
      <c r="AF7" s="272" t="s">
        <v>83</v>
      </c>
      <c r="AG7" s="272" t="s">
        <v>84</v>
      </c>
      <c r="AH7" s="272" t="s">
        <v>85</v>
      </c>
      <c r="AI7" s="273" t="s">
        <v>86</v>
      </c>
      <c r="AJ7" s="274" t="s">
        <v>78</v>
      </c>
      <c r="AK7"/>
    </row>
    <row r="8" spans="1:37" ht="15.75" hidden="1" customHeight="1">
      <c r="A8" s="198" t="s">
        <v>779</v>
      </c>
      <c r="B8" s="198" t="s">
        <v>786</v>
      </c>
      <c r="C8" s="214" t="s">
        <v>142</v>
      </c>
      <c r="D8" s="270" t="s">
        <v>79</v>
      </c>
      <c r="E8" s="198" t="s">
        <v>316</v>
      </c>
      <c r="F8" s="198">
        <v>56.5</v>
      </c>
      <c r="G8" s="198"/>
      <c r="H8" s="214" t="s">
        <v>848</v>
      </c>
      <c r="I8" s="214" t="s">
        <v>325</v>
      </c>
      <c r="J8" s="271">
        <v>5</v>
      </c>
      <c r="K8" s="198"/>
      <c r="L8" s="198"/>
      <c r="M8" s="198"/>
      <c r="N8" s="198"/>
      <c r="O8" s="198">
        <v>51.5</v>
      </c>
      <c r="P8" s="198"/>
      <c r="Q8" s="198" t="s">
        <v>326</v>
      </c>
      <c r="R8" s="230">
        <f>DATABASE_Table[[#This Row],[Inicial Asking Price (€) (Total)]]-DATABASE_Table[[#This Row],[Vista membership]]-DATABASE_Table[[#This Row],[FF&amp;E]]</f>
        <v>1715000</v>
      </c>
      <c r="S8" s="235">
        <v>1750000</v>
      </c>
      <c r="T8" s="235">
        <v>370000</v>
      </c>
      <c r="U8" s="198"/>
      <c r="V8" s="235">
        <v>35000</v>
      </c>
      <c r="W8" s="233">
        <f>DATABASE_Table[[#This Row],[Current Asking price( Total)]]-DATABASE_Table[[#This Row],[Vista membership]]-DATABASE_Table[[#This Row],[FF&amp;E]]</f>
        <v>335000</v>
      </c>
      <c r="X8" s="236">
        <v>0</v>
      </c>
      <c r="Y8" s="235">
        <v>370000</v>
      </c>
      <c r="Z8" s="233">
        <f>DATABASE_Table[[#This Row],[Sell price (Total)]]-DATABASE_Table[[#This Row],[FF&amp;E]]-DATABASE_Table[[#This Row],[Vista membership]]</f>
        <v>335000</v>
      </c>
      <c r="AA8" s="315">
        <v>46052</v>
      </c>
      <c r="AB8" s="321">
        <v>47118</v>
      </c>
      <c r="AC8" s="199" t="s">
        <v>80</v>
      </c>
      <c r="AD8" s="199" t="s">
        <v>81</v>
      </c>
      <c r="AE8" s="272" t="s">
        <v>82</v>
      </c>
      <c r="AF8" s="272" t="s">
        <v>83</v>
      </c>
      <c r="AG8" s="272" t="s">
        <v>84</v>
      </c>
      <c r="AH8" s="272" t="s">
        <v>85</v>
      </c>
      <c r="AI8" s="273" t="s">
        <v>86</v>
      </c>
      <c r="AJ8" s="274" t="s">
        <v>78</v>
      </c>
      <c r="AK8"/>
    </row>
    <row r="9" spans="1:37" ht="15.75" hidden="1" customHeight="1">
      <c r="A9" s="198" t="s">
        <v>779</v>
      </c>
      <c r="B9" s="198" t="s">
        <v>786</v>
      </c>
      <c r="C9" s="214" t="s">
        <v>132</v>
      </c>
      <c r="D9" s="270" t="s">
        <v>79</v>
      </c>
      <c r="E9" s="198" t="s">
        <v>316</v>
      </c>
      <c r="F9" s="198">
        <v>56.5</v>
      </c>
      <c r="G9" s="198"/>
      <c r="H9" s="214" t="s">
        <v>848</v>
      </c>
      <c r="I9" s="214" t="s">
        <v>325</v>
      </c>
      <c r="J9" s="271">
        <v>5</v>
      </c>
      <c r="K9" s="198"/>
      <c r="L9" s="198"/>
      <c r="M9" s="198"/>
      <c r="N9" s="198"/>
      <c r="O9" s="198">
        <v>51.5</v>
      </c>
      <c r="P9" s="198"/>
      <c r="Q9" s="198" t="s">
        <v>326</v>
      </c>
      <c r="R9" s="230">
        <f>DATABASE_Table[[#This Row],[Inicial Asking Price (€) (Total)]]-DATABASE_Table[[#This Row],[Vista membership]]-DATABASE_Table[[#This Row],[FF&amp;E]]</f>
        <v>1715000</v>
      </c>
      <c r="S9" s="235">
        <v>1750000</v>
      </c>
      <c r="T9" s="235">
        <v>370000</v>
      </c>
      <c r="U9" s="198"/>
      <c r="V9" s="235">
        <v>35000</v>
      </c>
      <c r="W9" s="233">
        <f>DATABASE_Table[[#This Row],[Current Asking price( Total)]]-DATABASE_Table[[#This Row],[Vista membership]]-DATABASE_Table[[#This Row],[FF&amp;E]]</f>
        <v>335000</v>
      </c>
      <c r="X9" s="236">
        <v>0.02</v>
      </c>
      <c r="Y9" s="235">
        <v>362600</v>
      </c>
      <c r="Z9" s="233">
        <f>DATABASE_Table[[#This Row],[Sell price (Total)]]-DATABASE_Table[[#This Row],[FF&amp;E]]-DATABASE_Table[[#This Row],[Vista membership]]</f>
        <v>327600</v>
      </c>
      <c r="AA9" s="315">
        <v>46118</v>
      </c>
      <c r="AB9" s="321">
        <v>47118</v>
      </c>
      <c r="AC9" s="199" t="s">
        <v>80</v>
      </c>
      <c r="AD9" s="199" t="s">
        <v>81</v>
      </c>
      <c r="AE9" s="272" t="s">
        <v>82</v>
      </c>
      <c r="AF9" s="272" t="s">
        <v>83</v>
      </c>
      <c r="AG9" s="272" t="s">
        <v>84</v>
      </c>
      <c r="AH9" s="272" t="s">
        <v>85</v>
      </c>
      <c r="AI9" s="273" t="s">
        <v>86</v>
      </c>
      <c r="AJ9" s="274" t="s">
        <v>78</v>
      </c>
      <c r="AK9"/>
    </row>
    <row r="10" spans="1:37" ht="15.75" hidden="1" customHeight="1">
      <c r="A10" s="198" t="s">
        <v>779</v>
      </c>
      <c r="B10" s="198" t="s">
        <v>786</v>
      </c>
      <c r="C10" s="214" t="s">
        <v>135</v>
      </c>
      <c r="D10" s="270" t="s">
        <v>79</v>
      </c>
      <c r="E10" s="198" t="s">
        <v>316</v>
      </c>
      <c r="F10" s="198">
        <v>56.5</v>
      </c>
      <c r="G10" s="198"/>
      <c r="H10" s="214" t="s">
        <v>848</v>
      </c>
      <c r="I10" s="214" t="s">
        <v>325</v>
      </c>
      <c r="J10" s="271">
        <v>5</v>
      </c>
      <c r="K10" s="198"/>
      <c r="L10" s="198"/>
      <c r="M10" s="198"/>
      <c r="N10" s="198"/>
      <c r="O10" s="198">
        <v>51.5</v>
      </c>
      <c r="P10" s="198"/>
      <c r="Q10" s="198" t="s">
        <v>326</v>
      </c>
      <c r="R10" s="230">
        <f>DATABASE_Table[[#This Row],[Inicial Asking Price (€) (Total)]]-DATABASE_Table[[#This Row],[Vista membership]]-DATABASE_Table[[#This Row],[FF&amp;E]]</f>
        <v>1815000</v>
      </c>
      <c r="S10" s="235">
        <v>1850000</v>
      </c>
      <c r="T10" s="235">
        <v>370000</v>
      </c>
      <c r="U10" s="198"/>
      <c r="V10" s="235">
        <v>35000</v>
      </c>
      <c r="W10" s="233">
        <f>DATABASE_Table[[#This Row],[Current Asking price( Total)]]-DATABASE_Table[[#This Row],[Vista membership]]-DATABASE_Table[[#This Row],[FF&amp;E]]</f>
        <v>335000</v>
      </c>
      <c r="X10" s="236">
        <v>0.02</v>
      </c>
      <c r="Y10" s="235">
        <v>362600</v>
      </c>
      <c r="Z10" s="233">
        <f>DATABASE_Table[[#This Row],[Sell price (Total)]]-DATABASE_Table[[#This Row],[FF&amp;E]]-DATABASE_Table[[#This Row],[Vista membership]]</f>
        <v>327600</v>
      </c>
      <c r="AA10" s="315">
        <v>46118</v>
      </c>
      <c r="AB10" s="321">
        <v>47118</v>
      </c>
      <c r="AC10" s="199" t="s">
        <v>80</v>
      </c>
      <c r="AD10" s="199" t="s">
        <v>81</v>
      </c>
      <c r="AE10" s="272" t="s">
        <v>82</v>
      </c>
      <c r="AF10" s="272" t="s">
        <v>83</v>
      </c>
      <c r="AG10" s="272" t="s">
        <v>84</v>
      </c>
      <c r="AH10" s="272" t="s">
        <v>85</v>
      </c>
      <c r="AI10" s="273" t="s">
        <v>86</v>
      </c>
      <c r="AJ10" s="274" t="s">
        <v>78</v>
      </c>
      <c r="AK10"/>
    </row>
    <row r="11" spans="1:37" ht="15.75" hidden="1" customHeight="1">
      <c r="A11" s="198" t="s">
        <v>779</v>
      </c>
      <c r="B11" s="198" t="s">
        <v>786</v>
      </c>
      <c r="C11" s="214" t="s">
        <v>179</v>
      </c>
      <c r="D11" s="270" t="s">
        <v>79</v>
      </c>
      <c r="E11" s="198" t="s">
        <v>316</v>
      </c>
      <c r="F11" s="198">
        <v>56.5</v>
      </c>
      <c r="G11" s="198"/>
      <c r="H11" s="214" t="s">
        <v>848</v>
      </c>
      <c r="I11" s="214" t="s">
        <v>325</v>
      </c>
      <c r="J11" s="271">
        <v>5</v>
      </c>
      <c r="K11" s="198"/>
      <c r="L11" s="198"/>
      <c r="M11" s="198"/>
      <c r="N11" s="198"/>
      <c r="O11" s="198">
        <v>51.5</v>
      </c>
      <c r="P11" s="198"/>
      <c r="Q11" s="198" t="s">
        <v>327</v>
      </c>
      <c r="R11" s="230">
        <f>DATABASE_Table[[#This Row],[Inicial Asking Price (€) (Total)]]-DATABASE_Table[[#This Row],[Vista membership]]-DATABASE_Table[[#This Row],[FF&amp;E]]</f>
        <v>1915000</v>
      </c>
      <c r="S11" s="235">
        <v>1950000</v>
      </c>
      <c r="T11" s="235">
        <v>390000</v>
      </c>
      <c r="U11" s="198"/>
      <c r="V11" s="235">
        <v>35000</v>
      </c>
      <c r="W11" s="233">
        <f>DATABASE_Table[[#This Row],[Current Asking price( Total)]]-DATABASE_Table[[#This Row],[Vista membership]]-DATABASE_Table[[#This Row],[FF&amp;E]]</f>
        <v>355000</v>
      </c>
      <c r="X11" s="236">
        <v>0</v>
      </c>
      <c r="Y11" s="235">
        <v>390000</v>
      </c>
      <c r="Z11" s="233">
        <f>DATABASE_Table[[#This Row],[Sell price (Total)]]-DATABASE_Table[[#This Row],[FF&amp;E]]-DATABASE_Table[[#This Row],[Vista membership]]</f>
        <v>355000</v>
      </c>
      <c r="AA11" s="315">
        <v>46142</v>
      </c>
      <c r="AB11" s="321">
        <v>47118</v>
      </c>
      <c r="AC11" s="199" t="s">
        <v>80</v>
      </c>
      <c r="AD11" s="199" t="s">
        <v>81</v>
      </c>
      <c r="AE11" s="272" t="s">
        <v>82</v>
      </c>
      <c r="AF11" s="272" t="s">
        <v>83</v>
      </c>
      <c r="AG11" s="272" t="s">
        <v>84</v>
      </c>
      <c r="AH11" s="272" t="s">
        <v>85</v>
      </c>
      <c r="AI11" s="273" t="s">
        <v>86</v>
      </c>
      <c r="AJ11" s="274" t="s">
        <v>78</v>
      </c>
      <c r="AK11"/>
    </row>
    <row r="12" spans="1:37" ht="15.75" hidden="1" customHeight="1">
      <c r="A12" s="198" t="s">
        <v>779</v>
      </c>
      <c r="B12" s="198" t="s">
        <v>786</v>
      </c>
      <c r="C12" s="214" t="s">
        <v>137</v>
      </c>
      <c r="D12" s="270" t="s">
        <v>79</v>
      </c>
      <c r="E12" s="198" t="s">
        <v>316</v>
      </c>
      <c r="F12" s="198">
        <v>60.2</v>
      </c>
      <c r="G12" s="198"/>
      <c r="H12" s="214" t="s">
        <v>848</v>
      </c>
      <c r="I12" s="214" t="s">
        <v>325</v>
      </c>
      <c r="J12" s="271">
        <v>3.9</v>
      </c>
      <c r="K12" s="198"/>
      <c r="L12" s="198"/>
      <c r="M12" s="198"/>
      <c r="N12" s="198"/>
      <c r="O12" s="198">
        <v>56.3</v>
      </c>
      <c r="P12" s="198"/>
      <c r="Q12" s="198" t="s">
        <v>326</v>
      </c>
      <c r="R12" s="230">
        <f>DATABASE_Table[[#This Row],[Inicial Asking Price (€) (Total)]]-DATABASE_Table[[#This Row],[Vista membership]]-DATABASE_Table[[#This Row],[FF&amp;E]]</f>
        <v>2065000</v>
      </c>
      <c r="S12" s="235">
        <v>2100000</v>
      </c>
      <c r="T12" s="235">
        <v>390000</v>
      </c>
      <c r="U12" s="198"/>
      <c r="V12" s="235">
        <v>35000</v>
      </c>
      <c r="W12" s="233">
        <f>DATABASE_Table[[#This Row],[Current Asking price( Total)]]-DATABASE_Table[[#This Row],[Vista membership]]-DATABASE_Table[[#This Row],[FF&amp;E]]</f>
        <v>355000</v>
      </c>
      <c r="X12" s="236">
        <v>0</v>
      </c>
      <c r="Y12" s="235">
        <v>390000</v>
      </c>
      <c r="Z12" s="233">
        <f>DATABASE_Table[[#This Row],[Sell price (Total)]]-DATABASE_Table[[#This Row],[FF&amp;E]]-DATABASE_Table[[#This Row],[Vista membership]]</f>
        <v>355000</v>
      </c>
      <c r="AA12" s="315">
        <v>46098</v>
      </c>
      <c r="AB12" s="321">
        <v>47118</v>
      </c>
      <c r="AC12" s="199" t="s">
        <v>80</v>
      </c>
      <c r="AD12" s="199" t="s">
        <v>81</v>
      </c>
      <c r="AE12" s="272" t="s">
        <v>82</v>
      </c>
      <c r="AF12" s="272" t="s">
        <v>83</v>
      </c>
      <c r="AG12" s="272" t="s">
        <v>84</v>
      </c>
      <c r="AH12" s="272" t="s">
        <v>85</v>
      </c>
      <c r="AI12" s="273" t="s">
        <v>86</v>
      </c>
      <c r="AJ12" s="274" t="s">
        <v>78</v>
      </c>
      <c r="AK12"/>
    </row>
    <row r="13" spans="1:37" ht="15.75" hidden="1" customHeight="1">
      <c r="A13" s="198" t="s">
        <v>779</v>
      </c>
      <c r="B13" s="198" t="s">
        <v>786</v>
      </c>
      <c r="C13" s="214" t="s">
        <v>138</v>
      </c>
      <c r="D13" s="270" t="s">
        <v>79</v>
      </c>
      <c r="E13" s="198" t="s">
        <v>316</v>
      </c>
      <c r="F13" s="198">
        <v>60.2</v>
      </c>
      <c r="G13" s="198"/>
      <c r="H13" s="214" t="s">
        <v>848</v>
      </c>
      <c r="I13" s="214" t="s">
        <v>325</v>
      </c>
      <c r="J13" s="271">
        <v>3.9</v>
      </c>
      <c r="K13" s="198"/>
      <c r="L13" s="198"/>
      <c r="M13" s="198"/>
      <c r="N13" s="198"/>
      <c r="O13" s="198">
        <v>56.3</v>
      </c>
      <c r="P13" s="198"/>
      <c r="Q13" s="198" t="s">
        <v>326</v>
      </c>
      <c r="R13" s="230">
        <f>DATABASE_Table[[#This Row],[Inicial Asking Price (€) (Total)]]-DATABASE_Table[[#This Row],[Vista membership]]-DATABASE_Table[[#This Row],[FF&amp;E]]</f>
        <v>2865000</v>
      </c>
      <c r="S13" s="235">
        <v>2900000</v>
      </c>
      <c r="T13" s="235">
        <v>390000</v>
      </c>
      <c r="U13" s="198"/>
      <c r="V13" s="235">
        <v>35000</v>
      </c>
      <c r="W13" s="233">
        <f>DATABASE_Table[[#This Row],[Current Asking price( Total)]]-DATABASE_Table[[#This Row],[Vista membership]]-DATABASE_Table[[#This Row],[FF&amp;E]]</f>
        <v>355000</v>
      </c>
      <c r="X13" s="236">
        <v>0</v>
      </c>
      <c r="Y13" s="235">
        <v>390000</v>
      </c>
      <c r="Z13" s="233">
        <f>DATABASE_Table[[#This Row],[Sell price (Total)]]-DATABASE_Table[[#This Row],[FF&amp;E]]-DATABASE_Table[[#This Row],[Vista membership]]</f>
        <v>355000</v>
      </c>
      <c r="AA13" s="315">
        <v>46085</v>
      </c>
      <c r="AB13" s="321">
        <v>47118</v>
      </c>
      <c r="AC13" s="199" t="s">
        <v>80</v>
      </c>
      <c r="AD13" s="199" t="s">
        <v>81</v>
      </c>
      <c r="AE13" s="272" t="s">
        <v>82</v>
      </c>
      <c r="AF13" s="272" t="s">
        <v>83</v>
      </c>
      <c r="AG13" s="272" t="s">
        <v>84</v>
      </c>
      <c r="AH13" s="272" t="s">
        <v>85</v>
      </c>
      <c r="AI13" s="273" t="s">
        <v>86</v>
      </c>
      <c r="AJ13" s="274" t="s">
        <v>78</v>
      </c>
      <c r="AK13"/>
    </row>
    <row r="14" spans="1:37" ht="15.75" hidden="1" customHeight="1">
      <c r="A14" s="198" t="s">
        <v>779</v>
      </c>
      <c r="B14" s="198" t="s">
        <v>786</v>
      </c>
      <c r="C14" s="214" t="s">
        <v>139</v>
      </c>
      <c r="D14" s="270" t="s">
        <v>79</v>
      </c>
      <c r="E14" s="198" t="s">
        <v>316</v>
      </c>
      <c r="F14" s="198">
        <v>60.2</v>
      </c>
      <c r="G14" s="198"/>
      <c r="H14" s="214" t="s">
        <v>848</v>
      </c>
      <c r="I14" s="214" t="s">
        <v>325</v>
      </c>
      <c r="J14" s="271">
        <v>3.9</v>
      </c>
      <c r="K14" s="198"/>
      <c r="L14" s="198"/>
      <c r="M14" s="198"/>
      <c r="N14" s="198"/>
      <c r="O14" s="198">
        <v>56.3</v>
      </c>
      <c r="P14" s="198"/>
      <c r="Q14" s="198" t="s">
        <v>326</v>
      </c>
      <c r="R14" s="230">
        <f>DATABASE_Table[[#This Row],[Inicial Asking Price (€) (Total)]]-DATABASE_Table[[#This Row],[Vista membership]]-DATABASE_Table[[#This Row],[FF&amp;E]]</f>
        <v>2265000</v>
      </c>
      <c r="S14" s="235">
        <v>2300000</v>
      </c>
      <c r="T14" s="235">
        <v>390000</v>
      </c>
      <c r="U14" s="198"/>
      <c r="V14" s="235">
        <v>35000</v>
      </c>
      <c r="W14" s="233">
        <f>DATABASE_Table[[#This Row],[Current Asking price( Total)]]-DATABASE_Table[[#This Row],[Vista membership]]-DATABASE_Table[[#This Row],[FF&amp;E]]</f>
        <v>355000</v>
      </c>
      <c r="X14" s="236">
        <v>0</v>
      </c>
      <c r="Y14" s="235">
        <v>390000</v>
      </c>
      <c r="Z14" s="233">
        <f>DATABASE_Table[[#This Row],[Sell price (Total)]]-DATABASE_Table[[#This Row],[FF&amp;E]]-DATABASE_Table[[#This Row],[Vista membership]]</f>
        <v>355000</v>
      </c>
      <c r="AA14" s="315">
        <v>46129</v>
      </c>
      <c r="AB14" s="321">
        <v>47118</v>
      </c>
      <c r="AC14" s="199" t="s">
        <v>80</v>
      </c>
      <c r="AD14" s="199" t="s">
        <v>81</v>
      </c>
      <c r="AE14" s="272" t="s">
        <v>82</v>
      </c>
      <c r="AF14" s="272" t="s">
        <v>83</v>
      </c>
      <c r="AG14" s="272" t="s">
        <v>84</v>
      </c>
      <c r="AH14" s="272" t="s">
        <v>85</v>
      </c>
      <c r="AI14" s="273" t="s">
        <v>86</v>
      </c>
      <c r="AJ14" s="274" t="s">
        <v>78</v>
      </c>
      <c r="AK14"/>
    </row>
    <row r="15" spans="1:37" ht="15.75" hidden="1" customHeight="1">
      <c r="A15" s="198" t="s">
        <v>779</v>
      </c>
      <c r="B15" s="198" t="s">
        <v>786</v>
      </c>
      <c r="C15" s="214" t="s">
        <v>140</v>
      </c>
      <c r="D15" s="270" t="s">
        <v>79</v>
      </c>
      <c r="E15" s="198" t="s">
        <v>316</v>
      </c>
      <c r="F15" s="198">
        <v>60.2</v>
      </c>
      <c r="G15" s="198"/>
      <c r="H15" s="214" t="s">
        <v>848</v>
      </c>
      <c r="I15" s="214" t="s">
        <v>325</v>
      </c>
      <c r="J15" s="271">
        <v>3.9</v>
      </c>
      <c r="K15" s="198"/>
      <c r="L15" s="198"/>
      <c r="M15" s="198"/>
      <c r="N15" s="198"/>
      <c r="O15" s="198">
        <v>56.3</v>
      </c>
      <c r="P15" s="198"/>
      <c r="Q15" s="198" t="s">
        <v>326</v>
      </c>
      <c r="R15" s="230">
        <f>DATABASE_Table[[#This Row],[Inicial Asking Price (€) (Total)]]-DATABASE_Table[[#This Row],[Vista membership]]-DATABASE_Table[[#This Row],[FF&amp;E]]</f>
        <v>2265000</v>
      </c>
      <c r="S15" s="235">
        <v>2300000</v>
      </c>
      <c r="T15" s="235">
        <v>390000</v>
      </c>
      <c r="U15" s="198"/>
      <c r="V15" s="235">
        <v>35000</v>
      </c>
      <c r="W15" s="233">
        <f>DATABASE_Table[[#This Row],[Current Asking price( Total)]]-DATABASE_Table[[#This Row],[Vista membership]]-DATABASE_Table[[#This Row],[FF&amp;E]]</f>
        <v>355000</v>
      </c>
      <c r="X15" s="236">
        <v>0</v>
      </c>
      <c r="Y15" s="235">
        <v>390000</v>
      </c>
      <c r="Z15" s="233">
        <f>DATABASE_Table[[#This Row],[Sell price (Total)]]-DATABASE_Table[[#This Row],[FF&amp;E]]-DATABASE_Table[[#This Row],[Vista membership]]</f>
        <v>355000</v>
      </c>
      <c r="AA15" s="315">
        <v>46129</v>
      </c>
      <c r="AB15" s="321">
        <v>47118</v>
      </c>
      <c r="AC15" s="199" t="s">
        <v>80</v>
      </c>
      <c r="AD15" s="199" t="s">
        <v>81</v>
      </c>
      <c r="AE15" s="272" t="s">
        <v>82</v>
      </c>
      <c r="AF15" s="272" t="s">
        <v>83</v>
      </c>
      <c r="AG15" s="272" t="s">
        <v>84</v>
      </c>
      <c r="AH15" s="272" t="s">
        <v>85</v>
      </c>
      <c r="AI15" s="273" t="s">
        <v>86</v>
      </c>
      <c r="AJ15" s="274" t="s">
        <v>78</v>
      </c>
      <c r="AK15"/>
    </row>
    <row r="16" spans="1:37" ht="15.75" hidden="1" customHeight="1">
      <c r="A16" s="198" t="s">
        <v>779</v>
      </c>
      <c r="B16" s="198" t="s">
        <v>786</v>
      </c>
      <c r="C16" s="214" t="s">
        <v>178</v>
      </c>
      <c r="D16" s="270" t="s">
        <v>79</v>
      </c>
      <c r="E16" s="198" t="s">
        <v>316</v>
      </c>
      <c r="F16" s="198">
        <v>56.5</v>
      </c>
      <c r="G16" s="198"/>
      <c r="H16" s="214" t="s">
        <v>848</v>
      </c>
      <c r="I16" s="214" t="s">
        <v>325</v>
      </c>
      <c r="J16" s="271">
        <v>5</v>
      </c>
      <c r="K16" s="198"/>
      <c r="L16" s="198"/>
      <c r="M16" s="198"/>
      <c r="N16" s="198"/>
      <c r="O16" s="198">
        <v>51.5</v>
      </c>
      <c r="P16" s="198"/>
      <c r="Q16" s="198" t="s">
        <v>326</v>
      </c>
      <c r="R16" s="230">
        <f>DATABASE_Table[[#This Row],[Inicial Asking Price (€) (Total)]]-DATABASE_Table[[#This Row],[Vista membership]]-DATABASE_Table[[#This Row],[FF&amp;E]]</f>
        <v>2365000</v>
      </c>
      <c r="S16" s="235">
        <v>2400000</v>
      </c>
      <c r="T16" s="235">
        <v>390000</v>
      </c>
      <c r="U16" s="198"/>
      <c r="V16" s="235">
        <v>35000</v>
      </c>
      <c r="W16" s="233">
        <f>DATABASE_Table[[#This Row],[Current Asking price( Total)]]-DATABASE_Table[[#This Row],[Vista membership]]-DATABASE_Table[[#This Row],[FF&amp;E]]</f>
        <v>355000</v>
      </c>
      <c r="X16" s="236">
        <v>0</v>
      </c>
      <c r="Y16" s="235">
        <v>390000</v>
      </c>
      <c r="Z16" s="233">
        <f>DATABASE_Table[[#This Row],[Sell price (Total)]]-DATABASE_Table[[#This Row],[FF&amp;E]]-DATABASE_Table[[#This Row],[Vista membership]]</f>
        <v>355000</v>
      </c>
      <c r="AA16" s="315">
        <v>46126</v>
      </c>
      <c r="AB16" s="321">
        <v>47118</v>
      </c>
      <c r="AC16" s="199" t="s">
        <v>80</v>
      </c>
      <c r="AD16" s="199" t="s">
        <v>81</v>
      </c>
      <c r="AE16" s="272" t="s">
        <v>82</v>
      </c>
      <c r="AF16" s="272" t="s">
        <v>83</v>
      </c>
      <c r="AG16" s="272" t="s">
        <v>84</v>
      </c>
      <c r="AH16" s="272" t="s">
        <v>85</v>
      </c>
      <c r="AI16" s="273" t="s">
        <v>86</v>
      </c>
      <c r="AJ16" s="274" t="s">
        <v>78</v>
      </c>
      <c r="AK16"/>
    </row>
    <row r="17" spans="1:37" ht="15.75" hidden="1" customHeight="1">
      <c r="A17" s="198" t="s">
        <v>779</v>
      </c>
      <c r="B17" s="198" t="s">
        <v>786</v>
      </c>
      <c r="C17" s="214" t="s">
        <v>136</v>
      </c>
      <c r="D17" s="270" t="s">
        <v>79</v>
      </c>
      <c r="E17" s="198" t="s">
        <v>316</v>
      </c>
      <c r="F17" s="198">
        <v>60.2</v>
      </c>
      <c r="G17" s="198"/>
      <c r="H17" s="214" t="s">
        <v>848</v>
      </c>
      <c r="I17" s="214" t="s">
        <v>325</v>
      </c>
      <c r="J17" s="271">
        <v>3.9</v>
      </c>
      <c r="K17" s="198"/>
      <c r="L17" s="198"/>
      <c r="M17" s="198"/>
      <c r="N17" s="198"/>
      <c r="O17" s="198">
        <v>56.3</v>
      </c>
      <c r="P17" s="198"/>
      <c r="Q17" s="198" t="s">
        <v>329</v>
      </c>
      <c r="R17" s="230">
        <f>DATABASE_Table[[#This Row],[Inicial Asking Price (€) (Total)]]-DATABASE_Table[[#This Row],[Vista membership]]-DATABASE_Table[[#This Row],[FF&amp;E]]</f>
        <v>2665000</v>
      </c>
      <c r="S17" s="235">
        <v>2700000</v>
      </c>
      <c r="T17" s="235">
        <v>390000</v>
      </c>
      <c r="U17" s="198"/>
      <c r="V17" s="235">
        <v>35000</v>
      </c>
      <c r="W17" s="233">
        <f>DATABASE_Table[[#This Row],[Current Asking price( Total)]]-DATABASE_Table[[#This Row],[Vista membership]]-DATABASE_Table[[#This Row],[FF&amp;E]]</f>
        <v>355000</v>
      </c>
      <c r="X17" s="236"/>
      <c r="Y17" s="235"/>
      <c r="Z17" s="233">
        <f>DATABASE_Table[[#This Row],[Sell price (Total)]]-DATABASE_Table[[#This Row],[FF&amp;E]]-DATABASE_Table[[#This Row],[Vista membership]]</f>
        <v>-35000</v>
      </c>
      <c r="AA17" s="315"/>
      <c r="AB17" s="321">
        <v>47118</v>
      </c>
      <c r="AC17" s="199" t="s">
        <v>80</v>
      </c>
      <c r="AD17" s="199" t="s">
        <v>81</v>
      </c>
      <c r="AE17" s="272" t="s">
        <v>82</v>
      </c>
      <c r="AF17" s="272" t="s">
        <v>83</v>
      </c>
      <c r="AG17" s="272" t="s">
        <v>84</v>
      </c>
      <c r="AH17" s="272" t="s">
        <v>85</v>
      </c>
      <c r="AI17" s="273" t="s">
        <v>86</v>
      </c>
      <c r="AJ17" s="274" t="s">
        <v>78</v>
      </c>
      <c r="AK17"/>
    </row>
    <row r="18" spans="1:37" ht="15.75" hidden="1" customHeight="1">
      <c r="A18" s="198" t="s">
        <v>779</v>
      </c>
      <c r="B18" s="198" t="s">
        <v>786</v>
      </c>
      <c r="C18" s="214" t="s">
        <v>177</v>
      </c>
      <c r="D18" s="270" t="s">
        <v>79</v>
      </c>
      <c r="E18" s="198" t="s">
        <v>316</v>
      </c>
      <c r="F18" s="198">
        <v>56.5</v>
      </c>
      <c r="G18" s="198"/>
      <c r="H18" s="214" t="s">
        <v>848</v>
      </c>
      <c r="I18" s="214" t="s">
        <v>325</v>
      </c>
      <c r="J18" s="271">
        <v>5</v>
      </c>
      <c r="K18" s="198"/>
      <c r="L18" s="198"/>
      <c r="M18" s="198"/>
      <c r="N18" s="198"/>
      <c r="O18" s="198">
        <v>51.5</v>
      </c>
      <c r="P18" s="198"/>
      <c r="Q18" s="198" t="s">
        <v>329</v>
      </c>
      <c r="R18" s="230">
        <f>DATABASE_Table[[#This Row],[Inicial Asking Price (€) (Total)]]-DATABASE_Table[[#This Row],[Vista membership]]-DATABASE_Table[[#This Row],[FF&amp;E]]</f>
        <v>2575000</v>
      </c>
      <c r="S18" s="235">
        <v>2610000</v>
      </c>
      <c r="T18" s="235">
        <v>390000</v>
      </c>
      <c r="U18" s="198"/>
      <c r="V18" s="235">
        <v>35000</v>
      </c>
      <c r="W18" s="233">
        <f>DATABASE_Table[[#This Row],[Current Asking price( Total)]]-DATABASE_Table[[#This Row],[Vista membership]]-DATABASE_Table[[#This Row],[FF&amp;E]]</f>
        <v>355000</v>
      </c>
      <c r="X18" s="236"/>
      <c r="Y18" s="235"/>
      <c r="Z18" s="233">
        <f>DATABASE_Table[[#This Row],[Sell price (Total)]]-DATABASE_Table[[#This Row],[FF&amp;E]]-DATABASE_Table[[#This Row],[Vista membership]]</f>
        <v>-35000</v>
      </c>
      <c r="AA18" s="315"/>
      <c r="AB18" s="321">
        <v>47118</v>
      </c>
      <c r="AC18" s="199" t="s">
        <v>80</v>
      </c>
      <c r="AD18" s="199" t="s">
        <v>81</v>
      </c>
      <c r="AE18" s="272" t="s">
        <v>82</v>
      </c>
      <c r="AF18" s="272" t="s">
        <v>83</v>
      </c>
      <c r="AG18" s="272" t="s">
        <v>84</v>
      </c>
      <c r="AH18" s="272" t="s">
        <v>85</v>
      </c>
      <c r="AI18" s="273" t="s">
        <v>86</v>
      </c>
      <c r="AJ18" s="274" t="s">
        <v>78</v>
      </c>
      <c r="AK18"/>
    </row>
    <row r="19" spans="1:37" ht="15.75" hidden="1" customHeight="1">
      <c r="A19" s="198" t="s">
        <v>779</v>
      </c>
      <c r="B19" s="198" t="s">
        <v>786</v>
      </c>
      <c r="C19" s="214" t="s">
        <v>180</v>
      </c>
      <c r="D19" s="270" t="s">
        <v>79</v>
      </c>
      <c r="E19" s="198" t="s">
        <v>316</v>
      </c>
      <c r="F19" s="198">
        <v>56.5</v>
      </c>
      <c r="G19" s="198"/>
      <c r="H19" s="214" t="s">
        <v>848</v>
      </c>
      <c r="I19" s="214" t="s">
        <v>325</v>
      </c>
      <c r="J19" s="271">
        <v>5</v>
      </c>
      <c r="K19" s="198"/>
      <c r="L19" s="198"/>
      <c r="M19" s="198"/>
      <c r="N19" s="198"/>
      <c r="O19" s="198">
        <v>51.5</v>
      </c>
      <c r="P19" s="198"/>
      <c r="Q19" s="198" t="s">
        <v>329</v>
      </c>
      <c r="R19" s="230">
        <f>DATABASE_Table[[#This Row],[Inicial Asking Price (€) (Total)]]-DATABASE_Table[[#This Row],[Vista membership]]-DATABASE_Table[[#This Row],[FF&amp;E]]</f>
        <v>1305000</v>
      </c>
      <c r="S19" s="235">
        <v>1340000</v>
      </c>
      <c r="T19" s="235">
        <v>390000</v>
      </c>
      <c r="U19" s="198"/>
      <c r="V19" s="235">
        <v>35000</v>
      </c>
      <c r="W19" s="233">
        <f>DATABASE_Table[[#This Row],[Current Asking price( Total)]]-DATABASE_Table[[#This Row],[Vista membership]]-DATABASE_Table[[#This Row],[FF&amp;E]]</f>
        <v>355000</v>
      </c>
      <c r="X19" s="236"/>
      <c r="Y19" s="235"/>
      <c r="Z19" s="233">
        <f>DATABASE_Table[[#This Row],[Sell price (Total)]]-DATABASE_Table[[#This Row],[FF&amp;E]]-DATABASE_Table[[#This Row],[Vista membership]]</f>
        <v>-35000</v>
      </c>
      <c r="AA19" s="315"/>
      <c r="AB19" s="321">
        <v>47118</v>
      </c>
      <c r="AC19" s="199" t="s">
        <v>80</v>
      </c>
      <c r="AD19" s="199" t="s">
        <v>81</v>
      </c>
      <c r="AE19" s="272" t="s">
        <v>82</v>
      </c>
      <c r="AF19" s="272" t="s">
        <v>83</v>
      </c>
      <c r="AG19" s="272" t="s">
        <v>84</v>
      </c>
      <c r="AH19" s="272" t="s">
        <v>85</v>
      </c>
      <c r="AI19" s="273" t="s">
        <v>86</v>
      </c>
      <c r="AJ19" s="274" t="s">
        <v>78</v>
      </c>
      <c r="AK19"/>
    </row>
    <row r="20" spans="1:37" ht="15.75" hidden="1" customHeight="1">
      <c r="A20" s="198" t="s">
        <v>779</v>
      </c>
      <c r="B20" s="198" t="s">
        <v>786</v>
      </c>
      <c r="C20" s="214" t="s">
        <v>186</v>
      </c>
      <c r="D20" s="270" t="s">
        <v>79</v>
      </c>
      <c r="E20" s="198" t="s">
        <v>316</v>
      </c>
      <c r="F20" s="198">
        <v>56.5</v>
      </c>
      <c r="G20" s="198"/>
      <c r="H20" s="214" t="s">
        <v>848</v>
      </c>
      <c r="I20" s="214" t="s">
        <v>325</v>
      </c>
      <c r="J20" s="271">
        <v>5</v>
      </c>
      <c r="K20" s="198"/>
      <c r="L20" s="198"/>
      <c r="M20" s="198"/>
      <c r="N20" s="198"/>
      <c r="O20" s="198">
        <v>51.5</v>
      </c>
      <c r="P20" s="198"/>
      <c r="Q20" s="198" t="s">
        <v>329</v>
      </c>
      <c r="R20" s="230">
        <f>DATABASE_Table[[#This Row],[Inicial Asking Price (€) (Total)]]-DATABASE_Table[[#This Row],[Vista membership]]-DATABASE_Table[[#This Row],[FF&amp;E]]</f>
        <v>715000</v>
      </c>
      <c r="S20" s="232">
        <v>750000</v>
      </c>
      <c r="T20" s="235">
        <v>390000</v>
      </c>
      <c r="U20" s="198"/>
      <c r="V20" s="235">
        <v>35000</v>
      </c>
      <c r="W20" s="233">
        <f>DATABASE_Table[[#This Row],[Current Asking price( Total)]]-DATABASE_Table[[#This Row],[Vista membership]]-DATABASE_Table[[#This Row],[FF&amp;E]]</f>
        <v>355000</v>
      </c>
      <c r="X20" s="236"/>
      <c r="Y20" s="235"/>
      <c r="Z20" s="233">
        <f>DATABASE_Table[[#This Row],[Sell price (Total)]]-DATABASE_Table[[#This Row],[FF&amp;E]]-DATABASE_Table[[#This Row],[Vista membership]]</f>
        <v>-35000</v>
      </c>
      <c r="AA20" s="315"/>
      <c r="AB20" s="321">
        <v>47118</v>
      </c>
      <c r="AC20" s="199" t="s">
        <v>80</v>
      </c>
      <c r="AD20" s="199" t="s">
        <v>81</v>
      </c>
      <c r="AE20" s="272" t="s">
        <v>82</v>
      </c>
      <c r="AF20" s="272" t="s">
        <v>83</v>
      </c>
      <c r="AG20" s="272" t="s">
        <v>84</v>
      </c>
      <c r="AH20" s="272" t="s">
        <v>85</v>
      </c>
      <c r="AI20" s="273" t="s">
        <v>86</v>
      </c>
      <c r="AJ20" s="274" t="s">
        <v>78</v>
      </c>
      <c r="AK20"/>
    </row>
    <row r="21" spans="1:37" ht="15.75" hidden="1" customHeight="1">
      <c r="A21" s="198" t="s">
        <v>779</v>
      </c>
      <c r="B21" s="198" t="s">
        <v>786</v>
      </c>
      <c r="C21" s="214" t="s">
        <v>187</v>
      </c>
      <c r="D21" s="270" t="s">
        <v>79</v>
      </c>
      <c r="E21" s="198" t="s">
        <v>316</v>
      </c>
      <c r="F21" s="198">
        <v>56.5</v>
      </c>
      <c r="G21" s="198"/>
      <c r="H21" s="214" t="s">
        <v>848</v>
      </c>
      <c r="I21" s="214" t="s">
        <v>325</v>
      </c>
      <c r="J21" s="271">
        <v>5</v>
      </c>
      <c r="K21" s="198"/>
      <c r="L21" s="198"/>
      <c r="M21" s="198"/>
      <c r="N21" s="198"/>
      <c r="O21" s="198">
        <v>51.5</v>
      </c>
      <c r="P21" s="198"/>
      <c r="Q21" s="198" t="s">
        <v>329</v>
      </c>
      <c r="R21" s="230">
        <f>DATABASE_Table[[#This Row],[Inicial Asking Price (€) (Total)]]-DATABASE_Table[[#This Row],[Vista membership]]-DATABASE_Table[[#This Row],[FF&amp;E]]</f>
        <v>865000</v>
      </c>
      <c r="S21" s="232">
        <v>900000</v>
      </c>
      <c r="T21" s="235">
        <v>390000</v>
      </c>
      <c r="U21" s="198"/>
      <c r="V21" s="235">
        <v>35000</v>
      </c>
      <c r="W21" s="233">
        <f>DATABASE_Table[[#This Row],[Current Asking price( Total)]]-DATABASE_Table[[#This Row],[Vista membership]]-DATABASE_Table[[#This Row],[FF&amp;E]]</f>
        <v>355000</v>
      </c>
      <c r="X21" s="236"/>
      <c r="Y21" s="235"/>
      <c r="Z21" s="233">
        <f>DATABASE_Table[[#This Row],[Sell price (Total)]]-DATABASE_Table[[#This Row],[FF&amp;E]]-DATABASE_Table[[#This Row],[Vista membership]]</f>
        <v>-35000</v>
      </c>
      <c r="AA21" s="315"/>
      <c r="AB21" s="321">
        <v>47118</v>
      </c>
      <c r="AC21" s="199" t="s">
        <v>80</v>
      </c>
      <c r="AD21" s="199" t="s">
        <v>81</v>
      </c>
      <c r="AE21" s="272" t="s">
        <v>82</v>
      </c>
      <c r="AF21" s="272" t="s">
        <v>83</v>
      </c>
      <c r="AG21" s="272" t="s">
        <v>84</v>
      </c>
      <c r="AH21" s="272" t="s">
        <v>85</v>
      </c>
      <c r="AI21" s="273" t="s">
        <v>86</v>
      </c>
      <c r="AJ21" s="274" t="s">
        <v>78</v>
      </c>
      <c r="AK21"/>
    </row>
    <row r="22" spans="1:37" ht="15.75" hidden="1" customHeight="1">
      <c r="A22" s="198" t="s">
        <v>779</v>
      </c>
      <c r="B22" s="198" t="s">
        <v>786</v>
      </c>
      <c r="C22" s="214" t="s">
        <v>188</v>
      </c>
      <c r="D22" s="270" t="s">
        <v>79</v>
      </c>
      <c r="E22" s="198" t="s">
        <v>316</v>
      </c>
      <c r="F22" s="198">
        <v>56.5</v>
      </c>
      <c r="G22" s="198"/>
      <c r="H22" s="214" t="s">
        <v>848</v>
      </c>
      <c r="I22" s="214" t="s">
        <v>325</v>
      </c>
      <c r="J22" s="271">
        <v>5</v>
      </c>
      <c r="K22" s="198"/>
      <c r="L22" s="198"/>
      <c r="M22" s="198"/>
      <c r="N22" s="198"/>
      <c r="O22" s="198">
        <v>51.5</v>
      </c>
      <c r="P22" s="198"/>
      <c r="Q22" s="198" t="s">
        <v>329</v>
      </c>
      <c r="R22" s="230">
        <f>DATABASE_Table[[#This Row],[Inicial Asking Price (€) (Total)]]-DATABASE_Table[[#This Row],[Vista membership]]-DATABASE_Table[[#This Row],[FF&amp;E]]</f>
        <v>965000</v>
      </c>
      <c r="S22" s="232">
        <v>1000000</v>
      </c>
      <c r="T22" s="235">
        <v>390000</v>
      </c>
      <c r="U22" s="198"/>
      <c r="V22" s="235">
        <v>35000</v>
      </c>
      <c r="W22" s="233">
        <f>DATABASE_Table[[#This Row],[Current Asking price( Total)]]-DATABASE_Table[[#This Row],[Vista membership]]-DATABASE_Table[[#This Row],[FF&amp;E]]</f>
        <v>355000</v>
      </c>
      <c r="X22" s="236"/>
      <c r="Y22" s="235"/>
      <c r="Z22" s="233">
        <f>DATABASE_Table[[#This Row],[Sell price (Total)]]-DATABASE_Table[[#This Row],[FF&amp;E]]-DATABASE_Table[[#This Row],[Vista membership]]</f>
        <v>-35000</v>
      </c>
      <c r="AA22" s="315"/>
      <c r="AB22" s="321">
        <v>47118</v>
      </c>
      <c r="AC22" s="199" t="s">
        <v>80</v>
      </c>
      <c r="AD22" s="199" t="s">
        <v>81</v>
      </c>
      <c r="AE22" s="272" t="s">
        <v>82</v>
      </c>
      <c r="AF22" s="272" t="s">
        <v>83</v>
      </c>
      <c r="AG22" s="272" t="s">
        <v>84</v>
      </c>
      <c r="AH22" s="272" t="s">
        <v>85</v>
      </c>
      <c r="AI22" s="273" t="s">
        <v>86</v>
      </c>
      <c r="AJ22" s="274" t="s">
        <v>78</v>
      </c>
      <c r="AK22"/>
    </row>
    <row r="23" spans="1:37" ht="15.75" hidden="1" customHeight="1">
      <c r="A23" s="198" t="s">
        <v>779</v>
      </c>
      <c r="B23" s="198" t="s">
        <v>786</v>
      </c>
      <c r="C23" s="214" t="s">
        <v>189</v>
      </c>
      <c r="D23" s="270" t="s">
        <v>79</v>
      </c>
      <c r="E23" s="198" t="s">
        <v>316</v>
      </c>
      <c r="F23" s="198">
        <v>56.5</v>
      </c>
      <c r="G23" s="198"/>
      <c r="H23" s="214" t="s">
        <v>848</v>
      </c>
      <c r="I23" s="214" t="s">
        <v>325</v>
      </c>
      <c r="J23" s="271">
        <v>5</v>
      </c>
      <c r="K23" s="198"/>
      <c r="L23" s="198"/>
      <c r="M23" s="198"/>
      <c r="N23" s="198"/>
      <c r="O23" s="198">
        <v>51.5</v>
      </c>
      <c r="P23" s="198"/>
      <c r="Q23" s="198" t="s">
        <v>329</v>
      </c>
      <c r="R23" s="230">
        <f>DATABASE_Table[[#This Row],[Inicial Asking Price (€) (Total)]]-DATABASE_Table[[#This Row],[Vista membership]]-DATABASE_Table[[#This Row],[FF&amp;E]]</f>
        <v>825000</v>
      </c>
      <c r="S23" s="232">
        <v>860000</v>
      </c>
      <c r="T23" s="235">
        <v>390000</v>
      </c>
      <c r="U23" s="198"/>
      <c r="V23" s="235">
        <v>35000</v>
      </c>
      <c r="W23" s="233">
        <f>DATABASE_Table[[#This Row],[Current Asking price( Total)]]-DATABASE_Table[[#This Row],[Vista membership]]-DATABASE_Table[[#This Row],[FF&amp;E]]</f>
        <v>355000</v>
      </c>
      <c r="X23" s="236"/>
      <c r="Y23" s="235"/>
      <c r="Z23" s="233">
        <f>DATABASE_Table[[#This Row],[Sell price (Total)]]-DATABASE_Table[[#This Row],[FF&amp;E]]-DATABASE_Table[[#This Row],[Vista membership]]</f>
        <v>-35000</v>
      </c>
      <c r="AA23" s="315"/>
      <c r="AB23" s="321">
        <v>47118</v>
      </c>
      <c r="AC23" s="199" t="s">
        <v>80</v>
      </c>
      <c r="AD23" s="199" t="s">
        <v>81</v>
      </c>
      <c r="AE23" s="272" t="s">
        <v>82</v>
      </c>
      <c r="AF23" s="272" t="s">
        <v>83</v>
      </c>
      <c r="AG23" s="272" t="s">
        <v>84</v>
      </c>
      <c r="AH23" s="272" t="s">
        <v>85</v>
      </c>
      <c r="AI23" s="273" t="s">
        <v>86</v>
      </c>
      <c r="AJ23" s="274" t="s">
        <v>78</v>
      </c>
      <c r="AK23"/>
    </row>
    <row r="24" spans="1:37" ht="15.75" hidden="1" customHeight="1">
      <c r="A24" s="198" t="s">
        <v>779</v>
      </c>
      <c r="B24" s="198" t="s">
        <v>786</v>
      </c>
      <c r="C24" s="214" t="s">
        <v>223</v>
      </c>
      <c r="D24" s="270" t="s">
        <v>79</v>
      </c>
      <c r="E24" s="198" t="s">
        <v>316</v>
      </c>
      <c r="F24" s="198">
        <v>56.5</v>
      </c>
      <c r="G24" s="198"/>
      <c r="H24" s="214" t="s">
        <v>848</v>
      </c>
      <c r="I24" s="214" t="s">
        <v>325</v>
      </c>
      <c r="J24" s="271">
        <v>5</v>
      </c>
      <c r="K24" s="198"/>
      <c r="L24" s="198"/>
      <c r="M24" s="198"/>
      <c r="N24" s="198"/>
      <c r="O24" s="198">
        <v>51.5</v>
      </c>
      <c r="P24" s="198"/>
      <c r="Q24" s="198" t="s">
        <v>326</v>
      </c>
      <c r="R24" s="230">
        <f>DATABASE_Table[[#This Row],[Inicial Asking Price (€) (Total)]]-DATABASE_Table[[#This Row],[Vista membership]]-DATABASE_Table[[#This Row],[FF&amp;E]]</f>
        <v>1115000</v>
      </c>
      <c r="S24" s="232">
        <v>1150000</v>
      </c>
      <c r="T24" s="235">
        <v>405000</v>
      </c>
      <c r="U24" s="198"/>
      <c r="V24" s="235">
        <v>35000</v>
      </c>
      <c r="W24" s="233">
        <f>DATABASE_Table[[#This Row],[Current Asking price( Total)]]-DATABASE_Table[[#This Row],[Vista membership]]-DATABASE_Table[[#This Row],[FF&amp;E]]</f>
        <v>370000</v>
      </c>
      <c r="X24" s="236">
        <v>1.2345679012345699E-2</v>
      </c>
      <c r="Y24" s="235">
        <v>400000</v>
      </c>
      <c r="Z24" s="233">
        <f>DATABASE_Table[[#This Row],[Sell price (Total)]]-DATABASE_Table[[#This Row],[FF&amp;E]]-DATABASE_Table[[#This Row],[Vista membership]]</f>
        <v>365000</v>
      </c>
      <c r="AA24" s="315">
        <v>46137</v>
      </c>
      <c r="AB24" s="321">
        <v>47118</v>
      </c>
      <c r="AC24" s="199" t="s">
        <v>80</v>
      </c>
      <c r="AD24" s="199" t="s">
        <v>81</v>
      </c>
      <c r="AE24" s="272" t="s">
        <v>82</v>
      </c>
      <c r="AF24" s="272" t="s">
        <v>83</v>
      </c>
      <c r="AG24" s="272" t="s">
        <v>84</v>
      </c>
      <c r="AH24" s="272" t="s">
        <v>85</v>
      </c>
      <c r="AI24" s="273" t="s">
        <v>86</v>
      </c>
      <c r="AJ24" s="274" t="s">
        <v>78</v>
      </c>
      <c r="AK24"/>
    </row>
    <row r="25" spans="1:37" ht="15.75" hidden="1" customHeight="1">
      <c r="A25" s="198" t="s">
        <v>779</v>
      </c>
      <c r="B25" s="198" t="s">
        <v>786</v>
      </c>
      <c r="C25" s="214" t="s">
        <v>224</v>
      </c>
      <c r="D25" s="270" t="s">
        <v>79</v>
      </c>
      <c r="E25" s="198" t="s">
        <v>316</v>
      </c>
      <c r="F25" s="198">
        <v>56.5</v>
      </c>
      <c r="G25" s="198"/>
      <c r="H25" s="214" t="s">
        <v>848</v>
      </c>
      <c r="I25" s="214" t="s">
        <v>325</v>
      </c>
      <c r="J25" s="271">
        <v>5</v>
      </c>
      <c r="K25" s="198"/>
      <c r="L25" s="198"/>
      <c r="M25" s="198"/>
      <c r="N25" s="198"/>
      <c r="O25" s="198">
        <v>51.5</v>
      </c>
      <c r="P25" s="198"/>
      <c r="Q25" s="198" t="s">
        <v>329</v>
      </c>
      <c r="R25" s="230">
        <f>DATABASE_Table[[#This Row],[Inicial Asking Price (€) (Total)]]-DATABASE_Table[[#This Row],[Vista membership]]-DATABASE_Table[[#This Row],[FF&amp;E]]</f>
        <v>635000</v>
      </c>
      <c r="S25" s="232">
        <v>670000</v>
      </c>
      <c r="T25" s="235">
        <v>405000</v>
      </c>
      <c r="U25" s="198"/>
      <c r="V25" s="235">
        <v>35000</v>
      </c>
      <c r="W25" s="233">
        <f>DATABASE_Table[[#This Row],[Current Asking price( Total)]]-DATABASE_Table[[#This Row],[Vista membership]]-DATABASE_Table[[#This Row],[FF&amp;E]]</f>
        <v>370000</v>
      </c>
      <c r="X25" s="236"/>
      <c r="Y25" s="235"/>
      <c r="Z25" s="233">
        <f>DATABASE_Table[[#This Row],[Sell price (Total)]]-DATABASE_Table[[#This Row],[FF&amp;E]]-DATABASE_Table[[#This Row],[Vista membership]]</f>
        <v>-35000</v>
      </c>
      <c r="AA25" s="315"/>
      <c r="AB25" s="321">
        <v>47118</v>
      </c>
      <c r="AC25" s="199" t="s">
        <v>80</v>
      </c>
      <c r="AD25" s="199" t="s">
        <v>81</v>
      </c>
      <c r="AE25" s="272" t="s">
        <v>82</v>
      </c>
      <c r="AF25" s="272" t="s">
        <v>83</v>
      </c>
      <c r="AG25" s="272" t="s">
        <v>84</v>
      </c>
      <c r="AH25" s="272" t="s">
        <v>85</v>
      </c>
      <c r="AI25" s="273" t="s">
        <v>86</v>
      </c>
      <c r="AJ25" s="274" t="s">
        <v>78</v>
      </c>
      <c r="AK25"/>
    </row>
    <row r="26" spans="1:37" ht="15.75" hidden="1" customHeight="1">
      <c r="A26" s="198" t="s">
        <v>779</v>
      </c>
      <c r="B26" s="198" t="s">
        <v>786</v>
      </c>
      <c r="C26" s="214" t="s">
        <v>225</v>
      </c>
      <c r="D26" s="270" t="s">
        <v>79</v>
      </c>
      <c r="E26" s="198" t="s">
        <v>316</v>
      </c>
      <c r="F26" s="198">
        <v>56.5</v>
      </c>
      <c r="G26" s="198"/>
      <c r="H26" s="214" t="s">
        <v>848</v>
      </c>
      <c r="I26" s="214" t="s">
        <v>325</v>
      </c>
      <c r="J26" s="271">
        <v>5</v>
      </c>
      <c r="K26" s="198"/>
      <c r="L26" s="198"/>
      <c r="M26" s="198"/>
      <c r="N26" s="198"/>
      <c r="O26" s="198">
        <v>51.5</v>
      </c>
      <c r="P26" s="198"/>
      <c r="Q26" s="198" t="s">
        <v>329</v>
      </c>
      <c r="R26" s="230">
        <f>DATABASE_Table[[#This Row],[Inicial Asking Price (€) (Total)]]-DATABASE_Table[[#This Row],[Vista membership]]-DATABASE_Table[[#This Row],[FF&amp;E]]</f>
        <v>895000</v>
      </c>
      <c r="S26" s="232">
        <v>930000</v>
      </c>
      <c r="T26" s="235">
        <v>405000</v>
      </c>
      <c r="U26" s="198"/>
      <c r="V26" s="235">
        <v>35000</v>
      </c>
      <c r="W26" s="233">
        <f>DATABASE_Table[[#This Row],[Current Asking price( Total)]]-DATABASE_Table[[#This Row],[Vista membership]]-DATABASE_Table[[#This Row],[FF&amp;E]]</f>
        <v>370000</v>
      </c>
      <c r="X26" s="236"/>
      <c r="Y26" s="235"/>
      <c r="Z26" s="233">
        <f>DATABASE_Table[[#This Row],[Sell price (Total)]]-DATABASE_Table[[#This Row],[FF&amp;E]]-DATABASE_Table[[#This Row],[Vista membership]]</f>
        <v>-35000</v>
      </c>
      <c r="AA26" s="315"/>
      <c r="AB26" s="321">
        <v>47118</v>
      </c>
      <c r="AC26" s="199" t="s">
        <v>80</v>
      </c>
      <c r="AD26" s="199" t="s">
        <v>81</v>
      </c>
      <c r="AE26" s="272" t="s">
        <v>82</v>
      </c>
      <c r="AF26" s="272" t="s">
        <v>83</v>
      </c>
      <c r="AG26" s="272" t="s">
        <v>84</v>
      </c>
      <c r="AH26" s="272" t="s">
        <v>85</v>
      </c>
      <c r="AI26" s="273" t="s">
        <v>86</v>
      </c>
      <c r="AJ26" s="274" t="s">
        <v>78</v>
      </c>
      <c r="AK26"/>
    </row>
    <row r="27" spans="1:37" ht="15.75" hidden="1" customHeight="1">
      <c r="A27" s="198" t="s">
        <v>779</v>
      </c>
      <c r="B27" s="198" t="s">
        <v>786</v>
      </c>
      <c r="C27" s="214" t="s">
        <v>226</v>
      </c>
      <c r="D27" s="270" t="s">
        <v>79</v>
      </c>
      <c r="E27" s="198" t="s">
        <v>316</v>
      </c>
      <c r="F27" s="198">
        <v>56.5</v>
      </c>
      <c r="G27" s="198"/>
      <c r="H27" s="214" t="s">
        <v>848</v>
      </c>
      <c r="I27" s="214" t="s">
        <v>325</v>
      </c>
      <c r="J27" s="271">
        <v>5</v>
      </c>
      <c r="K27" s="198"/>
      <c r="L27" s="198"/>
      <c r="M27" s="198"/>
      <c r="N27" s="198"/>
      <c r="O27" s="198">
        <v>51.5</v>
      </c>
      <c r="P27" s="198"/>
      <c r="Q27" s="198" t="s">
        <v>329</v>
      </c>
      <c r="R27" s="230">
        <f>DATABASE_Table[[#This Row],[Inicial Asking Price (€) (Total)]]-DATABASE_Table[[#This Row],[Vista membership]]-DATABASE_Table[[#This Row],[FF&amp;E]]</f>
        <v>675000</v>
      </c>
      <c r="S27" s="232">
        <v>710000</v>
      </c>
      <c r="T27" s="235">
        <v>405000</v>
      </c>
      <c r="U27" s="198"/>
      <c r="V27" s="235">
        <v>35000</v>
      </c>
      <c r="W27" s="233">
        <f>DATABASE_Table[[#This Row],[Current Asking price( Total)]]-DATABASE_Table[[#This Row],[Vista membership]]-DATABASE_Table[[#This Row],[FF&amp;E]]</f>
        <v>370000</v>
      </c>
      <c r="X27" s="236"/>
      <c r="Y27" s="235"/>
      <c r="Z27" s="233">
        <f>DATABASE_Table[[#This Row],[Sell price (Total)]]-DATABASE_Table[[#This Row],[FF&amp;E]]-DATABASE_Table[[#This Row],[Vista membership]]</f>
        <v>-35000</v>
      </c>
      <c r="AA27" s="315"/>
      <c r="AB27" s="321">
        <v>47118</v>
      </c>
      <c r="AC27" s="199" t="s">
        <v>80</v>
      </c>
      <c r="AD27" s="199" t="s">
        <v>81</v>
      </c>
      <c r="AE27" s="272" t="s">
        <v>82</v>
      </c>
      <c r="AF27" s="272" t="s">
        <v>83</v>
      </c>
      <c r="AG27" s="272" t="s">
        <v>84</v>
      </c>
      <c r="AH27" s="272" t="s">
        <v>85</v>
      </c>
      <c r="AI27" s="273" t="s">
        <v>86</v>
      </c>
      <c r="AJ27" s="274" t="s">
        <v>78</v>
      </c>
      <c r="AK27"/>
    </row>
    <row r="28" spans="1:37" ht="15.75" hidden="1" customHeight="1">
      <c r="A28" s="198" t="s">
        <v>779</v>
      </c>
      <c r="B28" s="198" t="s">
        <v>786</v>
      </c>
      <c r="C28" s="214" t="s">
        <v>232</v>
      </c>
      <c r="D28" s="270" t="s">
        <v>79</v>
      </c>
      <c r="E28" s="198" t="s">
        <v>316</v>
      </c>
      <c r="F28" s="198">
        <v>56.5</v>
      </c>
      <c r="G28" s="198"/>
      <c r="H28" s="214" t="s">
        <v>848</v>
      </c>
      <c r="I28" s="214" t="s">
        <v>325</v>
      </c>
      <c r="J28" s="271">
        <v>5</v>
      </c>
      <c r="K28" s="198"/>
      <c r="L28" s="198"/>
      <c r="M28" s="198"/>
      <c r="N28" s="198"/>
      <c r="O28" s="198">
        <v>51.5</v>
      </c>
      <c r="P28" s="198"/>
      <c r="Q28" s="198" t="s">
        <v>329</v>
      </c>
      <c r="R28" s="230">
        <f>DATABASE_Table[[#This Row],[Inicial Asking Price (€) (Total)]]-DATABASE_Table[[#This Row],[Vista membership]]-DATABASE_Table[[#This Row],[FF&amp;E]]</f>
        <v>665000</v>
      </c>
      <c r="S28" s="232">
        <v>700000</v>
      </c>
      <c r="T28" s="235">
        <v>405000</v>
      </c>
      <c r="U28" s="198"/>
      <c r="V28" s="235">
        <v>35000</v>
      </c>
      <c r="W28" s="233">
        <f>DATABASE_Table[[#This Row],[Current Asking price( Total)]]-DATABASE_Table[[#This Row],[Vista membership]]-DATABASE_Table[[#This Row],[FF&amp;E]]</f>
        <v>370000</v>
      </c>
      <c r="X28" s="236"/>
      <c r="Y28" s="235"/>
      <c r="Z28" s="233">
        <f>DATABASE_Table[[#This Row],[Sell price (Total)]]-DATABASE_Table[[#This Row],[FF&amp;E]]-DATABASE_Table[[#This Row],[Vista membership]]</f>
        <v>-35000</v>
      </c>
      <c r="AA28" s="315"/>
      <c r="AB28" s="321">
        <v>47118</v>
      </c>
      <c r="AC28" s="199" t="s">
        <v>80</v>
      </c>
      <c r="AD28" s="199" t="s">
        <v>81</v>
      </c>
      <c r="AE28" s="272" t="s">
        <v>82</v>
      </c>
      <c r="AF28" s="272" t="s">
        <v>83</v>
      </c>
      <c r="AG28" s="272" t="s">
        <v>84</v>
      </c>
      <c r="AH28" s="272" t="s">
        <v>85</v>
      </c>
      <c r="AI28" s="273" t="s">
        <v>86</v>
      </c>
      <c r="AJ28" s="274" t="s">
        <v>78</v>
      </c>
      <c r="AK28"/>
    </row>
    <row r="29" spans="1:37" ht="15.75" hidden="1" customHeight="1">
      <c r="A29" s="198" t="s">
        <v>779</v>
      </c>
      <c r="B29" s="198" t="s">
        <v>786</v>
      </c>
      <c r="C29" s="214" t="s">
        <v>233</v>
      </c>
      <c r="D29" s="270" t="s">
        <v>79</v>
      </c>
      <c r="E29" s="198" t="s">
        <v>316</v>
      </c>
      <c r="F29" s="198">
        <v>56.5</v>
      </c>
      <c r="G29" s="198"/>
      <c r="H29" s="214" t="s">
        <v>848</v>
      </c>
      <c r="I29" s="214" t="s">
        <v>325</v>
      </c>
      <c r="J29" s="271">
        <v>5</v>
      </c>
      <c r="K29" s="198"/>
      <c r="L29" s="198"/>
      <c r="M29" s="198"/>
      <c r="N29" s="198"/>
      <c r="O29" s="198">
        <v>51.5</v>
      </c>
      <c r="P29" s="198"/>
      <c r="Q29" s="198" t="s">
        <v>329</v>
      </c>
      <c r="R29" s="230">
        <f>DATABASE_Table[[#This Row],[Inicial Asking Price (€) (Total)]]-DATABASE_Table[[#This Row],[Vista membership]]-DATABASE_Table[[#This Row],[FF&amp;E]]</f>
        <v>705000</v>
      </c>
      <c r="S29" s="232">
        <v>740000</v>
      </c>
      <c r="T29" s="235">
        <v>405000</v>
      </c>
      <c r="U29" s="198"/>
      <c r="V29" s="235">
        <v>35000</v>
      </c>
      <c r="W29" s="233">
        <f>DATABASE_Table[[#This Row],[Current Asking price( Total)]]-DATABASE_Table[[#This Row],[Vista membership]]-DATABASE_Table[[#This Row],[FF&amp;E]]</f>
        <v>370000</v>
      </c>
      <c r="X29" s="236"/>
      <c r="Y29" s="235"/>
      <c r="Z29" s="233">
        <f>DATABASE_Table[[#This Row],[Sell price (Total)]]-DATABASE_Table[[#This Row],[FF&amp;E]]-DATABASE_Table[[#This Row],[Vista membership]]</f>
        <v>-35000</v>
      </c>
      <c r="AA29" s="315"/>
      <c r="AB29" s="321">
        <v>47118</v>
      </c>
      <c r="AC29" s="199" t="s">
        <v>80</v>
      </c>
      <c r="AD29" s="199" t="s">
        <v>81</v>
      </c>
      <c r="AE29" s="272" t="s">
        <v>82</v>
      </c>
      <c r="AF29" s="272" t="s">
        <v>83</v>
      </c>
      <c r="AG29" s="272" t="s">
        <v>84</v>
      </c>
      <c r="AH29" s="272" t="s">
        <v>85</v>
      </c>
      <c r="AI29" s="273" t="s">
        <v>86</v>
      </c>
      <c r="AJ29" s="274" t="s">
        <v>78</v>
      </c>
      <c r="AK29"/>
    </row>
    <row r="30" spans="1:37" ht="15.75" hidden="1" customHeight="1">
      <c r="A30" s="198" t="s">
        <v>779</v>
      </c>
      <c r="B30" s="198" t="s">
        <v>786</v>
      </c>
      <c r="C30" s="214" t="s">
        <v>234</v>
      </c>
      <c r="D30" s="270" t="s">
        <v>79</v>
      </c>
      <c r="E30" s="198" t="s">
        <v>316</v>
      </c>
      <c r="F30" s="198">
        <v>56.5</v>
      </c>
      <c r="G30" s="198"/>
      <c r="H30" s="214" t="s">
        <v>848</v>
      </c>
      <c r="I30" s="214" t="s">
        <v>325</v>
      </c>
      <c r="J30" s="271">
        <v>5</v>
      </c>
      <c r="K30" s="198"/>
      <c r="L30" s="198"/>
      <c r="M30" s="198"/>
      <c r="N30" s="198"/>
      <c r="O30" s="198">
        <v>51.5</v>
      </c>
      <c r="P30" s="198"/>
      <c r="Q30" s="198" t="s">
        <v>329</v>
      </c>
      <c r="R30" s="230">
        <f>DATABASE_Table[[#This Row],[Inicial Asking Price (€) (Total)]]-DATABASE_Table[[#This Row],[Vista membership]]-DATABASE_Table[[#This Row],[FF&amp;E]]</f>
        <v>915000</v>
      </c>
      <c r="S30" s="232">
        <v>950000</v>
      </c>
      <c r="T30" s="235">
        <v>405000</v>
      </c>
      <c r="U30" s="198"/>
      <c r="V30" s="235">
        <v>35000</v>
      </c>
      <c r="W30" s="233">
        <f>DATABASE_Table[[#This Row],[Current Asking price( Total)]]-DATABASE_Table[[#This Row],[Vista membership]]-DATABASE_Table[[#This Row],[FF&amp;E]]</f>
        <v>370000</v>
      </c>
      <c r="X30" s="236"/>
      <c r="Y30" s="235"/>
      <c r="Z30" s="233">
        <f>DATABASE_Table[[#This Row],[Sell price (Total)]]-DATABASE_Table[[#This Row],[FF&amp;E]]-DATABASE_Table[[#This Row],[Vista membership]]</f>
        <v>-35000</v>
      </c>
      <c r="AA30" s="315"/>
      <c r="AB30" s="321">
        <v>47118</v>
      </c>
      <c r="AC30" s="199" t="s">
        <v>80</v>
      </c>
      <c r="AD30" s="199" t="s">
        <v>81</v>
      </c>
      <c r="AE30" s="272" t="s">
        <v>82</v>
      </c>
      <c r="AF30" s="272" t="s">
        <v>83</v>
      </c>
      <c r="AG30" s="272" t="s">
        <v>84</v>
      </c>
      <c r="AH30" s="272" t="s">
        <v>85</v>
      </c>
      <c r="AI30" s="273" t="s">
        <v>86</v>
      </c>
      <c r="AJ30" s="274" t="s">
        <v>78</v>
      </c>
      <c r="AK30"/>
    </row>
    <row r="31" spans="1:37" ht="15.75" hidden="1" customHeight="1">
      <c r="A31" s="198" t="s">
        <v>779</v>
      </c>
      <c r="B31" s="198" t="s">
        <v>786</v>
      </c>
      <c r="C31" s="214" t="s">
        <v>235</v>
      </c>
      <c r="D31" s="270" t="s">
        <v>79</v>
      </c>
      <c r="E31" s="198" t="s">
        <v>316</v>
      </c>
      <c r="F31" s="198">
        <v>56.5</v>
      </c>
      <c r="G31" s="198"/>
      <c r="H31" s="214" t="s">
        <v>848</v>
      </c>
      <c r="I31" s="214" t="s">
        <v>325</v>
      </c>
      <c r="J31" s="271">
        <v>5</v>
      </c>
      <c r="K31" s="198"/>
      <c r="L31" s="198"/>
      <c r="M31" s="198"/>
      <c r="N31" s="198"/>
      <c r="O31" s="198">
        <v>51.5</v>
      </c>
      <c r="P31" s="198"/>
      <c r="Q31" s="198" t="s">
        <v>329</v>
      </c>
      <c r="R31" s="230">
        <f>DATABASE_Table[[#This Row],[Inicial Asking Price (€) (Total)]]-DATABASE_Table[[#This Row],[Vista membership]]-DATABASE_Table[[#This Row],[FF&amp;E]]</f>
        <v>1055000</v>
      </c>
      <c r="S31" s="232">
        <v>1090000</v>
      </c>
      <c r="T31" s="235">
        <v>405000</v>
      </c>
      <c r="U31" s="198"/>
      <c r="V31" s="235">
        <v>35000</v>
      </c>
      <c r="W31" s="233">
        <f>DATABASE_Table[[#This Row],[Current Asking price( Total)]]-DATABASE_Table[[#This Row],[Vista membership]]-DATABASE_Table[[#This Row],[FF&amp;E]]</f>
        <v>370000</v>
      </c>
      <c r="X31" s="236"/>
      <c r="Y31" s="235"/>
      <c r="Z31" s="233">
        <f>DATABASE_Table[[#This Row],[Sell price (Total)]]-DATABASE_Table[[#This Row],[FF&amp;E]]-DATABASE_Table[[#This Row],[Vista membership]]</f>
        <v>-35000</v>
      </c>
      <c r="AA31" s="315"/>
      <c r="AB31" s="321">
        <v>47118</v>
      </c>
      <c r="AC31" s="199" t="s">
        <v>80</v>
      </c>
      <c r="AD31" s="199" t="s">
        <v>81</v>
      </c>
      <c r="AE31" s="272" t="s">
        <v>82</v>
      </c>
      <c r="AF31" s="272" t="s">
        <v>83</v>
      </c>
      <c r="AG31" s="272" t="s">
        <v>84</v>
      </c>
      <c r="AH31" s="272" t="s">
        <v>85</v>
      </c>
      <c r="AI31" s="273" t="s">
        <v>86</v>
      </c>
      <c r="AJ31" s="274" t="s">
        <v>78</v>
      </c>
      <c r="AK31"/>
    </row>
    <row r="32" spans="1:37" ht="15.75" hidden="1" customHeight="1">
      <c r="A32" s="198" t="s">
        <v>779</v>
      </c>
      <c r="B32" s="198" t="s">
        <v>786</v>
      </c>
      <c r="C32" s="214" t="s">
        <v>128</v>
      </c>
      <c r="D32" s="270" t="s">
        <v>79</v>
      </c>
      <c r="E32" s="198" t="s">
        <v>316</v>
      </c>
      <c r="F32" s="198">
        <v>60.2</v>
      </c>
      <c r="G32" s="198"/>
      <c r="H32" s="214" t="s">
        <v>848</v>
      </c>
      <c r="I32" s="214" t="s">
        <v>325</v>
      </c>
      <c r="J32" s="271">
        <v>3.9</v>
      </c>
      <c r="K32" s="198"/>
      <c r="L32" s="198"/>
      <c r="M32" s="198"/>
      <c r="N32" s="198"/>
      <c r="O32" s="198">
        <v>56.3</v>
      </c>
      <c r="P32" s="198"/>
      <c r="Q32" s="198" t="s">
        <v>326</v>
      </c>
      <c r="R32" s="230">
        <f>DATABASE_Table[[#This Row],[Inicial Asking Price (€) (Total)]]-DATABASE_Table[[#This Row],[Vista membership]]-DATABASE_Table[[#This Row],[FF&amp;E]]</f>
        <v>985000</v>
      </c>
      <c r="S32" s="232">
        <v>1020000</v>
      </c>
      <c r="T32" s="235">
        <v>410000</v>
      </c>
      <c r="U32" s="198"/>
      <c r="V32" s="235">
        <v>35000</v>
      </c>
      <c r="W32" s="233">
        <f>DATABASE_Table[[#This Row],[Current Asking price( Total)]]-DATABASE_Table[[#This Row],[Vista membership]]-DATABASE_Table[[#This Row],[FF&amp;E]]</f>
        <v>375000</v>
      </c>
      <c r="X32" s="236">
        <v>0</v>
      </c>
      <c r="Y32" s="235">
        <v>410000</v>
      </c>
      <c r="Z32" s="233">
        <f>DATABASE_Table[[#This Row],[Sell price (Total)]]-DATABASE_Table[[#This Row],[FF&amp;E]]-DATABASE_Table[[#This Row],[Vista membership]]</f>
        <v>375000</v>
      </c>
      <c r="AA32" s="315">
        <v>46120</v>
      </c>
      <c r="AB32" s="321">
        <v>47118</v>
      </c>
      <c r="AC32" s="199" t="s">
        <v>80</v>
      </c>
      <c r="AD32" s="199" t="s">
        <v>81</v>
      </c>
      <c r="AE32" s="272" t="s">
        <v>82</v>
      </c>
      <c r="AF32" s="272" t="s">
        <v>83</v>
      </c>
      <c r="AG32" s="272" t="s">
        <v>84</v>
      </c>
      <c r="AH32" s="272" t="s">
        <v>85</v>
      </c>
      <c r="AI32" s="273" t="s">
        <v>86</v>
      </c>
      <c r="AJ32" s="274" t="s">
        <v>78</v>
      </c>
      <c r="AK32"/>
    </row>
    <row r="33" spans="1:37" ht="15.75" hidden="1" customHeight="1">
      <c r="A33" s="198" t="s">
        <v>779</v>
      </c>
      <c r="B33" s="198" t="s">
        <v>786</v>
      </c>
      <c r="C33" s="214" t="s">
        <v>129</v>
      </c>
      <c r="D33" s="270" t="s">
        <v>79</v>
      </c>
      <c r="E33" s="198" t="s">
        <v>316</v>
      </c>
      <c r="F33" s="198">
        <v>60.2</v>
      </c>
      <c r="G33" s="198"/>
      <c r="H33" s="214" t="s">
        <v>848</v>
      </c>
      <c r="I33" s="214" t="s">
        <v>325</v>
      </c>
      <c r="J33" s="271">
        <v>3.9</v>
      </c>
      <c r="K33" s="198"/>
      <c r="L33" s="198"/>
      <c r="M33" s="198"/>
      <c r="N33" s="198"/>
      <c r="O33" s="198">
        <v>56.3</v>
      </c>
      <c r="P33" s="198"/>
      <c r="Q33" s="198" t="s">
        <v>326</v>
      </c>
      <c r="R33" s="230">
        <f>DATABASE_Table[[#This Row],[Inicial Asking Price (€) (Total)]]-DATABASE_Table[[#This Row],[Vista membership]]-DATABASE_Table[[#This Row],[FF&amp;E]]</f>
        <v>725000</v>
      </c>
      <c r="S33" s="232">
        <v>760000</v>
      </c>
      <c r="T33" s="235">
        <v>410000</v>
      </c>
      <c r="U33" s="198"/>
      <c r="V33" s="235">
        <v>35000</v>
      </c>
      <c r="W33" s="233">
        <f>DATABASE_Table[[#This Row],[Current Asking price( Total)]]-DATABASE_Table[[#This Row],[Vista membership]]-DATABASE_Table[[#This Row],[FF&amp;E]]</f>
        <v>375000</v>
      </c>
      <c r="X33" s="236">
        <v>0</v>
      </c>
      <c r="Y33" s="235">
        <v>410000</v>
      </c>
      <c r="Z33" s="233">
        <f>DATABASE_Table[[#This Row],[Sell price (Total)]]-DATABASE_Table[[#This Row],[FF&amp;E]]-DATABASE_Table[[#This Row],[Vista membership]]</f>
        <v>375000</v>
      </c>
      <c r="AA33" s="315">
        <v>46112</v>
      </c>
      <c r="AB33" s="321">
        <v>47118</v>
      </c>
      <c r="AC33" s="199" t="s">
        <v>80</v>
      </c>
      <c r="AD33" s="199" t="s">
        <v>81</v>
      </c>
      <c r="AE33" s="272" t="s">
        <v>82</v>
      </c>
      <c r="AF33" s="272" t="s">
        <v>83</v>
      </c>
      <c r="AG33" s="272" t="s">
        <v>84</v>
      </c>
      <c r="AH33" s="272" t="s">
        <v>85</v>
      </c>
      <c r="AI33" s="273" t="s">
        <v>86</v>
      </c>
      <c r="AJ33" s="274" t="s">
        <v>78</v>
      </c>
      <c r="AK33"/>
    </row>
    <row r="34" spans="1:37" ht="15.75" hidden="1" customHeight="1">
      <c r="A34" s="198" t="s">
        <v>779</v>
      </c>
      <c r="B34" s="198" t="s">
        <v>786</v>
      </c>
      <c r="C34" s="214" t="s">
        <v>130</v>
      </c>
      <c r="D34" s="270" t="s">
        <v>79</v>
      </c>
      <c r="E34" s="198" t="s">
        <v>316</v>
      </c>
      <c r="F34" s="198">
        <v>60.2</v>
      </c>
      <c r="G34" s="198"/>
      <c r="H34" s="214" t="s">
        <v>848</v>
      </c>
      <c r="I34" s="214" t="s">
        <v>325</v>
      </c>
      <c r="J34" s="271">
        <v>3.9</v>
      </c>
      <c r="K34" s="198"/>
      <c r="L34" s="198"/>
      <c r="M34" s="198"/>
      <c r="N34" s="198"/>
      <c r="O34" s="198">
        <v>56.3</v>
      </c>
      <c r="P34" s="198"/>
      <c r="Q34" s="198" t="s">
        <v>326</v>
      </c>
      <c r="R34" s="230">
        <f>DATABASE_Table[[#This Row],[Inicial Asking Price (€) (Total)]]-DATABASE_Table[[#This Row],[Vista membership]]-DATABASE_Table[[#This Row],[FF&amp;E]]</f>
        <v>765000</v>
      </c>
      <c r="S34" s="232">
        <v>800000</v>
      </c>
      <c r="T34" s="235">
        <v>410000</v>
      </c>
      <c r="U34" s="198"/>
      <c r="V34" s="235">
        <v>35000</v>
      </c>
      <c r="W34" s="233">
        <f>DATABASE_Table[[#This Row],[Current Asking price( Total)]]-DATABASE_Table[[#This Row],[Vista membership]]-DATABASE_Table[[#This Row],[FF&amp;E]]</f>
        <v>375000</v>
      </c>
      <c r="X34" s="236">
        <v>0</v>
      </c>
      <c r="Y34" s="235">
        <v>410000</v>
      </c>
      <c r="Z34" s="233">
        <f>DATABASE_Table[[#This Row],[Sell price (Total)]]-DATABASE_Table[[#This Row],[FF&amp;E]]-DATABASE_Table[[#This Row],[Vista membership]]</f>
        <v>375000</v>
      </c>
      <c r="AA34" s="315">
        <v>46112</v>
      </c>
      <c r="AB34" s="321">
        <v>47118</v>
      </c>
      <c r="AC34" s="199" t="s">
        <v>80</v>
      </c>
      <c r="AD34" s="199" t="s">
        <v>81</v>
      </c>
      <c r="AE34" s="272" t="s">
        <v>82</v>
      </c>
      <c r="AF34" s="272" t="s">
        <v>83</v>
      </c>
      <c r="AG34" s="272" t="s">
        <v>84</v>
      </c>
      <c r="AH34" s="272" t="s">
        <v>85</v>
      </c>
      <c r="AI34" s="273" t="s">
        <v>86</v>
      </c>
      <c r="AJ34" s="274" t="s">
        <v>78</v>
      </c>
      <c r="AK34"/>
    </row>
    <row r="35" spans="1:37" ht="15.75" hidden="1" customHeight="1">
      <c r="A35" s="198" t="s">
        <v>779</v>
      </c>
      <c r="B35" s="198" t="s">
        <v>786</v>
      </c>
      <c r="C35" s="214" t="s">
        <v>131</v>
      </c>
      <c r="D35" s="270" t="s">
        <v>79</v>
      </c>
      <c r="E35" s="198" t="s">
        <v>316</v>
      </c>
      <c r="F35" s="198">
        <v>60.2</v>
      </c>
      <c r="G35" s="198"/>
      <c r="H35" s="214" t="s">
        <v>848</v>
      </c>
      <c r="I35" s="214" t="s">
        <v>325</v>
      </c>
      <c r="J35" s="271">
        <v>3.9</v>
      </c>
      <c r="K35" s="198"/>
      <c r="L35" s="198"/>
      <c r="M35" s="198"/>
      <c r="N35" s="198"/>
      <c r="O35" s="198">
        <v>56.3</v>
      </c>
      <c r="P35" s="198"/>
      <c r="Q35" s="198" t="s">
        <v>326</v>
      </c>
      <c r="R35" s="230">
        <f>DATABASE_Table[[#This Row],[Inicial Asking Price (€) (Total)]]-DATABASE_Table[[#This Row],[Vista membership]]-DATABASE_Table[[#This Row],[FF&amp;E]]</f>
        <v>885000</v>
      </c>
      <c r="S35" s="232">
        <v>920000</v>
      </c>
      <c r="T35" s="235">
        <v>410000</v>
      </c>
      <c r="U35" s="198"/>
      <c r="V35" s="235">
        <v>35000</v>
      </c>
      <c r="W35" s="233">
        <f>DATABASE_Table[[#This Row],[Current Asking price( Total)]]-DATABASE_Table[[#This Row],[Vista membership]]-DATABASE_Table[[#This Row],[FF&amp;E]]</f>
        <v>375000</v>
      </c>
      <c r="X35" s="236">
        <v>0</v>
      </c>
      <c r="Y35" s="235">
        <v>410000</v>
      </c>
      <c r="Z35" s="233">
        <f>DATABASE_Table[[#This Row],[Sell price (Total)]]-DATABASE_Table[[#This Row],[FF&amp;E]]-DATABASE_Table[[#This Row],[Vista membership]]</f>
        <v>375000</v>
      </c>
      <c r="AA35" s="315">
        <v>46146</v>
      </c>
      <c r="AB35" s="321">
        <v>47118</v>
      </c>
      <c r="AC35" s="199" t="s">
        <v>80</v>
      </c>
      <c r="AD35" s="199" t="s">
        <v>81</v>
      </c>
      <c r="AE35" s="272" t="s">
        <v>82</v>
      </c>
      <c r="AF35" s="272" t="s">
        <v>83</v>
      </c>
      <c r="AG35" s="272" t="s">
        <v>84</v>
      </c>
      <c r="AH35" s="272" t="s">
        <v>85</v>
      </c>
      <c r="AI35" s="273" t="s">
        <v>86</v>
      </c>
      <c r="AJ35" s="274" t="s">
        <v>78</v>
      </c>
      <c r="AK35"/>
    </row>
    <row r="36" spans="1:37" ht="15.75" hidden="1" customHeight="1">
      <c r="A36" s="198" t="s">
        <v>779</v>
      </c>
      <c r="B36" s="198" t="s">
        <v>786</v>
      </c>
      <c r="C36" s="214" t="s">
        <v>127</v>
      </c>
      <c r="D36" s="270" t="s">
        <v>79</v>
      </c>
      <c r="E36" s="198" t="s">
        <v>316</v>
      </c>
      <c r="F36" s="198">
        <v>60.2</v>
      </c>
      <c r="G36" s="198"/>
      <c r="H36" s="214" t="s">
        <v>848</v>
      </c>
      <c r="I36" s="214" t="s">
        <v>325</v>
      </c>
      <c r="J36" s="271">
        <v>3.9</v>
      </c>
      <c r="K36" s="198"/>
      <c r="L36" s="198"/>
      <c r="M36" s="198"/>
      <c r="N36" s="198"/>
      <c r="O36" s="198">
        <v>56.3</v>
      </c>
      <c r="P36" s="198"/>
      <c r="Q36" s="198" t="s">
        <v>329</v>
      </c>
      <c r="R36" s="230">
        <f>DATABASE_Table[[#This Row],[Inicial Asking Price (€) (Total)]]-DATABASE_Table[[#This Row],[Vista membership]]-DATABASE_Table[[#This Row],[FF&amp;E]]</f>
        <v>1245000</v>
      </c>
      <c r="S36" s="232">
        <v>1280000</v>
      </c>
      <c r="T36" s="235">
        <v>410000</v>
      </c>
      <c r="U36" s="198"/>
      <c r="V36" s="235">
        <v>35000</v>
      </c>
      <c r="W36" s="233">
        <f>DATABASE_Table[[#This Row],[Current Asking price( Total)]]-DATABASE_Table[[#This Row],[Vista membership]]-DATABASE_Table[[#This Row],[FF&amp;E]]</f>
        <v>375000</v>
      </c>
      <c r="X36" s="236"/>
      <c r="Y36" s="235"/>
      <c r="Z36" s="233">
        <f>DATABASE_Table[[#This Row],[Sell price (Total)]]-DATABASE_Table[[#This Row],[FF&amp;E]]-DATABASE_Table[[#This Row],[Vista membership]]</f>
        <v>-35000</v>
      </c>
      <c r="AA36" s="315"/>
      <c r="AB36" s="321">
        <v>47118</v>
      </c>
      <c r="AC36" s="199" t="s">
        <v>80</v>
      </c>
      <c r="AD36" s="199" t="s">
        <v>81</v>
      </c>
      <c r="AE36" s="272" t="s">
        <v>82</v>
      </c>
      <c r="AF36" s="272" t="s">
        <v>83</v>
      </c>
      <c r="AG36" s="272" t="s">
        <v>84</v>
      </c>
      <c r="AH36" s="272" t="s">
        <v>85</v>
      </c>
      <c r="AI36" s="273" t="s">
        <v>86</v>
      </c>
      <c r="AJ36" s="274" t="s">
        <v>78</v>
      </c>
      <c r="AK36"/>
    </row>
    <row r="37" spans="1:37" ht="15.75" hidden="1" customHeight="1">
      <c r="A37" s="198" t="s">
        <v>779</v>
      </c>
      <c r="B37" s="198" t="s">
        <v>786</v>
      </c>
      <c r="C37" s="214" t="s">
        <v>181</v>
      </c>
      <c r="D37" s="270" t="s">
        <v>79</v>
      </c>
      <c r="E37" s="198" t="s">
        <v>316</v>
      </c>
      <c r="F37" s="198">
        <v>60.2</v>
      </c>
      <c r="G37" s="198"/>
      <c r="H37" s="214" t="s">
        <v>848</v>
      </c>
      <c r="I37" s="214" t="s">
        <v>325</v>
      </c>
      <c r="J37" s="271">
        <v>3.9</v>
      </c>
      <c r="K37" s="198"/>
      <c r="L37" s="198"/>
      <c r="M37" s="198"/>
      <c r="N37" s="198"/>
      <c r="O37" s="198">
        <v>56.3</v>
      </c>
      <c r="P37" s="198"/>
      <c r="Q37" s="198" t="s">
        <v>329</v>
      </c>
      <c r="R37" s="230">
        <f>DATABASE_Table[[#This Row],[Inicial Asking Price (€) (Total)]]-DATABASE_Table[[#This Row],[Vista membership]]-DATABASE_Table[[#This Row],[FF&amp;E]]</f>
        <v>825000</v>
      </c>
      <c r="S37" s="232">
        <v>860000</v>
      </c>
      <c r="T37" s="235">
        <v>410000</v>
      </c>
      <c r="U37" s="198"/>
      <c r="V37" s="235">
        <v>35000</v>
      </c>
      <c r="W37" s="233">
        <f>DATABASE_Table[[#This Row],[Current Asking price( Total)]]-DATABASE_Table[[#This Row],[Vista membership]]-DATABASE_Table[[#This Row],[FF&amp;E]]</f>
        <v>375000</v>
      </c>
      <c r="X37" s="236"/>
      <c r="Y37" s="235"/>
      <c r="Z37" s="233">
        <f>DATABASE_Table[[#This Row],[Sell price (Total)]]-DATABASE_Table[[#This Row],[FF&amp;E]]-DATABASE_Table[[#This Row],[Vista membership]]</f>
        <v>-35000</v>
      </c>
      <c r="AA37" s="315"/>
      <c r="AB37" s="321">
        <v>47118</v>
      </c>
      <c r="AC37" s="199" t="s">
        <v>80</v>
      </c>
      <c r="AD37" s="199" t="s">
        <v>81</v>
      </c>
      <c r="AE37" s="272" t="s">
        <v>82</v>
      </c>
      <c r="AF37" s="272" t="s">
        <v>83</v>
      </c>
      <c r="AG37" s="272" t="s">
        <v>84</v>
      </c>
      <c r="AH37" s="272" t="s">
        <v>85</v>
      </c>
      <c r="AI37" s="273" t="s">
        <v>86</v>
      </c>
      <c r="AJ37" s="274" t="s">
        <v>78</v>
      </c>
      <c r="AK37"/>
    </row>
    <row r="38" spans="1:37" ht="15.75" hidden="1" customHeight="1">
      <c r="A38" s="198" t="s">
        <v>779</v>
      </c>
      <c r="B38" s="198" t="s">
        <v>786</v>
      </c>
      <c r="C38" s="214" t="s">
        <v>182</v>
      </c>
      <c r="D38" s="270" t="s">
        <v>79</v>
      </c>
      <c r="E38" s="198" t="s">
        <v>316</v>
      </c>
      <c r="F38" s="198">
        <v>60.2</v>
      </c>
      <c r="G38" s="198"/>
      <c r="H38" s="214" t="s">
        <v>848</v>
      </c>
      <c r="I38" s="214" t="s">
        <v>325</v>
      </c>
      <c r="J38" s="271">
        <v>3.9</v>
      </c>
      <c r="K38" s="198"/>
      <c r="L38" s="198"/>
      <c r="M38" s="198"/>
      <c r="N38" s="198"/>
      <c r="O38" s="198">
        <v>56.3</v>
      </c>
      <c r="P38" s="198"/>
      <c r="Q38" s="198" t="s">
        <v>329</v>
      </c>
      <c r="R38" s="230">
        <f>DATABASE_Table[[#This Row],[Inicial Asking Price (€) (Total)]]-DATABASE_Table[[#This Row],[Vista membership]]-DATABASE_Table[[#This Row],[FF&amp;E]]</f>
        <v>745000</v>
      </c>
      <c r="S38" s="232">
        <v>780000</v>
      </c>
      <c r="T38" s="235">
        <v>410000</v>
      </c>
      <c r="U38" s="198"/>
      <c r="V38" s="235">
        <v>35000</v>
      </c>
      <c r="W38" s="233">
        <f>DATABASE_Table[[#This Row],[Current Asking price( Total)]]-DATABASE_Table[[#This Row],[Vista membership]]-DATABASE_Table[[#This Row],[FF&amp;E]]</f>
        <v>375000</v>
      </c>
      <c r="X38" s="236"/>
      <c r="Y38" s="235"/>
      <c r="Z38" s="233">
        <f>DATABASE_Table[[#This Row],[Sell price (Total)]]-DATABASE_Table[[#This Row],[FF&amp;E]]-DATABASE_Table[[#This Row],[Vista membership]]</f>
        <v>-35000</v>
      </c>
      <c r="AA38" s="315"/>
      <c r="AB38" s="321">
        <v>47118</v>
      </c>
      <c r="AC38" s="199" t="s">
        <v>80</v>
      </c>
      <c r="AD38" s="199" t="s">
        <v>81</v>
      </c>
      <c r="AE38" s="272" t="s">
        <v>82</v>
      </c>
      <c r="AF38" s="272" t="s">
        <v>83</v>
      </c>
      <c r="AG38" s="272" t="s">
        <v>84</v>
      </c>
      <c r="AH38" s="272" t="s">
        <v>85</v>
      </c>
      <c r="AI38" s="273" t="s">
        <v>86</v>
      </c>
      <c r="AJ38" s="274" t="s">
        <v>78</v>
      </c>
      <c r="AK38"/>
    </row>
    <row r="39" spans="1:37" ht="15.75" hidden="1" customHeight="1">
      <c r="A39" s="198" t="s">
        <v>779</v>
      </c>
      <c r="B39" s="198" t="s">
        <v>786</v>
      </c>
      <c r="C39" s="214" t="s">
        <v>183</v>
      </c>
      <c r="D39" s="270" t="s">
        <v>79</v>
      </c>
      <c r="E39" s="198" t="s">
        <v>316</v>
      </c>
      <c r="F39" s="198">
        <v>60.2</v>
      </c>
      <c r="G39" s="198"/>
      <c r="H39" s="214" t="s">
        <v>848</v>
      </c>
      <c r="I39" s="214" t="s">
        <v>325</v>
      </c>
      <c r="J39" s="271">
        <v>3.9</v>
      </c>
      <c r="K39" s="198"/>
      <c r="L39" s="198"/>
      <c r="M39" s="198"/>
      <c r="N39" s="198"/>
      <c r="O39" s="198">
        <v>56.3</v>
      </c>
      <c r="P39" s="198"/>
      <c r="Q39" s="198" t="s">
        <v>329</v>
      </c>
      <c r="R39" s="230">
        <f>DATABASE_Table[[#This Row],[Inicial Asking Price (€) (Total)]]-DATABASE_Table[[#This Row],[Vista membership]]-DATABASE_Table[[#This Row],[FF&amp;E]]</f>
        <v>635000</v>
      </c>
      <c r="S39" s="232">
        <v>670000</v>
      </c>
      <c r="T39" s="235">
        <v>410000</v>
      </c>
      <c r="U39" s="198"/>
      <c r="V39" s="235">
        <v>35000</v>
      </c>
      <c r="W39" s="233">
        <f>DATABASE_Table[[#This Row],[Current Asking price( Total)]]-DATABASE_Table[[#This Row],[Vista membership]]-DATABASE_Table[[#This Row],[FF&amp;E]]</f>
        <v>375000</v>
      </c>
      <c r="X39" s="236"/>
      <c r="Y39" s="235"/>
      <c r="Z39" s="233">
        <f>DATABASE_Table[[#This Row],[Sell price (Total)]]-DATABASE_Table[[#This Row],[FF&amp;E]]-DATABASE_Table[[#This Row],[Vista membership]]</f>
        <v>-35000</v>
      </c>
      <c r="AA39" s="315"/>
      <c r="AB39" s="321">
        <v>47118</v>
      </c>
      <c r="AC39" s="199" t="s">
        <v>80</v>
      </c>
      <c r="AD39" s="199" t="s">
        <v>81</v>
      </c>
      <c r="AE39" s="272" t="s">
        <v>82</v>
      </c>
      <c r="AF39" s="272" t="s">
        <v>83</v>
      </c>
      <c r="AG39" s="272" t="s">
        <v>84</v>
      </c>
      <c r="AH39" s="272" t="s">
        <v>85</v>
      </c>
      <c r="AI39" s="273" t="s">
        <v>86</v>
      </c>
      <c r="AJ39" s="274" t="s">
        <v>78</v>
      </c>
      <c r="AK39"/>
    </row>
    <row r="40" spans="1:37" ht="15.75" hidden="1" customHeight="1">
      <c r="A40" s="198" t="s">
        <v>779</v>
      </c>
      <c r="B40" s="198" t="s">
        <v>786</v>
      </c>
      <c r="C40" s="214" t="s">
        <v>184</v>
      </c>
      <c r="D40" s="270" t="s">
        <v>79</v>
      </c>
      <c r="E40" s="198" t="s">
        <v>316</v>
      </c>
      <c r="F40" s="198">
        <v>60.2</v>
      </c>
      <c r="G40" s="198"/>
      <c r="H40" s="214" t="s">
        <v>848</v>
      </c>
      <c r="I40" s="214" t="s">
        <v>325</v>
      </c>
      <c r="J40" s="271">
        <v>3.9</v>
      </c>
      <c r="K40" s="198"/>
      <c r="L40" s="198"/>
      <c r="M40" s="198"/>
      <c r="N40" s="198"/>
      <c r="O40" s="198">
        <v>56.3</v>
      </c>
      <c r="P40" s="198"/>
      <c r="Q40" s="198" t="s">
        <v>329</v>
      </c>
      <c r="R40" s="230">
        <f>DATABASE_Table[[#This Row],[Inicial Asking Price (€) (Total)]]-DATABASE_Table[[#This Row],[Vista membership]]-DATABASE_Table[[#This Row],[FF&amp;E]]</f>
        <v>1005000</v>
      </c>
      <c r="S40" s="232">
        <v>1040000</v>
      </c>
      <c r="T40" s="235">
        <v>410000</v>
      </c>
      <c r="U40" s="198"/>
      <c r="V40" s="235">
        <v>35000</v>
      </c>
      <c r="W40" s="233">
        <f>DATABASE_Table[[#This Row],[Current Asking price( Total)]]-DATABASE_Table[[#This Row],[Vista membership]]-DATABASE_Table[[#This Row],[FF&amp;E]]</f>
        <v>375000</v>
      </c>
      <c r="X40" s="236"/>
      <c r="Y40" s="235"/>
      <c r="Z40" s="233">
        <f>DATABASE_Table[[#This Row],[Sell price (Total)]]-DATABASE_Table[[#This Row],[FF&amp;E]]-DATABASE_Table[[#This Row],[Vista membership]]</f>
        <v>-35000</v>
      </c>
      <c r="AA40" s="315"/>
      <c r="AB40" s="321">
        <v>47118</v>
      </c>
      <c r="AC40" s="199" t="s">
        <v>80</v>
      </c>
      <c r="AD40" s="199" t="s">
        <v>81</v>
      </c>
      <c r="AE40" s="272" t="s">
        <v>82</v>
      </c>
      <c r="AF40" s="272" t="s">
        <v>83</v>
      </c>
      <c r="AG40" s="272" t="s">
        <v>84</v>
      </c>
      <c r="AH40" s="272" t="s">
        <v>85</v>
      </c>
      <c r="AI40" s="273" t="s">
        <v>86</v>
      </c>
      <c r="AJ40" s="274" t="s">
        <v>78</v>
      </c>
      <c r="AK40"/>
    </row>
    <row r="41" spans="1:37" ht="15.75" hidden="1" customHeight="1">
      <c r="A41" s="198" t="s">
        <v>779</v>
      </c>
      <c r="B41" s="198" t="s">
        <v>786</v>
      </c>
      <c r="C41" s="214" t="s">
        <v>185</v>
      </c>
      <c r="D41" s="270" t="s">
        <v>79</v>
      </c>
      <c r="E41" s="198" t="s">
        <v>316</v>
      </c>
      <c r="F41" s="198">
        <v>60.2</v>
      </c>
      <c r="G41" s="198"/>
      <c r="H41" s="214" t="s">
        <v>848</v>
      </c>
      <c r="I41" s="214" t="s">
        <v>325</v>
      </c>
      <c r="J41" s="271">
        <v>3.9</v>
      </c>
      <c r="K41" s="198"/>
      <c r="L41" s="198"/>
      <c r="M41" s="198"/>
      <c r="N41" s="198"/>
      <c r="O41" s="198">
        <v>56.3</v>
      </c>
      <c r="P41" s="198"/>
      <c r="Q41" s="198" t="s">
        <v>329</v>
      </c>
      <c r="R41" s="230">
        <f>DATABASE_Table[[#This Row],[Inicial Asking Price (€) (Total)]]-DATABASE_Table[[#This Row],[Vista membership]]-DATABASE_Table[[#This Row],[FF&amp;E]]</f>
        <v>715000</v>
      </c>
      <c r="S41" s="232">
        <v>750000</v>
      </c>
      <c r="T41" s="235">
        <v>410000</v>
      </c>
      <c r="U41" s="198"/>
      <c r="V41" s="235">
        <v>35000</v>
      </c>
      <c r="W41" s="233">
        <f>DATABASE_Table[[#This Row],[Current Asking price( Total)]]-DATABASE_Table[[#This Row],[Vista membership]]-DATABASE_Table[[#This Row],[FF&amp;E]]</f>
        <v>375000</v>
      </c>
      <c r="X41" s="236"/>
      <c r="Y41" s="235"/>
      <c r="Z41" s="233">
        <f>DATABASE_Table[[#This Row],[Sell price (Total)]]-DATABASE_Table[[#This Row],[FF&amp;E]]-DATABASE_Table[[#This Row],[Vista membership]]</f>
        <v>-35000</v>
      </c>
      <c r="AA41" s="315"/>
      <c r="AB41" s="321">
        <v>47118</v>
      </c>
      <c r="AC41" s="199" t="s">
        <v>80</v>
      </c>
      <c r="AD41" s="199" t="s">
        <v>81</v>
      </c>
      <c r="AE41" s="272" t="s">
        <v>82</v>
      </c>
      <c r="AF41" s="272" t="s">
        <v>83</v>
      </c>
      <c r="AG41" s="272" t="s">
        <v>84</v>
      </c>
      <c r="AH41" s="272" t="s">
        <v>85</v>
      </c>
      <c r="AI41" s="273" t="s">
        <v>86</v>
      </c>
      <c r="AJ41" s="274" t="s">
        <v>78</v>
      </c>
      <c r="AK41"/>
    </row>
    <row r="42" spans="1:37" ht="15.75" hidden="1" customHeight="1">
      <c r="A42" s="198" t="s">
        <v>782</v>
      </c>
      <c r="B42" s="198" t="s">
        <v>786</v>
      </c>
      <c r="C42" s="214" t="s">
        <v>296</v>
      </c>
      <c r="D42" s="270" t="s">
        <v>79</v>
      </c>
      <c r="E42" s="198" t="s">
        <v>321</v>
      </c>
      <c r="F42" s="198">
        <v>559</v>
      </c>
      <c r="G42" s="198"/>
      <c r="H42" s="214" t="s">
        <v>849</v>
      </c>
      <c r="I42" s="214" t="s">
        <v>848</v>
      </c>
      <c r="J42" s="271"/>
      <c r="K42" s="198"/>
      <c r="L42" s="198"/>
      <c r="M42" s="198">
        <v>196</v>
      </c>
      <c r="N42" s="198">
        <v>65</v>
      </c>
      <c r="O42" s="198">
        <v>298</v>
      </c>
      <c r="P42" s="198"/>
      <c r="Q42" s="198" t="s">
        <v>628</v>
      </c>
      <c r="R42" s="230">
        <f>DATABASE_Table[[#This Row],[Inicial Asking Price (€) (Total)]]-DATABASE_Table[[#This Row],[Vista membership]]-DATABASE_Table[[#This Row],[FF&amp;E]]</f>
        <v>2500000</v>
      </c>
      <c r="S42" s="234">
        <v>2570000</v>
      </c>
      <c r="T42" s="235">
        <v>2570000</v>
      </c>
      <c r="U42" s="198"/>
      <c r="V42" s="235">
        <v>70000</v>
      </c>
      <c r="W42" s="233">
        <f>DATABASE_Table[[#This Row],[Current Asking price( Total)]]-DATABASE_Table[[#This Row],[Vista membership]]-DATABASE_Table[[#This Row],[FF&amp;E]]</f>
        <v>2500000</v>
      </c>
      <c r="X42" s="236">
        <v>0</v>
      </c>
      <c r="Y42" s="235">
        <v>2570000</v>
      </c>
      <c r="Z42" s="233">
        <f>DATABASE_Table[[#This Row],[Sell price (Total)]]-DATABASE_Table[[#This Row],[FF&amp;E]]-DATABASE_Table[[#This Row],[Vista membership]]</f>
        <v>2500000</v>
      </c>
      <c r="AA42" s="316">
        <v>46093</v>
      </c>
      <c r="AB42" s="321">
        <v>47118</v>
      </c>
      <c r="AC42" s="199" t="s">
        <v>80</v>
      </c>
      <c r="AD42" s="199" t="s">
        <v>81</v>
      </c>
      <c r="AE42" s="272" t="s">
        <v>82</v>
      </c>
      <c r="AF42" s="272" t="s">
        <v>83</v>
      </c>
      <c r="AG42" s="272" t="s">
        <v>84</v>
      </c>
      <c r="AH42" s="272" t="s">
        <v>85</v>
      </c>
      <c r="AI42" s="273" t="s">
        <v>86</v>
      </c>
      <c r="AJ42" s="274" t="s">
        <v>78</v>
      </c>
      <c r="AK42"/>
    </row>
    <row r="43" spans="1:37" ht="15.75" hidden="1" customHeight="1">
      <c r="A43" s="198" t="s">
        <v>779</v>
      </c>
      <c r="B43" s="198" t="s">
        <v>786</v>
      </c>
      <c r="C43" s="214" t="s">
        <v>100</v>
      </c>
      <c r="D43" s="270" t="s">
        <v>79</v>
      </c>
      <c r="E43" s="198" t="s">
        <v>316</v>
      </c>
      <c r="F43" s="198">
        <v>65</v>
      </c>
      <c r="G43" s="198"/>
      <c r="H43" s="214" t="s">
        <v>848</v>
      </c>
      <c r="I43" s="214" t="s">
        <v>325</v>
      </c>
      <c r="J43" s="271">
        <v>8.6999999999999993</v>
      </c>
      <c r="K43" s="198"/>
      <c r="L43" s="198"/>
      <c r="M43" s="198"/>
      <c r="N43" s="198"/>
      <c r="O43" s="198">
        <v>56.3</v>
      </c>
      <c r="P43" s="198"/>
      <c r="Q43" s="198" t="s">
        <v>329</v>
      </c>
      <c r="R43" s="230">
        <f>DATABASE_Table[[#This Row],[Inicial Asking Price (€) (Total)]]-DATABASE_Table[[#This Row],[Vista membership]]-DATABASE_Table[[#This Row],[FF&amp;E]]</f>
        <v>805000</v>
      </c>
      <c r="S43" s="232">
        <v>840000</v>
      </c>
      <c r="T43" s="235">
        <v>415000</v>
      </c>
      <c r="U43" s="198"/>
      <c r="V43" s="235">
        <v>35000</v>
      </c>
      <c r="W43" s="233">
        <f>DATABASE_Table[[#This Row],[Current Asking price( Total)]]-DATABASE_Table[[#This Row],[Vista membership]]-DATABASE_Table[[#This Row],[FF&amp;E]]</f>
        <v>380000</v>
      </c>
      <c r="X43" s="236"/>
      <c r="Y43" s="235"/>
      <c r="Z43" s="233">
        <f>DATABASE_Table[[#This Row],[Sell price (Total)]]-DATABASE_Table[[#This Row],[FF&amp;E]]-DATABASE_Table[[#This Row],[Vista membership]]</f>
        <v>-35000</v>
      </c>
      <c r="AA43" s="315"/>
      <c r="AB43" s="321">
        <v>47118</v>
      </c>
      <c r="AC43" s="199" t="s">
        <v>80</v>
      </c>
      <c r="AD43" s="199" t="s">
        <v>81</v>
      </c>
      <c r="AE43" s="272" t="s">
        <v>82</v>
      </c>
      <c r="AF43" s="272" t="s">
        <v>83</v>
      </c>
      <c r="AG43" s="272" t="s">
        <v>84</v>
      </c>
      <c r="AH43" s="272" t="s">
        <v>85</v>
      </c>
      <c r="AI43" s="273" t="s">
        <v>86</v>
      </c>
      <c r="AJ43" s="274" t="s">
        <v>78</v>
      </c>
      <c r="AK43"/>
    </row>
    <row r="44" spans="1:37" ht="15.75" hidden="1" customHeight="1">
      <c r="A44" s="198" t="s">
        <v>779</v>
      </c>
      <c r="B44" s="198" t="s">
        <v>786</v>
      </c>
      <c r="C44" s="214" t="s">
        <v>102</v>
      </c>
      <c r="D44" s="270" t="s">
        <v>79</v>
      </c>
      <c r="E44" s="198" t="s">
        <v>316</v>
      </c>
      <c r="F44" s="198">
        <v>65</v>
      </c>
      <c r="G44" s="198"/>
      <c r="H44" s="214" t="s">
        <v>848</v>
      </c>
      <c r="I44" s="214" t="s">
        <v>325</v>
      </c>
      <c r="J44" s="271">
        <v>8.6999999999999993</v>
      </c>
      <c r="K44" s="198"/>
      <c r="L44" s="198"/>
      <c r="M44" s="198"/>
      <c r="N44" s="198"/>
      <c r="O44" s="198">
        <v>56.3</v>
      </c>
      <c r="P44" s="198"/>
      <c r="Q44" s="198" t="s">
        <v>329</v>
      </c>
      <c r="R44" s="230">
        <f>DATABASE_Table[[#This Row],[Inicial Asking Price (€) (Total)]]-DATABASE_Table[[#This Row],[Vista membership]]-DATABASE_Table[[#This Row],[FF&amp;E]]</f>
        <v>915000</v>
      </c>
      <c r="S44" s="232">
        <v>950000</v>
      </c>
      <c r="T44" s="235">
        <v>415000</v>
      </c>
      <c r="U44" s="198"/>
      <c r="V44" s="235">
        <v>35000</v>
      </c>
      <c r="W44" s="233">
        <f>DATABASE_Table[[#This Row],[Current Asking price( Total)]]-DATABASE_Table[[#This Row],[Vista membership]]-DATABASE_Table[[#This Row],[FF&amp;E]]</f>
        <v>380000</v>
      </c>
      <c r="X44" s="236"/>
      <c r="Y44" s="235"/>
      <c r="Z44" s="233">
        <f>DATABASE_Table[[#This Row],[Sell price (Total)]]-DATABASE_Table[[#This Row],[FF&amp;E]]-DATABASE_Table[[#This Row],[Vista membership]]</f>
        <v>-35000</v>
      </c>
      <c r="AA44" s="315"/>
      <c r="AB44" s="321">
        <v>47118</v>
      </c>
      <c r="AC44" s="199" t="s">
        <v>80</v>
      </c>
      <c r="AD44" s="199" t="s">
        <v>81</v>
      </c>
      <c r="AE44" s="272" t="s">
        <v>82</v>
      </c>
      <c r="AF44" s="272" t="s">
        <v>83</v>
      </c>
      <c r="AG44" s="272" t="s">
        <v>84</v>
      </c>
      <c r="AH44" s="272" t="s">
        <v>85</v>
      </c>
      <c r="AI44" s="273" t="s">
        <v>86</v>
      </c>
      <c r="AJ44" s="274" t="s">
        <v>78</v>
      </c>
      <c r="AK44"/>
    </row>
    <row r="45" spans="1:37" ht="15.75" hidden="1" customHeight="1">
      <c r="A45" s="198" t="s">
        <v>779</v>
      </c>
      <c r="B45" s="198" t="s">
        <v>786</v>
      </c>
      <c r="C45" s="214" t="s">
        <v>103</v>
      </c>
      <c r="D45" s="270" t="s">
        <v>79</v>
      </c>
      <c r="E45" s="198" t="s">
        <v>316</v>
      </c>
      <c r="F45" s="198">
        <v>65</v>
      </c>
      <c r="G45" s="198"/>
      <c r="H45" s="214" t="s">
        <v>848</v>
      </c>
      <c r="I45" s="214" t="s">
        <v>325</v>
      </c>
      <c r="J45" s="271">
        <v>8.6999999999999993</v>
      </c>
      <c r="K45" s="198"/>
      <c r="L45" s="198"/>
      <c r="M45" s="198"/>
      <c r="N45" s="198"/>
      <c r="O45" s="198">
        <v>56.3</v>
      </c>
      <c r="P45" s="198"/>
      <c r="Q45" s="198" t="s">
        <v>329</v>
      </c>
      <c r="R45" s="230">
        <f>DATABASE_Table[[#This Row],[Inicial Asking Price (€) (Total)]]-DATABASE_Table[[#This Row],[Vista membership]]-DATABASE_Table[[#This Row],[FF&amp;E]]</f>
        <v>755000</v>
      </c>
      <c r="S45" s="232">
        <v>790000</v>
      </c>
      <c r="T45" s="235">
        <v>415000</v>
      </c>
      <c r="U45" s="198"/>
      <c r="V45" s="235">
        <v>35000</v>
      </c>
      <c r="W45" s="233">
        <f>DATABASE_Table[[#This Row],[Current Asking price( Total)]]-DATABASE_Table[[#This Row],[Vista membership]]-DATABASE_Table[[#This Row],[FF&amp;E]]</f>
        <v>380000</v>
      </c>
      <c r="X45" s="236"/>
      <c r="Y45" s="235"/>
      <c r="Z45" s="233">
        <f>DATABASE_Table[[#This Row],[Sell price (Total)]]-DATABASE_Table[[#This Row],[FF&amp;E]]-DATABASE_Table[[#This Row],[Vista membership]]</f>
        <v>-35000</v>
      </c>
      <c r="AA45" s="315"/>
      <c r="AB45" s="321">
        <v>47118</v>
      </c>
      <c r="AC45" s="199" t="s">
        <v>80</v>
      </c>
      <c r="AD45" s="199" t="s">
        <v>81</v>
      </c>
      <c r="AE45" s="272" t="s">
        <v>82</v>
      </c>
      <c r="AF45" s="272" t="s">
        <v>83</v>
      </c>
      <c r="AG45" s="272" t="s">
        <v>84</v>
      </c>
      <c r="AH45" s="272" t="s">
        <v>85</v>
      </c>
      <c r="AI45" s="273" t="s">
        <v>86</v>
      </c>
      <c r="AJ45" s="274" t="s">
        <v>78</v>
      </c>
      <c r="AK45"/>
    </row>
    <row r="46" spans="1:37" ht="15.75" hidden="1" customHeight="1">
      <c r="A46" s="198" t="s">
        <v>779</v>
      </c>
      <c r="B46" s="198" t="s">
        <v>786</v>
      </c>
      <c r="C46" s="214" t="s">
        <v>104</v>
      </c>
      <c r="D46" s="270" t="s">
        <v>79</v>
      </c>
      <c r="E46" s="198" t="s">
        <v>316</v>
      </c>
      <c r="F46" s="198">
        <v>65</v>
      </c>
      <c r="G46" s="198"/>
      <c r="H46" s="214" t="s">
        <v>848</v>
      </c>
      <c r="I46" s="214" t="s">
        <v>325</v>
      </c>
      <c r="J46" s="271">
        <v>8.6999999999999993</v>
      </c>
      <c r="K46" s="198"/>
      <c r="L46" s="198"/>
      <c r="M46" s="198"/>
      <c r="N46" s="198"/>
      <c r="O46" s="198">
        <v>56.3</v>
      </c>
      <c r="P46" s="198"/>
      <c r="Q46" s="198" t="s">
        <v>329</v>
      </c>
      <c r="R46" s="230">
        <f>DATABASE_Table[[#This Row],[Inicial Asking Price (€) (Total)]]-DATABASE_Table[[#This Row],[Vista membership]]-DATABASE_Table[[#This Row],[FF&amp;E]]</f>
        <v>855000</v>
      </c>
      <c r="S46" s="232">
        <v>890000</v>
      </c>
      <c r="T46" s="235">
        <v>415000</v>
      </c>
      <c r="U46" s="198"/>
      <c r="V46" s="235">
        <v>35000</v>
      </c>
      <c r="W46" s="233">
        <f>DATABASE_Table[[#This Row],[Current Asking price( Total)]]-DATABASE_Table[[#This Row],[Vista membership]]-DATABASE_Table[[#This Row],[FF&amp;E]]</f>
        <v>380000</v>
      </c>
      <c r="X46" s="236"/>
      <c r="Y46" s="235"/>
      <c r="Z46" s="233">
        <f>DATABASE_Table[[#This Row],[Sell price (Total)]]-DATABASE_Table[[#This Row],[FF&amp;E]]-DATABASE_Table[[#This Row],[Vista membership]]</f>
        <v>-35000</v>
      </c>
      <c r="AA46" s="315"/>
      <c r="AB46" s="321">
        <v>47118</v>
      </c>
      <c r="AC46" s="199" t="s">
        <v>80</v>
      </c>
      <c r="AD46" s="199" t="s">
        <v>81</v>
      </c>
      <c r="AE46" s="272" t="s">
        <v>82</v>
      </c>
      <c r="AF46" s="272" t="s">
        <v>83</v>
      </c>
      <c r="AG46" s="272" t="s">
        <v>84</v>
      </c>
      <c r="AH46" s="272" t="s">
        <v>85</v>
      </c>
      <c r="AI46" s="273" t="s">
        <v>86</v>
      </c>
      <c r="AJ46" s="274" t="s">
        <v>78</v>
      </c>
      <c r="AK46"/>
    </row>
    <row r="47" spans="1:37" ht="15.75" hidden="1" customHeight="1">
      <c r="A47" s="198" t="s">
        <v>779</v>
      </c>
      <c r="B47" s="198" t="s">
        <v>786</v>
      </c>
      <c r="C47" s="214" t="s">
        <v>105</v>
      </c>
      <c r="D47" s="270" t="s">
        <v>79</v>
      </c>
      <c r="E47" s="198" t="s">
        <v>316</v>
      </c>
      <c r="F47" s="198">
        <v>65</v>
      </c>
      <c r="G47" s="198"/>
      <c r="H47" s="214" t="s">
        <v>848</v>
      </c>
      <c r="I47" s="214" t="s">
        <v>325</v>
      </c>
      <c r="J47" s="271">
        <v>8.6999999999999993</v>
      </c>
      <c r="K47" s="198"/>
      <c r="L47" s="198"/>
      <c r="M47" s="198"/>
      <c r="N47" s="198"/>
      <c r="O47" s="198">
        <v>56.3</v>
      </c>
      <c r="P47" s="198"/>
      <c r="Q47" s="198" t="s">
        <v>329</v>
      </c>
      <c r="R47" s="230">
        <f>DATABASE_Table[[#This Row],[Inicial Asking Price (€) (Total)]]-DATABASE_Table[[#This Row],[Vista membership]]-DATABASE_Table[[#This Row],[FF&amp;E]]</f>
        <v>825000</v>
      </c>
      <c r="S47" s="232">
        <v>860000</v>
      </c>
      <c r="T47" s="235">
        <v>415000</v>
      </c>
      <c r="U47" s="198"/>
      <c r="V47" s="235">
        <v>35000</v>
      </c>
      <c r="W47" s="233">
        <f>DATABASE_Table[[#This Row],[Current Asking price( Total)]]-DATABASE_Table[[#This Row],[Vista membership]]-DATABASE_Table[[#This Row],[FF&amp;E]]</f>
        <v>380000</v>
      </c>
      <c r="X47" s="236"/>
      <c r="Y47" s="235"/>
      <c r="Z47" s="233">
        <f>DATABASE_Table[[#This Row],[Sell price (Total)]]-DATABASE_Table[[#This Row],[FF&amp;E]]-DATABASE_Table[[#This Row],[Vista membership]]</f>
        <v>-35000</v>
      </c>
      <c r="AA47" s="315"/>
      <c r="AB47" s="321">
        <v>47118</v>
      </c>
      <c r="AC47" s="199" t="s">
        <v>80</v>
      </c>
      <c r="AD47" s="199" t="s">
        <v>81</v>
      </c>
      <c r="AE47" s="272" t="s">
        <v>82</v>
      </c>
      <c r="AF47" s="272" t="s">
        <v>83</v>
      </c>
      <c r="AG47" s="272" t="s">
        <v>84</v>
      </c>
      <c r="AH47" s="272" t="s">
        <v>85</v>
      </c>
      <c r="AI47" s="273" t="s">
        <v>86</v>
      </c>
      <c r="AJ47" s="274" t="s">
        <v>78</v>
      </c>
      <c r="AK47"/>
    </row>
    <row r="48" spans="1:37" ht="15.75" hidden="1" customHeight="1">
      <c r="A48" s="198" t="s">
        <v>779</v>
      </c>
      <c r="B48" s="198" t="s">
        <v>786</v>
      </c>
      <c r="C48" s="214" t="s">
        <v>106</v>
      </c>
      <c r="D48" s="270" t="s">
        <v>79</v>
      </c>
      <c r="E48" s="198" t="s">
        <v>316</v>
      </c>
      <c r="F48" s="198">
        <v>65</v>
      </c>
      <c r="G48" s="198"/>
      <c r="H48" s="214" t="s">
        <v>848</v>
      </c>
      <c r="I48" s="214" t="s">
        <v>325</v>
      </c>
      <c r="J48" s="271">
        <v>8.6999999999999993</v>
      </c>
      <c r="K48" s="198"/>
      <c r="L48" s="198"/>
      <c r="M48" s="198"/>
      <c r="N48" s="198"/>
      <c r="O48" s="198">
        <v>56.3</v>
      </c>
      <c r="P48" s="198"/>
      <c r="Q48" s="198" t="s">
        <v>329</v>
      </c>
      <c r="R48" s="230">
        <f>DATABASE_Table[[#This Row],[Inicial Asking Price (€) (Total)]]-DATABASE_Table[[#This Row],[Vista membership]]-DATABASE_Table[[#This Row],[FF&amp;E]]</f>
        <v>925000</v>
      </c>
      <c r="S48" s="232">
        <v>960000</v>
      </c>
      <c r="T48" s="235">
        <v>415000</v>
      </c>
      <c r="U48" s="198"/>
      <c r="V48" s="235">
        <v>35000</v>
      </c>
      <c r="W48" s="233">
        <f>DATABASE_Table[[#This Row],[Current Asking price( Total)]]-DATABASE_Table[[#This Row],[Vista membership]]-DATABASE_Table[[#This Row],[FF&amp;E]]</f>
        <v>380000</v>
      </c>
      <c r="X48" s="236"/>
      <c r="Y48" s="235"/>
      <c r="Z48" s="233">
        <f>DATABASE_Table[[#This Row],[Sell price (Total)]]-DATABASE_Table[[#This Row],[FF&amp;E]]-DATABASE_Table[[#This Row],[Vista membership]]</f>
        <v>-35000</v>
      </c>
      <c r="AA48" s="315"/>
      <c r="AB48" s="321">
        <v>47118</v>
      </c>
      <c r="AC48" s="199" t="s">
        <v>80</v>
      </c>
      <c r="AD48" s="199" t="s">
        <v>81</v>
      </c>
      <c r="AE48" s="272" t="s">
        <v>82</v>
      </c>
      <c r="AF48" s="272" t="s">
        <v>83</v>
      </c>
      <c r="AG48" s="272" t="s">
        <v>84</v>
      </c>
      <c r="AH48" s="272" t="s">
        <v>85</v>
      </c>
      <c r="AI48" s="273" t="s">
        <v>86</v>
      </c>
      <c r="AJ48" s="274" t="s">
        <v>78</v>
      </c>
      <c r="AK48"/>
    </row>
    <row r="49" spans="1:37" ht="15.75" hidden="1" customHeight="1">
      <c r="A49" s="198" t="s">
        <v>773</v>
      </c>
      <c r="B49" s="198" t="s">
        <v>769</v>
      </c>
      <c r="C49" s="214" t="s">
        <v>692</v>
      </c>
      <c r="D49" s="270" t="s">
        <v>67</v>
      </c>
      <c r="E49" s="198" t="s">
        <v>553</v>
      </c>
      <c r="F49" s="198">
        <v>340</v>
      </c>
      <c r="G49" s="198"/>
      <c r="H49" s="214" t="s">
        <v>325</v>
      </c>
      <c r="I49" s="214" t="s">
        <v>325</v>
      </c>
      <c r="J49" s="271"/>
      <c r="K49" s="198"/>
      <c r="L49" s="198"/>
      <c r="M49" s="198"/>
      <c r="N49" s="198"/>
      <c r="O49" s="198">
        <v>340</v>
      </c>
      <c r="P49" s="198"/>
      <c r="Q49" s="198" t="s">
        <v>329</v>
      </c>
      <c r="R49" s="230">
        <f>DATABASE_Table[[#This Row],[Inicial Asking Price (€) (Total)]]-DATABASE_Table[[#This Row],[Vista membership]]-DATABASE_Table[[#This Row],[FF&amp;E]]</f>
        <v>820000</v>
      </c>
      <c r="S49" s="232">
        <v>820000</v>
      </c>
      <c r="T49" s="235">
        <v>1600000</v>
      </c>
      <c r="U49" s="198"/>
      <c r="V49" s="198"/>
      <c r="W49" s="233">
        <f>DATABASE_Table[[#This Row],[Current Asking price( Total)]]-DATABASE_Table[[#This Row],[Vista membership]]-DATABASE_Table[[#This Row],[FF&amp;E]]</f>
        <v>1600000</v>
      </c>
      <c r="X49" s="236"/>
      <c r="Y49" s="235">
        <v>1600000</v>
      </c>
      <c r="Z49" s="233">
        <f>DATABASE_Table[[#This Row],[Sell price (Total)]]-DATABASE_Table[[#This Row],[FF&amp;E]]-DATABASE_Table[[#This Row],[Vista membership]]</f>
        <v>1600000</v>
      </c>
      <c r="AA49" s="315"/>
      <c r="AB49" s="321">
        <v>46843</v>
      </c>
      <c r="AC49" s="199" t="s">
        <v>57</v>
      </c>
      <c r="AD49" s="199" t="s">
        <v>68</v>
      </c>
      <c r="AE49" s="272" t="s">
        <v>69</v>
      </c>
      <c r="AF49" s="272" t="s">
        <v>70</v>
      </c>
      <c r="AG49" s="272" t="s">
        <v>71</v>
      </c>
      <c r="AH49" s="272" t="s">
        <v>816</v>
      </c>
      <c r="AI49" s="273" t="s">
        <v>72</v>
      </c>
      <c r="AJ49" s="274" t="s">
        <v>66</v>
      </c>
      <c r="AK49"/>
    </row>
    <row r="50" spans="1:37" ht="15.75" hidden="1" customHeight="1">
      <c r="A50" s="198" t="s">
        <v>773</v>
      </c>
      <c r="B50" s="198" t="s">
        <v>769</v>
      </c>
      <c r="C50" s="214" t="s">
        <v>693</v>
      </c>
      <c r="D50" s="270" t="s">
        <v>67</v>
      </c>
      <c r="E50" s="198" t="s">
        <v>553</v>
      </c>
      <c r="F50" s="198">
        <v>500</v>
      </c>
      <c r="G50" s="198"/>
      <c r="H50" s="214" t="s">
        <v>325</v>
      </c>
      <c r="I50" s="214" t="s">
        <v>325</v>
      </c>
      <c r="J50" s="271"/>
      <c r="K50" s="198"/>
      <c r="L50" s="198"/>
      <c r="M50" s="198"/>
      <c r="N50" s="198"/>
      <c r="O50" s="198">
        <v>500</v>
      </c>
      <c r="P50" s="198"/>
      <c r="Q50" s="198" t="s">
        <v>329</v>
      </c>
      <c r="R50" s="230">
        <f>DATABASE_Table[[#This Row],[Inicial Asking Price (€) (Total)]]-DATABASE_Table[[#This Row],[Vista membership]]-DATABASE_Table[[#This Row],[FF&amp;E]]</f>
        <v>800000</v>
      </c>
      <c r="S50" s="232">
        <v>800000</v>
      </c>
      <c r="T50" s="235">
        <v>1800000</v>
      </c>
      <c r="U50" s="198"/>
      <c r="V50" s="198"/>
      <c r="W50" s="233">
        <f>DATABASE_Table[[#This Row],[Current Asking price( Total)]]-DATABASE_Table[[#This Row],[Vista membership]]-DATABASE_Table[[#This Row],[FF&amp;E]]</f>
        <v>1800000</v>
      </c>
      <c r="X50" s="236"/>
      <c r="Y50" s="235">
        <v>1800000</v>
      </c>
      <c r="Z50" s="233">
        <f>DATABASE_Table[[#This Row],[Sell price (Total)]]-DATABASE_Table[[#This Row],[FF&amp;E]]-DATABASE_Table[[#This Row],[Vista membership]]</f>
        <v>1800000</v>
      </c>
      <c r="AA50" s="315"/>
      <c r="AB50" s="321">
        <v>46843</v>
      </c>
      <c r="AC50" s="199" t="s">
        <v>57</v>
      </c>
      <c r="AD50" s="199" t="s">
        <v>68</v>
      </c>
      <c r="AE50" s="272" t="s">
        <v>69</v>
      </c>
      <c r="AF50" s="272" t="s">
        <v>70</v>
      </c>
      <c r="AG50" s="272" t="s">
        <v>71</v>
      </c>
      <c r="AH50" s="272" t="s">
        <v>816</v>
      </c>
      <c r="AI50" s="273" t="s">
        <v>72</v>
      </c>
      <c r="AJ50" s="274" t="s">
        <v>66</v>
      </c>
      <c r="AK50"/>
    </row>
    <row r="51" spans="1:37" ht="15.75" hidden="1" customHeight="1">
      <c r="A51" s="198" t="s">
        <v>773</v>
      </c>
      <c r="B51" s="198" t="s">
        <v>769</v>
      </c>
      <c r="C51" s="214" t="s">
        <v>694</v>
      </c>
      <c r="D51" s="270" t="s">
        <v>67</v>
      </c>
      <c r="E51" s="198" t="s">
        <v>553</v>
      </c>
      <c r="F51" s="198">
        <v>500</v>
      </c>
      <c r="G51" s="198"/>
      <c r="H51" s="214" t="s">
        <v>325</v>
      </c>
      <c r="I51" s="214" t="s">
        <v>325</v>
      </c>
      <c r="J51" s="271"/>
      <c r="K51" s="198"/>
      <c r="L51" s="198"/>
      <c r="M51" s="198"/>
      <c r="N51" s="198"/>
      <c r="O51" s="198">
        <v>500</v>
      </c>
      <c r="P51" s="198"/>
      <c r="Q51" s="198" t="s">
        <v>329</v>
      </c>
      <c r="R51" s="230">
        <f>DATABASE_Table[[#This Row],[Inicial Asking Price (€) (Total)]]-DATABASE_Table[[#This Row],[Vista membership]]-DATABASE_Table[[#This Row],[FF&amp;E]]</f>
        <v>930000</v>
      </c>
      <c r="S51" s="232">
        <v>930000</v>
      </c>
      <c r="T51" s="235">
        <v>2400000</v>
      </c>
      <c r="U51" s="198"/>
      <c r="V51" s="198"/>
      <c r="W51" s="233">
        <f>DATABASE_Table[[#This Row],[Current Asking price( Total)]]-DATABASE_Table[[#This Row],[Vista membership]]-DATABASE_Table[[#This Row],[FF&amp;E]]</f>
        <v>2400000</v>
      </c>
      <c r="X51" s="236"/>
      <c r="Y51" s="235">
        <v>2400000</v>
      </c>
      <c r="Z51" s="233">
        <f>DATABASE_Table[[#This Row],[Sell price (Total)]]-DATABASE_Table[[#This Row],[FF&amp;E]]-DATABASE_Table[[#This Row],[Vista membership]]</f>
        <v>2400000</v>
      </c>
      <c r="AA51" s="315"/>
      <c r="AB51" s="321">
        <v>46843</v>
      </c>
      <c r="AC51" s="199" t="s">
        <v>57</v>
      </c>
      <c r="AD51" s="199" t="s">
        <v>68</v>
      </c>
      <c r="AE51" s="272" t="s">
        <v>69</v>
      </c>
      <c r="AF51" s="272" t="s">
        <v>70</v>
      </c>
      <c r="AG51" s="272" t="s">
        <v>71</v>
      </c>
      <c r="AH51" s="272" t="s">
        <v>816</v>
      </c>
      <c r="AI51" s="273" t="s">
        <v>72</v>
      </c>
      <c r="AJ51" s="274" t="s">
        <v>66</v>
      </c>
      <c r="AK51"/>
    </row>
    <row r="52" spans="1:37" ht="15.75" hidden="1" customHeight="1">
      <c r="A52" s="198" t="s">
        <v>933</v>
      </c>
      <c r="B52" s="198" t="s">
        <v>769</v>
      </c>
      <c r="C52" s="214" t="s">
        <v>456</v>
      </c>
      <c r="D52" s="270"/>
      <c r="E52" s="198" t="s">
        <v>532</v>
      </c>
      <c r="F52" s="198">
        <v>345.42</v>
      </c>
      <c r="G52" s="198"/>
      <c r="H52" s="214" t="s">
        <v>325</v>
      </c>
      <c r="I52" s="214" t="s">
        <v>913</v>
      </c>
      <c r="J52" s="271"/>
      <c r="K52" s="198"/>
      <c r="L52" s="198"/>
      <c r="M52" s="198">
        <v>85.2</v>
      </c>
      <c r="N52" s="198"/>
      <c r="O52" s="198">
        <v>244.93</v>
      </c>
      <c r="P52" s="198"/>
      <c r="Q52" s="198" t="s">
        <v>329</v>
      </c>
      <c r="R52" s="230">
        <f>DATABASE_Table[[#This Row],[Inicial Asking Price (€) (Total)]]-DATABASE_Table[[#This Row],[Vista membership]]-DATABASE_Table[[#This Row],[FF&amp;E]]</f>
        <v>2080000</v>
      </c>
      <c r="S52" s="234">
        <v>2080000</v>
      </c>
      <c r="T52" s="235">
        <v>2080000</v>
      </c>
      <c r="U52" s="198"/>
      <c r="V52" s="198"/>
      <c r="W52" s="233">
        <f>DATABASE_Table[[#This Row],[Current Asking price( Total)]]-DATABASE_Table[[#This Row],[Vista membership]]-DATABASE_Table[[#This Row],[FF&amp;E]]</f>
        <v>2080000</v>
      </c>
      <c r="X52" s="236"/>
      <c r="Y52" s="235">
        <v>2080000</v>
      </c>
      <c r="Z52" s="233">
        <f>DATABASE_Table[[#This Row],[Sell price (Total)]]-DATABASE_Table[[#This Row],[FF&amp;E]]-DATABASE_Table[[#This Row],[Vista membership]]</f>
        <v>2080000</v>
      </c>
      <c r="AA52" s="315"/>
      <c r="AB52" s="321">
        <v>46843</v>
      </c>
      <c r="AC52" s="199"/>
      <c r="AD52" s="199"/>
      <c r="AE52" s="272"/>
      <c r="AF52" s="272"/>
      <c r="AG52" s="272"/>
      <c r="AH52" s="272"/>
      <c r="AI52" s="273"/>
      <c r="AJ52" s="274" t="s">
        <v>66</v>
      </c>
      <c r="AK52"/>
    </row>
    <row r="53" spans="1:37" ht="15.75" hidden="1" customHeight="1">
      <c r="A53" s="198" t="s">
        <v>933</v>
      </c>
      <c r="B53" s="198" t="s">
        <v>769</v>
      </c>
      <c r="C53" s="214" t="s">
        <v>457</v>
      </c>
      <c r="D53" s="270"/>
      <c r="E53" s="198" t="s">
        <v>533</v>
      </c>
      <c r="F53" s="198">
        <v>344.99</v>
      </c>
      <c r="G53" s="198"/>
      <c r="H53" s="214" t="s">
        <v>325</v>
      </c>
      <c r="I53" s="214" t="s">
        <v>914</v>
      </c>
      <c r="J53" s="271"/>
      <c r="K53" s="198"/>
      <c r="L53" s="198"/>
      <c r="M53" s="198">
        <v>83.71</v>
      </c>
      <c r="N53" s="198"/>
      <c r="O53" s="198">
        <v>246.15</v>
      </c>
      <c r="P53" s="198"/>
      <c r="Q53" s="198" t="s">
        <v>329</v>
      </c>
      <c r="R53" s="230">
        <f>DATABASE_Table[[#This Row],[Inicial Asking Price (€) (Total)]]-DATABASE_Table[[#This Row],[Vista membership]]-DATABASE_Table[[#This Row],[FF&amp;E]]</f>
        <v>2060000</v>
      </c>
      <c r="S53" s="234">
        <v>2060000</v>
      </c>
      <c r="T53" s="235">
        <v>2060000</v>
      </c>
      <c r="U53" s="198"/>
      <c r="V53" s="198"/>
      <c r="W53" s="233">
        <f>DATABASE_Table[[#This Row],[Current Asking price( Total)]]-DATABASE_Table[[#This Row],[Vista membership]]-DATABASE_Table[[#This Row],[FF&amp;E]]</f>
        <v>2060000</v>
      </c>
      <c r="X53" s="236"/>
      <c r="Y53" s="235">
        <v>2060000</v>
      </c>
      <c r="Z53" s="233">
        <f>DATABASE_Table[[#This Row],[Sell price (Total)]]-DATABASE_Table[[#This Row],[FF&amp;E]]-DATABASE_Table[[#This Row],[Vista membership]]</f>
        <v>2060000</v>
      </c>
      <c r="AA53" s="315"/>
      <c r="AB53" s="321">
        <v>46843</v>
      </c>
      <c r="AC53" s="199"/>
      <c r="AD53" s="199"/>
      <c r="AE53" s="272"/>
      <c r="AF53" s="272"/>
      <c r="AG53" s="272"/>
      <c r="AH53" s="272"/>
      <c r="AI53" s="273"/>
      <c r="AJ53" s="274" t="s">
        <v>66</v>
      </c>
      <c r="AK53"/>
    </row>
    <row r="54" spans="1:37" ht="15.75" hidden="1" customHeight="1">
      <c r="A54" s="198" t="s">
        <v>629</v>
      </c>
      <c r="B54" s="198" t="s">
        <v>691</v>
      </c>
      <c r="C54" s="214" t="s">
        <v>848</v>
      </c>
      <c r="D54" s="270" t="s">
        <v>9</v>
      </c>
      <c r="E54" s="198" t="s">
        <v>553</v>
      </c>
      <c r="F54" s="198">
        <v>295</v>
      </c>
      <c r="G54" s="198"/>
      <c r="H54" s="214" t="s">
        <v>325</v>
      </c>
      <c r="I54" s="214" t="s">
        <v>325</v>
      </c>
      <c r="J54" s="271"/>
      <c r="K54" s="198"/>
      <c r="L54" s="198"/>
      <c r="M54" s="198"/>
      <c r="N54" s="198"/>
      <c r="O54" s="198">
        <v>295</v>
      </c>
      <c r="P54" s="198"/>
      <c r="Q54" s="198" t="s">
        <v>329</v>
      </c>
      <c r="R54" s="230">
        <f>DATABASE_Table[[#This Row],[Inicial Asking Price (€) (Total)]]-DATABASE_Table[[#This Row],[Vista membership]]-DATABASE_Table[[#This Row],[FF&amp;E]]</f>
        <v>2690000</v>
      </c>
      <c r="S54" s="231">
        <v>2690000</v>
      </c>
      <c r="T54" s="232">
        <v>2580000</v>
      </c>
      <c r="U54" s="198"/>
      <c r="V54" s="198"/>
      <c r="W54" s="233">
        <f>DATABASE_Table[[#This Row],[Current Asking price( Total)]]-DATABASE_Table[[#This Row],[Vista membership]]-DATABASE_Table[[#This Row],[FF&amp;E]]</f>
        <v>2580000</v>
      </c>
      <c r="X54" s="216"/>
      <c r="Y54" s="232">
        <v>2580000</v>
      </c>
      <c r="Z54" s="233">
        <f>DATABASE_Table[[#This Row],[Sell price (Total)]]-DATABASE_Table[[#This Row],[FF&amp;E]]-DATABASE_Table[[#This Row],[Vista membership]]</f>
        <v>2580000</v>
      </c>
      <c r="AA54" s="315"/>
      <c r="AB54" s="321"/>
      <c r="AC54" s="199" t="s">
        <v>10</v>
      </c>
      <c r="AD54" s="199" t="s">
        <v>35</v>
      </c>
      <c r="AE54" s="272" t="s">
        <v>38</v>
      </c>
      <c r="AF54" s="272" t="s">
        <v>39</v>
      </c>
      <c r="AG54" s="272" t="s">
        <v>40</v>
      </c>
      <c r="AH54" s="272" t="s">
        <v>810</v>
      </c>
      <c r="AI54" s="273" t="s">
        <v>41</v>
      </c>
      <c r="AJ54" s="274" t="s">
        <v>37</v>
      </c>
      <c r="AK54"/>
    </row>
    <row r="55" spans="1:37" ht="15.75" hidden="1" customHeight="1">
      <c r="A55" s="198" t="s">
        <v>565</v>
      </c>
      <c r="B55" s="198" t="s">
        <v>691</v>
      </c>
      <c r="C55" s="214" t="s">
        <v>848</v>
      </c>
      <c r="D55" s="270" t="s">
        <v>9</v>
      </c>
      <c r="E55" s="198" t="s">
        <v>320</v>
      </c>
      <c r="F55" s="198">
        <v>213.2</v>
      </c>
      <c r="G55" s="198"/>
      <c r="H55" s="214" t="s">
        <v>848</v>
      </c>
      <c r="I55" s="214" t="s">
        <v>325</v>
      </c>
      <c r="J55" s="271">
        <v>63.6</v>
      </c>
      <c r="K55" s="198"/>
      <c r="L55" s="198"/>
      <c r="M55" s="198"/>
      <c r="N55" s="198"/>
      <c r="O55" s="198">
        <v>149.6</v>
      </c>
      <c r="P55" s="198"/>
      <c r="Q55" s="198" t="s">
        <v>329</v>
      </c>
      <c r="R55" s="230">
        <f>DATABASE_Table[[#This Row],[Inicial Asking Price (€) (Total)]]-DATABASE_Table[[#This Row],[Vista membership]]-DATABASE_Table[[#This Row],[FF&amp;E]]</f>
        <v>1860000</v>
      </c>
      <c r="S55" s="231">
        <v>1940000</v>
      </c>
      <c r="T55" s="232">
        <v>2020000</v>
      </c>
      <c r="U55" s="198">
        <v>50000</v>
      </c>
      <c r="V55" s="198">
        <v>30000</v>
      </c>
      <c r="W55" s="233">
        <f>DATABASE_Table[[#This Row],[Current Asking price( Total)]]-DATABASE_Table[[#This Row],[Vista membership]]-DATABASE_Table[[#This Row],[FF&amp;E]]</f>
        <v>1940000</v>
      </c>
      <c r="X55" s="216"/>
      <c r="Y55" s="232">
        <v>2020000</v>
      </c>
      <c r="Z55" s="233">
        <f>DATABASE_Table[[#This Row],[Sell price (Total)]]-DATABASE_Table[[#This Row],[FF&amp;E]]-DATABASE_Table[[#This Row],[Vista membership]]</f>
        <v>1940000</v>
      </c>
      <c r="AA55" s="315"/>
      <c r="AB55" s="321"/>
      <c r="AC55" s="199" t="s">
        <v>10</v>
      </c>
      <c r="AD55" s="199" t="s">
        <v>34</v>
      </c>
      <c r="AE55" s="272" t="s">
        <v>32</v>
      </c>
      <c r="AF55" s="272" t="s">
        <v>686</v>
      </c>
      <c r="AG55" s="272" t="s">
        <v>49</v>
      </c>
      <c r="AH55" s="272" t="s">
        <v>50</v>
      </c>
      <c r="AI55" s="273" t="s">
        <v>51</v>
      </c>
      <c r="AJ55" s="274" t="s">
        <v>48</v>
      </c>
      <c r="AK55"/>
    </row>
    <row r="56" spans="1:37" ht="15.75" hidden="1" customHeight="1">
      <c r="A56" s="198" t="s">
        <v>629</v>
      </c>
      <c r="B56" s="198" t="s">
        <v>691</v>
      </c>
      <c r="C56" s="214" t="s">
        <v>857</v>
      </c>
      <c r="D56" s="270" t="s">
        <v>9</v>
      </c>
      <c r="E56" s="198" t="s">
        <v>553</v>
      </c>
      <c r="F56" s="198">
        <v>280</v>
      </c>
      <c r="G56" s="198"/>
      <c r="H56" s="214" t="s">
        <v>325</v>
      </c>
      <c r="I56" s="214" t="s">
        <v>325</v>
      </c>
      <c r="J56" s="271"/>
      <c r="K56" s="198"/>
      <c r="L56" s="198"/>
      <c r="M56" s="198"/>
      <c r="N56" s="198"/>
      <c r="O56" s="198">
        <v>280</v>
      </c>
      <c r="P56" s="198"/>
      <c r="Q56" s="198" t="s">
        <v>329</v>
      </c>
      <c r="R56" s="230">
        <f>DATABASE_Table[[#This Row],[Inicial Asking Price (€) (Total)]]-DATABASE_Table[[#This Row],[Vista membership]]-DATABASE_Table[[#This Row],[FF&amp;E]]</f>
        <v>3180000</v>
      </c>
      <c r="S56" s="231">
        <v>3180000</v>
      </c>
      <c r="T56" s="232">
        <v>1350000</v>
      </c>
      <c r="U56" s="198"/>
      <c r="V56" s="198"/>
      <c r="W56" s="233">
        <f>DATABASE_Table[[#This Row],[Current Asking price( Total)]]-DATABASE_Table[[#This Row],[Vista membership]]-DATABASE_Table[[#This Row],[FF&amp;E]]</f>
        <v>1350000</v>
      </c>
      <c r="X56" s="216"/>
      <c r="Y56" s="232">
        <v>1350000</v>
      </c>
      <c r="Z56" s="233">
        <f>DATABASE_Table[[#This Row],[Sell price (Total)]]-DATABASE_Table[[#This Row],[FF&amp;E]]-DATABASE_Table[[#This Row],[Vista membership]]</f>
        <v>1350000</v>
      </c>
      <c r="AA56" s="315"/>
      <c r="AB56" s="321"/>
      <c r="AC56" s="199" t="s">
        <v>10</v>
      </c>
      <c r="AD56" s="199" t="s">
        <v>35</v>
      </c>
      <c r="AE56" s="272" t="s">
        <v>38</v>
      </c>
      <c r="AF56" s="272" t="s">
        <v>39</v>
      </c>
      <c r="AG56" s="272" t="s">
        <v>40</v>
      </c>
      <c r="AH56" s="272" t="s">
        <v>810</v>
      </c>
      <c r="AI56" s="273" t="s">
        <v>41</v>
      </c>
      <c r="AJ56" s="274" t="s">
        <v>37</v>
      </c>
      <c r="AK56"/>
    </row>
    <row r="57" spans="1:37" ht="15.75" hidden="1" customHeight="1">
      <c r="A57" s="198" t="s">
        <v>565</v>
      </c>
      <c r="B57" s="198" t="s">
        <v>691</v>
      </c>
      <c r="C57" s="214" t="s">
        <v>857</v>
      </c>
      <c r="D57" s="270" t="s">
        <v>9</v>
      </c>
      <c r="E57" s="198" t="s">
        <v>320</v>
      </c>
      <c r="F57" s="198">
        <v>222.7</v>
      </c>
      <c r="G57" s="198"/>
      <c r="H57" s="214" t="s">
        <v>848</v>
      </c>
      <c r="I57" s="214" t="s">
        <v>325</v>
      </c>
      <c r="J57" s="271">
        <v>82.9</v>
      </c>
      <c r="K57" s="198"/>
      <c r="L57" s="198"/>
      <c r="M57" s="198"/>
      <c r="N57" s="198"/>
      <c r="O57" s="198">
        <v>139.80000000000001</v>
      </c>
      <c r="P57" s="198"/>
      <c r="Q57" s="198" t="s">
        <v>329</v>
      </c>
      <c r="R57" s="230">
        <f>DATABASE_Table[[#This Row],[Inicial Asking Price (€) (Total)]]-DATABASE_Table[[#This Row],[Vista membership]]-DATABASE_Table[[#This Row],[FF&amp;E]]</f>
        <v>2250000</v>
      </c>
      <c r="S57" s="231">
        <v>2330000</v>
      </c>
      <c r="T57" s="232">
        <v>2410000</v>
      </c>
      <c r="U57" s="198">
        <v>50000</v>
      </c>
      <c r="V57" s="198">
        <v>30000</v>
      </c>
      <c r="W57" s="233">
        <f>DATABASE_Table[[#This Row],[Current Asking price( Total)]]-DATABASE_Table[[#This Row],[Vista membership]]-DATABASE_Table[[#This Row],[FF&amp;E]]</f>
        <v>2330000</v>
      </c>
      <c r="X57" s="216"/>
      <c r="Y57" s="232">
        <v>2410000</v>
      </c>
      <c r="Z57" s="233">
        <f>DATABASE_Table[[#This Row],[Sell price (Total)]]-DATABASE_Table[[#This Row],[FF&amp;E]]-DATABASE_Table[[#This Row],[Vista membership]]</f>
        <v>2330000</v>
      </c>
      <c r="AA57" s="315"/>
      <c r="AB57" s="321"/>
      <c r="AC57" s="199" t="s">
        <v>10</v>
      </c>
      <c r="AD57" s="199" t="s">
        <v>34</v>
      </c>
      <c r="AE57" s="272" t="s">
        <v>32</v>
      </c>
      <c r="AF57" s="272" t="s">
        <v>686</v>
      </c>
      <c r="AG57" s="272" t="s">
        <v>49</v>
      </c>
      <c r="AH57" s="272" t="s">
        <v>50</v>
      </c>
      <c r="AI57" s="273" t="s">
        <v>51</v>
      </c>
      <c r="AJ57" s="274" t="s">
        <v>48</v>
      </c>
      <c r="AK57"/>
    </row>
    <row r="58" spans="1:37" ht="15.75" hidden="1" customHeight="1">
      <c r="A58" s="198" t="s">
        <v>565</v>
      </c>
      <c r="B58" s="198" t="s">
        <v>691</v>
      </c>
      <c r="C58" s="214" t="s">
        <v>692</v>
      </c>
      <c r="D58" s="270" t="s">
        <v>9</v>
      </c>
      <c r="E58" s="198" t="s">
        <v>320</v>
      </c>
      <c r="F58" s="198">
        <v>183.9</v>
      </c>
      <c r="G58" s="198"/>
      <c r="H58" s="214" t="s">
        <v>848</v>
      </c>
      <c r="I58" s="214" t="s">
        <v>325</v>
      </c>
      <c r="J58" s="271">
        <v>34.299999999999997</v>
      </c>
      <c r="K58" s="198"/>
      <c r="L58" s="198"/>
      <c r="M58" s="198"/>
      <c r="N58" s="198"/>
      <c r="O58" s="198">
        <v>149.6</v>
      </c>
      <c r="P58" s="198"/>
      <c r="Q58" s="198" t="s">
        <v>329</v>
      </c>
      <c r="R58" s="230">
        <f>DATABASE_Table[[#This Row],[Inicial Asking Price (€) (Total)]]-DATABASE_Table[[#This Row],[Vista membership]]-DATABASE_Table[[#This Row],[FF&amp;E]]</f>
        <v>1910000</v>
      </c>
      <c r="S58" s="231">
        <v>1990000</v>
      </c>
      <c r="T58" s="232">
        <v>2070000</v>
      </c>
      <c r="U58" s="198">
        <v>50000</v>
      </c>
      <c r="V58" s="198">
        <v>30000</v>
      </c>
      <c r="W58" s="233">
        <f>DATABASE_Table[[#This Row],[Current Asking price( Total)]]-DATABASE_Table[[#This Row],[Vista membership]]-DATABASE_Table[[#This Row],[FF&amp;E]]</f>
        <v>1990000</v>
      </c>
      <c r="X58" s="216"/>
      <c r="Y58" s="232">
        <v>2070000</v>
      </c>
      <c r="Z58" s="233">
        <f>DATABASE_Table[[#This Row],[Sell price (Total)]]-DATABASE_Table[[#This Row],[FF&amp;E]]-DATABASE_Table[[#This Row],[Vista membership]]</f>
        <v>1990000</v>
      </c>
      <c r="AA58" s="315"/>
      <c r="AB58" s="321"/>
      <c r="AC58" s="199" t="s">
        <v>10</v>
      </c>
      <c r="AD58" s="199" t="s">
        <v>34</v>
      </c>
      <c r="AE58" s="272" t="s">
        <v>32</v>
      </c>
      <c r="AF58" s="272" t="s">
        <v>686</v>
      </c>
      <c r="AG58" s="272" t="s">
        <v>49</v>
      </c>
      <c r="AH58" s="272" t="s">
        <v>50</v>
      </c>
      <c r="AI58" s="273" t="s">
        <v>51</v>
      </c>
      <c r="AJ58" s="274" t="s">
        <v>48</v>
      </c>
      <c r="AK58"/>
    </row>
    <row r="59" spans="1:37" ht="15.75" hidden="1" customHeight="1">
      <c r="A59" s="198" t="s">
        <v>779</v>
      </c>
      <c r="B59" s="198" t="s">
        <v>786</v>
      </c>
      <c r="C59" s="214" t="s">
        <v>172</v>
      </c>
      <c r="D59" s="270" t="s">
        <v>79</v>
      </c>
      <c r="E59" s="198" t="s">
        <v>316</v>
      </c>
      <c r="F59" s="198">
        <v>60.2</v>
      </c>
      <c r="G59" s="198"/>
      <c r="H59" s="214" t="s">
        <v>848</v>
      </c>
      <c r="I59" s="214" t="s">
        <v>325</v>
      </c>
      <c r="J59" s="271">
        <v>3.9</v>
      </c>
      <c r="K59" s="198"/>
      <c r="L59" s="198"/>
      <c r="M59" s="198"/>
      <c r="N59" s="198"/>
      <c r="O59" s="198">
        <v>56.3</v>
      </c>
      <c r="P59" s="198"/>
      <c r="Q59" s="198" t="s">
        <v>329</v>
      </c>
      <c r="R59" s="230">
        <f>DATABASE_Table[[#This Row],[Inicial Asking Price (€) (Total)]]-DATABASE_Table[[#This Row],[Vista membership]]-DATABASE_Table[[#This Row],[FF&amp;E]]</f>
        <v>390000</v>
      </c>
      <c r="S59" s="234">
        <v>425000</v>
      </c>
      <c r="T59" s="235">
        <v>425000</v>
      </c>
      <c r="U59" s="198"/>
      <c r="V59" s="235">
        <v>35000</v>
      </c>
      <c r="W59" s="233">
        <f>DATABASE_Table[[#This Row],[Current Asking price( Total)]]-DATABASE_Table[[#This Row],[Vista membership]]-DATABASE_Table[[#This Row],[FF&amp;E]]</f>
        <v>390000</v>
      </c>
      <c r="X59" s="236"/>
      <c r="Y59" s="235"/>
      <c r="Z59" s="233">
        <f>DATABASE_Table[[#This Row],[Sell price (Total)]]-DATABASE_Table[[#This Row],[FF&amp;E]]-DATABASE_Table[[#This Row],[Vista membership]]</f>
        <v>-35000</v>
      </c>
      <c r="AA59" s="315"/>
      <c r="AB59" s="321">
        <v>47118</v>
      </c>
      <c r="AC59" s="199" t="s">
        <v>80</v>
      </c>
      <c r="AD59" s="199" t="s">
        <v>81</v>
      </c>
      <c r="AE59" s="272" t="s">
        <v>82</v>
      </c>
      <c r="AF59" s="272" t="s">
        <v>83</v>
      </c>
      <c r="AG59" s="272" t="s">
        <v>84</v>
      </c>
      <c r="AH59" s="272" t="s">
        <v>85</v>
      </c>
      <c r="AI59" s="273" t="s">
        <v>86</v>
      </c>
      <c r="AJ59" s="274" t="s">
        <v>78</v>
      </c>
      <c r="AK59"/>
    </row>
    <row r="60" spans="1:37" ht="15.75" hidden="1" customHeight="1">
      <c r="A60" s="198" t="s">
        <v>779</v>
      </c>
      <c r="B60" s="198" t="s">
        <v>786</v>
      </c>
      <c r="C60" s="214" t="s">
        <v>173</v>
      </c>
      <c r="D60" s="270" t="s">
        <v>79</v>
      </c>
      <c r="E60" s="198" t="s">
        <v>316</v>
      </c>
      <c r="F60" s="198">
        <v>60.2</v>
      </c>
      <c r="G60" s="198"/>
      <c r="H60" s="214" t="s">
        <v>848</v>
      </c>
      <c r="I60" s="214" t="s">
        <v>325</v>
      </c>
      <c r="J60" s="271">
        <v>3.9</v>
      </c>
      <c r="K60" s="198"/>
      <c r="L60" s="198"/>
      <c r="M60" s="198"/>
      <c r="N60" s="198"/>
      <c r="O60" s="198">
        <v>56.3</v>
      </c>
      <c r="P60" s="198"/>
      <c r="Q60" s="198" t="s">
        <v>329</v>
      </c>
      <c r="R60" s="230">
        <f>DATABASE_Table[[#This Row],[Inicial Asking Price (€) (Total)]]-DATABASE_Table[[#This Row],[Vista membership]]-DATABASE_Table[[#This Row],[FF&amp;E]]</f>
        <v>390000</v>
      </c>
      <c r="S60" s="234">
        <v>425000</v>
      </c>
      <c r="T60" s="235">
        <v>425000</v>
      </c>
      <c r="U60" s="198"/>
      <c r="V60" s="235">
        <v>35000</v>
      </c>
      <c r="W60" s="233">
        <f>DATABASE_Table[[#This Row],[Current Asking price( Total)]]-DATABASE_Table[[#This Row],[Vista membership]]-DATABASE_Table[[#This Row],[FF&amp;E]]</f>
        <v>390000</v>
      </c>
      <c r="X60" s="236"/>
      <c r="Y60" s="235"/>
      <c r="Z60" s="233">
        <f>DATABASE_Table[[#This Row],[Sell price (Total)]]-DATABASE_Table[[#This Row],[FF&amp;E]]-DATABASE_Table[[#This Row],[Vista membership]]</f>
        <v>-35000</v>
      </c>
      <c r="AA60" s="315"/>
      <c r="AB60" s="321">
        <v>47118</v>
      </c>
      <c r="AC60" s="199" t="s">
        <v>80</v>
      </c>
      <c r="AD60" s="199" t="s">
        <v>81</v>
      </c>
      <c r="AE60" s="272" t="s">
        <v>82</v>
      </c>
      <c r="AF60" s="272" t="s">
        <v>83</v>
      </c>
      <c r="AG60" s="272" t="s">
        <v>84</v>
      </c>
      <c r="AH60" s="272" t="s">
        <v>85</v>
      </c>
      <c r="AI60" s="273" t="s">
        <v>86</v>
      </c>
      <c r="AJ60" s="274" t="s">
        <v>78</v>
      </c>
      <c r="AK60"/>
    </row>
    <row r="61" spans="1:37" ht="15.75" hidden="1" customHeight="1">
      <c r="A61" s="198" t="s">
        <v>779</v>
      </c>
      <c r="B61" s="198" t="s">
        <v>786</v>
      </c>
      <c r="C61" s="214" t="s">
        <v>174</v>
      </c>
      <c r="D61" s="270" t="s">
        <v>79</v>
      </c>
      <c r="E61" s="198" t="s">
        <v>316</v>
      </c>
      <c r="F61" s="198">
        <v>60.2</v>
      </c>
      <c r="G61" s="198"/>
      <c r="H61" s="214" t="s">
        <v>848</v>
      </c>
      <c r="I61" s="214" t="s">
        <v>325</v>
      </c>
      <c r="J61" s="271">
        <v>3.9</v>
      </c>
      <c r="K61" s="198"/>
      <c r="L61" s="198"/>
      <c r="M61" s="198"/>
      <c r="N61" s="198"/>
      <c r="O61" s="198">
        <v>56.3</v>
      </c>
      <c r="P61" s="198"/>
      <c r="Q61" s="198" t="s">
        <v>329</v>
      </c>
      <c r="R61" s="230">
        <f>DATABASE_Table[[#This Row],[Inicial Asking Price (€) (Total)]]-DATABASE_Table[[#This Row],[Vista membership]]-DATABASE_Table[[#This Row],[FF&amp;E]]</f>
        <v>390000</v>
      </c>
      <c r="S61" s="234">
        <v>425000</v>
      </c>
      <c r="T61" s="235">
        <v>425000</v>
      </c>
      <c r="U61" s="198"/>
      <c r="V61" s="235">
        <v>35000</v>
      </c>
      <c r="W61" s="233">
        <f>DATABASE_Table[[#This Row],[Current Asking price( Total)]]-DATABASE_Table[[#This Row],[Vista membership]]-DATABASE_Table[[#This Row],[FF&amp;E]]</f>
        <v>390000</v>
      </c>
      <c r="X61" s="236"/>
      <c r="Y61" s="235"/>
      <c r="Z61" s="233">
        <f>DATABASE_Table[[#This Row],[Sell price (Total)]]-DATABASE_Table[[#This Row],[FF&amp;E]]-DATABASE_Table[[#This Row],[Vista membership]]</f>
        <v>-35000</v>
      </c>
      <c r="AA61" s="315"/>
      <c r="AB61" s="321">
        <v>47118</v>
      </c>
      <c r="AC61" s="199" t="s">
        <v>80</v>
      </c>
      <c r="AD61" s="199" t="s">
        <v>81</v>
      </c>
      <c r="AE61" s="272" t="s">
        <v>82</v>
      </c>
      <c r="AF61" s="272" t="s">
        <v>83</v>
      </c>
      <c r="AG61" s="272" t="s">
        <v>84</v>
      </c>
      <c r="AH61" s="272" t="s">
        <v>85</v>
      </c>
      <c r="AI61" s="273" t="s">
        <v>86</v>
      </c>
      <c r="AJ61" s="274" t="s">
        <v>78</v>
      </c>
      <c r="AK61"/>
    </row>
    <row r="62" spans="1:37" ht="15.75" hidden="1" customHeight="1">
      <c r="A62" s="198" t="s">
        <v>779</v>
      </c>
      <c r="B62" s="198" t="s">
        <v>786</v>
      </c>
      <c r="C62" s="214" t="s">
        <v>175</v>
      </c>
      <c r="D62" s="270" t="s">
        <v>79</v>
      </c>
      <c r="E62" s="198" t="s">
        <v>316</v>
      </c>
      <c r="F62" s="198">
        <v>60.2</v>
      </c>
      <c r="G62" s="198"/>
      <c r="H62" s="214" t="s">
        <v>848</v>
      </c>
      <c r="I62" s="214" t="s">
        <v>325</v>
      </c>
      <c r="J62" s="271">
        <v>3.9</v>
      </c>
      <c r="K62" s="198"/>
      <c r="L62" s="198"/>
      <c r="M62" s="198"/>
      <c r="N62" s="198"/>
      <c r="O62" s="198">
        <v>56.3</v>
      </c>
      <c r="P62" s="198"/>
      <c r="Q62" s="198" t="s">
        <v>329</v>
      </c>
      <c r="R62" s="230">
        <f>DATABASE_Table[[#This Row],[Inicial Asking Price (€) (Total)]]-DATABASE_Table[[#This Row],[Vista membership]]-DATABASE_Table[[#This Row],[FF&amp;E]]</f>
        <v>390000</v>
      </c>
      <c r="S62" s="234">
        <v>425000</v>
      </c>
      <c r="T62" s="235">
        <v>425000</v>
      </c>
      <c r="U62" s="198"/>
      <c r="V62" s="235">
        <v>35000</v>
      </c>
      <c r="W62" s="233">
        <f>DATABASE_Table[[#This Row],[Current Asking price( Total)]]-DATABASE_Table[[#This Row],[Vista membership]]-DATABASE_Table[[#This Row],[FF&amp;E]]</f>
        <v>390000</v>
      </c>
      <c r="X62" s="236"/>
      <c r="Y62" s="235"/>
      <c r="Z62" s="233">
        <f>DATABASE_Table[[#This Row],[Sell price (Total)]]-DATABASE_Table[[#This Row],[FF&amp;E]]-DATABASE_Table[[#This Row],[Vista membership]]</f>
        <v>-35000</v>
      </c>
      <c r="AA62" s="315"/>
      <c r="AB62" s="321">
        <v>47118</v>
      </c>
      <c r="AC62" s="199" t="s">
        <v>80</v>
      </c>
      <c r="AD62" s="199" t="s">
        <v>81</v>
      </c>
      <c r="AE62" s="272" t="s">
        <v>82</v>
      </c>
      <c r="AF62" s="272" t="s">
        <v>83</v>
      </c>
      <c r="AG62" s="272" t="s">
        <v>84</v>
      </c>
      <c r="AH62" s="272" t="s">
        <v>85</v>
      </c>
      <c r="AI62" s="273" t="s">
        <v>86</v>
      </c>
      <c r="AJ62" s="274" t="s">
        <v>78</v>
      </c>
      <c r="AK62"/>
    </row>
    <row r="63" spans="1:37" ht="15.75" hidden="1" customHeight="1">
      <c r="A63" s="198" t="s">
        <v>779</v>
      </c>
      <c r="B63" s="198" t="s">
        <v>786</v>
      </c>
      <c r="C63" s="214" t="s">
        <v>176</v>
      </c>
      <c r="D63" s="270" t="s">
        <v>79</v>
      </c>
      <c r="E63" s="198" t="s">
        <v>316</v>
      </c>
      <c r="F63" s="198">
        <v>60.2</v>
      </c>
      <c r="G63" s="198"/>
      <c r="H63" s="214" t="s">
        <v>848</v>
      </c>
      <c r="I63" s="214" t="s">
        <v>325</v>
      </c>
      <c r="J63" s="271">
        <v>3.9</v>
      </c>
      <c r="K63" s="198"/>
      <c r="L63" s="198"/>
      <c r="M63" s="198"/>
      <c r="N63" s="198"/>
      <c r="O63" s="198">
        <v>56.3</v>
      </c>
      <c r="P63" s="198"/>
      <c r="Q63" s="198" t="s">
        <v>329</v>
      </c>
      <c r="R63" s="230">
        <f>DATABASE_Table[[#This Row],[Inicial Asking Price (€) (Total)]]-DATABASE_Table[[#This Row],[Vista membership]]-DATABASE_Table[[#This Row],[FF&amp;E]]</f>
        <v>390000</v>
      </c>
      <c r="S63" s="234">
        <v>425000</v>
      </c>
      <c r="T63" s="235">
        <v>425000</v>
      </c>
      <c r="U63" s="198"/>
      <c r="V63" s="235">
        <v>35000</v>
      </c>
      <c r="W63" s="233">
        <f>DATABASE_Table[[#This Row],[Current Asking price( Total)]]-DATABASE_Table[[#This Row],[Vista membership]]-DATABASE_Table[[#This Row],[FF&amp;E]]</f>
        <v>390000</v>
      </c>
      <c r="X63" s="236"/>
      <c r="Y63" s="235"/>
      <c r="Z63" s="233">
        <f>DATABASE_Table[[#This Row],[Sell price (Total)]]-DATABASE_Table[[#This Row],[FF&amp;E]]-DATABASE_Table[[#This Row],[Vista membership]]</f>
        <v>-35000</v>
      </c>
      <c r="AA63" s="315"/>
      <c r="AB63" s="321">
        <v>47118</v>
      </c>
      <c r="AC63" s="199" t="s">
        <v>80</v>
      </c>
      <c r="AD63" s="199" t="s">
        <v>81</v>
      </c>
      <c r="AE63" s="272" t="s">
        <v>82</v>
      </c>
      <c r="AF63" s="272" t="s">
        <v>83</v>
      </c>
      <c r="AG63" s="272" t="s">
        <v>84</v>
      </c>
      <c r="AH63" s="272" t="s">
        <v>85</v>
      </c>
      <c r="AI63" s="273" t="s">
        <v>86</v>
      </c>
      <c r="AJ63" s="274" t="s">
        <v>78</v>
      </c>
      <c r="AK63"/>
    </row>
    <row r="64" spans="1:37" ht="15.75" hidden="1" customHeight="1">
      <c r="A64" s="198" t="s">
        <v>781</v>
      </c>
      <c r="B64" s="198" t="s">
        <v>786</v>
      </c>
      <c r="C64" s="214" t="s">
        <v>273</v>
      </c>
      <c r="D64" s="270" t="s">
        <v>79</v>
      </c>
      <c r="E64" s="198" t="s">
        <v>319</v>
      </c>
      <c r="F64" s="198">
        <v>196.4</v>
      </c>
      <c r="G64" s="198"/>
      <c r="H64" s="214" t="s">
        <v>848</v>
      </c>
      <c r="I64" s="214" t="s">
        <v>325</v>
      </c>
      <c r="J64" s="271"/>
      <c r="K64" s="198"/>
      <c r="L64" s="198"/>
      <c r="M64" s="198">
        <v>33</v>
      </c>
      <c r="N64" s="198">
        <v>26</v>
      </c>
      <c r="O64" s="198">
        <v>137.4</v>
      </c>
      <c r="P64" s="198"/>
      <c r="Q64" s="198" t="s">
        <v>628</v>
      </c>
      <c r="R64" s="230">
        <f>DATABASE_Table[[#This Row],[Inicial Asking Price (€) (Total)]]-DATABASE_Table[[#This Row],[Vista membership]]-DATABASE_Table[[#This Row],[FF&amp;E]]</f>
        <v>1100000</v>
      </c>
      <c r="S64" s="234">
        <v>1100000</v>
      </c>
      <c r="T64" s="235">
        <v>1100000</v>
      </c>
      <c r="U64" s="198"/>
      <c r="V64" s="235">
        <v>0</v>
      </c>
      <c r="W64" s="233">
        <f>DATABASE_Table[[#This Row],[Current Asking price( Total)]]-DATABASE_Table[[#This Row],[Vista membership]]-DATABASE_Table[[#This Row],[FF&amp;E]]</f>
        <v>1100000</v>
      </c>
      <c r="X64" s="236">
        <v>0</v>
      </c>
      <c r="Y64" s="235">
        <v>1100000</v>
      </c>
      <c r="Z64" s="233">
        <f>DATABASE_Table[[#This Row],[Sell price (Total)]]-DATABASE_Table[[#This Row],[FF&amp;E]]-DATABASE_Table[[#This Row],[Vista membership]]</f>
        <v>1100000</v>
      </c>
      <c r="AA64" s="316">
        <v>46038</v>
      </c>
      <c r="AB64" s="321">
        <v>47118</v>
      </c>
      <c r="AC64" s="199" t="s">
        <v>80</v>
      </c>
      <c r="AD64" s="199" t="s">
        <v>81</v>
      </c>
      <c r="AE64" s="272" t="s">
        <v>82</v>
      </c>
      <c r="AF64" s="272" t="s">
        <v>83</v>
      </c>
      <c r="AG64" s="272" t="s">
        <v>84</v>
      </c>
      <c r="AH64" s="272" t="s">
        <v>85</v>
      </c>
      <c r="AI64" s="273" t="s">
        <v>86</v>
      </c>
      <c r="AJ64" s="274" t="s">
        <v>78</v>
      </c>
      <c r="AK64"/>
    </row>
    <row r="65" spans="1:37" ht="15.75" hidden="1" customHeight="1">
      <c r="A65" s="198" t="s">
        <v>781</v>
      </c>
      <c r="B65" s="198" t="s">
        <v>786</v>
      </c>
      <c r="C65" s="214" t="s">
        <v>274</v>
      </c>
      <c r="D65" s="270" t="s">
        <v>79</v>
      </c>
      <c r="E65" s="198" t="s">
        <v>319</v>
      </c>
      <c r="F65" s="198">
        <v>167</v>
      </c>
      <c r="G65" s="198"/>
      <c r="H65" s="214" t="s">
        <v>848</v>
      </c>
      <c r="I65" s="214" t="s">
        <v>325</v>
      </c>
      <c r="J65" s="271"/>
      <c r="K65" s="198"/>
      <c r="L65" s="198"/>
      <c r="M65" s="198">
        <v>31</v>
      </c>
      <c r="N65" s="198">
        <v>20</v>
      </c>
      <c r="O65" s="198">
        <v>116</v>
      </c>
      <c r="P65" s="198"/>
      <c r="Q65" s="198" t="s">
        <v>628</v>
      </c>
      <c r="R65" s="230">
        <f>DATABASE_Table[[#This Row],[Inicial Asking Price (€) (Total)]]-DATABASE_Table[[#This Row],[Vista membership]]-DATABASE_Table[[#This Row],[FF&amp;E]]</f>
        <v>910000</v>
      </c>
      <c r="S65" s="234">
        <v>910000</v>
      </c>
      <c r="T65" s="235">
        <v>940000</v>
      </c>
      <c r="U65" s="198"/>
      <c r="V65" s="235">
        <v>0</v>
      </c>
      <c r="W65" s="233">
        <f>DATABASE_Table[[#This Row],[Current Asking price( Total)]]-DATABASE_Table[[#This Row],[Vista membership]]-DATABASE_Table[[#This Row],[FF&amp;E]]</f>
        <v>940000</v>
      </c>
      <c r="X65" s="236">
        <v>0</v>
      </c>
      <c r="Y65" s="235">
        <v>940000</v>
      </c>
      <c r="Z65" s="233">
        <f>DATABASE_Table[[#This Row],[Sell price (Total)]]-DATABASE_Table[[#This Row],[FF&amp;E]]-DATABASE_Table[[#This Row],[Vista membership]]</f>
        <v>940000</v>
      </c>
      <c r="AA65" s="316">
        <v>45989</v>
      </c>
      <c r="AB65" s="321">
        <v>47118</v>
      </c>
      <c r="AC65" s="199" t="s">
        <v>80</v>
      </c>
      <c r="AD65" s="199" t="s">
        <v>81</v>
      </c>
      <c r="AE65" s="272" t="s">
        <v>82</v>
      </c>
      <c r="AF65" s="272" t="s">
        <v>83</v>
      </c>
      <c r="AG65" s="272" t="s">
        <v>84</v>
      </c>
      <c r="AH65" s="272" t="s">
        <v>85</v>
      </c>
      <c r="AI65" s="273" t="s">
        <v>86</v>
      </c>
      <c r="AJ65" s="274" t="s">
        <v>78</v>
      </c>
      <c r="AK65"/>
    </row>
    <row r="66" spans="1:37" ht="15.75" hidden="1" customHeight="1">
      <c r="A66" s="198" t="s">
        <v>779</v>
      </c>
      <c r="B66" s="198" t="s">
        <v>786</v>
      </c>
      <c r="C66" s="214" t="s">
        <v>119</v>
      </c>
      <c r="D66" s="270" t="s">
        <v>79</v>
      </c>
      <c r="E66" s="198" t="s">
        <v>316</v>
      </c>
      <c r="F66" s="198">
        <v>65</v>
      </c>
      <c r="G66" s="198"/>
      <c r="H66" s="214" t="s">
        <v>848</v>
      </c>
      <c r="I66" s="214" t="s">
        <v>325</v>
      </c>
      <c r="J66" s="271">
        <v>8.6999999999999993</v>
      </c>
      <c r="K66" s="198"/>
      <c r="L66" s="198"/>
      <c r="M66" s="198"/>
      <c r="N66" s="198"/>
      <c r="O66" s="198">
        <v>56.3</v>
      </c>
      <c r="P66" s="198"/>
      <c r="Q66" s="198" t="s">
        <v>326</v>
      </c>
      <c r="R66" s="230">
        <f>DATABASE_Table[[#This Row],[Inicial Asking Price (€) (Total)]]-DATABASE_Table[[#This Row],[Vista membership]]-DATABASE_Table[[#This Row],[FF&amp;E]]</f>
        <v>395000</v>
      </c>
      <c r="S66" s="234">
        <v>430000</v>
      </c>
      <c r="T66" s="235">
        <v>430000</v>
      </c>
      <c r="U66" s="198"/>
      <c r="V66" s="235">
        <v>35000</v>
      </c>
      <c r="W66" s="233">
        <f>DATABASE_Table[[#This Row],[Current Asking price( Total)]]-DATABASE_Table[[#This Row],[Vista membership]]-DATABASE_Table[[#This Row],[FF&amp;E]]</f>
        <v>395000</v>
      </c>
      <c r="X66" s="236">
        <v>0</v>
      </c>
      <c r="Y66" s="235">
        <v>430000</v>
      </c>
      <c r="Z66" s="233">
        <f>DATABASE_Table[[#This Row],[Sell price (Total)]]-DATABASE_Table[[#This Row],[FF&amp;E]]-DATABASE_Table[[#This Row],[Vista membership]]</f>
        <v>395000</v>
      </c>
      <c r="AA66" s="315">
        <v>46136</v>
      </c>
      <c r="AB66" s="321">
        <v>47118</v>
      </c>
      <c r="AC66" s="199" t="s">
        <v>80</v>
      </c>
      <c r="AD66" s="199" t="s">
        <v>81</v>
      </c>
      <c r="AE66" s="272" t="s">
        <v>82</v>
      </c>
      <c r="AF66" s="272" t="s">
        <v>83</v>
      </c>
      <c r="AG66" s="272" t="s">
        <v>84</v>
      </c>
      <c r="AH66" s="272" t="s">
        <v>85</v>
      </c>
      <c r="AI66" s="273" t="s">
        <v>86</v>
      </c>
      <c r="AJ66" s="274" t="s">
        <v>78</v>
      </c>
      <c r="AK66"/>
    </row>
    <row r="67" spans="1:37" ht="15.75" hidden="1" customHeight="1">
      <c r="A67" s="198" t="s">
        <v>779</v>
      </c>
      <c r="B67" s="198" t="s">
        <v>786</v>
      </c>
      <c r="C67" s="214" t="s">
        <v>115</v>
      </c>
      <c r="D67" s="270" t="s">
        <v>79</v>
      </c>
      <c r="E67" s="198" t="s">
        <v>316</v>
      </c>
      <c r="F67" s="198">
        <v>65</v>
      </c>
      <c r="G67" s="198"/>
      <c r="H67" s="214" t="s">
        <v>848</v>
      </c>
      <c r="I67" s="214" t="s">
        <v>325</v>
      </c>
      <c r="J67" s="271">
        <v>8.6999999999999993</v>
      </c>
      <c r="K67" s="198"/>
      <c r="L67" s="198"/>
      <c r="M67" s="198"/>
      <c r="N67" s="198"/>
      <c r="O67" s="198">
        <v>56.3</v>
      </c>
      <c r="P67" s="198"/>
      <c r="Q67" s="198" t="s">
        <v>329</v>
      </c>
      <c r="R67" s="230">
        <f>DATABASE_Table[[#This Row],[Inicial Asking Price (€) (Total)]]-DATABASE_Table[[#This Row],[Vista membership]]-DATABASE_Table[[#This Row],[FF&amp;E]]</f>
        <v>395000</v>
      </c>
      <c r="S67" s="234">
        <v>430000</v>
      </c>
      <c r="T67" s="235">
        <v>430000</v>
      </c>
      <c r="U67" s="198"/>
      <c r="V67" s="235">
        <v>35000</v>
      </c>
      <c r="W67" s="233">
        <f>DATABASE_Table[[#This Row],[Current Asking price( Total)]]-DATABASE_Table[[#This Row],[Vista membership]]-DATABASE_Table[[#This Row],[FF&amp;E]]</f>
        <v>395000</v>
      </c>
      <c r="X67" s="236"/>
      <c r="Y67" s="235"/>
      <c r="Z67" s="233">
        <f>DATABASE_Table[[#This Row],[Sell price (Total)]]-DATABASE_Table[[#This Row],[FF&amp;E]]-DATABASE_Table[[#This Row],[Vista membership]]</f>
        <v>-35000</v>
      </c>
      <c r="AA67" s="315"/>
      <c r="AB67" s="321">
        <v>47118</v>
      </c>
      <c r="AC67" s="199" t="s">
        <v>80</v>
      </c>
      <c r="AD67" s="199" t="s">
        <v>81</v>
      </c>
      <c r="AE67" s="272" t="s">
        <v>82</v>
      </c>
      <c r="AF67" s="272" t="s">
        <v>83</v>
      </c>
      <c r="AG67" s="272" t="s">
        <v>84</v>
      </c>
      <c r="AH67" s="272" t="s">
        <v>85</v>
      </c>
      <c r="AI67" s="273" t="s">
        <v>86</v>
      </c>
      <c r="AJ67" s="274" t="s">
        <v>78</v>
      </c>
      <c r="AK67"/>
    </row>
    <row r="68" spans="1:37" ht="15.75" hidden="1" customHeight="1">
      <c r="A68" s="198" t="s">
        <v>779</v>
      </c>
      <c r="B68" s="198" t="s">
        <v>786</v>
      </c>
      <c r="C68" s="214" t="s">
        <v>116</v>
      </c>
      <c r="D68" s="270" t="s">
        <v>79</v>
      </c>
      <c r="E68" s="198" t="s">
        <v>316</v>
      </c>
      <c r="F68" s="198">
        <v>65</v>
      </c>
      <c r="G68" s="198"/>
      <c r="H68" s="214" t="s">
        <v>848</v>
      </c>
      <c r="I68" s="214" t="s">
        <v>325</v>
      </c>
      <c r="J68" s="271">
        <v>8.6999999999999993</v>
      </c>
      <c r="K68" s="198"/>
      <c r="L68" s="198"/>
      <c r="M68" s="198"/>
      <c r="N68" s="198"/>
      <c r="O68" s="198">
        <v>56.3</v>
      </c>
      <c r="P68" s="198"/>
      <c r="Q68" s="198" t="s">
        <v>329</v>
      </c>
      <c r="R68" s="230">
        <f>DATABASE_Table[[#This Row],[Inicial Asking Price (€) (Total)]]-DATABASE_Table[[#This Row],[Vista membership]]-DATABASE_Table[[#This Row],[FF&amp;E]]</f>
        <v>395000</v>
      </c>
      <c r="S68" s="234">
        <v>430000</v>
      </c>
      <c r="T68" s="235">
        <v>430000</v>
      </c>
      <c r="U68" s="198"/>
      <c r="V68" s="235">
        <v>35000</v>
      </c>
      <c r="W68" s="233">
        <f>DATABASE_Table[[#This Row],[Current Asking price( Total)]]-DATABASE_Table[[#This Row],[Vista membership]]-DATABASE_Table[[#This Row],[FF&amp;E]]</f>
        <v>395000</v>
      </c>
      <c r="X68" s="236"/>
      <c r="Y68" s="235"/>
      <c r="Z68" s="233">
        <f>DATABASE_Table[[#This Row],[Sell price (Total)]]-DATABASE_Table[[#This Row],[FF&amp;E]]-DATABASE_Table[[#This Row],[Vista membership]]</f>
        <v>-35000</v>
      </c>
      <c r="AA68" s="315"/>
      <c r="AB68" s="321">
        <v>47118</v>
      </c>
      <c r="AC68" s="199" t="s">
        <v>80</v>
      </c>
      <c r="AD68" s="199" t="s">
        <v>81</v>
      </c>
      <c r="AE68" s="272" t="s">
        <v>82</v>
      </c>
      <c r="AF68" s="272" t="s">
        <v>83</v>
      </c>
      <c r="AG68" s="272" t="s">
        <v>84</v>
      </c>
      <c r="AH68" s="272" t="s">
        <v>85</v>
      </c>
      <c r="AI68" s="273" t="s">
        <v>86</v>
      </c>
      <c r="AJ68" s="274" t="s">
        <v>78</v>
      </c>
      <c r="AK68"/>
    </row>
    <row r="69" spans="1:37" ht="15.75" hidden="1" customHeight="1">
      <c r="A69" s="198" t="s">
        <v>779</v>
      </c>
      <c r="B69" s="198" t="s">
        <v>786</v>
      </c>
      <c r="C69" s="214" t="s">
        <v>118</v>
      </c>
      <c r="D69" s="270" t="s">
        <v>79</v>
      </c>
      <c r="E69" s="198" t="s">
        <v>316</v>
      </c>
      <c r="F69" s="198">
        <v>65</v>
      </c>
      <c r="G69" s="198"/>
      <c r="H69" s="214" t="s">
        <v>848</v>
      </c>
      <c r="I69" s="214" t="s">
        <v>325</v>
      </c>
      <c r="J69" s="271">
        <v>8.6999999999999993</v>
      </c>
      <c r="K69" s="198"/>
      <c r="L69" s="198"/>
      <c r="M69" s="198"/>
      <c r="N69" s="198"/>
      <c r="O69" s="198">
        <v>56.3</v>
      </c>
      <c r="P69" s="198"/>
      <c r="Q69" s="198" t="s">
        <v>329</v>
      </c>
      <c r="R69" s="230">
        <f>DATABASE_Table[[#This Row],[Inicial Asking Price (€) (Total)]]-DATABASE_Table[[#This Row],[Vista membership]]-DATABASE_Table[[#This Row],[FF&amp;E]]</f>
        <v>395000</v>
      </c>
      <c r="S69" s="234">
        <v>430000</v>
      </c>
      <c r="T69" s="235">
        <v>430000</v>
      </c>
      <c r="U69" s="198"/>
      <c r="V69" s="235">
        <v>35000</v>
      </c>
      <c r="W69" s="233">
        <f>DATABASE_Table[[#This Row],[Current Asking price( Total)]]-DATABASE_Table[[#This Row],[Vista membership]]-DATABASE_Table[[#This Row],[FF&amp;E]]</f>
        <v>395000</v>
      </c>
      <c r="X69" s="236"/>
      <c r="Y69" s="235"/>
      <c r="Z69" s="233">
        <f>DATABASE_Table[[#This Row],[Sell price (Total)]]-DATABASE_Table[[#This Row],[FF&amp;E]]-DATABASE_Table[[#This Row],[Vista membership]]</f>
        <v>-35000</v>
      </c>
      <c r="AA69" s="315"/>
      <c r="AB69" s="321">
        <v>47118</v>
      </c>
      <c r="AC69" s="199" t="s">
        <v>80</v>
      </c>
      <c r="AD69" s="199" t="s">
        <v>81</v>
      </c>
      <c r="AE69" s="272" t="s">
        <v>82</v>
      </c>
      <c r="AF69" s="272" t="s">
        <v>83</v>
      </c>
      <c r="AG69" s="272" t="s">
        <v>84</v>
      </c>
      <c r="AH69" s="272" t="s">
        <v>85</v>
      </c>
      <c r="AI69" s="273" t="s">
        <v>86</v>
      </c>
      <c r="AJ69" s="274" t="s">
        <v>78</v>
      </c>
      <c r="AK69"/>
    </row>
    <row r="70" spans="1:37" ht="15.75" hidden="1" customHeight="1">
      <c r="A70" s="198" t="s">
        <v>779</v>
      </c>
      <c r="B70" s="198" t="s">
        <v>786</v>
      </c>
      <c r="C70" s="214" t="s">
        <v>120</v>
      </c>
      <c r="D70" s="270" t="s">
        <v>79</v>
      </c>
      <c r="E70" s="198" t="s">
        <v>316</v>
      </c>
      <c r="F70" s="198">
        <v>65</v>
      </c>
      <c r="G70" s="198"/>
      <c r="H70" s="214" t="s">
        <v>848</v>
      </c>
      <c r="I70" s="214" t="s">
        <v>325</v>
      </c>
      <c r="J70" s="271">
        <v>8.6999999999999993</v>
      </c>
      <c r="K70" s="198"/>
      <c r="L70" s="198"/>
      <c r="M70" s="198"/>
      <c r="N70" s="198"/>
      <c r="O70" s="198">
        <v>56.3</v>
      </c>
      <c r="P70" s="198"/>
      <c r="Q70" s="198" t="s">
        <v>329</v>
      </c>
      <c r="R70" s="230">
        <f>DATABASE_Table[[#This Row],[Inicial Asking Price (€) (Total)]]-DATABASE_Table[[#This Row],[Vista membership]]-DATABASE_Table[[#This Row],[FF&amp;E]]</f>
        <v>395000</v>
      </c>
      <c r="S70" s="234">
        <v>430000</v>
      </c>
      <c r="T70" s="235">
        <v>430000</v>
      </c>
      <c r="U70" s="198"/>
      <c r="V70" s="235">
        <v>35000</v>
      </c>
      <c r="W70" s="233">
        <f>DATABASE_Table[[#This Row],[Current Asking price( Total)]]-DATABASE_Table[[#This Row],[Vista membership]]-DATABASE_Table[[#This Row],[FF&amp;E]]</f>
        <v>395000</v>
      </c>
      <c r="X70" s="236"/>
      <c r="Y70" s="235"/>
      <c r="Z70" s="233">
        <f>DATABASE_Table[[#This Row],[Sell price (Total)]]-DATABASE_Table[[#This Row],[FF&amp;E]]-DATABASE_Table[[#This Row],[Vista membership]]</f>
        <v>-35000</v>
      </c>
      <c r="AA70" s="315"/>
      <c r="AB70" s="321">
        <v>47118</v>
      </c>
      <c r="AC70" s="199" t="s">
        <v>80</v>
      </c>
      <c r="AD70" s="199" t="s">
        <v>81</v>
      </c>
      <c r="AE70" s="272" t="s">
        <v>82</v>
      </c>
      <c r="AF70" s="272" t="s">
        <v>83</v>
      </c>
      <c r="AG70" s="272" t="s">
        <v>84</v>
      </c>
      <c r="AH70" s="272" t="s">
        <v>85</v>
      </c>
      <c r="AI70" s="273" t="s">
        <v>86</v>
      </c>
      <c r="AJ70" s="274" t="s">
        <v>78</v>
      </c>
      <c r="AK70"/>
    </row>
    <row r="71" spans="1:37" ht="15.75" hidden="1" customHeight="1">
      <c r="A71" s="198" t="s">
        <v>779</v>
      </c>
      <c r="B71" s="198" t="s">
        <v>786</v>
      </c>
      <c r="C71" s="214" t="s">
        <v>227</v>
      </c>
      <c r="D71" s="270" t="s">
        <v>79</v>
      </c>
      <c r="E71" s="198" t="s">
        <v>316</v>
      </c>
      <c r="F71" s="198">
        <v>60.2</v>
      </c>
      <c r="G71" s="198"/>
      <c r="H71" s="214" t="s">
        <v>848</v>
      </c>
      <c r="I71" s="214" t="s">
        <v>325</v>
      </c>
      <c r="J71" s="271">
        <v>3.9</v>
      </c>
      <c r="K71" s="198"/>
      <c r="L71" s="198"/>
      <c r="M71" s="198"/>
      <c r="N71" s="198"/>
      <c r="O71" s="198">
        <v>56.3</v>
      </c>
      <c r="P71" s="198"/>
      <c r="Q71" s="198" t="s">
        <v>329</v>
      </c>
      <c r="R71" s="230">
        <f>DATABASE_Table[[#This Row],[Inicial Asking Price (€) (Total)]]-DATABASE_Table[[#This Row],[Vista membership]]-DATABASE_Table[[#This Row],[FF&amp;E]]</f>
        <v>395000</v>
      </c>
      <c r="S71" s="234">
        <v>430000</v>
      </c>
      <c r="T71" s="235">
        <v>430000</v>
      </c>
      <c r="U71" s="198"/>
      <c r="V71" s="235">
        <v>35000</v>
      </c>
      <c r="W71" s="233">
        <f>DATABASE_Table[[#This Row],[Current Asking price( Total)]]-DATABASE_Table[[#This Row],[Vista membership]]-DATABASE_Table[[#This Row],[FF&amp;E]]</f>
        <v>395000</v>
      </c>
      <c r="X71" s="236"/>
      <c r="Y71" s="235"/>
      <c r="Z71" s="233">
        <f>DATABASE_Table[[#This Row],[Sell price (Total)]]-DATABASE_Table[[#This Row],[FF&amp;E]]-DATABASE_Table[[#This Row],[Vista membership]]</f>
        <v>-35000</v>
      </c>
      <c r="AA71" s="315"/>
      <c r="AB71" s="321">
        <v>47118</v>
      </c>
      <c r="AC71" s="199" t="s">
        <v>80</v>
      </c>
      <c r="AD71" s="199" t="s">
        <v>81</v>
      </c>
      <c r="AE71" s="272" t="s">
        <v>82</v>
      </c>
      <c r="AF71" s="272" t="s">
        <v>83</v>
      </c>
      <c r="AG71" s="272" t="s">
        <v>84</v>
      </c>
      <c r="AH71" s="272" t="s">
        <v>85</v>
      </c>
      <c r="AI71" s="273" t="s">
        <v>86</v>
      </c>
      <c r="AJ71" s="274" t="s">
        <v>78</v>
      </c>
      <c r="AK71"/>
    </row>
    <row r="72" spans="1:37" ht="15.75" hidden="1" customHeight="1">
      <c r="A72" s="198" t="s">
        <v>779</v>
      </c>
      <c r="B72" s="198" t="s">
        <v>786</v>
      </c>
      <c r="C72" s="214" t="s">
        <v>228</v>
      </c>
      <c r="D72" s="270" t="s">
        <v>79</v>
      </c>
      <c r="E72" s="198" t="s">
        <v>316</v>
      </c>
      <c r="F72" s="198">
        <v>60.2</v>
      </c>
      <c r="G72" s="198"/>
      <c r="H72" s="214" t="s">
        <v>848</v>
      </c>
      <c r="I72" s="214" t="s">
        <v>325</v>
      </c>
      <c r="J72" s="271">
        <v>3.9</v>
      </c>
      <c r="K72" s="198"/>
      <c r="L72" s="198"/>
      <c r="M72" s="198"/>
      <c r="N72" s="198"/>
      <c r="O72" s="198">
        <v>56.3</v>
      </c>
      <c r="P72" s="198"/>
      <c r="Q72" s="198" t="s">
        <v>329</v>
      </c>
      <c r="R72" s="230">
        <f>DATABASE_Table[[#This Row],[Inicial Asking Price (€) (Total)]]-DATABASE_Table[[#This Row],[Vista membership]]-DATABASE_Table[[#This Row],[FF&amp;E]]</f>
        <v>395000</v>
      </c>
      <c r="S72" s="234">
        <v>430000</v>
      </c>
      <c r="T72" s="235">
        <v>430000</v>
      </c>
      <c r="U72" s="198"/>
      <c r="V72" s="235">
        <v>35000</v>
      </c>
      <c r="W72" s="233">
        <f>DATABASE_Table[[#This Row],[Current Asking price( Total)]]-DATABASE_Table[[#This Row],[Vista membership]]-DATABASE_Table[[#This Row],[FF&amp;E]]</f>
        <v>395000</v>
      </c>
      <c r="X72" s="236"/>
      <c r="Y72" s="235"/>
      <c r="Z72" s="233">
        <f>DATABASE_Table[[#This Row],[Sell price (Total)]]-DATABASE_Table[[#This Row],[FF&amp;E]]-DATABASE_Table[[#This Row],[Vista membership]]</f>
        <v>-35000</v>
      </c>
      <c r="AA72" s="315"/>
      <c r="AB72" s="321">
        <v>47118</v>
      </c>
      <c r="AC72" s="199" t="s">
        <v>80</v>
      </c>
      <c r="AD72" s="199" t="s">
        <v>81</v>
      </c>
      <c r="AE72" s="272" t="s">
        <v>82</v>
      </c>
      <c r="AF72" s="272" t="s">
        <v>83</v>
      </c>
      <c r="AG72" s="272" t="s">
        <v>84</v>
      </c>
      <c r="AH72" s="272" t="s">
        <v>85</v>
      </c>
      <c r="AI72" s="273" t="s">
        <v>86</v>
      </c>
      <c r="AJ72" s="274" t="s">
        <v>78</v>
      </c>
      <c r="AK72"/>
    </row>
    <row r="73" spans="1:37" ht="15.75" hidden="1" customHeight="1">
      <c r="A73" s="198" t="s">
        <v>779</v>
      </c>
      <c r="B73" s="198" t="s">
        <v>786</v>
      </c>
      <c r="C73" s="214" t="s">
        <v>229</v>
      </c>
      <c r="D73" s="270" t="s">
        <v>79</v>
      </c>
      <c r="E73" s="198" t="s">
        <v>316</v>
      </c>
      <c r="F73" s="198">
        <v>60.2</v>
      </c>
      <c r="G73" s="198"/>
      <c r="H73" s="214" t="s">
        <v>848</v>
      </c>
      <c r="I73" s="214" t="s">
        <v>325</v>
      </c>
      <c r="J73" s="271">
        <v>3.9</v>
      </c>
      <c r="K73" s="198"/>
      <c r="L73" s="198"/>
      <c r="M73" s="198"/>
      <c r="N73" s="198"/>
      <c r="O73" s="198">
        <v>56.3</v>
      </c>
      <c r="P73" s="198"/>
      <c r="Q73" s="198" t="s">
        <v>329</v>
      </c>
      <c r="R73" s="230">
        <f>DATABASE_Table[[#This Row],[Inicial Asking Price (€) (Total)]]-DATABASE_Table[[#This Row],[Vista membership]]-DATABASE_Table[[#This Row],[FF&amp;E]]</f>
        <v>395000</v>
      </c>
      <c r="S73" s="234">
        <v>430000</v>
      </c>
      <c r="T73" s="235">
        <v>430000</v>
      </c>
      <c r="U73" s="198"/>
      <c r="V73" s="235">
        <v>35000</v>
      </c>
      <c r="W73" s="233">
        <f>DATABASE_Table[[#This Row],[Current Asking price( Total)]]-DATABASE_Table[[#This Row],[Vista membership]]-DATABASE_Table[[#This Row],[FF&amp;E]]</f>
        <v>395000</v>
      </c>
      <c r="X73" s="236"/>
      <c r="Y73" s="235"/>
      <c r="Z73" s="233">
        <f>DATABASE_Table[[#This Row],[Sell price (Total)]]-DATABASE_Table[[#This Row],[FF&amp;E]]-DATABASE_Table[[#This Row],[Vista membership]]</f>
        <v>-35000</v>
      </c>
      <c r="AA73" s="315"/>
      <c r="AB73" s="321">
        <v>47118</v>
      </c>
      <c r="AC73" s="199" t="s">
        <v>80</v>
      </c>
      <c r="AD73" s="199" t="s">
        <v>81</v>
      </c>
      <c r="AE73" s="272" t="s">
        <v>82</v>
      </c>
      <c r="AF73" s="272" t="s">
        <v>83</v>
      </c>
      <c r="AG73" s="272" t="s">
        <v>84</v>
      </c>
      <c r="AH73" s="272" t="s">
        <v>85</v>
      </c>
      <c r="AI73" s="273" t="s">
        <v>86</v>
      </c>
      <c r="AJ73" s="274" t="s">
        <v>78</v>
      </c>
      <c r="AK73"/>
    </row>
    <row r="74" spans="1:37" ht="15.75" hidden="1" customHeight="1">
      <c r="A74" s="198" t="s">
        <v>779</v>
      </c>
      <c r="B74" s="198" t="s">
        <v>786</v>
      </c>
      <c r="C74" s="214" t="s">
        <v>230</v>
      </c>
      <c r="D74" s="270" t="s">
        <v>79</v>
      </c>
      <c r="E74" s="198" t="s">
        <v>316</v>
      </c>
      <c r="F74" s="198">
        <v>60.2</v>
      </c>
      <c r="G74" s="198"/>
      <c r="H74" s="214" t="s">
        <v>848</v>
      </c>
      <c r="I74" s="214" t="s">
        <v>325</v>
      </c>
      <c r="J74" s="271">
        <v>3.9</v>
      </c>
      <c r="K74" s="198"/>
      <c r="L74" s="198"/>
      <c r="M74" s="198"/>
      <c r="N74" s="198"/>
      <c r="O74" s="198">
        <v>56.3</v>
      </c>
      <c r="P74" s="198"/>
      <c r="Q74" s="198" t="s">
        <v>329</v>
      </c>
      <c r="R74" s="230">
        <f>DATABASE_Table[[#This Row],[Inicial Asking Price (€) (Total)]]-DATABASE_Table[[#This Row],[Vista membership]]-DATABASE_Table[[#This Row],[FF&amp;E]]</f>
        <v>395000</v>
      </c>
      <c r="S74" s="234">
        <v>430000</v>
      </c>
      <c r="T74" s="235">
        <v>430000</v>
      </c>
      <c r="U74" s="198"/>
      <c r="V74" s="235">
        <v>35000</v>
      </c>
      <c r="W74" s="233">
        <f>DATABASE_Table[[#This Row],[Current Asking price( Total)]]-DATABASE_Table[[#This Row],[Vista membership]]-DATABASE_Table[[#This Row],[FF&amp;E]]</f>
        <v>395000</v>
      </c>
      <c r="X74" s="236"/>
      <c r="Y74" s="235"/>
      <c r="Z74" s="233">
        <f>DATABASE_Table[[#This Row],[Sell price (Total)]]-DATABASE_Table[[#This Row],[FF&amp;E]]-DATABASE_Table[[#This Row],[Vista membership]]</f>
        <v>-35000</v>
      </c>
      <c r="AA74" s="315"/>
      <c r="AB74" s="321">
        <v>47118</v>
      </c>
      <c r="AC74" s="199" t="s">
        <v>80</v>
      </c>
      <c r="AD74" s="199" t="s">
        <v>81</v>
      </c>
      <c r="AE74" s="272" t="s">
        <v>82</v>
      </c>
      <c r="AF74" s="272" t="s">
        <v>83</v>
      </c>
      <c r="AG74" s="272" t="s">
        <v>84</v>
      </c>
      <c r="AH74" s="272" t="s">
        <v>85</v>
      </c>
      <c r="AI74" s="273" t="s">
        <v>86</v>
      </c>
      <c r="AJ74" s="274" t="s">
        <v>78</v>
      </c>
      <c r="AK74"/>
    </row>
    <row r="75" spans="1:37" ht="15.75" hidden="1" customHeight="1">
      <c r="A75" s="198" t="s">
        <v>779</v>
      </c>
      <c r="B75" s="198" t="s">
        <v>786</v>
      </c>
      <c r="C75" s="214" t="s">
        <v>231</v>
      </c>
      <c r="D75" s="270" t="s">
        <v>79</v>
      </c>
      <c r="E75" s="198" t="s">
        <v>316</v>
      </c>
      <c r="F75" s="198">
        <v>60.2</v>
      </c>
      <c r="G75" s="198"/>
      <c r="H75" s="214" t="s">
        <v>848</v>
      </c>
      <c r="I75" s="214" t="s">
        <v>325</v>
      </c>
      <c r="J75" s="271">
        <v>3.9</v>
      </c>
      <c r="K75" s="198"/>
      <c r="L75" s="198"/>
      <c r="M75" s="198"/>
      <c r="N75" s="198"/>
      <c r="O75" s="198">
        <v>56.3</v>
      </c>
      <c r="P75" s="198"/>
      <c r="Q75" s="198" t="s">
        <v>329</v>
      </c>
      <c r="R75" s="230">
        <f>DATABASE_Table[[#This Row],[Inicial Asking Price (€) (Total)]]-DATABASE_Table[[#This Row],[Vista membership]]-DATABASE_Table[[#This Row],[FF&amp;E]]</f>
        <v>395000</v>
      </c>
      <c r="S75" s="234">
        <v>430000</v>
      </c>
      <c r="T75" s="235">
        <v>430000</v>
      </c>
      <c r="U75" s="198"/>
      <c r="V75" s="235">
        <v>35000</v>
      </c>
      <c r="W75" s="233">
        <f>DATABASE_Table[[#This Row],[Current Asking price( Total)]]-DATABASE_Table[[#This Row],[Vista membership]]-DATABASE_Table[[#This Row],[FF&amp;E]]</f>
        <v>395000</v>
      </c>
      <c r="X75" s="236"/>
      <c r="Y75" s="235"/>
      <c r="Z75" s="233">
        <f>DATABASE_Table[[#This Row],[Sell price (Total)]]-DATABASE_Table[[#This Row],[FF&amp;E]]-DATABASE_Table[[#This Row],[Vista membership]]</f>
        <v>-35000</v>
      </c>
      <c r="AA75" s="315"/>
      <c r="AB75" s="321">
        <v>47118</v>
      </c>
      <c r="AC75" s="199" t="s">
        <v>80</v>
      </c>
      <c r="AD75" s="199" t="s">
        <v>81</v>
      </c>
      <c r="AE75" s="272" t="s">
        <v>82</v>
      </c>
      <c r="AF75" s="272" t="s">
        <v>83</v>
      </c>
      <c r="AG75" s="272" t="s">
        <v>84</v>
      </c>
      <c r="AH75" s="272" t="s">
        <v>85</v>
      </c>
      <c r="AI75" s="273" t="s">
        <v>86</v>
      </c>
      <c r="AJ75" s="274" t="s">
        <v>78</v>
      </c>
      <c r="AK75"/>
    </row>
    <row r="76" spans="1:37" ht="15.75" hidden="1" customHeight="1">
      <c r="A76" s="198" t="s">
        <v>779</v>
      </c>
      <c r="B76" s="198" t="s">
        <v>786</v>
      </c>
      <c r="C76" s="214" t="s">
        <v>146</v>
      </c>
      <c r="D76" s="270" t="s">
        <v>79</v>
      </c>
      <c r="E76" s="198" t="s">
        <v>316</v>
      </c>
      <c r="F76" s="198">
        <v>65</v>
      </c>
      <c r="G76" s="198"/>
      <c r="H76" s="214" t="s">
        <v>848</v>
      </c>
      <c r="I76" s="214" t="s">
        <v>325</v>
      </c>
      <c r="J76" s="271">
        <v>8.6999999999999993</v>
      </c>
      <c r="K76" s="198"/>
      <c r="L76" s="198"/>
      <c r="M76" s="198"/>
      <c r="N76" s="198"/>
      <c r="O76" s="198">
        <v>56.3</v>
      </c>
      <c r="P76" s="198"/>
      <c r="Q76" s="198" t="s">
        <v>329</v>
      </c>
      <c r="R76" s="230">
        <f>DATABASE_Table[[#This Row],[Inicial Asking Price (€) (Total)]]-DATABASE_Table[[#This Row],[Vista membership]]-DATABASE_Table[[#This Row],[FF&amp;E]]</f>
        <v>400000</v>
      </c>
      <c r="S76" s="234">
        <v>435000</v>
      </c>
      <c r="T76" s="235">
        <v>435000</v>
      </c>
      <c r="U76" s="198"/>
      <c r="V76" s="235">
        <v>35000</v>
      </c>
      <c r="W76" s="233">
        <f>DATABASE_Table[[#This Row],[Current Asking price( Total)]]-DATABASE_Table[[#This Row],[Vista membership]]-DATABASE_Table[[#This Row],[FF&amp;E]]</f>
        <v>400000</v>
      </c>
      <c r="X76" s="236"/>
      <c r="Y76" s="235"/>
      <c r="Z76" s="233">
        <f>DATABASE_Table[[#This Row],[Sell price (Total)]]-DATABASE_Table[[#This Row],[FF&amp;E]]-DATABASE_Table[[#This Row],[Vista membership]]</f>
        <v>-35000</v>
      </c>
      <c r="AA76" s="315"/>
      <c r="AB76" s="321">
        <v>47118</v>
      </c>
      <c r="AC76" s="199" t="s">
        <v>80</v>
      </c>
      <c r="AD76" s="199" t="s">
        <v>81</v>
      </c>
      <c r="AE76" s="272" t="s">
        <v>82</v>
      </c>
      <c r="AF76" s="272" t="s">
        <v>83</v>
      </c>
      <c r="AG76" s="272" t="s">
        <v>84</v>
      </c>
      <c r="AH76" s="272" t="s">
        <v>85</v>
      </c>
      <c r="AI76" s="273" t="s">
        <v>86</v>
      </c>
      <c r="AJ76" s="274" t="s">
        <v>78</v>
      </c>
      <c r="AK76"/>
    </row>
    <row r="77" spans="1:37" ht="15.75" hidden="1" customHeight="1">
      <c r="A77" s="198" t="s">
        <v>779</v>
      </c>
      <c r="B77" s="198" t="s">
        <v>786</v>
      </c>
      <c r="C77" s="214" t="s">
        <v>147</v>
      </c>
      <c r="D77" s="270" t="s">
        <v>79</v>
      </c>
      <c r="E77" s="198" t="s">
        <v>316</v>
      </c>
      <c r="F77" s="198">
        <v>65</v>
      </c>
      <c r="G77" s="198"/>
      <c r="H77" s="214" t="s">
        <v>848</v>
      </c>
      <c r="I77" s="214" t="s">
        <v>325</v>
      </c>
      <c r="J77" s="271">
        <v>8.6999999999999993</v>
      </c>
      <c r="K77" s="198"/>
      <c r="L77" s="198"/>
      <c r="M77" s="198"/>
      <c r="N77" s="198"/>
      <c r="O77" s="198">
        <v>56.3</v>
      </c>
      <c r="P77" s="198"/>
      <c r="Q77" s="198" t="s">
        <v>329</v>
      </c>
      <c r="R77" s="230">
        <f>DATABASE_Table[[#This Row],[Inicial Asking Price (€) (Total)]]-DATABASE_Table[[#This Row],[Vista membership]]-DATABASE_Table[[#This Row],[FF&amp;E]]</f>
        <v>400000</v>
      </c>
      <c r="S77" s="234">
        <v>435000</v>
      </c>
      <c r="T77" s="235">
        <v>435000</v>
      </c>
      <c r="U77" s="198"/>
      <c r="V77" s="235">
        <v>35000</v>
      </c>
      <c r="W77" s="233">
        <f>DATABASE_Table[[#This Row],[Current Asking price( Total)]]-DATABASE_Table[[#This Row],[Vista membership]]-DATABASE_Table[[#This Row],[FF&amp;E]]</f>
        <v>400000</v>
      </c>
      <c r="X77" s="236"/>
      <c r="Y77" s="235"/>
      <c r="Z77" s="233">
        <f>DATABASE_Table[[#This Row],[Sell price (Total)]]-DATABASE_Table[[#This Row],[FF&amp;E]]-DATABASE_Table[[#This Row],[Vista membership]]</f>
        <v>-35000</v>
      </c>
      <c r="AA77" s="315"/>
      <c r="AB77" s="321">
        <v>47118</v>
      </c>
      <c r="AC77" s="199" t="s">
        <v>80</v>
      </c>
      <c r="AD77" s="199" t="s">
        <v>81</v>
      </c>
      <c r="AE77" s="272" t="s">
        <v>82</v>
      </c>
      <c r="AF77" s="272" t="s">
        <v>83</v>
      </c>
      <c r="AG77" s="272" t="s">
        <v>84</v>
      </c>
      <c r="AH77" s="272" t="s">
        <v>85</v>
      </c>
      <c r="AI77" s="273" t="s">
        <v>86</v>
      </c>
      <c r="AJ77" s="274" t="s">
        <v>78</v>
      </c>
      <c r="AK77"/>
    </row>
    <row r="78" spans="1:37" ht="15.75" hidden="1" customHeight="1">
      <c r="A78" s="198" t="s">
        <v>779</v>
      </c>
      <c r="B78" s="198" t="s">
        <v>786</v>
      </c>
      <c r="C78" s="214" t="s">
        <v>148</v>
      </c>
      <c r="D78" s="270" t="s">
        <v>79</v>
      </c>
      <c r="E78" s="198" t="s">
        <v>316</v>
      </c>
      <c r="F78" s="198">
        <v>65</v>
      </c>
      <c r="G78" s="198"/>
      <c r="H78" s="214" t="s">
        <v>848</v>
      </c>
      <c r="I78" s="214" t="s">
        <v>325</v>
      </c>
      <c r="J78" s="271">
        <v>8.6999999999999993</v>
      </c>
      <c r="K78" s="198"/>
      <c r="L78" s="198"/>
      <c r="M78" s="198"/>
      <c r="N78" s="198"/>
      <c r="O78" s="198">
        <v>56.3</v>
      </c>
      <c r="P78" s="198"/>
      <c r="Q78" s="198" t="s">
        <v>329</v>
      </c>
      <c r="R78" s="230">
        <f>DATABASE_Table[[#This Row],[Inicial Asking Price (€) (Total)]]-DATABASE_Table[[#This Row],[Vista membership]]-DATABASE_Table[[#This Row],[FF&amp;E]]</f>
        <v>400000</v>
      </c>
      <c r="S78" s="234">
        <v>435000</v>
      </c>
      <c r="T78" s="235">
        <v>435000</v>
      </c>
      <c r="U78" s="198"/>
      <c r="V78" s="235">
        <v>35000</v>
      </c>
      <c r="W78" s="233">
        <f>DATABASE_Table[[#This Row],[Current Asking price( Total)]]-DATABASE_Table[[#This Row],[Vista membership]]-DATABASE_Table[[#This Row],[FF&amp;E]]</f>
        <v>400000</v>
      </c>
      <c r="X78" s="236"/>
      <c r="Y78" s="235"/>
      <c r="Z78" s="233">
        <f>DATABASE_Table[[#This Row],[Sell price (Total)]]-DATABASE_Table[[#This Row],[FF&amp;E]]-DATABASE_Table[[#This Row],[Vista membership]]</f>
        <v>-35000</v>
      </c>
      <c r="AA78" s="315"/>
      <c r="AB78" s="321">
        <v>47118</v>
      </c>
      <c r="AC78" s="199" t="s">
        <v>80</v>
      </c>
      <c r="AD78" s="199" t="s">
        <v>81</v>
      </c>
      <c r="AE78" s="272" t="s">
        <v>82</v>
      </c>
      <c r="AF78" s="272" t="s">
        <v>83</v>
      </c>
      <c r="AG78" s="272" t="s">
        <v>84</v>
      </c>
      <c r="AH78" s="272" t="s">
        <v>85</v>
      </c>
      <c r="AI78" s="273" t="s">
        <v>86</v>
      </c>
      <c r="AJ78" s="274" t="s">
        <v>78</v>
      </c>
      <c r="AK78"/>
    </row>
    <row r="79" spans="1:37" ht="15.75" hidden="1" customHeight="1">
      <c r="A79" s="198" t="s">
        <v>779</v>
      </c>
      <c r="B79" s="198" t="s">
        <v>786</v>
      </c>
      <c r="C79" s="214" t="s">
        <v>149</v>
      </c>
      <c r="D79" s="270" t="s">
        <v>79</v>
      </c>
      <c r="E79" s="198" t="s">
        <v>316</v>
      </c>
      <c r="F79" s="198">
        <v>65</v>
      </c>
      <c r="G79" s="198"/>
      <c r="H79" s="214" t="s">
        <v>848</v>
      </c>
      <c r="I79" s="214" t="s">
        <v>325</v>
      </c>
      <c r="J79" s="271">
        <v>8.6999999999999993</v>
      </c>
      <c r="K79" s="198"/>
      <c r="L79" s="198"/>
      <c r="M79" s="198"/>
      <c r="N79" s="198"/>
      <c r="O79" s="198">
        <v>56.3</v>
      </c>
      <c r="P79" s="198"/>
      <c r="Q79" s="198" t="s">
        <v>329</v>
      </c>
      <c r="R79" s="230">
        <f>DATABASE_Table[[#This Row],[Inicial Asking Price (€) (Total)]]-DATABASE_Table[[#This Row],[Vista membership]]-DATABASE_Table[[#This Row],[FF&amp;E]]</f>
        <v>400000</v>
      </c>
      <c r="S79" s="234">
        <v>435000</v>
      </c>
      <c r="T79" s="235">
        <v>435000</v>
      </c>
      <c r="U79" s="198"/>
      <c r="V79" s="235">
        <v>35000</v>
      </c>
      <c r="W79" s="233">
        <f>DATABASE_Table[[#This Row],[Current Asking price( Total)]]-DATABASE_Table[[#This Row],[Vista membership]]-DATABASE_Table[[#This Row],[FF&amp;E]]</f>
        <v>400000</v>
      </c>
      <c r="X79" s="236"/>
      <c r="Y79" s="235"/>
      <c r="Z79" s="233">
        <f>DATABASE_Table[[#This Row],[Sell price (Total)]]-DATABASE_Table[[#This Row],[FF&amp;E]]-DATABASE_Table[[#This Row],[Vista membership]]</f>
        <v>-35000</v>
      </c>
      <c r="AA79" s="315"/>
      <c r="AB79" s="321">
        <v>47118</v>
      </c>
      <c r="AC79" s="199" t="s">
        <v>80</v>
      </c>
      <c r="AD79" s="199" t="s">
        <v>81</v>
      </c>
      <c r="AE79" s="272" t="s">
        <v>82</v>
      </c>
      <c r="AF79" s="272" t="s">
        <v>83</v>
      </c>
      <c r="AG79" s="272" t="s">
        <v>84</v>
      </c>
      <c r="AH79" s="272" t="s">
        <v>85</v>
      </c>
      <c r="AI79" s="273" t="s">
        <v>86</v>
      </c>
      <c r="AJ79" s="274" t="s">
        <v>78</v>
      </c>
      <c r="AK79"/>
    </row>
    <row r="80" spans="1:37" ht="15.75" hidden="1" customHeight="1">
      <c r="A80" s="198" t="s">
        <v>779</v>
      </c>
      <c r="B80" s="198" t="s">
        <v>786</v>
      </c>
      <c r="C80" s="214" t="s">
        <v>150</v>
      </c>
      <c r="D80" s="270" t="s">
        <v>79</v>
      </c>
      <c r="E80" s="198" t="s">
        <v>316</v>
      </c>
      <c r="F80" s="198">
        <v>65</v>
      </c>
      <c r="G80" s="198"/>
      <c r="H80" s="214" t="s">
        <v>848</v>
      </c>
      <c r="I80" s="214" t="s">
        <v>325</v>
      </c>
      <c r="J80" s="271">
        <v>8.6999999999999993</v>
      </c>
      <c r="K80" s="198"/>
      <c r="L80" s="198"/>
      <c r="M80" s="198"/>
      <c r="N80" s="198"/>
      <c r="O80" s="198">
        <v>56.3</v>
      </c>
      <c r="P80" s="198"/>
      <c r="Q80" s="198" t="s">
        <v>329</v>
      </c>
      <c r="R80" s="230">
        <f>DATABASE_Table[[#This Row],[Inicial Asking Price (€) (Total)]]-DATABASE_Table[[#This Row],[Vista membership]]-DATABASE_Table[[#This Row],[FF&amp;E]]</f>
        <v>400000</v>
      </c>
      <c r="S80" s="234">
        <v>435000</v>
      </c>
      <c r="T80" s="235">
        <v>435000</v>
      </c>
      <c r="U80" s="198"/>
      <c r="V80" s="235">
        <v>35000</v>
      </c>
      <c r="W80" s="233">
        <f>DATABASE_Table[[#This Row],[Current Asking price( Total)]]-DATABASE_Table[[#This Row],[Vista membership]]-DATABASE_Table[[#This Row],[FF&amp;E]]</f>
        <v>400000</v>
      </c>
      <c r="X80" s="236"/>
      <c r="Y80" s="235"/>
      <c r="Z80" s="233">
        <f>DATABASE_Table[[#This Row],[Sell price (Total)]]-DATABASE_Table[[#This Row],[FF&amp;E]]-DATABASE_Table[[#This Row],[Vista membership]]</f>
        <v>-35000</v>
      </c>
      <c r="AA80" s="315"/>
      <c r="AB80" s="321">
        <v>47118</v>
      </c>
      <c r="AC80" s="199" t="s">
        <v>80</v>
      </c>
      <c r="AD80" s="199" t="s">
        <v>81</v>
      </c>
      <c r="AE80" s="272" t="s">
        <v>82</v>
      </c>
      <c r="AF80" s="272" t="s">
        <v>83</v>
      </c>
      <c r="AG80" s="272" t="s">
        <v>84</v>
      </c>
      <c r="AH80" s="272" t="s">
        <v>85</v>
      </c>
      <c r="AI80" s="273" t="s">
        <v>86</v>
      </c>
      <c r="AJ80" s="274" t="s">
        <v>78</v>
      </c>
      <c r="AK80"/>
    </row>
    <row r="81" spans="1:37" ht="15.75" hidden="1" customHeight="1">
      <c r="A81" s="198" t="s">
        <v>779</v>
      </c>
      <c r="B81" s="198" t="s">
        <v>786</v>
      </c>
      <c r="C81" s="214" t="s">
        <v>151</v>
      </c>
      <c r="D81" s="270" t="s">
        <v>79</v>
      </c>
      <c r="E81" s="198" t="s">
        <v>316</v>
      </c>
      <c r="F81" s="198">
        <v>65</v>
      </c>
      <c r="G81" s="198"/>
      <c r="H81" s="214" t="s">
        <v>848</v>
      </c>
      <c r="I81" s="214" t="s">
        <v>325</v>
      </c>
      <c r="J81" s="271">
        <v>8.6999999999999993</v>
      </c>
      <c r="K81" s="198"/>
      <c r="L81" s="198"/>
      <c r="M81" s="198"/>
      <c r="N81" s="198"/>
      <c r="O81" s="198">
        <v>56.3</v>
      </c>
      <c r="P81" s="198"/>
      <c r="Q81" s="198" t="s">
        <v>329</v>
      </c>
      <c r="R81" s="230">
        <f>DATABASE_Table[[#This Row],[Inicial Asking Price (€) (Total)]]-DATABASE_Table[[#This Row],[Vista membership]]-DATABASE_Table[[#This Row],[FF&amp;E]]</f>
        <v>400000</v>
      </c>
      <c r="S81" s="234">
        <v>435000</v>
      </c>
      <c r="T81" s="235">
        <v>435000</v>
      </c>
      <c r="U81" s="198"/>
      <c r="V81" s="235">
        <v>35000</v>
      </c>
      <c r="W81" s="233">
        <f>DATABASE_Table[[#This Row],[Current Asking price( Total)]]-DATABASE_Table[[#This Row],[Vista membership]]-DATABASE_Table[[#This Row],[FF&amp;E]]</f>
        <v>400000</v>
      </c>
      <c r="X81" s="236"/>
      <c r="Y81" s="235"/>
      <c r="Z81" s="233">
        <f>DATABASE_Table[[#This Row],[Sell price (Total)]]-DATABASE_Table[[#This Row],[FF&amp;E]]-DATABASE_Table[[#This Row],[Vista membership]]</f>
        <v>-35000</v>
      </c>
      <c r="AA81" s="315"/>
      <c r="AB81" s="321">
        <v>47118</v>
      </c>
      <c r="AC81" s="199" t="s">
        <v>80</v>
      </c>
      <c r="AD81" s="199" t="s">
        <v>81</v>
      </c>
      <c r="AE81" s="272" t="s">
        <v>82</v>
      </c>
      <c r="AF81" s="272" t="s">
        <v>83</v>
      </c>
      <c r="AG81" s="272" t="s">
        <v>84</v>
      </c>
      <c r="AH81" s="272" t="s">
        <v>85</v>
      </c>
      <c r="AI81" s="273" t="s">
        <v>86</v>
      </c>
      <c r="AJ81" s="274" t="s">
        <v>78</v>
      </c>
      <c r="AK81"/>
    </row>
    <row r="82" spans="1:37" ht="15.75" hidden="1" customHeight="1">
      <c r="A82" s="198" t="s">
        <v>779</v>
      </c>
      <c r="B82" s="198" t="s">
        <v>786</v>
      </c>
      <c r="C82" s="214" t="s">
        <v>152</v>
      </c>
      <c r="D82" s="270" t="s">
        <v>79</v>
      </c>
      <c r="E82" s="198" t="s">
        <v>316</v>
      </c>
      <c r="F82" s="198">
        <v>65</v>
      </c>
      <c r="G82" s="198"/>
      <c r="H82" s="214" t="s">
        <v>848</v>
      </c>
      <c r="I82" s="214" t="s">
        <v>325</v>
      </c>
      <c r="J82" s="271">
        <v>8.6999999999999993</v>
      </c>
      <c r="K82" s="198"/>
      <c r="L82" s="198"/>
      <c r="M82" s="198"/>
      <c r="N82" s="198"/>
      <c r="O82" s="198">
        <v>56.3</v>
      </c>
      <c r="P82" s="198"/>
      <c r="Q82" s="198" t="s">
        <v>329</v>
      </c>
      <c r="R82" s="230">
        <f>DATABASE_Table[[#This Row],[Inicial Asking Price (€) (Total)]]-DATABASE_Table[[#This Row],[Vista membership]]-DATABASE_Table[[#This Row],[FF&amp;E]]</f>
        <v>400000</v>
      </c>
      <c r="S82" s="234">
        <v>435000</v>
      </c>
      <c r="T82" s="235">
        <v>435000</v>
      </c>
      <c r="U82" s="198"/>
      <c r="V82" s="235">
        <v>35000</v>
      </c>
      <c r="W82" s="233">
        <f>DATABASE_Table[[#This Row],[Current Asking price( Total)]]-DATABASE_Table[[#This Row],[Vista membership]]-DATABASE_Table[[#This Row],[FF&amp;E]]</f>
        <v>400000</v>
      </c>
      <c r="X82" s="236"/>
      <c r="Y82" s="235"/>
      <c r="Z82" s="233">
        <f>DATABASE_Table[[#This Row],[Sell price (Total)]]-DATABASE_Table[[#This Row],[FF&amp;E]]-DATABASE_Table[[#This Row],[Vista membership]]</f>
        <v>-35000</v>
      </c>
      <c r="AA82" s="315"/>
      <c r="AB82" s="321">
        <v>47118</v>
      </c>
      <c r="AC82" s="199" t="s">
        <v>80</v>
      </c>
      <c r="AD82" s="199" t="s">
        <v>81</v>
      </c>
      <c r="AE82" s="272" t="s">
        <v>82</v>
      </c>
      <c r="AF82" s="272" t="s">
        <v>83</v>
      </c>
      <c r="AG82" s="272" t="s">
        <v>84</v>
      </c>
      <c r="AH82" s="272" t="s">
        <v>85</v>
      </c>
      <c r="AI82" s="273" t="s">
        <v>86</v>
      </c>
      <c r="AJ82" s="274" t="s">
        <v>78</v>
      </c>
      <c r="AK82"/>
    </row>
    <row r="83" spans="1:37" ht="15.75" hidden="1" customHeight="1">
      <c r="A83" s="198" t="s">
        <v>565</v>
      </c>
      <c r="B83" s="198" t="s">
        <v>691</v>
      </c>
      <c r="C83" s="214" t="s">
        <v>693</v>
      </c>
      <c r="D83" s="270" t="s">
        <v>9</v>
      </c>
      <c r="E83" s="198" t="s">
        <v>319</v>
      </c>
      <c r="F83" s="198">
        <v>129.4</v>
      </c>
      <c r="G83" s="198"/>
      <c r="H83" s="214" t="s">
        <v>848</v>
      </c>
      <c r="I83" s="214" t="s">
        <v>325</v>
      </c>
      <c r="J83" s="271">
        <v>25.5</v>
      </c>
      <c r="K83" s="198"/>
      <c r="L83" s="198"/>
      <c r="M83" s="198"/>
      <c r="N83" s="198"/>
      <c r="O83" s="198">
        <v>103.9</v>
      </c>
      <c r="P83" s="198"/>
      <c r="Q83" s="198" t="s">
        <v>329</v>
      </c>
      <c r="R83" s="230">
        <f>DATABASE_Table[[#This Row],[Inicial Asking Price (€) (Total)]]-DATABASE_Table[[#This Row],[Vista membership]]-DATABASE_Table[[#This Row],[FF&amp;E]]</f>
        <v>1007000</v>
      </c>
      <c r="S83" s="231">
        <v>1080000</v>
      </c>
      <c r="T83" s="232">
        <v>1150000</v>
      </c>
      <c r="U83" s="198">
        <v>50000</v>
      </c>
      <c r="V83" s="198">
        <v>23000</v>
      </c>
      <c r="W83" s="233">
        <f>DATABASE_Table[[#This Row],[Current Asking price( Total)]]-DATABASE_Table[[#This Row],[Vista membership]]-DATABASE_Table[[#This Row],[FF&amp;E]]</f>
        <v>1077000</v>
      </c>
      <c r="X83" s="216"/>
      <c r="Y83" s="232">
        <v>1150000</v>
      </c>
      <c r="Z83" s="233">
        <f>DATABASE_Table[[#This Row],[Sell price (Total)]]-DATABASE_Table[[#This Row],[FF&amp;E]]-DATABASE_Table[[#This Row],[Vista membership]]</f>
        <v>1077000</v>
      </c>
      <c r="AA83" s="315"/>
      <c r="AB83" s="321"/>
      <c r="AC83" s="199" t="s">
        <v>10</v>
      </c>
      <c r="AD83" s="199" t="s">
        <v>34</v>
      </c>
      <c r="AE83" s="272" t="s">
        <v>32</v>
      </c>
      <c r="AF83" s="272" t="s">
        <v>686</v>
      </c>
      <c r="AG83" s="272" t="s">
        <v>49</v>
      </c>
      <c r="AH83" s="272" t="s">
        <v>50</v>
      </c>
      <c r="AI83" s="273" t="s">
        <v>51</v>
      </c>
      <c r="AJ83" s="274" t="s">
        <v>48</v>
      </c>
      <c r="AK83"/>
    </row>
    <row r="84" spans="1:37" ht="15.75" hidden="1" customHeight="1">
      <c r="A84" s="198" t="s">
        <v>565</v>
      </c>
      <c r="B84" s="198" t="s">
        <v>691</v>
      </c>
      <c r="C84" s="214" t="s">
        <v>694</v>
      </c>
      <c r="D84" s="270" t="s">
        <v>9</v>
      </c>
      <c r="E84" s="198" t="s">
        <v>319</v>
      </c>
      <c r="F84" s="198">
        <v>129.4</v>
      </c>
      <c r="G84" s="198"/>
      <c r="H84" s="214" t="s">
        <v>848</v>
      </c>
      <c r="I84" s="214" t="s">
        <v>325</v>
      </c>
      <c r="J84" s="271">
        <v>25.5</v>
      </c>
      <c r="K84" s="198"/>
      <c r="L84" s="198"/>
      <c r="M84" s="198"/>
      <c r="N84" s="198"/>
      <c r="O84" s="198">
        <v>103.9</v>
      </c>
      <c r="P84" s="198"/>
      <c r="Q84" s="198" t="s">
        <v>329</v>
      </c>
      <c r="R84" s="230">
        <f>DATABASE_Table[[#This Row],[Inicial Asking Price (€) (Total)]]-DATABASE_Table[[#This Row],[Vista membership]]-DATABASE_Table[[#This Row],[FF&amp;E]]</f>
        <v>927000</v>
      </c>
      <c r="S84" s="231">
        <v>1000000</v>
      </c>
      <c r="T84" s="232">
        <v>1060000</v>
      </c>
      <c r="U84" s="198">
        <v>50000</v>
      </c>
      <c r="V84" s="198">
        <v>23000</v>
      </c>
      <c r="W84" s="233">
        <f>DATABASE_Table[[#This Row],[Current Asking price( Total)]]-DATABASE_Table[[#This Row],[Vista membership]]-DATABASE_Table[[#This Row],[FF&amp;E]]</f>
        <v>987000</v>
      </c>
      <c r="X84" s="216"/>
      <c r="Y84" s="232">
        <v>1060000</v>
      </c>
      <c r="Z84" s="233">
        <f>DATABASE_Table[[#This Row],[Sell price (Total)]]-DATABASE_Table[[#This Row],[FF&amp;E]]-DATABASE_Table[[#This Row],[Vista membership]]</f>
        <v>987000</v>
      </c>
      <c r="AA84" s="315"/>
      <c r="AB84" s="321"/>
      <c r="AC84" s="199" t="s">
        <v>10</v>
      </c>
      <c r="AD84" s="199" t="s">
        <v>34</v>
      </c>
      <c r="AE84" s="272" t="s">
        <v>32</v>
      </c>
      <c r="AF84" s="272" t="s">
        <v>686</v>
      </c>
      <c r="AG84" s="272" t="s">
        <v>49</v>
      </c>
      <c r="AH84" s="272" t="s">
        <v>50</v>
      </c>
      <c r="AI84" s="273" t="s">
        <v>51</v>
      </c>
      <c r="AJ84" s="274" t="s">
        <v>48</v>
      </c>
      <c r="AK84"/>
    </row>
    <row r="85" spans="1:37" ht="15.75" hidden="1" customHeight="1">
      <c r="A85" s="198" t="s">
        <v>933</v>
      </c>
      <c r="B85" s="198" t="s">
        <v>769</v>
      </c>
      <c r="C85" s="214" t="s">
        <v>458</v>
      </c>
      <c r="D85" s="270"/>
      <c r="E85" s="198" t="s">
        <v>532</v>
      </c>
      <c r="F85" s="198">
        <v>342.39</v>
      </c>
      <c r="G85" s="198"/>
      <c r="H85" s="214" t="s">
        <v>325</v>
      </c>
      <c r="I85" s="214" t="s">
        <v>914</v>
      </c>
      <c r="J85" s="271"/>
      <c r="K85" s="198"/>
      <c r="L85" s="198"/>
      <c r="M85" s="198">
        <v>84.04</v>
      </c>
      <c r="N85" s="198"/>
      <c r="O85" s="198">
        <v>243.22</v>
      </c>
      <c r="P85" s="198"/>
      <c r="Q85" s="198" t="s">
        <v>329</v>
      </c>
      <c r="R85" s="230">
        <f>DATABASE_Table[[#This Row],[Inicial Asking Price (€) (Total)]]-DATABASE_Table[[#This Row],[Vista membership]]-DATABASE_Table[[#This Row],[FF&amp;E]]</f>
        <v>2050000</v>
      </c>
      <c r="S85" s="234">
        <v>2050000</v>
      </c>
      <c r="T85" s="235">
        <v>2050000</v>
      </c>
      <c r="U85" s="198"/>
      <c r="V85" s="198"/>
      <c r="W85" s="233">
        <f>DATABASE_Table[[#This Row],[Current Asking price( Total)]]-DATABASE_Table[[#This Row],[Vista membership]]-DATABASE_Table[[#This Row],[FF&amp;E]]</f>
        <v>2050000</v>
      </c>
      <c r="X85" s="236"/>
      <c r="Y85" s="235">
        <v>2050000</v>
      </c>
      <c r="Z85" s="233">
        <f>DATABASE_Table[[#This Row],[Sell price (Total)]]-DATABASE_Table[[#This Row],[FF&amp;E]]-DATABASE_Table[[#This Row],[Vista membership]]</f>
        <v>2050000</v>
      </c>
      <c r="AA85" s="315"/>
      <c r="AB85" s="321">
        <v>46843</v>
      </c>
      <c r="AC85" s="199"/>
      <c r="AD85" s="199"/>
      <c r="AE85" s="272"/>
      <c r="AF85" s="272"/>
      <c r="AG85" s="272"/>
      <c r="AH85" s="272"/>
      <c r="AI85" s="273"/>
      <c r="AJ85" s="274" t="s">
        <v>66</v>
      </c>
      <c r="AK85"/>
    </row>
    <row r="86" spans="1:37" ht="15.75" hidden="1" customHeight="1">
      <c r="A86" s="198" t="s">
        <v>933</v>
      </c>
      <c r="B86" s="198" t="s">
        <v>769</v>
      </c>
      <c r="C86" s="214" t="s">
        <v>459</v>
      </c>
      <c r="D86" s="270"/>
      <c r="E86" s="198" t="s">
        <v>532</v>
      </c>
      <c r="F86" s="198">
        <v>345.12</v>
      </c>
      <c r="G86" s="198"/>
      <c r="H86" s="214" t="s">
        <v>325</v>
      </c>
      <c r="I86" s="214" t="s">
        <v>914</v>
      </c>
      <c r="J86" s="271"/>
      <c r="K86" s="198"/>
      <c r="L86" s="198"/>
      <c r="M86" s="198">
        <v>83.71</v>
      </c>
      <c r="N86" s="198"/>
      <c r="O86" s="198">
        <v>246.28</v>
      </c>
      <c r="P86" s="198"/>
      <c r="Q86" s="198" t="s">
        <v>329</v>
      </c>
      <c r="R86" s="230">
        <f>DATABASE_Table[[#This Row],[Inicial Asking Price (€) (Total)]]-DATABASE_Table[[#This Row],[Vista membership]]-DATABASE_Table[[#This Row],[FF&amp;E]]</f>
        <v>1990000</v>
      </c>
      <c r="S86" s="234">
        <v>1990000</v>
      </c>
      <c r="T86" s="235">
        <v>1990000</v>
      </c>
      <c r="U86" s="198"/>
      <c r="V86" s="198"/>
      <c r="W86" s="233">
        <f>DATABASE_Table[[#This Row],[Current Asking price( Total)]]-DATABASE_Table[[#This Row],[Vista membership]]-DATABASE_Table[[#This Row],[FF&amp;E]]</f>
        <v>1990000</v>
      </c>
      <c r="X86" s="236"/>
      <c r="Y86" s="235">
        <v>1990000</v>
      </c>
      <c r="Z86" s="233">
        <f>DATABASE_Table[[#This Row],[Sell price (Total)]]-DATABASE_Table[[#This Row],[FF&amp;E]]-DATABASE_Table[[#This Row],[Vista membership]]</f>
        <v>1990000</v>
      </c>
      <c r="AA86" s="315"/>
      <c r="AB86" s="321">
        <v>46843</v>
      </c>
      <c r="AC86" s="199"/>
      <c r="AD86" s="199"/>
      <c r="AE86" s="272"/>
      <c r="AF86" s="272"/>
      <c r="AG86" s="272"/>
      <c r="AH86" s="272"/>
      <c r="AI86" s="273"/>
      <c r="AJ86" s="274" t="s">
        <v>66</v>
      </c>
      <c r="AK86"/>
    </row>
    <row r="87" spans="1:37" ht="15.75" hidden="1" customHeight="1">
      <c r="A87" s="198" t="s">
        <v>933</v>
      </c>
      <c r="B87" s="198" t="s">
        <v>769</v>
      </c>
      <c r="C87" s="214" t="s">
        <v>460</v>
      </c>
      <c r="D87" s="275"/>
      <c r="E87" s="198" t="s">
        <v>533</v>
      </c>
      <c r="F87" s="198">
        <v>342.3</v>
      </c>
      <c r="G87" s="198"/>
      <c r="H87" s="214" t="s">
        <v>325</v>
      </c>
      <c r="I87" s="214" t="s">
        <v>914</v>
      </c>
      <c r="J87" s="271"/>
      <c r="K87" s="198"/>
      <c r="L87" s="198"/>
      <c r="M87" s="198">
        <v>84.04</v>
      </c>
      <c r="N87" s="198"/>
      <c r="O87" s="198">
        <v>243.13</v>
      </c>
      <c r="P87" s="198"/>
      <c r="Q87" s="198" t="s">
        <v>329</v>
      </c>
      <c r="R87" s="230">
        <f>DATABASE_Table[[#This Row],[Inicial Asking Price (€) (Total)]]-DATABASE_Table[[#This Row],[Vista membership]]-DATABASE_Table[[#This Row],[FF&amp;E]]</f>
        <v>1980000</v>
      </c>
      <c r="S87" s="234">
        <v>1980000</v>
      </c>
      <c r="T87" s="235">
        <v>1980000</v>
      </c>
      <c r="U87" s="198"/>
      <c r="V87" s="198"/>
      <c r="W87" s="233">
        <f>DATABASE_Table[[#This Row],[Current Asking price( Total)]]-DATABASE_Table[[#This Row],[Vista membership]]-DATABASE_Table[[#This Row],[FF&amp;E]]</f>
        <v>1980000</v>
      </c>
      <c r="X87" s="236"/>
      <c r="Y87" s="235">
        <v>1980000</v>
      </c>
      <c r="Z87" s="233">
        <f>DATABASE_Table[[#This Row],[Sell price (Total)]]-DATABASE_Table[[#This Row],[FF&amp;E]]-DATABASE_Table[[#This Row],[Vista membership]]</f>
        <v>1980000</v>
      </c>
      <c r="AA87" s="315"/>
      <c r="AB87" s="321">
        <v>46843</v>
      </c>
      <c r="AC87" s="276"/>
      <c r="AD87" s="276"/>
      <c r="AE87" s="277"/>
      <c r="AF87" s="277"/>
      <c r="AG87" s="277"/>
      <c r="AH87" s="277"/>
      <c r="AI87" s="278"/>
      <c r="AJ87" s="274" t="s">
        <v>66</v>
      </c>
      <c r="AK87"/>
    </row>
    <row r="88" spans="1:37" ht="15.75" hidden="1" customHeight="1">
      <c r="A88" s="198" t="s">
        <v>933</v>
      </c>
      <c r="B88" s="198" t="s">
        <v>769</v>
      </c>
      <c r="C88" s="214" t="s">
        <v>282</v>
      </c>
      <c r="D88" s="197"/>
      <c r="E88" s="198" t="s">
        <v>534</v>
      </c>
      <c r="F88" s="198">
        <v>290.99</v>
      </c>
      <c r="G88" s="198"/>
      <c r="H88" s="214" t="s">
        <v>325</v>
      </c>
      <c r="I88" s="214" t="s">
        <v>915</v>
      </c>
      <c r="J88" s="271"/>
      <c r="K88" s="198"/>
      <c r="L88" s="198"/>
      <c r="M88" s="198">
        <v>83.84</v>
      </c>
      <c r="N88" s="198"/>
      <c r="O88" s="198">
        <v>191.87</v>
      </c>
      <c r="P88" s="198"/>
      <c r="Q88" s="198" t="s">
        <v>326</v>
      </c>
      <c r="R88" s="230">
        <f>DATABASE_Table[[#This Row],[Inicial Asking Price (€) (Total)]]-DATABASE_Table[[#This Row],[Vista membership]]-DATABASE_Table[[#This Row],[FF&amp;E]]</f>
        <v>1470000</v>
      </c>
      <c r="S88" s="234">
        <v>1470000</v>
      </c>
      <c r="T88" s="235">
        <v>1470000</v>
      </c>
      <c r="U88" s="198"/>
      <c r="V88" s="198"/>
      <c r="W88" s="233">
        <f>DATABASE_Table[[#This Row],[Current Asking price( Total)]]-DATABASE_Table[[#This Row],[Vista membership]]-DATABASE_Table[[#This Row],[FF&amp;E]]</f>
        <v>1470000</v>
      </c>
      <c r="X88" s="236"/>
      <c r="Y88" s="235">
        <v>1470000</v>
      </c>
      <c r="Z88" s="233">
        <f>DATABASE_Table[[#This Row],[Sell price (Total)]]-DATABASE_Table[[#This Row],[FF&amp;E]]-DATABASE_Table[[#This Row],[Vista membership]]</f>
        <v>1470000</v>
      </c>
      <c r="AA88" s="315">
        <v>46144</v>
      </c>
      <c r="AB88" s="321">
        <v>46843</v>
      </c>
      <c r="AC88" s="197"/>
      <c r="AD88" s="197"/>
      <c r="AE88" s="274"/>
      <c r="AF88" s="274"/>
      <c r="AG88" s="274"/>
      <c r="AH88" s="274"/>
      <c r="AI88" s="197"/>
      <c r="AJ88" s="274" t="s">
        <v>66</v>
      </c>
      <c r="AK88"/>
    </row>
    <row r="89" spans="1:37" ht="15.75" hidden="1" customHeight="1">
      <c r="A89" s="198" t="s">
        <v>933</v>
      </c>
      <c r="B89" s="198" t="s">
        <v>769</v>
      </c>
      <c r="C89" s="214" t="s">
        <v>535</v>
      </c>
      <c r="D89" s="197"/>
      <c r="E89" s="198" t="s">
        <v>536</v>
      </c>
      <c r="F89" s="198">
        <v>162.69</v>
      </c>
      <c r="G89" s="198"/>
      <c r="H89" s="214" t="s">
        <v>325</v>
      </c>
      <c r="I89" s="214" t="s">
        <v>916</v>
      </c>
      <c r="J89" s="271"/>
      <c r="K89" s="198"/>
      <c r="L89" s="198"/>
      <c r="M89" s="198">
        <v>57.46</v>
      </c>
      <c r="N89" s="198"/>
      <c r="O89" s="198">
        <v>99.04</v>
      </c>
      <c r="P89" s="198"/>
      <c r="Q89" s="198" t="s">
        <v>326</v>
      </c>
      <c r="R89" s="230">
        <f>DATABASE_Table[[#This Row],[Inicial Asking Price (€) (Total)]]-DATABASE_Table[[#This Row],[Vista membership]]-DATABASE_Table[[#This Row],[FF&amp;E]]</f>
        <v>730000</v>
      </c>
      <c r="S89" s="234">
        <v>730000</v>
      </c>
      <c r="T89" s="235">
        <v>730000</v>
      </c>
      <c r="U89" s="198"/>
      <c r="V89" s="198"/>
      <c r="W89" s="233">
        <f>DATABASE_Table[[#This Row],[Current Asking price( Total)]]-DATABASE_Table[[#This Row],[Vista membership]]-DATABASE_Table[[#This Row],[FF&amp;E]]</f>
        <v>730000</v>
      </c>
      <c r="X89" s="236"/>
      <c r="Y89" s="235">
        <v>730000</v>
      </c>
      <c r="Z89" s="233">
        <f>DATABASE_Table[[#This Row],[Sell price (Total)]]-DATABASE_Table[[#This Row],[FF&amp;E]]-DATABASE_Table[[#This Row],[Vista membership]]</f>
        <v>730000</v>
      </c>
      <c r="AA89" s="315">
        <v>46141</v>
      </c>
      <c r="AB89" s="321">
        <v>46843</v>
      </c>
      <c r="AC89" s="197"/>
      <c r="AD89" s="197"/>
      <c r="AE89" s="274"/>
      <c r="AF89" s="274"/>
      <c r="AG89" s="274"/>
      <c r="AH89" s="274"/>
      <c r="AI89" s="197"/>
      <c r="AJ89" s="274" t="s">
        <v>66</v>
      </c>
      <c r="AK89"/>
    </row>
    <row r="90" spans="1:37" ht="15.75" hidden="1" customHeight="1">
      <c r="A90" s="198" t="s">
        <v>933</v>
      </c>
      <c r="B90" s="198" t="s">
        <v>769</v>
      </c>
      <c r="C90" s="214" t="s">
        <v>305</v>
      </c>
      <c r="D90" s="197"/>
      <c r="E90" s="198" t="s">
        <v>537</v>
      </c>
      <c r="F90" s="198">
        <v>568.54999999999995</v>
      </c>
      <c r="G90" s="198"/>
      <c r="H90" s="214" t="s">
        <v>325</v>
      </c>
      <c r="I90" s="214" t="s">
        <v>917</v>
      </c>
      <c r="J90" s="271"/>
      <c r="K90" s="198"/>
      <c r="L90" s="198"/>
      <c r="M90" s="198">
        <v>209.11</v>
      </c>
      <c r="N90" s="198"/>
      <c r="O90" s="198">
        <v>331.2</v>
      </c>
      <c r="P90" s="198"/>
      <c r="Q90" s="198" t="s">
        <v>329</v>
      </c>
      <c r="R90" s="230">
        <f>DATABASE_Table[[#This Row],[Inicial Asking Price (€) (Total)]]-DATABASE_Table[[#This Row],[Vista membership]]-DATABASE_Table[[#This Row],[FF&amp;E]]</f>
        <v>2880000</v>
      </c>
      <c r="S90" s="234">
        <v>2880000</v>
      </c>
      <c r="T90" s="235">
        <v>2880000</v>
      </c>
      <c r="U90" s="198"/>
      <c r="V90" s="198"/>
      <c r="W90" s="233">
        <f>DATABASE_Table[[#This Row],[Current Asking price( Total)]]-DATABASE_Table[[#This Row],[Vista membership]]-DATABASE_Table[[#This Row],[FF&amp;E]]</f>
        <v>2880000</v>
      </c>
      <c r="X90" s="236"/>
      <c r="Y90" s="235">
        <v>2880000</v>
      </c>
      <c r="Z90" s="233">
        <f>DATABASE_Table[[#This Row],[Sell price (Total)]]-DATABASE_Table[[#This Row],[FF&amp;E]]-DATABASE_Table[[#This Row],[Vista membership]]</f>
        <v>2880000</v>
      </c>
      <c r="AA90" s="315"/>
      <c r="AB90" s="321">
        <v>46843</v>
      </c>
      <c r="AC90" s="197"/>
      <c r="AD90" s="197"/>
      <c r="AE90" s="274"/>
      <c r="AF90" s="274"/>
      <c r="AG90" s="274"/>
      <c r="AH90" s="274"/>
      <c r="AI90" s="197"/>
      <c r="AJ90" s="274" t="s">
        <v>66</v>
      </c>
      <c r="AK90"/>
    </row>
    <row r="91" spans="1:37" ht="15.75" hidden="1" customHeight="1">
      <c r="A91" s="198" t="s">
        <v>565</v>
      </c>
      <c r="B91" s="198" t="s">
        <v>691</v>
      </c>
      <c r="C91" s="214" t="s">
        <v>695</v>
      </c>
      <c r="D91" s="197" t="s">
        <v>9</v>
      </c>
      <c r="E91" s="198" t="s">
        <v>319</v>
      </c>
      <c r="F91" s="198">
        <v>130</v>
      </c>
      <c r="G91" s="198"/>
      <c r="H91" s="214" t="s">
        <v>848</v>
      </c>
      <c r="I91" s="214" t="s">
        <v>325</v>
      </c>
      <c r="J91" s="271">
        <v>25.4</v>
      </c>
      <c r="K91" s="198"/>
      <c r="L91" s="198"/>
      <c r="M91" s="198"/>
      <c r="N91" s="198"/>
      <c r="O91" s="198">
        <v>104.6</v>
      </c>
      <c r="P91" s="198"/>
      <c r="Q91" s="198" t="s">
        <v>329</v>
      </c>
      <c r="R91" s="230">
        <f>DATABASE_Table[[#This Row],[Inicial Asking Price (€) (Total)]]-DATABASE_Table[[#This Row],[Vista membership]]-DATABASE_Table[[#This Row],[FF&amp;E]]</f>
        <v>847000</v>
      </c>
      <c r="S91" s="231">
        <v>920000</v>
      </c>
      <c r="T91" s="232">
        <v>980000</v>
      </c>
      <c r="U91" s="198">
        <v>50000</v>
      </c>
      <c r="V91" s="198">
        <v>23000</v>
      </c>
      <c r="W91" s="233">
        <f>DATABASE_Table[[#This Row],[Current Asking price( Total)]]-DATABASE_Table[[#This Row],[Vista membership]]-DATABASE_Table[[#This Row],[FF&amp;E]]</f>
        <v>907000</v>
      </c>
      <c r="X91" s="216"/>
      <c r="Y91" s="232">
        <v>980000</v>
      </c>
      <c r="Z91" s="233">
        <f>DATABASE_Table[[#This Row],[Sell price (Total)]]-DATABASE_Table[[#This Row],[FF&amp;E]]-DATABASE_Table[[#This Row],[Vista membership]]</f>
        <v>907000</v>
      </c>
      <c r="AA91" s="315"/>
      <c r="AB91" s="321"/>
      <c r="AC91" s="197" t="s">
        <v>10</v>
      </c>
      <c r="AD91" s="197" t="s">
        <v>34</v>
      </c>
      <c r="AE91" s="274" t="s">
        <v>32</v>
      </c>
      <c r="AF91" s="274" t="s">
        <v>686</v>
      </c>
      <c r="AG91" s="274" t="s">
        <v>49</v>
      </c>
      <c r="AH91" s="274" t="s">
        <v>50</v>
      </c>
      <c r="AI91" s="197" t="s">
        <v>51</v>
      </c>
      <c r="AJ91" s="274" t="s">
        <v>48</v>
      </c>
      <c r="AK91"/>
    </row>
    <row r="92" spans="1:37" ht="15.75" hidden="1" customHeight="1">
      <c r="A92" s="198" t="s">
        <v>565</v>
      </c>
      <c r="B92" s="198" t="s">
        <v>691</v>
      </c>
      <c r="C92" s="214" t="s">
        <v>696</v>
      </c>
      <c r="D92" s="197" t="s">
        <v>9</v>
      </c>
      <c r="E92" s="198" t="s">
        <v>319</v>
      </c>
      <c r="F92" s="198">
        <v>130.1</v>
      </c>
      <c r="G92" s="198"/>
      <c r="H92" s="214" t="s">
        <v>848</v>
      </c>
      <c r="I92" s="214" t="s">
        <v>325</v>
      </c>
      <c r="J92" s="271">
        <v>25.5</v>
      </c>
      <c r="K92" s="198"/>
      <c r="L92" s="198"/>
      <c r="M92" s="198"/>
      <c r="N92" s="198"/>
      <c r="O92" s="198">
        <v>104.6</v>
      </c>
      <c r="P92" s="198"/>
      <c r="Q92" s="198" t="s">
        <v>329</v>
      </c>
      <c r="R92" s="230">
        <f>DATABASE_Table[[#This Row],[Inicial Asking Price (€) (Total)]]-DATABASE_Table[[#This Row],[Vista membership]]-DATABASE_Table[[#This Row],[FF&amp;E]]</f>
        <v>927000</v>
      </c>
      <c r="S92" s="231">
        <v>1000000</v>
      </c>
      <c r="T92" s="232">
        <v>1060000</v>
      </c>
      <c r="U92" s="198">
        <v>50000</v>
      </c>
      <c r="V92" s="198">
        <v>23000</v>
      </c>
      <c r="W92" s="233">
        <f>DATABASE_Table[[#This Row],[Current Asking price( Total)]]-DATABASE_Table[[#This Row],[Vista membership]]-DATABASE_Table[[#This Row],[FF&amp;E]]</f>
        <v>987000</v>
      </c>
      <c r="X92" s="216"/>
      <c r="Y92" s="232">
        <v>1060000</v>
      </c>
      <c r="Z92" s="233">
        <f>DATABASE_Table[[#This Row],[Sell price (Total)]]-DATABASE_Table[[#This Row],[FF&amp;E]]-DATABASE_Table[[#This Row],[Vista membership]]</f>
        <v>987000</v>
      </c>
      <c r="AA92" s="315"/>
      <c r="AB92" s="321"/>
      <c r="AC92" s="197" t="s">
        <v>10</v>
      </c>
      <c r="AD92" s="197" t="s">
        <v>34</v>
      </c>
      <c r="AE92" s="274" t="s">
        <v>32</v>
      </c>
      <c r="AF92" s="274" t="s">
        <v>686</v>
      </c>
      <c r="AG92" s="274" t="s">
        <v>49</v>
      </c>
      <c r="AH92" s="274" t="s">
        <v>50</v>
      </c>
      <c r="AI92" s="197" t="s">
        <v>51</v>
      </c>
      <c r="AJ92" s="274" t="s">
        <v>48</v>
      </c>
      <c r="AK92"/>
    </row>
    <row r="93" spans="1:37" ht="15.75" hidden="1" customHeight="1">
      <c r="A93" s="198" t="s">
        <v>565</v>
      </c>
      <c r="B93" s="198" t="s">
        <v>691</v>
      </c>
      <c r="C93" s="214" t="s">
        <v>697</v>
      </c>
      <c r="D93" s="197" t="s">
        <v>9</v>
      </c>
      <c r="E93" s="198" t="s">
        <v>319</v>
      </c>
      <c r="F93" s="198">
        <v>129.4</v>
      </c>
      <c r="G93" s="198"/>
      <c r="H93" s="214" t="s">
        <v>848</v>
      </c>
      <c r="I93" s="214" t="s">
        <v>325</v>
      </c>
      <c r="J93" s="271">
        <v>25.5</v>
      </c>
      <c r="K93" s="198"/>
      <c r="L93" s="198"/>
      <c r="M93" s="198"/>
      <c r="N93" s="198"/>
      <c r="O93" s="198">
        <v>103.9</v>
      </c>
      <c r="P93" s="198"/>
      <c r="Q93" s="198" t="s">
        <v>329</v>
      </c>
      <c r="R93" s="230">
        <f>DATABASE_Table[[#This Row],[Inicial Asking Price (€) (Total)]]-DATABASE_Table[[#This Row],[Vista membership]]-DATABASE_Table[[#This Row],[FF&amp;E]]</f>
        <v>1007000</v>
      </c>
      <c r="S93" s="231">
        <v>1080000</v>
      </c>
      <c r="T93" s="232">
        <v>1150000</v>
      </c>
      <c r="U93" s="198">
        <v>50000</v>
      </c>
      <c r="V93" s="198">
        <v>23000</v>
      </c>
      <c r="W93" s="233">
        <f>DATABASE_Table[[#This Row],[Current Asking price( Total)]]-DATABASE_Table[[#This Row],[Vista membership]]-DATABASE_Table[[#This Row],[FF&amp;E]]</f>
        <v>1077000</v>
      </c>
      <c r="X93" s="216"/>
      <c r="Y93" s="232">
        <v>1150000</v>
      </c>
      <c r="Z93" s="233">
        <f>DATABASE_Table[[#This Row],[Sell price (Total)]]-DATABASE_Table[[#This Row],[FF&amp;E]]-DATABASE_Table[[#This Row],[Vista membership]]</f>
        <v>1077000</v>
      </c>
      <c r="AA93" s="315"/>
      <c r="AB93" s="321"/>
      <c r="AC93" s="197" t="s">
        <v>10</v>
      </c>
      <c r="AD93" s="197" t="s">
        <v>34</v>
      </c>
      <c r="AE93" s="274" t="s">
        <v>32</v>
      </c>
      <c r="AF93" s="274" t="s">
        <v>686</v>
      </c>
      <c r="AG93" s="274" t="s">
        <v>49</v>
      </c>
      <c r="AH93" s="274" t="s">
        <v>50</v>
      </c>
      <c r="AI93" s="197" t="s">
        <v>51</v>
      </c>
      <c r="AJ93" s="274" t="s">
        <v>48</v>
      </c>
      <c r="AK93"/>
    </row>
    <row r="94" spans="1:37" ht="15.75" hidden="1" customHeight="1">
      <c r="A94" s="198" t="s">
        <v>565</v>
      </c>
      <c r="B94" s="198" t="s">
        <v>691</v>
      </c>
      <c r="C94" s="214" t="s">
        <v>698</v>
      </c>
      <c r="D94" s="197" t="s">
        <v>9</v>
      </c>
      <c r="E94" s="198" t="s">
        <v>319</v>
      </c>
      <c r="F94" s="198">
        <v>129.4</v>
      </c>
      <c r="G94" s="198"/>
      <c r="H94" s="214" t="s">
        <v>848</v>
      </c>
      <c r="I94" s="214" t="s">
        <v>325</v>
      </c>
      <c r="J94" s="271">
        <v>25.5</v>
      </c>
      <c r="K94" s="198"/>
      <c r="L94" s="198"/>
      <c r="M94" s="198"/>
      <c r="N94" s="198"/>
      <c r="O94" s="198">
        <v>103.9</v>
      </c>
      <c r="P94" s="198"/>
      <c r="Q94" s="198" t="s">
        <v>329</v>
      </c>
      <c r="R94" s="230">
        <f>DATABASE_Table[[#This Row],[Inicial Asking Price (€) (Total)]]-DATABASE_Table[[#This Row],[Vista membership]]-DATABASE_Table[[#This Row],[FF&amp;E]]</f>
        <v>1087000</v>
      </c>
      <c r="S94" s="231">
        <v>1160000</v>
      </c>
      <c r="T94" s="232">
        <v>1230000</v>
      </c>
      <c r="U94" s="198">
        <v>50000</v>
      </c>
      <c r="V94" s="198">
        <v>23000</v>
      </c>
      <c r="W94" s="233">
        <f>DATABASE_Table[[#This Row],[Current Asking price( Total)]]-DATABASE_Table[[#This Row],[Vista membership]]-DATABASE_Table[[#This Row],[FF&amp;E]]</f>
        <v>1157000</v>
      </c>
      <c r="X94" s="216"/>
      <c r="Y94" s="232">
        <v>1230000</v>
      </c>
      <c r="Z94" s="233">
        <f>DATABASE_Table[[#This Row],[Sell price (Total)]]-DATABASE_Table[[#This Row],[FF&amp;E]]-DATABASE_Table[[#This Row],[Vista membership]]</f>
        <v>1157000</v>
      </c>
      <c r="AA94" s="315"/>
      <c r="AB94" s="321"/>
      <c r="AC94" s="197" t="s">
        <v>10</v>
      </c>
      <c r="AD94" s="197" t="s">
        <v>34</v>
      </c>
      <c r="AE94" s="274" t="s">
        <v>32</v>
      </c>
      <c r="AF94" s="274" t="s">
        <v>686</v>
      </c>
      <c r="AG94" s="274" t="s">
        <v>49</v>
      </c>
      <c r="AH94" s="274" t="s">
        <v>50</v>
      </c>
      <c r="AI94" s="197" t="s">
        <v>51</v>
      </c>
      <c r="AJ94" s="274" t="s">
        <v>48</v>
      </c>
      <c r="AK94"/>
    </row>
    <row r="95" spans="1:37" ht="15.75" hidden="1" customHeight="1">
      <c r="A95" s="198" t="s">
        <v>565</v>
      </c>
      <c r="B95" s="198" t="s">
        <v>691</v>
      </c>
      <c r="C95" s="214" t="s">
        <v>699</v>
      </c>
      <c r="D95" s="197" t="s">
        <v>9</v>
      </c>
      <c r="E95" s="198" t="s">
        <v>319</v>
      </c>
      <c r="F95" s="198">
        <v>129.4</v>
      </c>
      <c r="G95" s="198"/>
      <c r="H95" s="214" t="s">
        <v>848</v>
      </c>
      <c r="I95" s="214" t="s">
        <v>325</v>
      </c>
      <c r="J95" s="271">
        <v>25.5</v>
      </c>
      <c r="K95" s="198"/>
      <c r="L95" s="198"/>
      <c r="M95" s="198"/>
      <c r="N95" s="198"/>
      <c r="O95" s="198">
        <v>103.9</v>
      </c>
      <c r="P95" s="198"/>
      <c r="Q95" s="198" t="s">
        <v>329</v>
      </c>
      <c r="R95" s="230">
        <f>DATABASE_Table[[#This Row],[Inicial Asking Price (€) (Total)]]-DATABASE_Table[[#This Row],[Vista membership]]-DATABASE_Table[[#This Row],[FF&amp;E]]</f>
        <v>1147000</v>
      </c>
      <c r="S95" s="231">
        <v>1220000</v>
      </c>
      <c r="T95" s="232">
        <v>1290000</v>
      </c>
      <c r="U95" s="198">
        <v>50000</v>
      </c>
      <c r="V95" s="198">
        <v>23000</v>
      </c>
      <c r="W95" s="233">
        <f>DATABASE_Table[[#This Row],[Current Asking price( Total)]]-DATABASE_Table[[#This Row],[Vista membership]]-DATABASE_Table[[#This Row],[FF&amp;E]]</f>
        <v>1217000</v>
      </c>
      <c r="X95" s="216"/>
      <c r="Y95" s="232">
        <v>1290000</v>
      </c>
      <c r="Z95" s="233">
        <f>DATABASE_Table[[#This Row],[Sell price (Total)]]-DATABASE_Table[[#This Row],[FF&amp;E]]-DATABASE_Table[[#This Row],[Vista membership]]</f>
        <v>1217000</v>
      </c>
      <c r="AA95" s="315"/>
      <c r="AB95" s="321"/>
      <c r="AC95" s="197" t="s">
        <v>10</v>
      </c>
      <c r="AD95" s="197" t="s">
        <v>34</v>
      </c>
      <c r="AE95" s="274" t="s">
        <v>32</v>
      </c>
      <c r="AF95" s="274" t="s">
        <v>686</v>
      </c>
      <c r="AG95" s="274" t="s">
        <v>49</v>
      </c>
      <c r="AH95" s="274" t="s">
        <v>50</v>
      </c>
      <c r="AI95" s="197" t="s">
        <v>51</v>
      </c>
      <c r="AJ95" s="274" t="s">
        <v>48</v>
      </c>
      <c r="AK95"/>
    </row>
    <row r="96" spans="1:37" ht="15.75" hidden="1" customHeight="1">
      <c r="A96" s="198" t="s">
        <v>565</v>
      </c>
      <c r="B96" s="198" t="s">
        <v>691</v>
      </c>
      <c r="C96" s="214" t="s">
        <v>700</v>
      </c>
      <c r="D96" s="197" t="s">
        <v>9</v>
      </c>
      <c r="E96" s="198" t="s">
        <v>319</v>
      </c>
      <c r="F96" s="198">
        <v>129.4</v>
      </c>
      <c r="G96" s="198"/>
      <c r="H96" s="214" t="s">
        <v>848</v>
      </c>
      <c r="I96" s="214" t="s">
        <v>325</v>
      </c>
      <c r="J96" s="271">
        <v>25.5</v>
      </c>
      <c r="K96" s="198"/>
      <c r="L96" s="198"/>
      <c r="M96" s="198"/>
      <c r="N96" s="198"/>
      <c r="O96" s="198">
        <v>103.9</v>
      </c>
      <c r="P96" s="198"/>
      <c r="Q96" s="198" t="s">
        <v>329</v>
      </c>
      <c r="R96" s="230">
        <f>DATABASE_Table[[#This Row],[Inicial Asking Price (€) (Total)]]-DATABASE_Table[[#This Row],[Vista membership]]-DATABASE_Table[[#This Row],[FF&amp;E]]</f>
        <v>1207000</v>
      </c>
      <c r="S96" s="231">
        <v>1280000</v>
      </c>
      <c r="T96" s="232">
        <v>1350000</v>
      </c>
      <c r="U96" s="198">
        <v>50000</v>
      </c>
      <c r="V96" s="198">
        <v>23000</v>
      </c>
      <c r="W96" s="233">
        <f>DATABASE_Table[[#This Row],[Current Asking price( Total)]]-DATABASE_Table[[#This Row],[Vista membership]]-DATABASE_Table[[#This Row],[FF&amp;E]]</f>
        <v>1277000</v>
      </c>
      <c r="X96" s="216"/>
      <c r="Y96" s="232">
        <v>1350000</v>
      </c>
      <c r="Z96" s="233">
        <f>DATABASE_Table[[#This Row],[Sell price (Total)]]-DATABASE_Table[[#This Row],[FF&amp;E]]-DATABASE_Table[[#This Row],[Vista membership]]</f>
        <v>1277000</v>
      </c>
      <c r="AA96" s="315"/>
      <c r="AB96" s="321"/>
      <c r="AC96" s="197" t="s">
        <v>10</v>
      </c>
      <c r="AD96" s="197" t="s">
        <v>34</v>
      </c>
      <c r="AE96" s="274" t="s">
        <v>32</v>
      </c>
      <c r="AF96" s="274" t="s">
        <v>686</v>
      </c>
      <c r="AG96" s="274" t="s">
        <v>49</v>
      </c>
      <c r="AH96" s="274" t="s">
        <v>50</v>
      </c>
      <c r="AI96" s="197" t="s">
        <v>51</v>
      </c>
      <c r="AJ96" s="274" t="s">
        <v>48</v>
      </c>
      <c r="AK96"/>
    </row>
    <row r="97" spans="1:37" ht="15.75" hidden="1" customHeight="1">
      <c r="A97" s="198" t="s">
        <v>779</v>
      </c>
      <c r="B97" s="198" t="s">
        <v>786</v>
      </c>
      <c r="C97" s="214" t="s">
        <v>218</v>
      </c>
      <c r="D97" s="197" t="s">
        <v>79</v>
      </c>
      <c r="E97" s="198" t="s">
        <v>316</v>
      </c>
      <c r="F97" s="198">
        <v>60.2</v>
      </c>
      <c r="G97" s="198"/>
      <c r="H97" s="214" t="s">
        <v>848</v>
      </c>
      <c r="I97" s="214" t="s">
        <v>325</v>
      </c>
      <c r="J97" s="271">
        <v>3.9</v>
      </c>
      <c r="K97" s="198"/>
      <c r="L97" s="198"/>
      <c r="M97" s="198"/>
      <c r="N97" s="198"/>
      <c r="O97" s="198">
        <v>56.3</v>
      </c>
      <c r="P97" s="198"/>
      <c r="Q97" s="198" t="s">
        <v>329</v>
      </c>
      <c r="R97" s="230">
        <f>DATABASE_Table[[#This Row],[Inicial Asking Price (€) (Total)]]-DATABASE_Table[[#This Row],[Vista membership]]-DATABASE_Table[[#This Row],[FF&amp;E]]</f>
        <v>410000</v>
      </c>
      <c r="S97" s="234">
        <v>445000</v>
      </c>
      <c r="T97" s="235">
        <v>445000</v>
      </c>
      <c r="U97" s="198"/>
      <c r="V97" s="235">
        <v>35000</v>
      </c>
      <c r="W97" s="233">
        <f>DATABASE_Table[[#This Row],[Current Asking price( Total)]]-DATABASE_Table[[#This Row],[Vista membership]]-DATABASE_Table[[#This Row],[FF&amp;E]]</f>
        <v>410000</v>
      </c>
      <c r="X97" s="236"/>
      <c r="Y97" s="235"/>
      <c r="Z97" s="233">
        <f>DATABASE_Table[[#This Row],[Sell price (Total)]]-DATABASE_Table[[#This Row],[FF&amp;E]]-DATABASE_Table[[#This Row],[Vista membership]]</f>
        <v>-35000</v>
      </c>
      <c r="AA97" s="315"/>
      <c r="AB97" s="321">
        <v>47118</v>
      </c>
      <c r="AC97" s="197" t="s">
        <v>80</v>
      </c>
      <c r="AD97" s="197" t="s">
        <v>81</v>
      </c>
      <c r="AE97" s="274" t="s">
        <v>82</v>
      </c>
      <c r="AF97" s="274" t="s">
        <v>83</v>
      </c>
      <c r="AG97" s="274" t="s">
        <v>84</v>
      </c>
      <c r="AH97" s="274" t="s">
        <v>85</v>
      </c>
      <c r="AI97" s="197" t="s">
        <v>86</v>
      </c>
      <c r="AJ97" s="274" t="s">
        <v>78</v>
      </c>
      <c r="AK97"/>
    </row>
    <row r="98" spans="1:37" ht="15.75" hidden="1" customHeight="1">
      <c r="A98" s="198" t="s">
        <v>779</v>
      </c>
      <c r="B98" s="198" t="s">
        <v>786</v>
      </c>
      <c r="C98" s="214" t="s">
        <v>219</v>
      </c>
      <c r="D98" s="197" t="s">
        <v>79</v>
      </c>
      <c r="E98" s="198" t="s">
        <v>316</v>
      </c>
      <c r="F98" s="198">
        <v>60.2</v>
      </c>
      <c r="G98" s="198"/>
      <c r="H98" s="214" t="s">
        <v>848</v>
      </c>
      <c r="I98" s="214" t="s">
        <v>325</v>
      </c>
      <c r="J98" s="271">
        <v>3.9</v>
      </c>
      <c r="K98" s="198"/>
      <c r="L98" s="198"/>
      <c r="M98" s="198"/>
      <c r="N98" s="198"/>
      <c r="O98" s="198">
        <v>56.3</v>
      </c>
      <c r="P98" s="198"/>
      <c r="Q98" s="198" t="s">
        <v>329</v>
      </c>
      <c r="R98" s="230">
        <f>DATABASE_Table[[#This Row],[Inicial Asking Price (€) (Total)]]-DATABASE_Table[[#This Row],[Vista membership]]-DATABASE_Table[[#This Row],[FF&amp;E]]</f>
        <v>410000</v>
      </c>
      <c r="S98" s="234">
        <v>445000</v>
      </c>
      <c r="T98" s="235">
        <v>445000</v>
      </c>
      <c r="U98" s="198"/>
      <c r="V98" s="235">
        <v>35000</v>
      </c>
      <c r="W98" s="233">
        <f>DATABASE_Table[[#This Row],[Current Asking price( Total)]]-DATABASE_Table[[#This Row],[Vista membership]]-DATABASE_Table[[#This Row],[FF&amp;E]]</f>
        <v>410000</v>
      </c>
      <c r="X98" s="236"/>
      <c r="Y98" s="235"/>
      <c r="Z98" s="233">
        <f>DATABASE_Table[[#This Row],[Sell price (Total)]]-DATABASE_Table[[#This Row],[FF&amp;E]]-DATABASE_Table[[#This Row],[Vista membership]]</f>
        <v>-35000</v>
      </c>
      <c r="AA98" s="315"/>
      <c r="AB98" s="321">
        <v>47118</v>
      </c>
      <c r="AC98" s="197" t="s">
        <v>80</v>
      </c>
      <c r="AD98" s="197" t="s">
        <v>81</v>
      </c>
      <c r="AE98" s="274" t="s">
        <v>82</v>
      </c>
      <c r="AF98" s="274" t="s">
        <v>83</v>
      </c>
      <c r="AG98" s="274" t="s">
        <v>84</v>
      </c>
      <c r="AH98" s="274" t="s">
        <v>85</v>
      </c>
      <c r="AI98" s="197" t="s">
        <v>86</v>
      </c>
      <c r="AJ98" s="274" t="s">
        <v>78</v>
      </c>
      <c r="AK98"/>
    </row>
    <row r="99" spans="1:37" ht="15.75" hidden="1" customHeight="1">
      <c r="A99" s="198" t="s">
        <v>779</v>
      </c>
      <c r="B99" s="198" t="s">
        <v>786</v>
      </c>
      <c r="C99" s="214" t="s">
        <v>220</v>
      </c>
      <c r="D99" s="197" t="s">
        <v>79</v>
      </c>
      <c r="E99" s="198" t="s">
        <v>316</v>
      </c>
      <c r="F99" s="198">
        <v>60.2</v>
      </c>
      <c r="G99" s="198"/>
      <c r="H99" s="214" t="s">
        <v>848</v>
      </c>
      <c r="I99" s="214" t="s">
        <v>325</v>
      </c>
      <c r="J99" s="271">
        <v>3.9</v>
      </c>
      <c r="K99" s="198"/>
      <c r="L99" s="198"/>
      <c r="M99" s="198"/>
      <c r="N99" s="198"/>
      <c r="O99" s="198">
        <v>56.3</v>
      </c>
      <c r="P99" s="198"/>
      <c r="Q99" s="198" t="s">
        <v>329</v>
      </c>
      <c r="R99" s="230">
        <f>DATABASE_Table[[#This Row],[Inicial Asking Price (€) (Total)]]-DATABASE_Table[[#This Row],[Vista membership]]-DATABASE_Table[[#This Row],[FF&amp;E]]</f>
        <v>410000</v>
      </c>
      <c r="S99" s="234">
        <v>445000</v>
      </c>
      <c r="T99" s="235">
        <v>445000</v>
      </c>
      <c r="U99" s="198"/>
      <c r="V99" s="235">
        <v>35000</v>
      </c>
      <c r="W99" s="233">
        <f>DATABASE_Table[[#This Row],[Current Asking price( Total)]]-DATABASE_Table[[#This Row],[Vista membership]]-DATABASE_Table[[#This Row],[FF&amp;E]]</f>
        <v>410000</v>
      </c>
      <c r="X99" s="236"/>
      <c r="Y99" s="235"/>
      <c r="Z99" s="233">
        <f>DATABASE_Table[[#This Row],[Sell price (Total)]]-DATABASE_Table[[#This Row],[FF&amp;E]]-DATABASE_Table[[#This Row],[Vista membership]]</f>
        <v>-35000</v>
      </c>
      <c r="AA99" s="315"/>
      <c r="AB99" s="321">
        <v>47118</v>
      </c>
      <c r="AC99" s="197" t="s">
        <v>80</v>
      </c>
      <c r="AD99" s="197" t="s">
        <v>81</v>
      </c>
      <c r="AE99" s="274" t="s">
        <v>82</v>
      </c>
      <c r="AF99" s="274" t="s">
        <v>83</v>
      </c>
      <c r="AG99" s="274" t="s">
        <v>84</v>
      </c>
      <c r="AH99" s="274" t="s">
        <v>85</v>
      </c>
      <c r="AI99" s="197" t="s">
        <v>86</v>
      </c>
      <c r="AJ99" s="274" t="s">
        <v>78</v>
      </c>
      <c r="AK99"/>
    </row>
    <row r="100" spans="1:37" ht="15.75" hidden="1" customHeight="1">
      <c r="A100" s="198" t="s">
        <v>779</v>
      </c>
      <c r="B100" s="198" t="s">
        <v>786</v>
      </c>
      <c r="C100" s="214" t="s">
        <v>221</v>
      </c>
      <c r="D100" s="197" t="s">
        <v>79</v>
      </c>
      <c r="E100" s="198" t="s">
        <v>316</v>
      </c>
      <c r="F100" s="198">
        <v>60.2</v>
      </c>
      <c r="G100" s="198"/>
      <c r="H100" s="214" t="s">
        <v>848</v>
      </c>
      <c r="I100" s="214" t="s">
        <v>325</v>
      </c>
      <c r="J100" s="271">
        <v>3.9</v>
      </c>
      <c r="K100" s="198"/>
      <c r="L100" s="198"/>
      <c r="M100" s="198"/>
      <c r="N100" s="198"/>
      <c r="O100" s="198">
        <v>56.3</v>
      </c>
      <c r="P100" s="198"/>
      <c r="Q100" s="198" t="s">
        <v>329</v>
      </c>
      <c r="R100" s="230">
        <f>DATABASE_Table[[#This Row],[Inicial Asking Price (€) (Total)]]-DATABASE_Table[[#This Row],[Vista membership]]-DATABASE_Table[[#This Row],[FF&amp;E]]</f>
        <v>410000</v>
      </c>
      <c r="S100" s="234">
        <v>445000</v>
      </c>
      <c r="T100" s="235">
        <v>445000</v>
      </c>
      <c r="U100" s="198"/>
      <c r="V100" s="235">
        <v>35000</v>
      </c>
      <c r="W100" s="233">
        <f>DATABASE_Table[[#This Row],[Current Asking price( Total)]]-DATABASE_Table[[#This Row],[Vista membership]]-DATABASE_Table[[#This Row],[FF&amp;E]]</f>
        <v>410000</v>
      </c>
      <c r="X100" s="236"/>
      <c r="Y100" s="235"/>
      <c r="Z100" s="233">
        <f>DATABASE_Table[[#This Row],[Sell price (Total)]]-DATABASE_Table[[#This Row],[FF&amp;E]]-DATABASE_Table[[#This Row],[Vista membership]]</f>
        <v>-35000</v>
      </c>
      <c r="AA100" s="315"/>
      <c r="AB100" s="321">
        <v>47118</v>
      </c>
      <c r="AC100" s="197" t="s">
        <v>80</v>
      </c>
      <c r="AD100" s="197" t="s">
        <v>81</v>
      </c>
      <c r="AE100" s="274" t="s">
        <v>82</v>
      </c>
      <c r="AF100" s="274" t="s">
        <v>83</v>
      </c>
      <c r="AG100" s="274" t="s">
        <v>84</v>
      </c>
      <c r="AH100" s="274" t="s">
        <v>85</v>
      </c>
      <c r="AI100" s="197" t="s">
        <v>86</v>
      </c>
      <c r="AJ100" s="274" t="s">
        <v>78</v>
      </c>
      <c r="AK100"/>
    </row>
    <row r="101" spans="1:37" ht="15.75" hidden="1" customHeight="1">
      <c r="A101" s="198" t="s">
        <v>779</v>
      </c>
      <c r="B101" s="198" t="s">
        <v>786</v>
      </c>
      <c r="C101" s="214" t="s">
        <v>222</v>
      </c>
      <c r="D101" s="198" t="s">
        <v>79</v>
      </c>
      <c r="E101" s="198" t="s">
        <v>316</v>
      </c>
      <c r="F101" s="198">
        <v>60.2</v>
      </c>
      <c r="G101" s="198"/>
      <c r="H101" s="214" t="s">
        <v>848</v>
      </c>
      <c r="I101" s="214" t="s">
        <v>325</v>
      </c>
      <c r="J101" s="271">
        <v>3.9</v>
      </c>
      <c r="K101" s="198"/>
      <c r="L101" s="198"/>
      <c r="M101" s="198"/>
      <c r="N101" s="198"/>
      <c r="O101" s="198">
        <v>56.3</v>
      </c>
      <c r="P101" s="198"/>
      <c r="Q101" s="198" t="s">
        <v>329</v>
      </c>
      <c r="R101" s="230">
        <f>DATABASE_Table[[#This Row],[Inicial Asking Price (€) (Total)]]-DATABASE_Table[[#This Row],[Vista membership]]-DATABASE_Table[[#This Row],[FF&amp;E]]</f>
        <v>410000</v>
      </c>
      <c r="S101" s="234">
        <v>445000</v>
      </c>
      <c r="T101" s="235">
        <v>445000</v>
      </c>
      <c r="U101" s="198"/>
      <c r="V101" s="235">
        <v>35000</v>
      </c>
      <c r="W101" s="233">
        <f>DATABASE_Table[[#This Row],[Current Asking price( Total)]]-DATABASE_Table[[#This Row],[Vista membership]]-DATABASE_Table[[#This Row],[FF&amp;E]]</f>
        <v>410000</v>
      </c>
      <c r="X101" s="236"/>
      <c r="Y101" s="235"/>
      <c r="Z101" s="233">
        <f>DATABASE_Table[[#This Row],[Sell price (Total)]]-DATABASE_Table[[#This Row],[FF&amp;E]]-DATABASE_Table[[#This Row],[Vista membership]]</f>
        <v>-35000</v>
      </c>
      <c r="AA101" s="315"/>
      <c r="AB101" s="321">
        <v>47118</v>
      </c>
      <c r="AC101" s="198" t="s">
        <v>80</v>
      </c>
      <c r="AD101" s="198" t="s">
        <v>81</v>
      </c>
      <c r="AE101" s="279" t="s">
        <v>82</v>
      </c>
      <c r="AF101" s="279" t="s">
        <v>83</v>
      </c>
      <c r="AG101" s="279" t="s">
        <v>84</v>
      </c>
      <c r="AH101" s="279" t="s">
        <v>85</v>
      </c>
      <c r="AI101" s="198" t="s">
        <v>86</v>
      </c>
      <c r="AJ101" s="274" t="s">
        <v>78</v>
      </c>
      <c r="AK101"/>
    </row>
    <row r="102" spans="1:37" ht="15.75" hidden="1" customHeight="1">
      <c r="A102" s="198" t="s">
        <v>781</v>
      </c>
      <c r="B102" s="198" t="s">
        <v>786</v>
      </c>
      <c r="C102" s="214" t="s">
        <v>276</v>
      </c>
      <c r="D102" s="198" t="s">
        <v>79</v>
      </c>
      <c r="E102" s="198" t="s">
        <v>319</v>
      </c>
      <c r="F102" s="198">
        <v>166</v>
      </c>
      <c r="G102" s="198"/>
      <c r="H102" s="214" t="s">
        <v>848</v>
      </c>
      <c r="I102" s="214" t="s">
        <v>325</v>
      </c>
      <c r="J102" s="271"/>
      <c r="K102" s="198"/>
      <c r="L102" s="198"/>
      <c r="M102" s="198">
        <v>30</v>
      </c>
      <c r="N102" s="198">
        <v>20</v>
      </c>
      <c r="O102" s="198">
        <v>116</v>
      </c>
      <c r="P102" s="198"/>
      <c r="Q102" s="198" t="s">
        <v>628</v>
      </c>
      <c r="R102" s="230">
        <f>DATABASE_Table[[#This Row],[Inicial Asking Price (€) (Total)]]-DATABASE_Table[[#This Row],[Vista membership]]-DATABASE_Table[[#This Row],[FF&amp;E]]</f>
        <v>910000</v>
      </c>
      <c r="S102" s="234">
        <v>910000</v>
      </c>
      <c r="T102" s="235">
        <v>910000</v>
      </c>
      <c r="U102" s="198"/>
      <c r="V102" s="235">
        <v>0</v>
      </c>
      <c r="W102" s="233">
        <f>DATABASE_Table[[#This Row],[Current Asking price( Total)]]-DATABASE_Table[[#This Row],[Vista membership]]-DATABASE_Table[[#This Row],[FF&amp;E]]</f>
        <v>910000</v>
      </c>
      <c r="X102" s="236">
        <v>1.09890109890109E-2</v>
      </c>
      <c r="Y102" s="235">
        <v>900000</v>
      </c>
      <c r="Z102" s="233">
        <f>DATABASE_Table[[#This Row],[Sell price (Total)]]-DATABASE_Table[[#This Row],[FF&amp;E]]-DATABASE_Table[[#This Row],[Vista membership]]</f>
        <v>900000</v>
      </c>
      <c r="AA102" s="316">
        <v>45915</v>
      </c>
      <c r="AB102" s="321">
        <v>47118</v>
      </c>
      <c r="AC102" s="198" t="s">
        <v>80</v>
      </c>
      <c r="AD102" s="198" t="s">
        <v>81</v>
      </c>
      <c r="AE102" s="279" t="s">
        <v>82</v>
      </c>
      <c r="AF102" s="279" t="s">
        <v>83</v>
      </c>
      <c r="AG102" s="279" t="s">
        <v>84</v>
      </c>
      <c r="AH102" s="279" t="s">
        <v>85</v>
      </c>
      <c r="AI102" s="198" t="s">
        <v>86</v>
      </c>
      <c r="AJ102" s="274" t="s">
        <v>78</v>
      </c>
      <c r="AK102"/>
    </row>
    <row r="103" spans="1:37" ht="15.75" hidden="1" customHeight="1">
      <c r="A103" s="198" t="s">
        <v>779</v>
      </c>
      <c r="B103" s="198" t="s">
        <v>786</v>
      </c>
      <c r="C103" s="214" t="s">
        <v>159</v>
      </c>
      <c r="D103" s="198" t="s">
        <v>79</v>
      </c>
      <c r="E103" s="198" t="s">
        <v>316</v>
      </c>
      <c r="F103" s="198">
        <v>65</v>
      </c>
      <c r="G103" s="198"/>
      <c r="H103" s="214" t="s">
        <v>848</v>
      </c>
      <c r="I103" s="214" t="s">
        <v>325</v>
      </c>
      <c r="J103" s="271">
        <v>8.6999999999999993</v>
      </c>
      <c r="K103" s="198"/>
      <c r="L103" s="198"/>
      <c r="M103" s="198"/>
      <c r="N103" s="198"/>
      <c r="O103" s="198">
        <v>56.3</v>
      </c>
      <c r="P103" s="198"/>
      <c r="Q103" s="198" t="s">
        <v>329</v>
      </c>
      <c r="R103" s="230">
        <f>DATABASE_Table[[#This Row],[Inicial Asking Price (€) (Total)]]-DATABASE_Table[[#This Row],[Vista membership]]-DATABASE_Table[[#This Row],[FF&amp;E]]</f>
        <v>415000</v>
      </c>
      <c r="S103" s="234">
        <v>450000</v>
      </c>
      <c r="T103" s="235">
        <v>450000</v>
      </c>
      <c r="U103" s="198"/>
      <c r="V103" s="235">
        <v>35000</v>
      </c>
      <c r="W103" s="233">
        <f>DATABASE_Table[[#This Row],[Current Asking price( Total)]]-DATABASE_Table[[#This Row],[Vista membership]]-DATABASE_Table[[#This Row],[FF&amp;E]]</f>
        <v>415000</v>
      </c>
      <c r="X103" s="236"/>
      <c r="Y103" s="235"/>
      <c r="Z103" s="233">
        <f>DATABASE_Table[[#This Row],[Sell price (Total)]]-DATABASE_Table[[#This Row],[FF&amp;E]]-DATABASE_Table[[#This Row],[Vista membership]]</f>
        <v>-35000</v>
      </c>
      <c r="AA103" s="315"/>
      <c r="AB103" s="321">
        <v>47118</v>
      </c>
      <c r="AC103" s="198" t="s">
        <v>80</v>
      </c>
      <c r="AD103" s="198" t="s">
        <v>81</v>
      </c>
      <c r="AE103" s="279" t="s">
        <v>82</v>
      </c>
      <c r="AF103" s="279" t="s">
        <v>83</v>
      </c>
      <c r="AG103" s="279" t="s">
        <v>84</v>
      </c>
      <c r="AH103" s="279" t="s">
        <v>85</v>
      </c>
      <c r="AI103" s="198" t="s">
        <v>86</v>
      </c>
      <c r="AJ103" s="274" t="s">
        <v>78</v>
      </c>
      <c r="AK103"/>
    </row>
    <row r="104" spans="1:37" ht="15.75" hidden="1" customHeight="1">
      <c r="A104" s="198" t="s">
        <v>779</v>
      </c>
      <c r="B104" s="198" t="s">
        <v>786</v>
      </c>
      <c r="C104" s="214" t="s">
        <v>161</v>
      </c>
      <c r="D104" s="198" t="s">
        <v>79</v>
      </c>
      <c r="E104" s="198" t="s">
        <v>316</v>
      </c>
      <c r="F104" s="198">
        <v>65</v>
      </c>
      <c r="G104" s="198"/>
      <c r="H104" s="214" t="s">
        <v>848</v>
      </c>
      <c r="I104" s="214" t="s">
        <v>325</v>
      </c>
      <c r="J104" s="271">
        <v>8.6999999999999993</v>
      </c>
      <c r="K104" s="198"/>
      <c r="L104" s="198"/>
      <c r="M104" s="198"/>
      <c r="N104" s="198"/>
      <c r="O104" s="198">
        <v>56.3</v>
      </c>
      <c r="P104" s="198"/>
      <c r="Q104" s="198" t="s">
        <v>329</v>
      </c>
      <c r="R104" s="230">
        <f>DATABASE_Table[[#This Row],[Inicial Asking Price (€) (Total)]]-DATABASE_Table[[#This Row],[Vista membership]]-DATABASE_Table[[#This Row],[FF&amp;E]]</f>
        <v>415000</v>
      </c>
      <c r="S104" s="234">
        <v>450000</v>
      </c>
      <c r="T104" s="235">
        <v>450000</v>
      </c>
      <c r="U104" s="198"/>
      <c r="V104" s="235">
        <v>35000</v>
      </c>
      <c r="W104" s="233">
        <f>DATABASE_Table[[#This Row],[Current Asking price( Total)]]-DATABASE_Table[[#This Row],[Vista membership]]-DATABASE_Table[[#This Row],[FF&amp;E]]</f>
        <v>415000</v>
      </c>
      <c r="X104" s="236"/>
      <c r="Y104" s="235"/>
      <c r="Z104" s="233">
        <f>DATABASE_Table[[#This Row],[Sell price (Total)]]-DATABASE_Table[[#This Row],[FF&amp;E]]-DATABASE_Table[[#This Row],[Vista membership]]</f>
        <v>-35000</v>
      </c>
      <c r="AA104" s="315"/>
      <c r="AB104" s="321">
        <v>47118</v>
      </c>
      <c r="AC104" s="198" t="s">
        <v>80</v>
      </c>
      <c r="AD104" s="198" t="s">
        <v>81</v>
      </c>
      <c r="AE104" s="279" t="s">
        <v>82</v>
      </c>
      <c r="AF104" s="279" t="s">
        <v>83</v>
      </c>
      <c r="AG104" s="279" t="s">
        <v>84</v>
      </c>
      <c r="AH104" s="279" t="s">
        <v>85</v>
      </c>
      <c r="AI104" s="198" t="s">
        <v>86</v>
      </c>
      <c r="AJ104" s="274" t="s">
        <v>78</v>
      </c>
      <c r="AK104"/>
    </row>
    <row r="105" spans="1:37" ht="15.75" hidden="1" customHeight="1">
      <c r="A105" s="198" t="s">
        <v>779</v>
      </c>
      <c r="B105" s="198" t="s">
        <v>786</v>
      </c>
      <c r="C105" s="214" t="s">
        <v>162</v>
      </c>
      <c r="D105" s="198" t="s">
        <v>79</v>
      </c>
      <c r="E105" s="198" t="s">
        <v>316</v>
      </c>
      <c r="F105" s="198">
        <v>65</v>
      </c>
      <c r="G105" s="198"/>
      <c r="H105" s="214" t="s">
        <v>848</v>
      </c>
      <c r="I105" s="214" t="s">
        <v>325</v>
      </c>
      <c r="J105" s="271">
        <v>8.6999999999999993</v>
      </c>
      <c r="K105" s="198"/>
      <c r="L105" s="198"/>
      <c r="M105" s="198"/>
      <c r="N105" s="198"/>
      <c r="O105" s="198">
        <v>56.3</v>
      </c>
      <c r="P105" s="198"/>
      <c r="Q105" s="198" t="s">
        <v>329</v>
      </c>
      <c r="R105" s="230">
        <f>DATABASE_Table[[#This Row],[Inicial Asking Price (€) (Total)]]-DATABASE_Table[[#This Row],[Vista membership]]-DATABASE_Table[[#This Row],[FF&amp;E]]</f>
        <v>415000</v>
      </c>
      <c r="S105" s="234">
        <v>450000</v>
      </c>
      <c r="T105" s="235">
        <v>450000</v>
      </c>
      <c r="U105" s="198"/>
      <c r="V105" s="235">
        <v>35000</v>
      </c>
      <c r="W105" s="233">
        <f>DATABASE_Table[[#This Row],[Current Asking price( Total)]]-DATABASE_Table[[#This Row],[Vista membership]]-DATABASE_Table[[#This Row],[FF&amp;E]]</f>
        <v>415000</v>
      </c>
      <c r="X105" s="236"/>
      <c r="Y105" s="235"/>
      <c r="Z105" s="233">
        <f>DATABASE_Table[[#This Row],[Sell price (Total)]]-DATABASE_Table[[#This Row],[FF&amp;E]]-DATABASE_Table[[#This Row],[Vista membership]]</f>
        <v>-35000</v>
      </c>
      <c r="AA105" s="315"/>
      <c r="AB105" s="321">
        <v>47118</v>
      </c>
      <c r="AC105" s="198" t="s">
        <v>80</v>
      </c>
      <c r="AD105" s="198" t="s">
        <v>81</v>
      </c>
      <c r="AE105" s="279" t="s">
        <v>82</v>
      </c>
      <c r="AF105" s="279" t="s">
        <v>83</v>
      </c>
      <c r="AG105" s="279" t="s">
        <v>84</v>
      </c>
      <c r="AH105" s="279" t="s">
        <v>85</v>
      </c>
      <c r="AI105" s="198" t="s">
        <v>86</v>
      </c>
      <c r="AJ105" s="274" t="s">
        <v>78</v>
      </c>
      <c r="AK105"/>
    </row>
    <row r="106" spans="1:37" ht="15.75" hidden="1" customHeight="1">
      <c r="A106" s="198" t="s">
        <v>779</v>
      </c>
      <c r="B106" s="198" t="s">
        <v>786</v>
      </c>
      <c r="C106" s="214" t="s">
        <v>163</v>
      </c>
      <c r="D106" s="198" t="s">
        <v>79</v>
      </c>
      <c r="E106" s="198" t="s">
        <v>316</v>
      </c>
      <c r="F106" s="198">
        <v>65</v>
      </c>
      <c r="G106" s="198"/>
      <c r="H106" s="214" t="s">
        <v>848</v>
      </c>
      <c r="I106" s="214" t="s">
        <v>325</v>
      </c>
      <c r="J106" s="271">
        <v>8.6999999999999993</v>
      </c>
      <c r="K106" s="198"/>
      <c r="L106" s="198"/>
      <c r="M106" s="198"/>
      <c r="N106" s="198"/>
      <c r="O106" s="198">
        <v>56.3</v>
      </c>
      <c r="P106" s="198"/>
      <c r="Q106" s="198" t="s">
        <v>329</v>
      </c>
      <c r="R106" s="230">
        <f>DATABASE_Table[[#This Row],[Inicial Asking Price (€) (Total)]]-DATABASE_Table[[#This Row],[Vista membership]]-DATABASE_Table[[#This Row],[FF&amp;E]]</f>
        <v>415000</v>
      </c>
      <c r="S106" s="234">
        <v>450000</v>
      </c>
      <c r="T106" s="235">
        <v>450000</v>
      </c>
      <c r="U106" s="198"/>
      <c r="V106" s="235">
        <v>35000</v>
      </c>
      <c r="W106" s="233">
        <f>DATABASE_Table[[#This Row],[Current Asking price( Total)]]-DATABASE_Table[[#This Row],[Vista membership]]-DATABASE_Table[[#This Row],[FF&amp;E]]</f>
        <v>415000</v>
      </c>
      <c r="X106" s="236"/>
      <c r="Y106" s="235"/>
      <c r="Z106" s="233">
        <f>DATABASE_Table[[#This Row],[Sell price (Total)]]-DATABASE_Table[[#This Row],[FF&amp;E]]-DATABASE_Table[[#This Row],[Vista membership]]</f>
        <v>-35000</v>
      </c>
      <c r="AA106" s="315"/>
      <c r="AB106" s="321">
        <v>47118</v>
      </c>
      <c r="AC106" s="198" t="s">
        <v>80</v>
      </c>
      <c r="AD106" s="198" t="s">
        <v>81</v>
      </c>
      <c r="AE106" s="279" t="s">
        <v>82</v>
      </c>
      <c r="AF106" s="279" t="s">
        <v>83</v>
      </c>
      <c r="AG106" s="279" t="s">
        <v>84</v>
      </c>
      <c r="AH106" s="279" t="s">
        <v>85</v>
      </c>
      <c r="AI106" s="198" t="s">
        <v>86</v>
      </c>
      <c r="AJ106" s="274" t="s">
        <v>78</v>
      </c>
      <c r="AK106"/>
    </row>
    <row r="107" spans="1:37" ht="15.75" hidden="1" customHeight="1">
      <c r="A107" s="198" t="s">
        <v>779</v>
      </c>
      <c r="B107" s="198" t="s">
        <v>786</v>
      </c>
      <c r="C107" s="214" t="s">
        <v>164</v>
      </c>
      <c r="D107" s="198" t="s">
        <v>79</v>
      </c>
      <c r="E107" s="198" t="s">
        <v>316</v>
      </c>
      <c r="F107" s="198">
        <v>65</v>
      </c>
      <c r="G107" s="198"/>
      <c r="H107" s="214" t="s">
        <v>848</v>
      </c>
      <c r="I107" s="214" t="s">
        <v>325</v>
      </c>
      <c r="J107" s="271">
        <v>8.6999999999999993</v>
      </c>
      <c r="K107" s="198"/>
      <c r="L107" s="198"/>
      <c r="M107" s="198"/>
      <c r="N107" s="198"/>
      <c r="O107" s="198">
        <v>56.3</v>
      </c>
      <c r="P107" s="198"/>
      <c r="Q107" s="198" t="s">
        <v>329</v>
      </c>
      <c r="R107" s="230">
        <f>DATABASE_Table[[#This Row],[Inicial Asking Price (€) (Total)]]-DATABASE_Table[[#This Row],[Vista membership]]-DATABASE_Table[[#This Row],[FF&amp;E]]</f>
        <v>415000</v>
      </c>
      <c r="S107" s="234">
        <v>450000</v>
      </c>
      <c r="T107" s="235">
        <v>450000</v>
      </c>
      <c r="U107" s="198"/>
      <c r="V107" s="235">
        <v>35000</v>
      </c>
      <c r="W107" s="233">
        <f>DATABASE_Table[[#This Row],[Current Asking price( Total)]]-DATABASE_Table[[#This Row],[Vista membership]]-DATABASE_Table[[#This Row],[FF&amp;E]]</f>
        <v>415000</v>
      </c>
      <c r="X107" s="236"/>
      <c r="Y107" s="235"/>
      <c r="Z107" s="233">
        <f>DATABASE_Table[[#This Row],[Sell price (Total)]]-DATABASE_Table[[#This Row],[FF&amp;E]]-DATABASE_Table[[#This Row],[Vista membership]]</f>
        <v>-35000</v>
      </c>
      <c r="AA107" s="315"/>
      <c r="AB107" s="321">
        <v>47118</v>
      </c>
      <c r="AC107" s="198" t="s">
        <v>80</v>
      </c>
      <c r="AD107" s="198" t="s">
        <v>81</v>
      </c>
      <c r="AE107" s="279" t="s">
        <v>82</v>
      </c>
      <c r="AF107" s="279" t="s">
        <v>83</v>
      </c>
      <c r="AG107" s="279" t="s">
        <v>84</v>
      </c>
      <c r="AH107" s="279" t="s">
        <v>85</v>
      </c>
      <c r="AI107" s="198" t="s">
        <v>86</v>
      </c>
      <c r="AJ107" s="274" t="s">
        <v>78</v>
      </c>
      <c r="AK107"/>
    </row>
    <row r="108" spans="1:37" ht="15.75" hidden="1" customHeight="1">
      <c r="A108" s="198" t="s">
        <v>779</v>
      </c>
      <c r="B108" s="198" t="s">
        <v>786</v>
      </c>
      <c r="C108" s="214" t="s">
        <v>165</v>
      </c>
      <c r="D108" s="198" t="s">
        <v>79</v>
      </c>
      <c r="E108" s="198" t="s">
        <v>316</v>
      </c>
      <c r="F108" s="198">
        <v>65</v>
      </c>
      <c r="G108" s="198"/>
      <c r="H108" s="214" t="s">
        <v>848</v>
      </c>
      <c r="I108" s="214" t="s">
        <v>325</v>
      </c>
      <c r="J108" s="271">
        <v>8.6999999999999993</v>
      </c>
      <c r="K108" s="198"/>
      <c r="L108" s="198"/>
      <c r="M108" s="198"/>
      <c r="N108" s="198"/>
      <c r="O108" s="198">
        <v>56.3</v>
      </c>
      <c r="P108" s="198"/>
      <c r="Q108" s="198" t="s">
        <v>329</v>
      </c>
      <c r="R108" s="230">
        <f>DATABASE_Table[[#This Row],[Inicial Asking Price (€) (Total)]]-DATABASE_Table[[#This Row],[Vista membership]]-DATABASE_Table[[#This Row],[FF&amp;E]]</f>
        <v>415000</v>
      </c>
      <c r="S108" s="234">
        <v>450000</v>
      </c>
      <c r="T108" s="235">
        <v>450000</v>
      </c>
      <c r="U108" s="198"/>
      <c r="V108" s="235">
        <v>35000</v>
      </c>
      <c r="W108" s="233">
        <f>DATABASE_Table[[#This Row],[Current Asking price( Total)]]-DATABASE_Table[[#This Row],[Vista membership]]-DATABASE_Table[[#This Row],[FF&amp;E]]</f>
        <v>415000</v>
      </c>
      <c r="X108" s="236"/>
      <c r="Y108" s="235"/>
      <c r="Z108" s="233">
        <f>DATABASE_Table[[#This Row],[Sell price (Total)]]-DATABASE_Table[[#This Row],[FF&amp;E]]-DATABASE_Table[[#This Row],[Vista membership]]</f>
        <v>-35000</v>
      </c>
      <c r="AA108" s="315"/>
      <c r="AB108" s="321">
        <v>47118</v>
      </c>
      <c r="AC108" s="198" t="s">
        <v>80</v>
      </c>
      <c r="AD108" s="198" t="s">
        <v>81</v>
      </c>
      <c r="AE108" s="279" t="s">
        <v>82</v>
      </c>
      <c r="AF108" s="279" t="s">
        <v>83</v>
      </c>
      <c r="AG108" s="279" t="s">
        <v>84</v>
      </c>
      <c r="AH108" s="279" t="s">
        <v>85</v>
      </c>
      <c r="AI108" s="198" t="s">
        <v>86</v>
      </c>
      <c r="AJ108" s="274" t="s">
        <v>78</v>
      </c>
      <c r="AK108"/>
    </row>
    <row r="109" spans="1:37" ht="15.75" hidden="1" customHeight="1">
      <c r="A109" s="198" t="s">
        <v>779</v>
      </c>
      <c r="B109" s="198" t="s">
        <v>786</v>
      </c>
      <c r="C109" s="214" t="s">
        <v>191</v>
      </c>
      <c r="D109" s="198" t="s">
        <v>79</v>
      </c>
      <c r="E109" s="198" t="s">
        <v>316</v>
      </c>
      <c r="F109" s="198">
        <v>65</v>
      </c>
      <c r="G109" s="198"/>
      <c r="H109" s="214" t="s">
        <v>848</v>
      </c>
      <c r="I109" s="214" t="s">
        <v>325</v>
      </c>
      <c r="J109" s="271">
        <v>8.6999999999999993</v>
      </c>
      <c r="K109" s="198"/>
      <c r="L109" s="198"/>
      <c r="M109" s="198"/>
      <c r="N109" s="198"/>
      <c r="O109" s="198">
        <v>56.3</v>
      </c>
      <c r="P109" s="198"/>
      <c r="Q109" s="198" t="s">
        <v>329</v>
      </c>
      <c r="R109" s="230">
        <f>DATABASE_Table[[#This Row],[Inicial Asking Price (€) (Total)]]-DATABASE_Table[[#This Row],[Vista membership]]-DATABASE_Table[[#This Row],[FF&amp;E]]</f>
        <v>415000</v>
      </c>
      <c r="S109" s="234">
        <v>450000</v>
      </c>
      <c r="T109" s="235">
        <v>450000</v>
      </c>
      <c r="U109" s="198"/>
      <c r="V109" s="235">
        <v>35000</v>
      </c>
      <c r="W109" s="233">
        <f>DATABASE_Table[[#This Row],[Current Asking price( Total)]]-DATABASE_Table[[#This Row],[Vista membership]]-DATABASE_Table[[#This Row],[FF&amp;E]]</f>
        <v>415000</v>
      </c>
      <c r="X109" s="236"/>
      <c r="Y109" s="235"/>
      <c r="Z109" s="233">
        <f>DATABASE_Table[[#This Row],[Sell price (Total)]]-DATABASE_Table[[#This Row],[FF&amp;E]]-DATABASE_Table[[#This Row],[Vista membership]]</f>
        <v>-35000</v>
      </c>
      <c r="AA109" s="315"/>
      <c r="AB109" s="321">
        <v>47118</v>
      </c>
      <c r="AC109" s="198" t="s">
        <v>80</v>
      </c>
      <c r="AD109" s="198" t="s">
        <v>81</v>
      </c>
      <c r="AE109" s="279" t="s">
        <v>82</v>
      </c>
      <c r="AF109" s="279" t="s">
        <v>83</v>
      </c>
      <c r="AG109" s="279" t="s">
        <v>84</v>
      </c>
      <c r="AH109" s="279" t="s">
        <v>85</v>
      </c>
      <c r="AI109" s="198" t="s">
        <v>86</v>
      </c>
      <c r="AJ109" s="274" t="s">
        <v>78</v>
      </c>
      <c r="AK109"/>
    </row>
    <row r="110" spans="1:37" ht="15.75" hidden="1" customHeight="1">
      <c r="A110" s="198" t="s">
        <v>779</v>
      </c>
      <c r="B110" s="198" t="s">
        <v>786</v>
      </c>
      <c r="C110" s="214" t="s">
        <v>192</v>
      </c>
      <c r="D110" s="198" t="s">
        <v>79</v>
      </c>
      <c r="E110" s="198" t="s">
        <v>316</v>
      </c>
      <c r="F110" s="198">
        <v>65</v>
      </c>
      <c r="G110" s="198"/>
      <c r="H110" s="214" t="s">
        <v>848</v>
      </c>
      <c r="I110" s="214" t="s">
        <v>325</v>
      </c>
      <c r="J110" s="271">
        <v>8.6999999999999993</v>
      </c>
      <c r="K110" s="198"/>
      <c r="L110" s="198"/>
      <c r="M110" s="198"/>
      <c r="N110" s="198"/>
      <c r="O110" s="198">
        <v>56.3</v>
      </c>
      <c r="P110" s="198"/>
      <c r="Q110" s="198" t="s">
        <v>329</v>
      </c>
      <c r="R110" s="230">
        <f>DATABASE_Table[[#This Row],[Inicial Asking Price (€) (Total)]]-DATABASE_Table[[#This Row],[Vista membership]]-DATABASE_Table[[#This Row],[FF&amp;E]]</f>
        <v>415000</v>
      </c>
      <c r="S110" s="234">
        <v>450000</v>
      </c>
      <c r="T110" s="235">
        <v>450000</v>
      </c>
      <c r="U110" s="198"/>
      <c r="V110" s="235">
        <v>35000</v>
      </c>
      <c r="W110" s="233">
        <f>DATABASE_Table[[#This Row],[Current Asking price( Total)]]-DATABASE_Table[[#This Row],[Vista membership]]-DATABASE_Table[[#This Row],[FF&amp;E]]</f>
        <v>415000</v>
      </c>
      <c r="X110" s="236"/>
      <c r="Y110" s="235"/>
      <c r="Z110" s="233">
        <f>DATABASE_Table[[#This Row],[Sell price (Total)]]-DATABASE_Table[[#This Row],[FF&amp;E]]-DATABASE_Table[[#This Row],[Vista membership]]</f>
        <v>-35000</v>
      </c>
      <c r="AA110" s="315"/>
      <c r="AB110" s="321">
        <v>47118</v>
      </c>
      <c r="AC110" s="198" t="s">
        <v>80</v>
      </c>
      <c r="AD110" s="198" t="s">
        <v>81</v>
      </c>
      <c r="AE110" s="279" t="s">
        <v>82</v>
      </c>
      <c r="AF110" s="279" t="s">
        <v>83</v>
      </c>
      <c r="AG110" s="279" t="s">
        <v>84</v>
      </c>
      <c r="AH110" s="279" t="s">
        <v>85</v>
      </c>
      <c r="AI110" s="198" t="s">
        <v>86</v>
      </c>
      <c r="AJ110" s="274" t="s">
        <v>78</v>
      </c>
      <c r="AK110"/>
    </row>
    <row r="111" spans="1:37" ht="15.75" hidden="1" customHeight="1">
      <c r="A111" s="198" t="s">
        <v>779</v>
      </c>
      <c r="B111" s="198" t="s">
        <v>786</v>
      </c>
      <c r="C111" s="214" t="s">
        <v>193</v>
      </c>
      <c r="D111" s="198" t="s">
        <v>79</v>
      </c>
      <c r="E111" s="198" t="s">
        <v>316</v>
      </c>
      <c r="F111" s="198">
        <v>65</v>
      </c>
      <c r="G111" s="198"/>
      <c r="H111" s="214" t="s">
        <v>848</v>
      </c>
      <c r="I111" s="214" t="s">
        <v>325</v>
      </c>
      <c r="J111" s="271">
        <v>8.6999999999999993</v>
      </c>
      <c r="K111" s="198"/>
      <c r="L111" s="198"/>
      <c r="M111" s="198"/>
      <c r="N111" s="198"/>
      <c r="O111" s="198">
        <v>56.3</v>
      </c>
      <c r="P111" s="198"/>
      <c r="Q111" s="198" t="s">
        <v>329</v>
      </c>
      <c r="R111" s="230">
        <f>DATABASE_Table[[#This Row],[Inicial Asking Price (€) (Total)]]-DATABASE_Table[[#This Row],[Vista membership]]-DATABASE_Table[[#This Row],[FF&amp;E]]</f>
        <v>415000</v>
      </c>
      <c r="S111" s="234">
        <v>450000</v>
      </c>
      <c r="T111" s="235">
        <v>450000</v>
      </c>
      <c r="U111" s="198"/>
      <c r="V111" s="235">
        <v>35000</v>
      </c>
      <c r="W111" s="233">
        <f>DATABASE_Table[[#This Row],[Current Asking price( Total)]]-DATABASE_Table[[#This Row],[Vista membership]]-DATABASE_Table[[#This Row],[FF&amp;E]]</f>
        <v>415000</v>
      </c>
      <c r="X111" s="236"/>
      <c r="Y111" s="235"/>
      <c r="Z111" s="233">
        <f>DATABASE_Table[[#This Row],[Sell price (Total)]]-DATABASE_Table[[#This Row],[FF&amp;E]]-DATABASE_Table[[#This Row],[Vista membership]]</f>
        <v>-35000</v>
      </c>
      <c r="AA111" s="315"/>
      <c r="AB111" s="321">
        <v>47118</v>
      </c>
      <c r="AC111" s="198" t="s">
        <v>80</v>
      </c>
      <c r="AD111" s="198" t="s">
        <v>81</v>
      </c>
      <c r="AE111" s="279" t="s">
        <v>82</v>
      </c>
      <c r="AF111" s="279" t="s">
        <v>83</v>
      </c>
      <c r="AG111" s="279" t="s">
        <v>84</v>
      </c>
      <c r="AH111" s="279" t="s">
        <v>85</v>
      </c>
      <c r="AI111" s="198" t="s">
        <v>86</v>
      </c>
      <c r="AJ111" s="274" t="s">
        <v>78</v>
      </c>
      <c r="AK111"/>
    </row>
    <row r="112" spans="1:37" ht="15.75" hidden="1" customHeight="1">
      <c r="A112" s="198" t="s">
        <v>779</v>
      </c>
      <c r="B112" s="198" t="s">
        <v>786</v>
      </c>
      <c r="C112" s="214" t="s">
        <v>194</v>
      </c>
      <c r="D112" s="198" t="s">
        <v>79</v>
      </c>
      <c r="E112" s="198" t="s">
        <v>316</v>
      </c>
      <c r="F112" s="198">
        <v>65</v>
      </c>
      <c r="G112" s="198"/>
      <c r="H112" s="214" t="s">
        <v>848</v>
      </c>
      <c r="I112" s="214" t="s">
        <v>325</v>
      </c>
      <c r="J112" s="271">
        <v>8.6999999999999993</v>
      </c>
      <c r="K112" s="198"/>
      <c r="L112" s="198"/>
      <c r="M112" s="198"/>
      <c r="N112" s="198"/>
      <c r="O112" s="198">
        <v>56.3</v>
      </c>
      <c r="P112" s="198"/>
      <c r="Q112" s="198" t="s">
        <v>329</v>
      </c>
      <c r="R112" s="230">
        <f>DATABASE_Table[[#This Row],[Inicial Asking Price (€) (Total)]]-DATABASE_Table[[#This Row],[Vista membership]]-DATABASE_Table[[#This Row],[FF&amp;E]]</f>
        <v>415000</v>
      </c>
      <c r="S112" s="234">
        <v>450000</v>
      </c>
      <c r="T112" s="235">
        <v>450000</v>
      </c>
      <c r="U112" s="198"/>
      <c r="V112" s="235">
        <v>35000</v>
      </c>
      <c r="W112" s="233">
        <f>DATABASE_Table[[#This Row],[Current Asking price( Total)]]-DATABASE_Table[[#This Row],[Vista membership]]-DATABASE_Table[[#This Row],[FF&amp;E]]</f>
        <v>415000</v>
      </c>
      <c r="X112" s="236"/>
      <c r="Y112" s="235"/>
      <c r="Z112" s="233">
        <f>DATABASE_Table[[#This Row],[Sell price (Total)]]-DATABASE_Table[[#This Row],[FF&amp;E]]-DATABASE_Table[[#This Row],[Vista membership]]</f>
        <v>-35000</v>
      </c>
      <c r="AA112" s="315"/>
      <c r="AB112" s="321">
        <v>47118</v>
      </c>
      <c r="AC112" s="198" t="s">
        <v>80</v>
      </c>
      <c r="AD112" s="198" t="s">
        <v>81</v>
      </c>
      <c r="AE112" s="279" t="s">
        <v>82</v>
      </c>
      <c r="AF112" s="279" t="s">
        <v>83</v>
      </c>
      <c r="AG112" s="279" t="s">
        <v>84</v>
      </c>
      <c r="AH112" s="279" t="s">
        <v>85</v>
      </c>
      <c r="AI112" s="198" t="s">
        <v>86</v>
      </c>
      <c r="AJ112" s="274" t="s">
        <v>78</v>
      </c>
      <c r="AK112"/>
    </row>
    <row r="113" spans="1:37" ht="15.75" hidden="1" customHeight="1">
      <c r="A113" s="198" t="s">
        <v>779</v>
      </c>
      <c r="B113" s="198" t="s">
        <v>786</v>
      </c>
      <c r="C113" s="214" t="s">
        <v>195</v>
      </c>
      <c r="D113" s="198" t="s">
        <v>79</v>
      </c>
      <c r="E113" s="198" t="s">
        <v>316</v>
      </c>
      <c r="F113" s="198">
        <v>65</v>
      </c>
      <c r="G113" s="198"/>
      <c r="H113" s="214" t="s">
        <v>848</v>
      </c>
      <c r="I113" s="214" t="s">
        <v>325</v>
      </c>
      <c r="J113" s="271">
        <v>8.6999999999999993</v>
      </c>
      <c r="K113" s="198"/>
      <c r="L113" s="198"/>
      <c r="M113" s="198"/>
      <c r="N113" s="198"/>
      <c r="O113" s="198">
        <v>56.3</v>
      </c>
      <c r="P113" s="198"/>
      <c r="Q113" s="198" t="s">
        <v>329</v>
      </c>
      <c r="R113" s="230">
        <f>DATABASE_Table[[#This Row],[Inicial Asking Price (€) (Total)]]-DATABASE_Table[[#This Row],[Vista membership]]-DATABASE_Table[[#This Row],[FF&amp;E]]</f>
        <v>415000</v>
      </c>
      <c r="S113" s="234">
        <v>450000</v>
      </c>
      <c r="T113" s="235">
        <v>450000</v>
      </c>
      <c r="U113" s="198"/>
      <c r="V113" s="235">
        <v>35000</v>
      </c>
      <c r="W113" s="233">
        <f>DATABASE_Table[[#This Row],[Current Asking price( Total)]]-DATABASE_Table[[#This Row],[Vista membership]]-DATABASE_Table[[#This Row],[FF&amp;E]]</f>
        <v>415000</v>
      </c>
      <c r="X113" s="236"/>
      <c r="Y113" s="235"/>
      <c r="Z113" s="233">
        <f>DATABASE_Table[[#This Row],[Sell price (Total)]]-DATABASE_Table[[#This Row],[FF&amp;E]]-DATABASE_Table[[#This Row],[Vista membership]]</f>
        <v>-35000</v>
      </c>
      <c r="AA113" s="315"/>
      <c r="AB113" s="321">
        <v>47118</v>
      </c>
      <c r="AC113" s="198" t="s">
        <v>80</v>
      </c>
      <c r="AD113" s="198" t="s">
        <v>81</v>
      </c>
      <c r="AE113" s="279" t="s">
        <v>82</v>
      </c>
      <c r="AF113" s="279" t="s">
        <v>83</v>
      </c>
      <c r="AG113" s="279" t="s">
        <v>84</v>
      </c>
      <c r="AH113" s="279" t="s">
        <v>85</v>
      </c>
      <c r="AI113" s="198" t="s">
        <v>86</v>
      </c>
      <c r="AJ113" s="274" t="s">
        <v>78</v>
      </c>
      <c r="AK113"/>
    </row>
    <row r="114" spans="1:37" ht="15.75" hidden="1" customHeight="1">
      <c r="A114" s="198" t="s">
        <v>779</v>
      </c>
      <c r="B114" s="198" t="s">
        <v>786</v>
      </c>
      <c r="C114" s="214" t="s">
        <v>196</v>
      </c>
      <c r="D114" s="198" t="s">
        <v>79</v>
      </c>
      <c r="E114" s="198" t="s">
        <v>316</v>
      </c>
      <c r="F114" s="198">
        <v>65</v>
      </c>
      <c r="G114" s="198"/>
      <c r="H114" s="214" t="s">
        <v>848</v>
      </c>
      <c r="I114" s="214" t="s">
        <v>325</v>
      </c>
      <c r="J114" s="271">
        <v>8.6999999999999993</v>
      </c>
      <c r="K114" s="198"/>
      <c r="L114" s="198"/>
      <c r="M114" s="198"/>
      <c r="N114" s="198"/>
      <c r="O114" s="198">
        <v>56.3</v>
      </c>
      <c r="P114" s="198"/>
      <c r="Q114" s="198" t="s">
        <v>329</v>
      </c>
      <c r="R114" s="230">
        <f>DATABASE_Table[[#This Row],[Inicial Asking Price (€) (Total)]]-DATABASE_Table[[#This Row],[Vista membership]]-DATABASE_Table[[#This Row],[FF&amp;E]]</f>
        <v>415000</v>
      </c>
      <c r="S114" s="234">
        <v>450000</v>
      </c>
      <c r="T114" s="235">
        <v>450000</v>
      </c>
      <c r="U114" s="198"/>
      <c r="V114" s="235">
        <v>35000</v>
      </c>
      <c r="W114" s="233">
        <f>DATABASE_Table[[#This Row],[Current Asking price( Total)]]-DATABASE_Table[[#This Row],[Vista membership]]-DATABASE_Table[[#This Row],[FF&amp;E]]</f>
        <v>415000</v>
      </c>
      <c r="X114" s="236"/>
      <c r="Y114" s="235"/>
      <c r="Z114" s="233">
        <f>DATABASE_Table[[#This Row],[Sell price (Total)]]-DATABASE_Table[[#This Row],[FF&amp;E]]-DATABASE_Table[[#This Row],[Vista membership]]</f>
        <v>-35000</v>
      </c>
      <c r="AA114" s="315"/>
      <c r="AB114" s="321">
        <v>47118</v>
      </c>
      <c r="AC114" s="198" t="s">
        <v>80</v>
      </c>
      <c r="AD114" s="198" t="s">
        <v>81</v>
      </c>
      <c r="AE114" s="279" t="s">
        <v>82</v>
      </c>
      <c r="AF114" s="279" t="s">
        <v>83</v>
      </c>
      <c r="AG114" s="279" t="s">
        <v>84</v>
      </c>
      <c r="AH114" s="279" t="s">
        <v>85</v>
      </c>
      <c r="AI114" s="198" t="s">
        <v>86</v>
      </c>
      <c r="AJ114" s="274" t="s">
        <v>78</v>
      </c>
      <c r="AK114"/>
    </row>
    <row r="115" spans="1:37" ht="15.75" hidden="1" customHeight="1">
      <c r="A115" s="198" t="s">
        <v>779</v>
      </c>
      <c r="B115" s="198" t="s">
        <v>786</v>
      </c>
      <c r="C115" s="214" t="s">
        <v>197</v>
      </c>
      <c r="D115" s="198" t="s">
        <v>79</v>
      </c>
      <c r="E115" s="198" t="s">
        <v>316</v>
      </c>
      <c r="F115" s="198">
        <v>65</v>
      </c>
      <c r="G115" s="198"/>
      <c r="H115" s="214" t="s">
        <v>848</v>
      </c>
      <c r="I115" s="214" t="s">
        <v>325</v>
      </c>
      <c r="J115" s="271">
        <v>8.6999999999999993</v>
      </c>
      <c r="K115" s="198"/>
      <c r="L115" s="198"/>
      <c r="M115" s="198"/>
      <c r="N115" s="198"/>
      <c r="O115" s="198">
        <v>56.3</v>
      </c>
      <c r="P115" s="198"/>
      <c r="Q115" s="198" t="s">
        <v>329</v>
      </c>
      <c r="R115" s="230">
        <f>DATABASE_Table[[#This Row],[Inicial Asking Price (€) (Total)]]-DATABASE_Table[[#This Row],[Vista membership]]-DATABASE_Table[[#This Row],[FF&amp;E]]</f>
        <v>415000</v>
      </c>
      <c r="S115" s="234">
        <v>450000</v>
      </c>
      <c r="T115" s="235">
        <v>450000</v>
      </c>
      <c r="U115" s="198"/>
      <c r="V115" s="235">
        <v>35000</v>
      </c>
      <c r="W115" s="233">
        <f>DATABASE_Table[[#This Row],[Current Asking price( Total)]]-DATABASE_Table[[#This Row],[Vista membership]]-DATABASE_Table[[#This Row],[FF&amp;E]]</f>
        <v>415000</v>
      </c>
      <c r="X115" s="236"/>
      <c r="Y115" s="235"/>
      <c r="Z115" s="233">
        <f>DATABASE_Table[[#This Row],[Sell price (Total)]]-DATABASE_Table[[#This Row],[FF&amp;E]]-DATABASE_Table[[#This Row],[Vista membership]]</f>
        <v>-35000</v>
      </c>
      <c r="AA115" s="315"/>
      <c r="AB115" s="321">
        <v>47118</v>
      </c>
      <c r="AC115" s="198" t="s">
        <v>80</v>
      </c>
      <c r="AD115" s="198" t="s">
        <v>81</v>
      </c>
      <c r="AE115" s="279" t="s">
        <v>82</v>
      </c>
      <c r="AF115" s="279" t="s">
        <v>83</v>
      </c>
      <c r="AG115" s="279" t="s">
        <v>84</v>
      </c>
      <c r="AH115" s="279" t="s">
        <v>85</v>
      </c>
      <c r="AI115" s="198" t="s">
        <v>86</v>
      </c>
      <c r="AJ115" s="274" t="s">
        <v>78</v>
      </c>
      <c r="AK115"/>
    </row>
    <row r="116" spans="1:37" ht="15.75" hidden="1" customHeight="1">
      <c r="A116" s="198" t="s">
        <v>629</v>
      </c>
      <c r="B116" s="198" t="s">
        <v>691</v>
      </c>
      <c r="C116" s="214" t="s">
        <v>835</v>
      </c>
      <c r="D116" s="198" t="s">
        <v>9</v>
      </c>
      <c r="E116" s="198" t="s">
        <v>553</v>
      </c>
      <c r="F116" s="198">
        <v>298</v>
      </c>
      <c r="G116" s="198"/>
      <c r="H116" s="214" t="s">
        <v>325</v>
      </c>
      <c r="I116" s="214" t="s">
        <v>325</v>
      </c>
      <c r="J116" s="271"/>
      <c r="K116" s="198"/>
      <c r="L116" s="198"/>
      <c r="M116" s="198"/>
      <c r="N116" s="198"/>
      <c r="O116" s="198">
        <v>298</v>
      </c>
      <c r="P116" s="198"/>
      <c r="Q116" s="198" t="s">
        <v>628</v>
      </c>
      <c r="R116" s="230">
        <f>DATABASE_Table[[#This Row],[Inicial Asking Price (€) (Total)]]-DATABASE_Table[[#This Row],[Vista membership]]-DATABASE_Table[[#This Row],[FF&amp;E]]</f>
        <v>3210000</v>
      </c>
      <c r="S116" s="231">
        <v>3210000</v>
      </c>
      <c r="T116" s="232">
        <v>1530000</v>
      </c>
      <c r="U116" s="198"/>
      <c r="V116" s="198"/>
      <c r="W116" s="233">
        <f>DATABASE_Table[[#This Row],[Current Asking price( Total)]]-DATABASE_Table[[#This Row],[Vista membership]]-DATABASE_Table[[#This Row],[FF&amp;E]]</f>
        <v>1530000</v>
      </c>
      <c r="X116" s="216">
        <v>0</v>
      </c>
      <c r="Y116" s="232">
        <v>1530000</v>
      </c>
      <c r="Z116" s="233">
        <f>DATABASE_Table[[#This Row],[Sell price (Total)]]-DATABASE_Table[[#This Row],[FF&amp;E]]-DATABASE_Table[[#This Row],[Vista membership]]</f>
        <v>1530000</v>
      </c>
      <c r="AA116" s="315">
        <v>46104</v>
      </c>
      <c r="AB116" s="321"/>
      <c r="AC116" s="198" t="s">
        <v>10</v>
      </c>
      <c r="AD116" s="198" t="s">
        <v>35</v>
      </c>
      <c r="AE116" s="279" t="s">
        <v>38</v>
      </c>
      <c r="AF116" s="279" t="s">
        <v>39</v>
      </c>
      <c r="AG116" s="279" t="s">
        <v>40</v>
      </c>
      <c r="AH116" s="279" t="s">
        <v>810</v>
      </c>
      <c r="AI116" s="198" t="s">
        <v>41</v>
      </c>
      <c r="AJ116" s="274" t="s">
        <v>37</v>
      </c>
      <c r="AK116"/>
    </row>
    <row r="117" spans="1:37" ht="15.75" customHeight="1">
      <c r="A117" s="198" t="s">
        <v>688</v>
      </c>
      <c r="B117" s="198" t="s">
        <v>691</v>
      </c>
      <c r="C117" s="214" t="s">
        <v>835</v>
      </c>
      <c r="D117" s="198"/>
      <c r="E117" s="198" t="s">
        <v>553</v>
      </c>
      <c r="F117" s="198">
        <v>280</v>
      </c>
      <c r="G117" s="198"/>
      <c r="H117" s="214" t="s">
        <v>325</v>
      </c>
      <c r="I117" s="214" t="s">
        <v>325</v>
      </c>
      <c r="J117" s="271"/>
      <c r="K117" s="198"/>
      <c r="L117" s="198"/>
      <c r="M117" s="198"/>
      <c r="N117" s="198"/>
      <c r="O117" s="198">
        <v>280</v>
      </c>
      <c r="P117" s="198"/>
      <c r="Q117" s="198" t="s">
        <v>929</v>
      </c>
      <c r="R117" s="230">
        <f>DATABASE_Table[[#This Row],[Inicial Asking Price (€) (Total)]]-DATABASE_Table[[#This Row],[Vista membership]]-DATABASE_Table[[#This Row],[FF&amp;E]]</f>
        <v>610000</v>
      </c>
      <c r="S117" s="231">
        <v>610000</v>
      </c>
      <c r="T117" s="232">
        <v>671000</v>
      </c>
      <c r="U117" s="198"/>
      <c r="V117" s="198"/>
      <c r="W117" s="233">
        <f>DATABASE_Table[[#This Row],[Current Asking price( Total)]]-DATABASE_Table[[#This Row],[Vista membership]]-DATABASE_Table[[#This Row],[FF&amp;E]]</f>
        <v>671000</v>
      </c>
      <c r="X117" s="216">
        <v>0</v>
      </c>
      <c r="Y117" s="232">
        <v>671000</v>
      </c>
      <c r="Z117" s="233">
        <f>DATABASE_Table[[#This Row],[Sell price (Total)]]-DATABASE_Table[[#This Row],[FF&amp;E]]-DATABASE_Table[[#This Row],[Vista membership]]</f>
        <v>671000</v>
      </c>
      <c r="AA117" s="315">
        <v>45436</v>
      </c>
      <c r="AB117" s="321"/>
      <c r="AC117" s="198"/>
      <c r="AD117" s="198"/>
      <c r="AE117" s="279"/>
      <c r="AF117" s="279"/>
      <c r="AG117" s="279"/>
      <c r="AH117" s="279"/>
      <c r="AI117" s="198"/>
      <c r="AJ117" s="274" t="s">
        <v>688</v>
      </c>
      <c r="AK117"/>
    </row>
    <row r="118" spans="1:37" ht="15.75" hidden="1" customHeight="1">
      <c r="A118" s="198" t="s">
        <v>565</v>
      </c>
      <c r="B118" s="198" t="s">
        <v>691</v>
      </c>
      <c r="C118" s="214" t="s">
        <v>835</v>
      </c>
      <c r="D118" s="198" t="s">
        <v>9</v>
      </c>
      <c r="E118" s="198" t="s">
        <v>419</v>
      </c>
      <c r="F118" s="198">
        <v>105.3</v>
      </c>
      <c r="G118" s="198"/>
      <c r="H118" s="214" t="s">
        <v>848</v>
      </c>
      <c r="I118" s="214" t="s">
        <v>325</v>
      </c>
      <c r="J118" s="271">
        <v>42.4</v>
      </c>
      <c r="K118" s="198"/>
      <c r="L118" s="198"/>
      <c r="M118" s="198"/>
      <c r="N118" s="198"/>
      <c r="O118" s="198">
        <v>62.9</v>
      </c>
      <c r="P118" s="198"/>
      <c r="Q118" s="198" t="s">
        <v>329</v>
      </c>
      <c r="R118" s="230">
        <f>DATABASE_Table[[#This Row],[Inicial Asking Price (€) (Total)]]-DATABASE_Table[[#This Row],[Vista membership]]-DATABASE_Table[[#This Row],[FF&amp;E]]</f>
        <v>585000</v>
      </c>
      <c r="S118" s="231">
        <v>650000</v>
      </c>
      <c r="T118" s="232">
        <v>710000</v>
      </c>
      <c r="U118" s="198">
        <v>50000</v>
      </c>
      <c r="V118" s="198">
        <v>15000</v>
      </c>
      <c r="W118" s="233">
        <f>DATABASE_Table[[#This Row],[Current Asking price( Total)]]-DATABASE_Table[[#This Row],[Vista membership]]-DATABASE_Table[[#This Row],[FF&amp;E]]</f>
        <v>645000</v>
      </c>
      <c r="X118" s="216"/>
      <c r="Y118" s="232">
        <v>710000</v>
      </c>
      <c r="Z118" s="233">
        <f>DATABASE_Table[[#This Row],[Sell price (Total)]]-DATABASE_Table[[#This Row],[FF&amp;E]]-DATABASE_Table[[#This Row],[Vista membership]]</f>
        <v>645000</v>
      </c>
      <c r="AA118" s="315"/>
      <c r="AB118" s="321"/>
      <c r="AC118" s="198" t="s">
        <v>10</v>
      </c>
      <c r="AD118" s="198" t="s">
        <v>34</v>
      </c>
      <c r="AE118" s="279" t="s">
        <v>32</v>
      </c>
      <c r="AF118" s="279" t="s">
        <v>686</v>
      </c>
      <c r="AG118" s="279" t="s">
        <v>49</v>
      </c>
      <c r="AH118" s="279" t="s">
        <v>50</v>
      </c>
      <c r="AI118" s="198" t="s">
        <v>51</v>
      </c>
      <c r="AJ118" s="274" t="s">
        <v>48</v>
      </c>
      <c r="AK118"/>
    </row>
    <row r="119" spans="1:37" ht="15.75" hidden="1" customHeight="1">
      <c r="A119" s="198" t="s">
        <v>565</v>
      </c>
      <c r="B119" s="198" t="s">
        <v>691</v>
      </c>
      <c r="C119" s="214" t="s">
        <v>858</v>
      </c>
      <c r="D119" s="198" t="s">
        <v>9</v>
      </c>
      <c r="E119" s="198" t="s">
        <v>320</v>
      </c>
      <c r="F119" s="198">
        <v>160.19999999999999</v>
      </c>
      <c r="G119" s="198"/>
      <c r="H119" s="214" t="s">
        <v>848</v>
      </c>
      <c r="I119" s="214" t="s">
        <v>325</v>
      </c>
      <c r="J119" s="271">
        <v>20.399999999999999</v>
      </c>
      <c r="K119" s="198"/>
      <c r="L119" s="198"/>
      <c r="M119" s="198"/>
      <c r="N119" s="198"/>
      <c r="O119" s="198">
        <v>139.80000000000001</v>
      </c>
      <c r="P119" s="198"/>
      <c r="Q119" s="198" t="s">
        <v>329</v>
      </c>
      <c r="R119" s="230">
        <f>DATABASE_Table[[#This Row],[Inicial Asking Price (€) (Total)]]-DATABASE_Table[[#This Row],[Vista membership]]-DATABASE_Table[[#This Row],[FF&amp;E]]</f>
        <v>2060000</v>
      </c>
      <c r="S119" s="231">
        <v>2140000</v>
      </c>
      <c r="T119" s="232">
        <v>2220000</v>
      </c>
      <c r="U119" s="198">
        <v>50000</v>
      </c>
      <c r="V119" s="198">
        <v>30000</v>
      </c>
      <c r="W119" s="233">
        <f>DATABASE_Table[[#This Row],[Current Asking price( Total)]]-DATABASE_Table[[#This Row],[Vista membership]]-DATABASE_Table[[#This Row],[FF&amp;E]]</f>
        <v>2140000</v>
      </c>
      <c r="X119" s="216"/>
      <c r="Y119" s="232">
        <v>2220000</v>
      </c>
      <c r="Z119" s="233">
        <f>DATABASE_Table[[#This Row],[Sell price (Total)]]-DATABASE_Table[[#This Row],[FF&amp;E]]-DATABASE_Table[[#This Row],[Vista membership]]</f>
        <v>2140000</v>
      </c>
      <c r="AA119" s="315"/>
      <c r="AB119" s="321"/>
      <c r="AC119" s="198" t="s">
        <v>10</v>
      </c>
      <c r="AD119" s="198" t="s">
        <v>34</v>
      </c>
      <c r="AE119" s="279" t="s">
        <v>32</v>
      </c>
      <c r="AF119" s="279" t="s">
        <v>686</v>
      </c>
      <c r="AG119" s="279" t="s">
        <v>49</v>
      </c>
      <c r="AH119" s="279" t="s">
        <v>50</v>
      </c>
      <c r="AI119" s="198" t="s">
        <v>51</v>
      </c>
      <c r="AJ119" s="274" t="s">
        <v>48</v>
      </c>
      <c r="AK119"/>
    </row>
    <row r="120" spans="1:37" ht="15.75" hidden="1" customHeight="1">
      <c r="A120" s="198" t="s">
        <v>779</v>
      </c>
      <c r="B120" s="198" t="s">
        <v>786</v>
      </c>
      <c r="C120" s="214" t="s">
        <v>108</v>
      </c>
      <c r="D120" s="198" t="s">
        <v>79</v>
      </c>
      <c r="E120" s="198" t="s">
        <v>316</v>
      </c>
      <c r="F120" s="198">
        <v>72.5</v>
      </c>
      <c r="G120" s="198"/>
      <c r="H120" s="214" t="s">
        <v>848</v>
      </c>
      <c r="I120" s="214" t="s">
        <v>325</v>
      </c>
      <c r="J120" s="271">
        <v>12</v>
      </c>
      <c r="K120" s="198"/>
      <c r="L120" s="198"/>
      <c r="M120" s="198"/>
      <c r="N120" s="198"/>
      <c r="O120" s="198">
        <v>60.5</v>
      </c>
      <c r="P120" s="198"/>
      <c r="Q120" s="198" t="s">
        <v>329</v>
      </c>
      <c r="R120" s="230">
        <f>DATABASE_Table[[#This Row],[Inicial Asking Price (€) (Total)]]-DATABASE_Table[[#This Row],[Vista membership]]-DATABASE_Table[[#This Row],[FF&amp;E]]</f>
        <v>425000</v>
      </c>
      <c r="S120" s="234">
        <v>460000</v>
      </c>
      <c r="T120" s="235">
        <v>460000</v>
      </c>
      <c r="U120" s="198"/>
      <c r="V120" s="235">
        <v>35000</v>
      </c>
      <c r="W120" s="233">
        <f>DATABASE_Table[[#This Row],[Current Asking price( Total)]]-DATABASE_Table[[#This Row],[Vista membership]]-DATABASE_Table[[#This Row],[FF&amp;E]]</f>
        <v>425000</v>
      </c>
      <c r="X120" s="236"/>
      <c r="Y120" s="235"/>
      <c r="Z120" s="233">
        <f>DATABASE_Table[[#This Row],[Sell price (Total)]]-DATABASE_Table[[#This Row],[FF&amp;E]]-DATABASE_Table[[#This Row],[Vista membership]]</f>
        <v>-35000</v>
      </c>
      <c r="AA120" s="315"/>
      <c r="AB120" s="321">
        <v>47118</v>
      </c>
      <c r="AC120" s="198" t="s">
        <v>80</v>
      </c>
      <c r="AD120" s="198" t="s">
        <v>81</v>
      </c>
      <c r="AE120" s="279" t="s">
        <v>82</v>
      </c>
      <c r="AF120" s="279" t="s">
        <v>83</v>
      </c>
      <c r="AG120" s="279" t="s">
        <v>84</v>
      </c>
      <c r="AH120" s="279" t="s">
        <v>85</v>
      </c>
      <c r="AI120" s="198" t="s">
        <v>86</v>
      </c>
      <c r="AJ120" s="274" t="s">
        <v>78</v>
      </c>
      <c r="AK120"/>
    </row>
    <row r="121" spans="1:37" ht="15.75" hidden="1" customHeight="1">
      <c r="A121" s="198" t="s">
        <v>779</v>
      </c>
      <c r="B121" s="198" t="s">
        <v>786</v>
      </c>
      <c r="C121" s="214" t="s">
        <v>112</v>
      </c>
      <c r="D121" s="198" t="s">
        <v>79</v>
      </c>
      <c r="E121" s="198" t="s">
        <v>316</v>
      </c>
      <c r="F121" s="198">
        <v>72.5</v>
      </c>
      <c r="G121" s="198"/>
      <c r="H121" s="214" t="s">
        <v>848</v>
      </c>
      <c r="I121" s="214" t="s">
        <v>325</v>
      </c>
      <c r="J121" s="271">
        <v>12</v>
      </c>
      <c r="K121" s="198"/>
      <c r="L121" s="198"/>
      <c r="M121" s="198"/>
      <c r="N121" s="198"/>
      <c r="O121" s="198">
        <v>60.5</v>
      </c>
      <c r="P121" s="198"/>
      <c r="Q121" s="198" t="s">
        <v>329</v>
      </c>
      <c r="R121" s="230">
        <f>DATABASE_Table[[#This Row],[Inicial Asking Price (€) (Total)]]-DATABASE_Table[[#This Row],[Vista membership]]-DATABASE_Table[[#This Row],[FF&amp;E]]</f>
        <v>425000</v>
      </c>
      <c r="S121" s="234">
        <v>460000</v>
      </c>
      <c r="T121" s="235">
        <v>460000</v>
      </c>
      <c r="U121" s="198"/>
      <c r="V121" s="235">
        <v>35000</v>
      </c>
      <c r="W121" s="233">
        <f>DATABASE_Table[[#This Row],[Current Asking price( Total)]]-DATABASE_Table[[#This Row],[Vista membership]]-DATABASE_Table[[#This Row],[FF&amp;E]]</f>
        <v>425000</v>
      </c>
      <c r="X121" s="236"/>
      <c r="Y121" s="235"/>
      <c r="Z121" s="233">
        <f>DATABASE_Table[[#This Row],[Sell price (Total)]]-DATABASE_Table[[#This Row],[FF&amp;E]]-DATABASE_Table[[#This Row],[Vista membership]]</f>
        <v>-35000</v>
      </c>
      <c r="AA121" s="315"/>
      <c r="AB121" s="321">
        <v>47118</v>
      </c>
      <c r="AC121" s="198" t="s">
        <v>80</v>
      </c>
      <c r="AD121" s="198" t="s">
        <v>81</v>
      </c>
      <c r="AE121" s="279" t="s">
        <v>82</v>
      </c>
      <c r="AF121" s="279" t="s">
        <v>83</v>
      </c>
      <c r="AG121" s="279" t="s">
        <v>84</v>
      </c>
      <c r="AH121" s="279" t="s">
        <v>85</v>
      </c>
      <c r="AI121" s="198" t="s">
        <v>86</v>
      </c>
      <c r="AJ121" s="274" t="s">
        <v>78</v>
      </c>
      <c r="AK121"/>
    </row>
    <row r="122" spans="1:37" ht="15.75" hidden="1" customHeight="1">
      <c r="A122" s="198" t="s">
        <v>779</v>
      </c>
      <c r="B122" s="198" t="s">
        <v>786</v>
      </c>
      <c r="C122" s="214" t="s">
        <v>122</v>
      </c>
      <c r="D122" s="198" t="s">
        <v>79</v>
      </c>
      <c r="E122" s="198" t="s">
        <v>316</v>
      </c>
      <c r="F122" s="198">
        <v>72.5</v>
      </c>
      <c r="G122" s="198"/>
      <c r="H122" s="214" t="s">
        <v>848</v>
      </c>
      <c r="I122" s="214" t="s">
        <v>325</v>
      </c>
      <c r="J122" s="271">
        <v>12</v>
      </c>
      <c r="K122" s="198"/>
      <c r="L122" s="198"/>
      <c r="M122" s="198"/>
      <c r="N122" s="198"/>
      <c r="O122" s="198">
        <v>60.5</v>
      </c>
      <c r="P122" s="198"/>
      <c r="Q122" s="198" t="s">
        <v>329</v>
      </c>
      <c r="R122" s="230">
        <f>DATABASE_Table[[#This Row],[Inicial Asking Price (€) (Total)]]-DATABASE_Table[[#This Row],[Vista membership]]-DATABASE_Table[[#This Row],[FF&amp;E]]</f>
        <v>425000</v>
      </c>
      <c r="S122" s="234">
        <v>460000</v>
      </c>
      <c r="T122" s="235">
        <v>460000</v>
      </c>
      <c r="U122" s="198"/>
      <c r="V122" s="235">
        <v>35000</v>
      </c>
      <c r="W122" s="233">
        <f>DATABASE_Table[[#This Row],[Current Asking price( Total)]]-DATABASE_Table[[#This Row],[Vista membership]]-DATABASE_Table[[#This Row],[FF&amp;E]]</f>
        <v>425000</v>
      </c>
      <c r="X122" s="236"/>
      <c r="Y122" s="235"/>
      <c r="Z122" s="233">
        <f>DATABASE_Table[[#This Row],[Sell price (Total)]]-DATABASE_Table[[#This Row],[FF&amp;E]]-DATABASE_Table[[#This Row],[Vista membership]]</f>
        <v>-35000</v>
      </c>
      <c r="AA122" s="315"/>
      <c r="AB122" s="321">
        <v>47118</v>
      </c>
      <c r="AC122" s="198" t="s">
        <v>80</v>
      </c>
      <c r="AD122" s="198" t="s">
        <v>81</v>
      </c>
      <c r="AE122" s="279" t="s">
        <v>82</v>
      </c>
      <c r="AF122" s="279" t="s">
        <v>83</v>
      </c>
      <c r="AG122" s="279" t="s">
        <v>84</v>
      </c>
      <c r="AH122" s="279" t="s">
        <v>85</v>
      </c>
      <c r="AI122" s="198" t="s">
        <v>86</v>
      </c>
      <c r="AJ122" s="274" t="s">
        <v>78</v>
      </c>
      <c r="AK122"/>
    </row>
    <row r="123" spans="1:37" ht="15.75" hidden="1" customHeight="1">
      <c r="A123" s="198" t="s">
        <v>779</v>
      </c>
      <c r="B123" s="198" t="s">
        <v>786</v>
      </c>
      <c r="C123" s="214" t="s">
        <v>126</v>
      </c>
      <c r="D123" s="198" t="s">
        <v>79</v>
      </c>
      <c r="E123" s="198" t="s">
        <v>316</v>
      </c>
      <c r="F123" s="198">
        <v>72.5</v>
      </c>
      <c r="G123" s="198"/>
      <c r="H123" s="214" t="s">
        <v>848</v>
      </c>
      <c r="I123" s="214" t="s">
        <v>325</v>
      </c>
      <c r="J123" s="271">
        <v>12</v>
      </c>
      <c r="K123" s="198"/>
      <c r="L123" s="198"/>
      <c r="M123" s="198"/>
      <c r="N123" s="198"/>
      <c r="O123" s="198">
        <v>60.5</v>
      </c>
      <c r="P123" s="198"/>
      <c r="Q123" s="198" t="s">
        <v>329</v>
      </c>
      <c r="R123" s="230">
        <f>DATABASE_Table[[#This Row],[Inicial Asking Price (€) (Total)]]-DATABASE_Table[[#This Row],[Vista membership]]-DATABASE_Table[[#This Row],[FF&amp;E]]</f>
        <v>425000</v>
      </c>
      <c r="S123" s="234">
        <v>460000</v>
      </c>
      <c r="T123" s="235">
        <v>460000</v>
      </c>
      <c r="U123" s="198"/>
      <c r="V123" s="235">
        <v>35000</v>
      </c>
      <c r="W123" s="233">
        <f>DATABASE_Table[[#This Row],[Current Asking price( Total)]]-DATABASE_Table[[#This Row],[Vista membership]]-DATABASE_Table[[#This Row],[FF&amp;E]]</f>
        <v>425000</v>
      </c>
      <c r="X123" s="236"/>
      <c r="Y123" s="235"/>
      <c r="Z123" s="233">
        <f>DATABASE_Table[[#This Row],[Sell price (Total)]]-DATABASE_Table[[#This Row],[FF&amp;E]]-DATABASE_Table[[#This Row],[Vista membership]]</f>
        <v>-35000</v>
      </c>
      <c r="AA123" s="315"/>
      <c r="AB123" s="321">
        <v>47118</v>
      </c>
      <c r="AC123" s="198" t="s">
        <v>80</v>
      </c>
      <c r="AD123" s="198" t="s">
        <v>81</v>
      </c>
      <c r="AE123" s="279" t="s">
        <v>82</v>
      </c>
      <c r="AF123" s="279" t="s">
        <v>83</v>
      </c>
      <c r="AG123" s="279" t="s">
        <v>84</v>
      </c>
      <c r="AH123" s="279" t="s">
        <v>85</v>
      </c>
      <c r="AI123" s="198" t="s">
        <v>86</v>
      </c>
      <c r="AJ123" s="274" t="s">
        <v>78</v>
      </c>
      <c r="AK123"/>
    </row>
    <row r="124" spans="1:37" ht="15.75" hidden="1" customHeight="1">
      <c r="A124" s="198" t="s">
        <v>773</v>
      </c>
      <c r="B124" s="198" t="s">
        <v>769</v>
      </c>
      <c r="C124" s="214" t="s">
        <v>886</v>
      </c>
      <c r="D124" s="198" t="s">
        <v>67</v>
      </c>
      <c r="E124" s="198" t="s">
        <v>553</v>
      </c>
      <c r="F124" s="198">
        <v>621.5</v>
      </c>
      <c r="G124" s="198"/>
      <c r="H124" s="214" t="s">
        <v>325</v>
      </c>
      <c r="I124" s="214" t="s">
        <v>325</v>
      </c>
      <c r="J124" s="271"/>
      <c r="K124" s="198"/>
      <c r="L124" s="198"/>
      <c r="M124" s="198"/>
      <c r="N124" s="198"/>
      <c r="O124" s="198">
        <v>621.5</v>
      </c>
      <c r="P124" s="198"/>
      <c r="Q124" s="198" t="s">
        <v>329</v>
      </c>
      <c r="R124" s="230">
        <f>DATABASE_Table[[#This Row],[Inicial Asking Price (€) (Total)]]-DATABASE_Table[[#This Row],[Vista membership]]-DATABASE_Table[[#This Row],[FF&amp;E]]</f>
        <v>460000</v>
      </c>
      <c r="S124" s="234">
        <v>460000</v>
      </c>
      <c r="T124" s="235">
        <v>3000000</v>
      </c>
      <c r="U124" s="198"/>
      <c r="V124" s="198"/>
      <c r="W124" s="233">
        <f>DATABASE_Table[[#This Row],[Current Asking price( Total)]]-DATABASE_Table[[#This Row],[Vista membership]]-DATABASE_Table[[#This Row],[FF&amp;E]]</f>
        <v>3000000</v>
      </c>
      <c r="X124" s="236"/>
      <c r="Y124" s="235">
        <v>3000000</v>
      </c>
      <c r="Z124" s="233">
        <f>DATABASE_Table[[#This Row],[Sell price (Total)]]-DATABASE_Table[[#This Row],[FF&amp;E]]-DATABASE_Table[[#This Row],[Vista membership]]</f>
        <v>3000000</v>
      </c>
      <c r="AA124" s="315"/>
      <c r="AB124" s="321">
        <v>46843</v>
      </c>
      <c r="AC124" s="198" t="s">
        <v>57</v>
      </c>
      <c r="AD124" s="198" t="s">
        <v>68</v>
      </c>
      <c r="AE124" s="279" t="s">
        <v>69</v>
      </c>
      <c r="AF124" s="279" t="s">
        <v>70</v>
      </c>
      <c r="AG124" s="279" t="s">
        <v>71</v>
      </c>
      <c r="AH124" s="279" t="s">
        <v>816</v>
      </c>
      <c r="AI124" s="198" t="s">
        <v>72</v>
      </c>
      <c r="AJ124" s="274" t="s">
        <v>66</v>
      </c>
      <c r="AK124"/>
    </row>
    <row r="125" spans="1:37" ht="15.75" hidden="1" customHeight="1">
      <c r="A125" s="198" t="s">
        <v>933</v>
      </c>
      <c r="B125" s="198" t="s">
        <v>769</v>
      </c>
      <c r="C125" s="214" t="s">
        <v>306</v>
      </c>
      <c r="D125" s="198"/>
      <c r="E125" s="198" t="s">
        <v>532</v>
      </c>
      <c r="F125" s="198">
        <v>355.31</v>
      </c>
      <c r="G125" s="198"/>
      <c r="H125" s="214" t="s">
        <v>325</v>
      </c>
      <c r="I125" s="214" t="s">
        <v>914</v>
      </c>
      <c r="J125" s="271"/>
      <c r="K125" s="198"/>
      <c r="L125" s="198"/>
      <c r="M125" s="198">
        <v>115.74</v>
      </c>
      <c r="N125" s="198"/>
      <c r="O125" s="198">
        <v>224.44</v>
      </c>
      <c r="P125" s="198"/>
      <c r="Q125" s="198" t="s">
        <v>329</v>
      </c>
      <c r="R125" s="230">
        <f>DATABASE_Table[[#This Row],[Inicial Asking Price (€) (Total)]]-DATABASE_Table[[#This Row],[Vista membership]]-DATABASE_Table[[#This Row],[FF&amp;E]]</f>
        <v>2090000</v>
      </c>
      <c r="S125" s="234">
        <v>2090000</v>
      </c>
      <c r="T125" s="235">
        <v>2090000</v>
      </c>
      <c r="U125" s="198"/>
      <c r="V125" s="198"/>
      <c r="W125" s="233">
        <f>DATABASE_Table[[#This Row],[Current Asking price( Total)]]-DATABASE_Table[[#This Row],[Vista membership]]-DATABASE_Table[[#This Row],[FF&amp;E]]</f>
        <v>2090000</v>
      </c>
      <c r="X125" s="236"/>
      <c r="Y125" s="235">
        <v>2090000</v>
      </c>
      <c r="Z125" s="233">
        <f>DATABASE_Table[[#This Row],[Sell price (Total)]]-DATABASE_Table[[#This Row],[FF&amp;E]]-DATABASE_Table[[#This Row],[Vista membership]]</f>
        <v>2090000</v>
      </c>
      <c r="AA125" s="315"/>
      <c r="AB125" s="321">
        <v>46843</v>
      </c>
      <c r="AC125" s="198"/>
      <c r="AD125" s="198"/>
      <c r="AE125" s="279"/>
      <c r="AF125" s="279"/>
      <c r="AG125" s="279"/>
      <c r="AH125" s="279"/>
      <c r="AI125" s="198"/>
      <c r="AJ125" s="274" t="s">
        <v>66</v>
      </c>
      <c r="AK125"/>
    </row>
    <row r="126" spans="1:37" ht="15.75" hidden="1" customHeight="1">
      <c r="A126" s="198" t="s">
        <v>565</v>
      </c>
      <c r="B126" s="198" t="s">
        <v>691</v>
      </c>
      <c r="C126" s="214" t="s">
        <v>701</v>
      </c>
      <c r="D126" s="198" t="s">
        <v>9</v>
      </c>
      <c r="E126" s="198" t="s">
        <v>419</v>
      </c>
      <c r="F126" s="198">
        <v>80.900000000000006</v>
      </c>
      <c r="G126" s="198"/>
      <c r="H126" s="214" t="s">
        <v>848</v>
      </c>
      <c r="I126" s="214" t="s">
        <v>325</v>
      </c>
      <c r="J126" s="271">
        <v>18</v>
      </c>
      <c r="K126" s="198"/>
      <c r="L126" s="198"/>
      <c r="M126" s="198"/>
      <c r="N126" s="198"/>
      <c r="O126" s="198">
        <v>62.9</v>
      </c>
      <c r="P126" s="198"/>
      <c r="Q126" s="198" t="s">
        <v>329</v>
      </c>
      <c r="R126" s="230">
        <f>DATABASE_Table[[#This Row],[Inicial Asking Price (€) (Total)]]-DATABASE_Table[[#This Row],[Vista membership]]-DATABASE_Table[[#This Row],[FF&amp;E]]</f>
        <v>575000</v>
      </c>
      <c r="S126" s="231">
        <v>640000</v>
      </c>
      <c r="T126" s="232">
        <v>700000</v>
      </c>
      <c r="U126" s="198">
        <v>50000</v>
      </c>
      <c r="V126" s="198">
        <v>15000</v>
      </c>
      <c r="W126" s="233">
        <f>DATABASE_Table[[#This Row],[Current Asking price( Total)]]-DATABASE_Table[[#This Row],[Vista membership]]-DATABASE_Table[[#This Row],[FF&amp;E]]</f>
        <v>635000</v>
      </c>
      <c r="X126" s="216"/>
      <c r="Y126" s="232">
        <v>700000</v>
      </c>
      <c r="Z126" s="233">
        <f>DATABASE_Table[[#This Row],[Sell price (Total)]]-DATABASE_Table[[#This Row],[FF&amp;E]]-DATABASE_Table[[#This Row],[Vista membership]]</f>
        <v>635000</v>
      </c>
      <c r="AA126" s="315"/>
      <c r="AB126" s="321"/>
      <c r="AC126" s="198" t="s">
        <v>10</v>
      </c>
      <c r="AD126" s="198" t="s">
        <v>34</v>
      </c>
      <c r="AE126" s="279" t="s">
        <v>32</v>
      </c>
      <c r="AF126" s="279" t="s">
        <v>686</v>
      </c>
      <c r="AG126" s="279" t="s">
        <v>49</v>
      </c>
      <c r="AH126" s="279" t="s">
        <v>50</v>
      </c>
      <c r="AI126" s="198" t="s">
        <v>51</v>
      </c>
      <c r="AJ126" s="274" t="s">
        <v>48</v>
      </c>
      <c r="AK126"/>
    </row>
    <row r="127" spans="1:37" ht="15.75" hidden="1" customHeight="1">
      <c r="A127" s="198" t="s">
        <v>565</v>
      </c>
      <c r="B127" s="198" t="s">
        <v>691</v>
      </c>
      <c r="C127" s="214" t="s">
        <v>702</v>
      </c>
      <c r="D127" s="198" t="s">
        <v>9</v>
      </c>
      <c r="E127" s="198" t="s">
        <v>419</v>
      </c>
      <c r="F127" s="198">
        <v>81.099999999999994</v>
      </c>
      <c r="G127" s="198"/>
      <c r="H127" s="214" t="s">
        <v>848</v>
      </c>
      <c r="I127" s="214" t="s">
        <v>325</v>
      </c>
      <c r="J127" s="271">
        <v>18</v>
      </c>
      <c r="K127" s="198"/>
      <c r="L127" s="198"/>
      <c r="M127" s="198"/>
      <c r="N127" s="198"/>
      <c r="O127" s="198">
        <v>63.1</v>
      </c>
      <c r="P127" s="198"/>
      <c r="Q127" s="198" t="s">
        <v>329</v>
      </c>
      <c r="R127" s="230">
        <f>DATABASE_Table[[#This Row],[Inicial Asking Price (€) (Total)]]-DATABASE_Table[[#This Row],[Vista membership]]-DATABASE_Table[[#This Row],[FF&amp;E]]</f>
        <v>615000</v>
      </c>
      <c r="S127" s="231">
        <v>680000</v>
      </c>
      <c r="T127" s="232">
        <v>740000</v>
      </c>
      <c r="U127" s="198">
        <v>50000</v>
      </c>
      <c r="V127" s="198">
        <v>15000</v>
      </c>
      <c r="W127" s="233">
        <f>DATABASE_Table[[#This Row],[Current Asking price( Total)]]-DATABASE_Table[[#This Row],[Vista membership]]-DATABASE_Table[[#This Row],[FF&amp;E]]</f>
        <v>675000</v>
      </c>
      <c r="X127" s="216"/>
      <c r="Y127" s="232">
        <v>740000</v>
      </c>
      <c r="Z127" s="233">
        <f>DATABASE_Table[[#This Row],[Sell price (Total)]]-DATABASE_Table[[#This Row],[FF&amp;E]]-DATABASE_Table[[#This Row],[Vista membership]]</f>
        <v>675000</v>
      </c>
      <c r="AA127" s="315"/>
      <c r="AB127" s="321"/>
      <c r="AC127" s="198" t="s">
        <v>10</v>
      </c>
      <c r="AD127" s="198" t="s">
        <v>34</v>
      </c>
      <c r="AE127" s="279" t="s">
        <v>32</v>
      </c>
      <c r="AF127" s="279" t="s">
        <v>686</v>
      </c>
      <c r="AG127" s="279" t="s">
        <v>49</v>
      </c>
      <c r="AH127" s="279" t="s">
        <v>50</v>
      </c>
      <c r="AI127" s="198" t="s">
        <v>51</v>
      </c>
      <c r="AJ127" s="274" t="s">
        <v>48</v>
      </c>
      <c r="AK127"/>
    </row>
    <row r="128" spans="1:37" ht="15.75" hidden="1" customHeight="1">
      <c r="A128" s="198" t="s">
        <v>565</v>
      </c>
      <c r="B128" s="198" t="s">
        <v>691</v>
      </c>
      <c r="C128" s="214" t="s">
        <v>703</v>
      </c>
      <c r="D128" s="198" t="s">
        <v>9</v>
      </c>
      <c r="E128" s="198" t="s">
        <v>419</v>
      </c>
      <c r="F128" s="198">
        <v>81.099999999999994</v>
      </c>
      <c r="G128" s="198"/>
      <c r="H128" s="214" t="s">
        <v>848</v>
      </c>
      <c r="I128" s="214" t="s">
        <v>325</v>
      </c>
      <c r="J128" s="271">
        <v>18</v>
      </c>
      <c r="K128" s="198"/>
      <c r="L128" s="198"/>
      <c r="M128" s="198"/>
      <c r="N128" s="198"/>
      <c r="O128" s="198">
        <v>63.1</v>
      </c>
      <c r="P128" s="198"/>
      <c r="Q128" s="198" t="s">
        <v>329</v>
      </c>
      <c r="R128" s="230">
        <f>DATABASE_Table[[#This Row],[Inicial Asking Price (€) (Total)]]-DATABASE_Table[[#This Row],[Vista membership]]-DATABASE_Table[[#This Row],[FF&amp;E]]</f>
        <v>655000</v>
      </c>
      <c r="S128" s="231">
        <v>720000</v>
      </c>
      <c r="T128" s="232">
        <v>780000</v>
      </c>
      <c r="U128" s="198">
        <v>50000</v>
      </c>
      <c r="V128" s="198">
        <v>15000</v>
      </c>
      <c r="W128" s="233">
        <f>DATABASE_Table[[#This Row],[Current Asking price( Total)]]-DATABASE_Table[[#This Row],[Vista membership]]-DATABASE_Table[[#This Row],[FF&amp;E]]</f>
        <v>715000</v>
      </c>
      <c r="X128" s="216"/>
      <c r="Y128" s="232">
        <v>780000</v>
      </c>
      <c r="Z128" s="233">
        <f>DATABASE_Table[[#This Row],[Sell price (Total)]]-DATABASE_Table[[#This Row],[FF&amp;E]]-DATABASE_Table[[#This Row],[Vista membership]]</f>
        <v>715000</v>
      </c>
      <c r="AA128" s="315"/>
      <c r="AB128" s="321"/>
      <c r="AC128" s="198" t="s">
        <v>10</v>
      </c>
      <c r="AD128" s="198" t="s">
        <v>34</v>
      </c>
      <c r="AE128" s="279" t="s">
        <v>32</v>
      </c>
      <c r="AF128" s="279" t="s">
        <v>686</v>
      </c>
      <c r="AG128" s="279" t="s">
        <v>49</v>
      </c>
      <c r="AH128" s="279" t="s">
        <v>50</v>
      </c>
      <c r="AI128" s="198" t="s">
        <v>51</v>
      </c>
      <c r="AJ128" s="274" t="s">
        <v>48</v>
      </c>
      <c r="AK128"/>
    </row>
    <row r="129" spans="1:37" ht="15.75" hidden="1" customHeight="1">
      <c r="A129" s="198" t="s">
        <v>565</v>
      </c>
      <c r="B129" s="198" t="s">
        <v>691</v>
      </c>
      <c r="C129" s="214" t="s">
        <v>704</v>
      </c>
      <c r="D129" s="198" t="s">
        <v>9</v>
      </c>
      <c r="E129" s="198" t="s">
        <v>419</v>
      </c>
      <c r="F129" s="198">
        <v>81.099999999999994</v>
      </c>
      <c r="G129" s="198"/>
      <c r="H129" s="214" t="s">
        <v>848</v>
      </c>
      <c r="I129" s="214" t="s">
        <v>325</v>
      </c>
      <c r="J129" s="271">
        <v>18</v>
      </c>
      <c r="K129" s="198"/>
      <c r="L129" s="198"/>
      <c r="M129" s="198"/>
      <c r="N129" s="198"/>
      <c r="O129" s="198">
        <v>63.1</v>
      </c>
      <c r="P129" s="198"/>
      <c r="Q129" s="198" t="s">
        <v>329</v>
      </c>
      <c r="R129" s="230">
        <f>DATABASE_Table[[#This Row],[Inicial Asking Price (€) (Total)]]-DATABASE_Table[[#This Row],[Vista membership]]-DATABASE_Table[[#This Row],[FF&amp;E]]</f>
        <v>705000</v>
      </c>
      <c r="S129" s="231">
        <v>770000</v>
      </c>
      <c r="T129" s="232">
        <v>830000</v>
      </c>
      <c r="U129" s="198">
        <v>50000</v>
      </c>
      <c r="V129" s="198">
        <v>15000</v>
      </c>
      <c r="W129" s="233">
        <f>DATABASE_Table[[#This Row],[Current Asking price( Total)]]-DATABASE_Table[[#This Row],[Vista membership]]-DATABASE_Table[[#This Row],[FF&amp;E]]</f>
        <v>765000</v>
      </c>
      <c r="X129" s="216"/>
      <c r="Y129" s="232">
        <v>830000</v>
      </c>
      <c r="Z129" s="233">
        <f>DATABASE_Table[[#This Row],[Sell price (Total)]]-DATABASE_Table[[#This Row],[FF&amp;E]]-DATABASE_Table[[#This Row],[Vista membership]]</f>
        <v>765000</v>
      </c>
      <c r="AA129" s="315"/>
      <c r="AB129" s="321"/>
      <c r="AC129" s="198" t="s">
        <v>10</v>
      </c>
      <c r="AD129" s="198" t="s">
        <v>34</v>
      </c>
      <c r="AE129" s="279" t="s">
        <v>32</v>
      </c>
      <c r="AF129" s="279" t="s">
        <v>686</v>
      </c>
      <c r="AG129" s="279" t="s">
        <v>49</v>
      </c>
      <c r="AH129" s="279" t="s">
        <v>50</v>
      </c>
      <c r="AI129" s="198" t="s">
        <v>51</v>
      </c>
      <c r="AJ129" s="274" t="s">
        <v>48</v>
      </c>
      <c r="AK129"/>
    </row>
    <row r="130" spans="1:37" ht="15.75" hidden="1" customHeight="1">
      <c r="A130" s="198" t="s">
        <v>565</v>
      </c>
      <c r="B130" s="198" t="s">
        <v>691</v>
      </c>
      <c r="C130" s="214" t="s">
        <v>859</v>
      </c>
      <c r="D130" s="198" t="s">
        <v>9</v>
      </c>
      <c r="E130" s="198" t="s">
        <v>419</v>
      </c>
      <c r="F130" s="198">
        <v>83</v>
      </c>
      <c r="G130" s="198"/>
      <c r="H130" s="214" t="s">
        <v>848</v>
      </c>
      <c r="I130" s="214" t="s">
        <v>325</v>
      </c>
      <c r="J130" s="271">
        <v>18.7</v>
      </c>
      <c r="K130" s="198"/>
      <c r="L130" s="198"/>
      <c r="M130" s="198"/>
      <c r="N130" s="198"/>
      <c r="O130" s="198">
        <v>64.3</v>
      </c>
      <c r="P130" s="198"/>
      <c r="Q130" s="198" t="s">
        <v>329</v>
      </c>
      <c r="R130" s="230">
        <f>DATABASE_Table[[#This Row],[Inicial Asking Price (€) (Total)]]-DATABASE_Table[[#This Row],[Vista membership]]-DATABASE_Table[[#This Row],[FF&amp;E]]</f>
        <v>765000</v>
      </c>
      <c r="S130" s="231">
        <v>830000</v>
      </c>
      <c r="T130" s="232">
        <v>890000</v>
      </c>
      <c r="U130" s="198">
        <v>50000</v>
      </c>
      <c r="V130" s="198">
        <v>15000</v>
      </c>
      <c r="W130" s="233">
        <f>DATABASE_Table[[#This Row],[Current Asking price( Total)]]-DATABASE_Table[[#This Row],[Vista membership]]-DATABASE_Table[[#This Row],[FF&amp;E]]</f>
        <v>825000</v>
      </c>
      <c r="X130" s="216"/>
      <c r="Y130" s="232">
        <v>890000</v>
      </c>
      <c r="Z130" s="233">
        <f>DATABASE_Table[[#This Row],[Sell price (Total)]]-DATABASE_Table[[#This Row],[FF&amp;E]]-DATABASE_Table[[#This Row],[Vista membership]]</f>
        <v>825000</v>
      </c>
      <c r="AA130" s="315"/>
      <c r="AB130" s="321"/>
      <c r="AC130" s="198" t="s">
        <v>10</v>
      </c>
      <c r="AD130" s="198" t="s">
        <v>34</v>
      </c>
      <c r="AE130" s="279" t="s">
        <v>32</v>
      </c>
      <c r="AF130" s="279" t="s">
        <v>686</v>
      </c>
      <c r="AG130" s="279" t="s">
        <v>49</v>
      </c>
      <c r="AH130" s="279" t="s">
        <v>50</v>
      </c>
      <c r="AI130" s="198" t="s">
        <v>51</v>
      </c>
      <c r="AJ130" s="274" t="s">
        <v>48</v>
      </c>
      <c r="AK130"/>
    </row>
    <row r="131" spans="1:37" ht="15.75" hidden="1" customHeight="1">
      <c r="A131" s="198" t="s">
        <v>779</v>
      </c>
      <c r="B131" s="198" t="s">
        <v>786</v>
      </c>
      <c r="C131" s="214" t="s">
        <v>205</v>
      </c>
      <c r="D131" s="198" t="s">
        <v>79</v>
      </c>
      <c r="E131" s="198" t="s">
        <v>316</v>
      </c>
      <c r="F131" s="198">
        <v>65</v>
      </c>
      <c r="G131" s="198"/>
      <c r="H131" s="214" t="s">
        <v>848</v>
      </c>
      <c r="I131" s="214" t="s">
        <v>325</v>
      </c>
      <c r="J131" s="271">
        <v>8.6999999999999993</v>
      </c>
      <c r="K131" s="198"/>
      <c r="L131" s="198"/>
      <c r="M131" s="198"/>
      <c r="N131" s="198"/>
      <c r="O131" s="198">
        <v>56.3</v>
      </c>
      <c r="P131" s="198"/>
      <c r="Q131" s="198" t="s">
        <v>329</v>
      </c>
      <c r="R131" s="230">
        <f>DATABASE_Table[[#This Row],[Inicial Asking Price (€) (Total)]]-DATABASE_Table[[#This Row],[Vista membership]]-DATABASE_Table[[#This Row],[FF&amp;E]]</f>
        <v>435000</v>
      </c>
      <c r="S131" s="234">
        <v>470000</v>
      </c>
      <c r="T131" s="235">
        <v>470000</v>
      </c>
      <c r="U131" s="198"/>
      <c r="V131" s="235">
        <v>35000</v>
      </c>
      <c r="W131" s="233">
        <f>DATABASE_Table[[#This Row],[Current Asking price( Total)]]-DATABASE_Table[[#This Row],[Vista membership]]-DATABASE_Table[[#This Row],[FF&amp;E]]</f>
        <v>435000</v>
      </c>
      <c r="X131" s="236"/>
      <c r="Y131" s="235"/>
      <c r="Z131" s="233">
        <f>DATABASE_Table[[#This Row],[Sell price (Total)]]-DATABASE_Table[[#This Row],[FF&amp;E]]-DATABASE_Table[[#This Row],[Vista membership]]</f>
        <v>-35000</v>
      </c>
      <c r="AA131" s="315"/>
      <c r="AB131" s="321">
        <v>47118</v>
      </c>
      <c r="AC131" s="198" t="s">
        <v>80</v>
      </c>
      <c r="AD131" s="198" t="s">
        <v>81</v>
      </c>
      <c r="AE131" s="279" t="s">
        <v>82</v>
      </c>
      <c r="AF131" s="279" t="s">
        <v>83</v>
      </c>
      <c r="AG131" s="279" t="s">
        <v>84</v>
      </c>
      <c r="AH131" s="279" t="s">
        <v>85</v>
      </c>
      <c r="AI131" s="198" t="s">
        <v>86</v>
      </c>
      <c r="AJ131" s="274" t="s">
        <v>78</v>
      </c>
      <c r="AK131"/>
    </row>
    <row r="132" spans="1:37" ht="15.75" hidden="1" customHeight="1">
      <c r="A132" s="198" t="s">
        <v>779</v>
      </c>
      <c r="B132" s="198" t="s">
        <v>786</v>
      </c>
      <c r="C132" s="214" t="s">
        <v>206</v>
      </c>
      <c r="D132" s="198" t="s">
        <v>79</v>
      </c>
      <c r="E132" s="198" t="s">
        <v>316</v>
      </c>
      <c r="F132" s="198">
        <v>65</v>
      </c>
      <c r="G132" s="198"/>
      <c r="H132" s="214" t="s">
        <v>848</v>
      </c>
      <c r="I132" s="214" t="s">
        <v>325</v>
      </c>
      <c r="J132" s="271">
        <v>8.6999999999999993</v>
      </c>
      <c r="K132" s="198"/>
      <c r="L132" s="198"/>
      <c r="M132" s="198"/>
      <c r="N132" s="198"/>
      <c r="O132" s="198">
        <v>56.3</v>
      </c>
      <c r="P132" s="198"/>
      <c r="Q132" s="198" t="s">
        <v>329</v>
      </c>
      <c r="R132" s="230">
        <f>DATABASE_Table[[#This Row],[Inicial Asking Price (€) (Total)]]-DATABASE_Table[[#This Row],[Vista membership]]-DATABASE_Table[[#This Row],[FF&amp;E]]</f>
        <v>435000</v>
      </c>
      <c r="S132" s="234">
        <v>470000</v>
      </c>
      <c r="T132" s="235">
        <v>470000</v>
      </c>
      <c r="U132" s="198"/>
      <c r="V132" s="235">
        <v>35000</v>
      </c>
      <c r="W132" s="233">
        <f>DATABASE_Table[[#This Row],[Current Asking price( Total)]]-DATABASE_Table[[#This Row],[Vista membership]]-DATABASE_Table[[#This Row],[FF&amp;E]]</f>
        <v>435000</v>
      </c>
      <c r="X132" s="236"/>
      <c r="Y132" s="235"/>
      <c r="Z132" s="233">
        <f>DATABASE_Table[[#This Row],[Sell price (Total)]]-DATABASE_Table[[#This Row],[FF&amp;E]]-DATABASE_Table[[#This Row],[Vista membership]]</f>
        <v>-35000</v>
      </c>
      <c r="AA132" s="315"/>
      <c r="AB132" s="321">
        <v>47118</v>
      </c>
      <c r="AC132" s="198" t="s">
        <v>80</v>
      </c>
      <c r="AD132" s="198" t="s">
        <v>81</v>
      </c>
      <c r="AE132" s="279" t="s">
        <v>82</v>
      </c>
      <c r="AF132" s="279" t="s">
        <v>83</v>
      </c>
      <c r="AG132" s="279" t="s">
        <v>84</v>
      </c>
      <c r="AH132" s="279" t="s">
        <v>85</v>
      </c>
      <c r="AI132" s="198" t="s">
        <v>86</v>
      </c>
      <c r="AJ132" s="274" t="s">
        <v>78</v>
      </c>
      <c r="AK132"/>
    </row>
    <row r="133" spans="1:37" ht="15.75" hidden="1" customHeight="1">
      <c r="A133" s="198" t="s">
        <v>779</v>
      </c>
      <c r="B133" s="198" t="s">
        <v>786</v>
      </c>
      <c r="C133" s="214" t="s">
        <v>207</v>
      </c>
      <c r="D133" s="198" t="s">
        <v>79</v>
      </c>
      <c r="E133" s="198" t="s">
        <v>316</v>
      </c>
      <c r="F133" s="198">
        <v>65</v>
      </c>
      <c r="G133" s="198"/>
      <c r="H133" s="214" t="s">
        <v>848</v>
      </c>
      <c r="I133" s="214" t="s">
        <v>325</v>
      </c>
      <c r="J133" s="271">
        <v>8.6999999999999993</v>
      </c>
      <c r="K133" s="198"/>
      <c r="L133" s="198"/>
      <c r="M133" s="198"/>
      <c r="N133" s="198"/>
      <c r="O133" s="198">
        <v>56.3</v>
      </c>
      <c r="P133" s="198"/>
      <c r="Q133" s="198" t="s">
        <v>329</v>
      </c>
      <c r="R133" s="230">
        <f>DATABASE_Table[[#This Row],[Inicial Asking Price (€) (Total)]]-DATABASE_Table[[#This Row],[Vista membership]]-DATABASE_Table[[#This Row],[FF&amp;E]]</f>
        <v>435000</v>
      </c>
      <c r="S133" s="234">
        <v>470000</v>
      </c>
      <c r="T133" s="235">
        <v>470000</v>
      </c>
      <c r="U133" s="198"/>
      <c r="V133" s="235">
        <v>35000</v>
      </c>
      <c r="W133" s="233">
        <f>DATABASE_Table[[#This Row],[Current Asking price( Total)]]-DATABASE_Table[[#This Row],[Vista membership]]-DATABASE_Table[[#This Row],[FF&amp;E]]</f>
        <v>435000</v>
      </c>
      <c r="X133" s="236"/>
      <c r="Y133" s="235"/>
      <c r="Z133" s="233">
        <f>DATABASE_Table[[#This Row],[Sell price (Total)]]-DATABASE_Table[[#This Row],[FF&amp;E]]-DATABASE_Table[[#This Row],[Vista membership]]</f>
        <v>-35000</v>
      </c>
      <c r="AA133" s="315"/>
      <c r="AB133" s="321">
        <v>47118</v>
      </c>
      <c r="AC133" s="198" t="s">
        <v>80</v>
      </c>
      <c r="AD133" s="198" t="s">
        <v>81</v>
      </c>
      <c r="AE133" s="279" t="s">
        <v>82</v>
      </c>
      <c r="AF133" s="279" t="s">
        <v>83</v>
      </c>
      <c r="AG133" s="279" t="s">
        <v>84</v>
      </c>
      <c r="AH133" s="279" t="s">
        <v>85</v>
      </c>
      <c r="AI133" s="198" t="s">
        <v>86</v>
      </c>
      <c r="AJ133" s="274" t="s">
        <v>78</v>
      </c>
      <c r="AK133"/>
    </row>
    <row r="134" spans="1:37" ht="15.75" hidden="1" customHeight="1">
      <c r="A134" s="198" t="s">
        <v>779</v>
      </c>
      <c r="B134" s="198" t="s">
        <v>786</v>
      </c>
      <c r="C134" s="214" t="s">
        <v>208</v>
      </c>
      <c r="D134" s="198" t="s">
        <v>79</v>
      </c>
      <c r="E134" s="198" t="s">
        <v>316</v>
      </c>
      <c r="F134" s="198">
        <v>65</v>
      </c>
      <c r="G134" s="198"/>
      <c r="H134" s="214" t="s">
        <v>848</v>
      </c>
      <c r="I134" s="214" t="s">
        <v>325</v>
      </c>
      <c r="J134" s="271">
        <v>8.6999999999999993</v>
      </c>
      <c r="K134" s="198"/>
      <c r="L134" s="198"/>
      <c r="M134" s="198"/>
      <c r="N134" s="198"/>
      <c r="O134" s="198">
        <v>56.3</v>
      </c>
      <c r="P134" s="198"/>
      <c r="Q134" s="198" t="s">
        <v>329</v>
      </c>
      <c r="R134" s="230">
        <f>DATABASE_Table[[#This Row],[Inicial Asking Price (€) (Total)]]-DATABASE_Table[[#This Row],[Vista membership]]-DATABASE_Table[[#This Row],[FF&amp;E]]</f>
        <v>435000</v>
      </c>
      <c r="S134" s="234">
        <v>470000</v>
      </c>
      <c r="T134" s="235">
        <v>470000</v>
      </c>
      <c r="U134" s="198"/>
      <c r="V134" s="235">
        <v>35000</v>
      </c>
      <c r="W134" s="233">
        <f>DATABASE_Table[[#This Row],[Current Asking price( Total)]]-DATABASE_Table[[#This Row],[Vista membership]]-DATABASE_Table[[#This Row],[FF&amp;E]]</f>
        <v>435000</v>
      </c>
      <c r="X134" s="236"/>
      <c r="Y134" s="235"/>
      <c r="Z134" s="233">
        <f>DATABASE_Table[[#This Row],[Sell price (Total)]]-DATABASE_Table[[#This Row],[FF&amp;E]]-DATABASE_Table[[#This Row],[Vista membership]]</f>
        <v>-35000</v>
      </c>
      <c r="AA134" s="315"/>
      <c r="AB134" s="321">
        <v>47118</v>
      </c>
      <c r="AC134" s="198" t="s">
        <v>80</v>
      </c>
      <c r="AD134" s="198" t="s">
        <v>81</v>
      </c>
      <c r="AE134" s="279" t="s">
        <v>82</v>
      </c>
      <c r="AF134" s="279" t="s">
        <v>83</v>
      </c>
      <c r="AG134" s="279" t="s">
        <v>84</v>
      </c>
      <c r="AH134" s="279" t="s">
        <v>85</v>
      </c>
      <c r="AI134" s="198" t="s">
        <v>86</v>
      </c>
      <c r="AJ134" s="274" t="s">
        <v>78</v>
      </c>
      <c r="AK134"/>
    </row>
    <row r="135" spans="1:37" ht="15.75" hidden="1" customHeight="1">
      <c r="A135" s="198" t="s">
        <v>779</v>
      </c>
      <c r="B135" s="198" t="s">
        <v>786</v>
      </c>
      <c r="C135" s="214" t="s">
        <v>209</v>
      </c>
      <c r="D135" s="198" t="s">
        <v>79</v>
      </c>
      <c r="E135" s="198" t="s">
        <v>316</v>
      </c>
      <c r="F135" s="198">
        <v>65</v>
      </c>
      <c r="G135" s="198"/>
      <c r="H135" s="214" t="s">
        <v>848</v>
      </c>
      <c r="I135" s="214" t="s">
        <v>325</v>
      </c>
      <c r="J135" s="271">
        <v>8.6999999999999993</v>
      </c>
      <c r="K135" s="198"/>
      <c r="L135" s="198"/>
      <c r="M135" s="198"/>
      <c r="N135" s="198"/>
      <c r="O135" s="198">
        <v>56.3</v>
      </c>
      <c r="P135" s="198"/>
      <c r="Q135" s="198" t="s">
        <v>329</v>
      </c>
      <c r="R135" s="230">
        <f>DATABASE_Table[[#This Row],[Inicial Asking Price (€) (Total)]]-DATABASE_Table[[#This Row],[Vista membership]]-DATABASE_Table[[#This Row],[FF&amp;E]]</f>
        <v>435000</v>
      </c>
      <c r="S135" s="234">
        <v>470000</v>
      </c>
      <c r="T135" s="235">
        <v>470000</v>
      </c>
      <c r="U135" s="198"/>
      <c r="V135" s="235">
        <v>35000</v>
      </c>
      <c r="W135" s="233">
        <f>DATABASE_Table[[#This Row],[Current Asking price( Total)]]-DATABASE_Table[[#This Row],[Vista membership]]-DATABASE_Table[[#This Row],[FF&amp;E]]</f>
        <v>435000</v>
      </c>
      <c r="X135" s="236"/>
      <c r="Y135" s="235"/>
      <c r="Z135" s="233">
        <f>DATABASE_Table[[#This Row],[Sell price (Total)]]-DATABASE_Table[[#This Row],[FF&amp;E]]-DATABASE_Table[[#This Row],[Vista membership]]</f>
        <v>-35000</v>
      </c>
      <c r="AA135" s="315"/>
      <c r="AB135" s="321">
        <v>47118</v>
      </c>
      <c r="AC135" s="198" t="s">
        <v>80</v>
      </c>
      <c r="AD135" s="198" t="s">
        <v>81</v>
      </c>
      <c r="AE135" s="279" t="s">
        <v>82</v>
      </c>
      <c r="AF135" s="279" t="s">
        <v>83</v>
      </c>
      <c r="AG135" s="279" t="s">
        <v>84</v>
      </c>
      <c r="AH135" s="279" t="s">
        <v>85</v>
      </c>
      <c r="AI135" s="198" t="s">
        <v>86</v>
      </c>
      <c r="AJ135" s="274" t="s">
        <v>78</v>
      </c>
      <c r="AK135"/>
    </row>
    <row r="136" spans="1:37" ht="15.75" hidden="1" customHeight="1">
      <c r="A136" s="198" t="s">
        <v>779</v>
      </c>
      <c r="B136" s="198" t="s">
        <v>786</v>
      </c>
      <c r="C136" s="214" t="s">
        <v>210</v>
      </c>
      <c r="D136" s="198" t="s">
        <v>79</v>
      </c>
      <c r="E136" s="198" t="s">
        <v>316</v>
      </c>
      <c r="F136" s="198">
        <v>65</v>
      </c>
      <c r="G136" s="198"/>
      <c r="H136" s="214" t="s">
        <v>848</v>
      </c>
      <c r="I136" s="214" t="s">
        <v>325</v>
      </c>
      <c r="J136" s="271">
        <v>8.6999999999999993</v>
      </c>
      <c r="K136" s="198"/>
      <c r="L136" s="198"/>
      <c r="M136" s="198"/>
      <c r="N136" s="198"/>
      <c r="O136" s="198">
        <v>56.3</v>
      </c>
      <c r="P136" s="198"/>
      <c r="Q136" s="198" t="s">
        <v>329</v>
      </c>
      <c r="R136" s="230">
        <f>DATABASE_Table[[#This Row],[Inicial Asking Price (€) (Total)]]-DATABASE_Table[[#This Row],[Vista membership]]-DATABASE_Table[[#This Row],[FF&amp;E]]</f>
        <v>435000</v>
      </c>
      <c r="S136" s="234">
        <v>470000</v>
      </c>
      <c r="T136" s="235">
        <v>470000</v>
      </c>
      <c r="U136" s="198"/>
      <c r="V136" s="235">
        <v>35000</v>
      </c>
      <c r="W136" s="233">
        <f>DATABASE_Table[[#This Row],[Current Asking price( Total)]]-DATABASE_Table[[#This Row],[Vista membership]]-DATABASE_Table[[#This Row],[FF&amp;E]]</f>
        <v>435000</v>
      </c>
      <c r="X136" s="236"/>
      <c r="Y136" s="235"/>
      <c r="Z136" s="233">
        <f>DATABASE_Table[[#This Row],[Sell price (Total)]]-DATABASE_Table[[#This Row],[FF&amp;E]]-DATABASE_Table[[#This Row],[Vista membership]]</f>
        <v>-35000</v>
      </c>
      <c r="AA136" s="315"/>
      <c r="AB136" s="321">
        <v>47118</v>
      </c>
      <c r="AC136" s="198" t="s">
        <v>80</v>
      </c>
      <c r="AD136" s="198" t="s">
        <v>81</v>
      </c>
      <c r="AE136" s="279" t="s">
        <v>82</v>
      </c>
      <c r="AF136" s="279" t="s">
        <v>83</v>
      </c>
      <c r="AG136" s="279" t="s">
        <v>84</v>
      </c>
      <c r="AH136" s="279" t="s">
        <v>85</v>
      </c>
      <c r="AI136" s="198" t="s">
        <v>86</v>
      </c>
      <c r="AJ136" s="274" t="s">
        <v>78</v>
      </c>
      <c r="AK136"/>
    </row>
    <row r="137" spans="1:37" ht="15.75" hidden="1" customHeight="1">
      <c r="A137" s="198" t="s">
        <v>779</v>
      </c>
      <c r="B137" s="198" t="s">
        <v>786</v>
      </c>
      <c r="C137" s="214" t="s">
        <v>211</v>
      </c>
      <c r="D137" s="198" t="s">
        <v>79</v>
      </c>
      <c r="E137" s="198" t="s">
        <v>316</v>
      </c>
      <c r="F137" s="198">
        <v>65</v>
      </c>
      <c r="G137" s="198"/>
      <c r="H137" s="214" t="s">
        <v>848</v>
      </c>
      <c r="I137" s="214" t="s">
        <v>325</v>
      </c>
      <c r="J137" s="271">
        <v>8.6999999999999993</v>
      </c>
      <c r="K137" s="198"/>
      <c r="L137" s="198"/>
      <c r="M137" s="198"/>
      <c r="N137" s="198"/>
      <c r="O137" s="198">
        <v>56.3</v>
      </c>
      <c r="P137" s="198"/>
      <c r="Q137" s="198" t="s">
        <v>329</v>
      </c>
      <c r="R137" s="230">
        <f>DATABASE_Table[[#This Row],[Inicial Asking Price (€) (Total)]]-DATABASE_Table[[#This Row],[Vista membership]]-DATABASE_Table[[#This Row],[FF&amp;E]]</f>
        <v>435000</v>
      </c>
      <c r="S137" s="234">
        <v>470000</v>
      </c>
      <c r="T137" s="235">
        <v>470000</v>
      </c>
      <c r="U137" s="198"/>
      <c r="V137" s="235">
        <v>35000</v>
      </c>
      <c r="W137" s="233">
        <f>DATABASE_Table[[#This Row],[Current Asking price( Total)]]-DATABASE_Table[[#This Row],[Vista membership]]-DATABASE_Table[[#This Row],[FF&amp;E]]</f>
        <v>435000</v>
      </c>
      <c r="X137" s="236"/>
      <c r="Y137" s="235"/>
      <c r="Z137" s="233">
        <f>DATABASE_Table[[#This Row],[Sell price (Total)]]-DATABASE_Table[[#This Row],[FF&amp;E]]-DATABASE_Table[[#This Row],[Vista membership]]</f>
        <v>-35000</v>
      </c>
      <c r="AA137" s="315"/>
      <c r="AB137" s="321">
        <v>47118</v>
      </c>
      <c r="AC137" s="198" t="s">
        <v>80</v>
      </c>
      <c r="AD137" s="198" t="s">
        <v>81</v>
      </c>
      <c r="AE137" s="279" t="s">
        <v>82</v>
      </c>
      <c r="AF137" s="279" t="s">
        <v>83</v>
      </c>
      <c r="AG137" s="279" t="s">
        <v>84</v>
      </c>
      <c r="AH137" s="279" t="s">
        <v>85</v>
      </c>
      <c r="AI137" s="198" t="s">
        <v>86</v>
      </c>
      <c r="AJ137" s="274" t="s">
        <v>78</v>
      </c>
      <c r="AK137"/>
    </row>
    <row r="138" spans="1:37" ht="15.75" hidden="1" customHeight="1">
      <c r="A138" s="198" t="s">
        <v>565</v>
      </c>
      <c r="B138" s="198" t="s">
        <v>691</v>
      </c>
      <c r="C138" s="214" t="s">
        <v>705</v>
      </c>
      <c r="D138" s="198" t="s">
        <v>9</v>
      </c>
      <c r="E138" s="198" t="s">
        <v>320</v>
      </c>
      <c r="F138" s="198">
        <v>195.8</v>
      </c>
      <c r="G138" s="198"/>
      <c r="H138" s="214" t="s">
        <v>848</v>
      </c>
      <c r="I138" s="214" t="s">
        <v>325</v>
      </c>
      <c r="J138" s="271">
        <v>43.9</v>
      </c>
      <c r="K138" s="198"/>
      <c r="L138" s="198"/>
      <c r="M138" s="198"/>
      <c r="N138" s="198"/>
      <c r="O138" s="198">
        <v>151.9</v>
      </c>
      <c r="P138" s="198"/>
      <c r="Q138" s="198" t="s">
        <v>329</v>
      </c>
      <c r="R138" s="230">
        <f>DATABASE_Table[[#This Row],[Inicial Asking Price (€) (Total)]]-DATABASE_Table[[#This Row],[Vista membership]]-DATABASE_Table[[#This Row],[FF&amp;E]]</f>
        <v>2100000</v>
      </c>
      <c r="S138" s="231">
        <v>2180000</v>
      </c>
      <c r="T138" s="232">
        <v>2260000</v>
      </c>
      <c r="U138" s="198">
        <v>50000</v>
      </c>
      <c r="V138" s="198">
        <v>30000</v>
      </c>
      <c r="W138" s="233">
        <f>DATABASE_Table[[#This Row],[Current Asking price( Total)]]-DATABASE_Table[[#This Row],[Vista membership]]-DATABASE_Table[[#This Row],[FF&amp;E]]</f>
        <v>2180000</v>
      </c>
      <c r="X138" s="216"/>
      <c r="Y138" s="232">
        <v>2260000</v>
      </c>
      <c r="Z138" s="233">
        <f>DATABASE_Table[[#This Row],[Sell price (Total)]]-DATABASE_Table[[#This Row],[FF&amp;E]]-DATABASE_Table[[#This Row],[Vista membership]]</f>
        <v>2180000</v>
      </c>
      <c r="AA138" s="315"/>
      <c r="AB138" s="321"/>
      <c r="AC138" s="198" t="s">
        <v>10</v>
      </c>
      <c r="AD138" s="198" t="s">
        <v>34</v>
      </c>
      <c r="AE138" s="279" t="s">
        <v>32</v>
      </c>
      <c r="AF138" s="279" t="s">
        <v>686</v>
      </c>
      <c r="AG138" s="279" t="s">
        <v>49</v>
      </c>
      <c r="AH138" s="279" t="s">
        <v>50</v>
      </c>
      <c r="AI138" s="198" t="s">
        <v>51</v>
      </c>
      <c r="AJ138" s="274" t="s">
        <v>48</v>
      </c>
      <c r="AK138"/>
    </row>
    <row r="139" spans="1:37" ht="15.75" hidden="1" customHeight="1">
      <c r="A139" s="198" t="s">
        <v>629</v>
      </c>
      <c r="B139" s="198" t="s">
        <v>691</v>
      </c>
      <c r="C139" s="214" t="s">
        <v>836</v>
      </c>
      <c r="D139" s="198" t="s">
        <v>9</v>
      </c>
      <c r="E139" s="198" t="s">
        <v>553</v>
      </c>
      <c r="F139" s="198">
        <v>280</v>
      </c>
      <c r="G139" s="198"/>
      <c r="H139" s="214" t="s">
        <v>325</v>
      </c>
      <c r="I139" s="214" t="s">
        <v>325</v>
      </c>
      <c r="J139" s="271"/>
      <c r="K139" s="198"/>
      <c r="L139" s="198"/>
      <c r="M139" s="198"/>
      <c r="N139" s="198"/>
      <c r="O139" s="198">
        <v>280</v>
      </c>
      <c r="P139" s="198"/>
      <c r="Q139" s="198" t="s">
        <v>329</v>
      </c>
      <c r="R139" s="230">
        <f>DATABASE_Table[[#This Row],[Inicial Asking Price (€) (Total)]]-DATABASE_Table[[#This Row],[Vista membership]]-DATABASE_Table[[#This Row],[FF&amp;E]]</f>
        <v>3660000</v>
      </c>
      <c r="S139" s="231">
        <v>3660000</v>
      </c>
      <c r="T139" s="232">
        <v>1220000</v>
      </c>
      <c r="U139" s="198"/>
      <c r="V139" s="198"/>
      <c r="W139" s="233">
        <f>DATABASE_Table[[#This Row],[Current Asking price( Total)]]-DATABASE_Table[[#This Row],[Vista membership]]-DATABASE_Table[[#This Row],[FF&amp;E]]</f>
        <v>1220000</v>
      </c>
      <c r="X139" s="216"/>
      <c r="Y139" s="232">
        <v>1220000</v>
      </c>
      <c r="Z139" s="233">
        <f>DATABASE_Table[[#This Row],[Sell price (Total)]]-DATABASE_Table[[#This Row],[FF&amp;E]]-DATABASE_Table[[#This Row],[Vista membership]]</f>
        <v>1220000</v>
      </c>
      <c r="AA139" s="315"/>
      <c r="AB139" s="321"/>
      <c r="AC139" s="198" t="s">
        <v>10</v>
      </c>
      <c r="AD139" s="198" t="s">
        <v>35</v>
      </c>
      <c r="AE139" s="279" t="s">
        <v>38</v>
      </c>
      <c r="AF139" s="279" t="s">
        <v>39</v>
      </c>
      <c r="AG139" s="279" t="s">
        <v>40</v>
      </c>
      <c r="AH139" s="279" t="s">
        <v>810</v>
      </c>
      <c r="AI139" s="198" t="s">
        <v>41</v>
      </c>
      <c r="AJ139" s="274" t="s">
        <v>37</v>
      </c>
      <c r="AK139"/>
    </row>
    <row r="140" spans="1:37" ht="15.75" customHeight="1">
      <c r="A140" s="198" t="s">
        <v>688</v>
      </c>
      <c r="B140" s="198" t="s">
        <v>691</v>
      </c>
      <c r="C140" s="214" t="s">
        <v>836</v>
      </c>
      <c r="D140" s="198"/>
      <c r="E140" s="198" t="s">
        <v>553</v>
      </c>
      <c r="F140" s="198">
        <v>245</v>
      </c>
      <c r="G140" s="198"/>
      <c r="H140" s="214" t="s">
        <v>325</v>
      </c>
      <c r="I140" s="214" t="s">
        <v>325</v>
      </c>
      <c r="J140" s="271"/>
      <c r="K140" s="198"/>
      <c r="L140" s="198"/>
      <c r="M140" s="198"/>
      <c r="N140" s="198"/>
      <c r="O140" s="198">
        <v>245</v>
      </c>
      <c r="P140" s="198"/>
      <c r="Q140" s="198" t="s">
        <v>929</v>
      </c>
      <c r="R140" s="230">
        <f>DATABASE_Table[[#This Row],[Inicial Asking Price (€) (Total)]]-DATABASE_Table[[#This Row],[Vista membership]]-DATABASE_Table[[#This Row],[FF&amp;E]]</f>
        <v>540000</v>
      </c>
      <c r="S140" s="231">
        <v>540000</v>
      </c>
      <c r="T140" s="232">
        <v>594000</v>
      </c>
      <c r="U140" s="198"/>
      <c r="V140" s="198"/>
      <c r="W140" s="233">
        <f>DATABASE_Table[[#This Row],[Current Asking price( Total)]]-DATABASE_Table[[#This Row],[Vista membership]]-DATABASE_Table[[#This Row],[FF&amp;E]]</f>
        <v>594000</v>
      </c>
      <c r="X140" s="216">
        <v>0</v>
      </c>
      <c r="Y140" s="232">
        <v>594000</v>
      </c>
      <c r="Z140" s="233">
        <f>DATABASE_Table[[#This Row],[Sell price (Total)]]-DATABASE_Table[[#This Row],[FF&amp;E]]-DATABASE_Table[[#This Row],[Vista membership]]</f>
        <v>594000</v>
      </c>
      <c r="AA140" s="315">
        <v>45436</v>
      </c>
      <c r="AB140" s="321"/>
      <c r="AC140" s="198"/>
      <c r="AD140" s="198"/>
      <c r="AE140" s="279"/>
      <c r="AF140" s="279"/>
      <c r="AG140" s="279"/>
      <c r="AH140" s="279"/>
      <c r="AI140" s="198"/>
      <c r="AJ140" s="274" t="s">
        <v>688</v>
      </c>
      <c r="AK140"/>
    </row>
    <row r="141" spans="1:37" ht="15.75" hidden="1" customHeight="1">
      <c r="A141" s="198" t="s">
        <v>773</v>
      </c>
      <c r="B141" s="198" t="s">
        <v>769</v>
      </c>
      <c r="C141" s="214" t="s">
        <v>877</v>
      </c>
      <c r="D141" s="198" t="s">
        <v>67</v>
      </c>
      <c r="E141" s="198" t="s">
        <v>553</v>
      </c>
      <c r="F141" s="198">
        <v>4639</v>
      </c>
      <c r="G141" s="198"/>
      <c r="H141" s="214" t="s">
        <v>325</v>
      </c>
      <c r="I141" s="214" t="s">
        <v>325</v>
      </c>
      <c r="J141" s="271"/>
      <c r="K141" s="198"/>
      <c r="L141" s="198"/>
      <c r="M141" s="198"/>
      <c r="N141" s="198"/>
      <c r="O141" s="198">
        <v>340</v>
      </c>
      <c r="P141" s="198"/>
      <c r="Q141" s="198" t="s">
        <v>329</v>
      </c>
      <c r="R141" s="230">
        <f>DATABASE_Table[[#This Row],[Inicial Asking Price (€) (Total)]]-DATABASE_Table[[#This Row],[Vista membership]]-DATABASE_Table[[#This Row],[FF&amp;E]]</f>
        <v>470000</v>
      </c>
      <c r="S141" s="234">
        <v>470000</v>
      </c>
      <c r="T141" s="235">
        <v>1000000</v>
      </c>
      <c r="U141" s="198"/>
      <c r="V141" s="198"/>
      <c r="W141" s="233">
        <f>DATABASE_Table[[#This Row],[Current Asking price( Total)]]-DATABASE_Table[[#This Row],[Vista membership]]-DATABASE_Table[[#This Row],[FF&amp;E]]</f>
        <v>1000000</v>
      </c>
      <c r="X141" s="236"/>
      <c r="Y141" s="235">
        <v>1000000</v>
      </c>
      <c r="Z141" s="233">
        <f>DATABASE_Table[[#This Row],[Sell price (Total)]]-DATABASE_Table[[#This Row],[FF&amp;E]]-DATABASE_Table[[#This Row],[Vista membership]]</f>
        <v>1000000</v>
      </c>
      <c r="AA141" s="315"/>
      <c r="AB141" s="321">
        <v>46843</v>
      </c>
      <c r="AC141" s="198" t="s">
        <v>57</v>
      </c>
      <c r="AD141" s="198" t="s">
        <v>68</v>
      </c>
      <c r="AE141" s="279" t="s">
        <v>69</v>
      </c>
      <c r="AF141" s="279" t="s">
        <v>70</v>
      </c>
      <c r="AG141" s="279" t="s">
        <v>71</v>
      </c>
      <c r="AH141" s="279" t="s">
        <v>816</v>
      </c>
      <c r="AI141" s="198" t="s">
        <v>72</v>
      </c>
      <c r="AJ141" s="274" t="s">
        <v>66</v>
      </c>
      <c r="AK141"/>
    </row>
    <row r="142" spans="1:37" ht="15.75" hidden="1" customHeight="1">
      <c r="A142" s="198" t="s">
        <v>773</v>
      </c>
      <c r="B142" s="198" t="s">
        <v>769</v>
      </c>
      <c r="C142" s="214" t="s">
        <v>878</v>
      </c>
      <c r="D142" s="198" t="s">
        <v>67</v>
      </c>
      <c r="E142" s="198" t="s">
        <v>553</v>
      </c>
      <c r="F142" s="198">
        <v>340</v>
      </c>
      <c r="G142" s="198"/>
      <c r="H142" s="214" t="s">
        <v>325</v>
      </c>
      <c r="I142" s="214" t="s">
        <v>325</v>
      </c>
      <c r="J142" s="271"/>
      <c r="K142" s="198"/>
      <c r="L142" s="198"/>
      <c r="M142" s="198"/>
      <c r="N142" s="198"/>
      <c r="O142" s="198">
        <v>340</v>
      </c>
      <c r="P142" s="198"/>
      <c r="Q142" s="198" t="s">
        <v>329</v>
      </c>
      <c r="R142" s="230">
        <f>DATABASE_Table[[#This Row],[Inicial Asking Price (€) (Total)]]-DATABASE_Table[[#This Row],[Vista membership]]-DATABASE_Table[[#This Row],[FF&amp;E]]</f>
        <v>470000</v>
      </c>
      <c r="S142" s="234">
        <v>470000</v>
      </c>
      <c r="T142" s="235">
        <v>900000</v>
      </c>
      <c r="U142" s="198"/>
      <c r="V142" s="198"/>
      <c r="W142" s="233">
        <f>DATABASE_Table[[#This Row],[Current Asking price( Total)]]-DATABASE_Table[[#This Row],[Vista membership]]-DATABASE_Table[[#This Row],[FF&amp;E]]</f>
        <v>900000</v>
      </c>
      <c r="X142" s="236"/>
      <c r="Y142" s="235">
        <v>900000</v>
      </c>
      <c r="Z142" s="233">
        <f>DATABASE_Table[[#This Row],[Sell price (Total)]]-DATABASE_Table[[#This Row],[FF&amp;E]]-DATABASE_Table[[#This Row],[Vista membership]]</f>
        <v>900000</v>
      </c>
      <c r="AA142" s="315"/>
      <c r="AB142" s="321">
        <v>46843</v>
      </c>
      <c r="AC142" s="198" t="s">
        <v>57</v>
      </c>
      <c r="AD142" s="198" t="s">
        <v>68</v>
      </c>
      <c r="AE142" s="279" t="s">
        <v>69</v>
      </c>
      <c r="AF142" s="279" t="s">
        <v>70</v>
      </c>
      <c r="AG142" s="279" t="s">
        <v>71</v>
      </c>
      <c r="AH142" s="279" t="s">
        <v>816</v>
      </c>
      <c r="AI142" s="198" t="s">
        <v>72</v>
      </c>
      <c r="AJ142" s="274" t="s">
        <v>66</v>
      </c>
      <c r="AK142"/>
    </row>
    <row r="143" spans="1:37" ht="15.75" hidden="1" customHeight="1">
      <c r="A143" s="198" t="s">
        <v>773</v>
      </c>
      <c r="B143" s="198" t="s">
        <v>769</v>
      </c>
      <c r="C143" s="214" t="s">
        <v>879</v>
      </c>
      <c r="D143" s="198" t="s">
        <v>67</v>
      </c>
      <c r="E143" s="198" t="s">
        <v>553</v>
      </c>
      <c r="F143" s="198">
        <v>420</v>
      </c>
      <c r="G143" s="198"/>
      <c r="H143" s="214" t="s">
        <v>325</v>
      </c>
      <c r="I143" s="214" t="s">
        <v>325</v>
      </c>
      <c r="J143" s="271"/>
      <c r="K143" s="198"/>
      <c r="L143" s="198"/>
      <c r="M143" s="198"/>
      <c r="N143" s="198"/>
      <c r="O143" s="198">
        <v>420</v>
      </c>
      <c r="P143" s="198"/>
      <c r="Q143" s="198" t="s">
        <v>329</v>
      </c>
      <c r="R143" s="230">
        <f>DATABASE_Table[[#This Row],[Inicial Asking Price (€) (Total)]]-DATABASE_Table[[#This Row],[Vista membership]]-DATABASE_Table[[#This Row],[FF&amp;E]]</f>
        <v>470000</v>
      </c>
      <c r="S143" s="234">
        <v>470000</v>
      </c>
      <c r="T143" s="235">
        <v>1300000</v>
      </c>
      <c r="U143" s="198"/>
      <c r="V143" s="198"/>
      <c r="W143" s="233">
        <f>DATABASE_Table[[#This Row],[Current Asking price( Total)]]-DATABASE_Table[[#This Row],[Vista membership]]-DATABASE_Table[[#This Row],[FF&amp;E]]</f>
        <v>1300000</v>
      </c>
      <c r="X143" s="236"/>
      <c r="Y143" s="235">
        <v>1300000</v>
      </c>
      <c r="Z143" s="233">
        <f>DATABASE_Table[[#This Row],[Sell price (Total)]]-DATABASE_Table[[#This Row],[FF&amp;E]]-DATABASE_Table[[#This Row],[Vista membership]]</f>
        <v>1300000</v>
      </c>
      <c r="AA143" s="315"/>
      <c r="AB143" s="321">
        <v>46843</v>
      </c>
      <c r="AC143" s="198" t="s">
        <v>57</v>
      </c>
      <c r="AD143" s="198" t="s">
        <v>68</v>
      </c>
      <c r="AE143" s="279" t="s">
        <v>69</v>
      </c>
      <c r="AF143" s="279" t="s">
        <v>70</v>
      </c>
      <c r="AG143" s="279" t="s">
        <v>71</v>
      </c>
      <c r="AH143" s="279" t="s">
        <v>816</v>
      </c>
      <c r="AI143" s="198" t="s">
        <v>72</v>
      </c>
      <c r="AJ143" s="274" t="s">
        <v>66</v>
      </c>
      <c r="AK143"/>
    </row>
    <row r="144" spans="1:37" ht="15.75" hidden="1" customHeight="1">
      <c r="A144" s="198" t="s">
        <v>933</v>
      </c>
      <c r="B144" s="198" t="s">
        <v>769</v>
      </c>
      <c r="C144" s="214" t="s">
        <v>538</v>
      </c>
      <c r="D144" s="198"/>
      <c r="E144" s="198" t="s">
        <v>533</v>
      </c>
      <c r="F144" s="198">
        <v>363.73</v>
      </c>
      <c r="G144" s="198"/>
      <c r="H144" s="214" t="s">
        <v>325</v>
      </c>
      <c r="I144" s="214" t="s">
        <v>918</v>
      </c>
      <c r="J144" s="271"/>
      <c r="K144" s="198"/>
      <c r="L144" s="198"/>
      <c r="M144" s="198">
        <v>124.56</v>
      </c>
      <c r="N144" s="198"/>
      <c r="O144" s="198">
        <v>223.86</v>
      </c>
      <c r="P144" s="198"/>
      <c r="Q144" s="198" t="s">
        <v>329</v>
      </c>
      <c r="R144" s="230">
        <f>DATABASE_Table[[#This Row],[Inicial Asking Price (€) (Total)]]-DATABASE_Table[[#This Row],[Vista membership]]-DATABASE_Table[[#This Row],[FF&amp;E]]</f>
        <v>2080000</v>
      </c>
      <c r="S144" s="234">
        <v>2080000</v>
      </c>
      <c r="T144" s="235">
        <v>2080000</v>
      </c>
      <c r="U144" s="198"/>
      <c r="V144" s="198"/>
      <c r="W144" s="233">
        <f>DATABASE_Table[[#This Row],[Current Asking price( Total)]]-DATABASE_Table[[#This Row],[Vista membership]]-DATABASE_Table[[#This Row],[FF&amp;E]]</f>
        <v>2080000</v>
      </c>
      <c r="X144" s="236"/>
      <c r="Y144" s="235">
        <v>2080000</v>
      </c>
      <c r="Z144" s="233">
        <f>DATABASE_Table[[#This Row],[Sell price (Total)]]-DATABASE_Table[[#This Row],[FF&amp;E]]-DATABASE_Table[[#This Row],[Vista membership]]</f>
        <v>2080000</v>
      </c>
      <c r="AA144" s="315"/>
      <c r="AB144" s="321">
        <v>46843</v>
      </c>
      <c r="AC144" s="198"/>
      <c r="AD144" s="198"/>
      <c r="AE144" s="279"/>
      <c r="AF144" s="279"/>
      <c r="AG144" s="279"/>
      <c r="AH144" s="279"/>
      <c r="AI144" s="198"/>
      <c r="AJ144" s="274" t="s">
        <v>66</v>
      </c>
      <c r="AK144"/>
    </row>
    <row r="145" spans="1:37" ht="15.75" hidden="1" customHeight="1">
      <c r="A145" s="198" t="s">
        <v>565</v>
      </c>
      <c r="B145" s="198" t="s">
        <v>691</v>
      </c>
      <c r="C145" s="214" t="s">
        <v>836</v>
      </c>
      <c r="D145" s="198" t="s">
        <v>9</v>
      </c>
      <c r="E145" s="198" t="s">
        <v>419</v>
      </c>
      <c r="F145" s="198">
        <v>105.5</v>
      </c>
      <c r="G145" s="198"/>
      <c r="H145" s="214" t="s">
        <v>848</v>
      </c>
      <c r="I145" s="214" t="s">
        <v>325</v>
      </c>
      <c r="J145" s="271">
        <v>42.4</v>
      </c>
      <c r="K145" s="198"/>
      <c r="L145" s="198"/>
      <c r="M145" s="198"/>
      <c r="N145" s="198"/>
      <c r="O145" s="198">
        <v>63.1</v>
      </c>
      <c r="P145" s="198"/>
      <c r="Q145" s="198" t="s">
        <v>329</v>
      </c>
      <c r="R145" s="230">
        <f>DATABASE_Table[[#This Row],[Inicial Asking Price (€) (Total)]]-DATABASE_Table[[#This Row],[Vista membership]]-DATABASE_Table[[#This Row],[FF&amp;E]]</f>
        <v>625000</v>
      </c>
      <c r="S145" s="231">
        <v>690000</v>
      </c>
      <c r="T145" s="232">
        <v>750000</v>
      </c>
      <c r="U145" s="198">
        <v>50000</v>
      </c>
      <c r="V145" s="198">
        <v>15000</v>
      </c>
      <c r="W145" s="233">
        <f>DATABASE_Table[[#This Row],[Current Asking price( Total)]]-DATABASE_Table[[#This Row],[Vista membership]]-DATABASE_Table[[#This Row],[FF&amp;E]]</f>
        <v>685000</v>
      </c>
      <c r="X145" s="216"/>
      <c r="Y145" s="232">
        <v>750000</v>
      </c>
      <c r="Z145" s="233">
        <f>DATABASE_Table[[#This Row],[Sell price (Total)]]-DATABASE_Table[[#This Row],[FF&amp;E]]-DATABASE_Table[[#This Row],[Vista membership]]</f>
        <v>685000</v>
      </c>
      <c r="AA145" s="315"/>
      <c r="AB145" s="321"/>
      <c r="AC145" s="198" t="s">
        <v>10</v>
      </c>
      <c r="AD145" s="198" t="s">
        <v>34</v>
      </c>
      <c r="AE145" s="279" t="s">
        <v>32</v>
      </c>
      <c r="AF145" s="279" t="s">
        <v>686</v>
      </c>
      <c r="AG145" s="279" t="s">
        <v>49</v>
      </c>
      <c r="AH145" s="279" t="s">
        <v>50</v>
      </c>
      <c r="AI145" s="198" t="s">
        <v>51</v>
      </c>
      <c r="AJ145" s="274" t="s">
        <v>48</v>
      </c>
      <c r="AK145"/>
    </row>
    <row r="146" spans="1:37" ht="15.75" hidden="1" customHeight="1">
      <c r="A146" s="198" t="s">
        <v>779</v>
      </c>
      <c r="B146" s="198" t="s">
        <v>786</v>
      </c>
      <c r="C146" s="214" t="s">
        <v>101</v>
      </c>
      <c r="D146" s="198" t="s">
        <v>79</v>
      </c>
      <c r="E146" s="198" t="s">
        <v>316</v>
      </c>
      <c r="F146" s="198">
        <v>65</v>
      </c>
      <c r="G146" s="198"/>
      <c r="H146" s="214" t="s">
        <v>848</v>
      </c>
      <c r="I146" s="214" t="s">
        <v>325</v>
      </c>
      <c r="J146" s="271">
        <v>8.6999999999999993</v>
      </c>
      <c r="K146" s="198"/>
      <c r="L146" s="198"/>
      <c r="M146" s="198"/>
      <c r="N146" s="198"/>
      <c r="O146" s="198">
        <v>56.3</v>
      </c>
      <c r="P146" s="198"/>
      <c r="Q146" s="198" t="s">
        <v>628</v>
      </c>
      <c r="R146" s="230">
        <f>DATABASE_Table[[#This Row],[Inicial Asking Price (€) (Total)]]-DATABASE_Table[[#This Row],[Vista membership]]-DATABASE_Table[[#This Row],[FF&amp;E]]</f>
        <v>715000</v>
      </c>
      <c r="S146" s="232">
        <v>750000</v>
      </c>
      <c r="T146" s="235">
        <v>415000</v>
      </c>
      <c r="U146" s="198"/>
      <c r="V146" s="235">
        <v>35000</v>
      </c>
      <c r="W146" s="233">
        <f>DATABASE_Table[[#This Row],[Current Asking price( Total)]]-DATABASE_Table[[#This Row],[Vista membership]]-DATABASE_Table[[#This Row],[FF&amp;E]]</f>
        <v>380000</v>
      </c>
      <c r="X146" s="236">
        <v>0</v>
      </c>
      <c r="Y146" s="235">
        <v>415000</v>
      </c>
      <c r="Z146" s="233">
        <f>DATABASE_Table[[#This Row],[Sell price (Total)]]-DATABASE_Table[[#This Row],[FF&amp;E]]-DATABASE_Table[[#This Row],[Vista membership]]</f>
        <v>380000</v>
      </c>
      <c r="AA146" s="316">
        <v>45910</v>
      </c>
      <c r="AB146" s="321">
        <v>47118</v>
      </c>
      <c r="AC146" s="198" t="s">
        <v>80</v>
      </c>
      <c r="AD146" s="198" t="s">
        <v>81</v>
      </c>
      <c r="AE146" s="279" t="s">
        <v>82</v>
      </c>
      <c r="AF146" s="279" t="s">
        <v>83</v>
      </c>
      <c r="AG146" s="279" t="s">
        <v>84</v>
      </c>
      <c r="AH146" s="279" t="s">
        <v>85</v>
      </c>
      <c r="AI146" s="198" t="s">
        <v>86</v>
      </c>
      <c r="AJ146" s="274" t="s">
        <v>78</v>
      </c>
      <c r="AK146"/>
    </row>
    <row r="147" spans="1:37" ht="15.75" hidden="1" customHeight="1">
      <c r="A147" s="198" t="s">
        <v>779</v>
      </c>
      <c r="B147" s="198" t="s">
        <v>786</v>
      </c>
      <c r="C147" s="214" t="s">
        <v>158</v>
      </c>
      <c r="D147" s="198" t="s">
        <v>79</v>
      </c>
      <c r="E147" s="198" t="s">
        <v>316</v>
      </c>
      <c r="F147" s="198">
        <v>72.5</v>
      </c>
      <c r="G147" s="198"/>
      <c r="H147" s="214" t="s">
        <v>848</v>
      </c>
      <c r="I147" s="214" t="s">
        <v>325</v>
      </c>
      <c r="J147" s="271">
        <v>12</v>
      </c>
      <c r="K147" s="198"/>
      <c r="L147" s="198"/>
      <c r="M147" s="198"/>
      <c r="N147" s="198"/>
      <c r="O147" s="198">
        <v>60.5</v>
      </c>
      <c r="P147" s="198"/>
      <c r="Q147" s="198" t="s">
        <v>329</v>
      </c>
      <c r="R147" s="230">
        <f>DATABASE_Table[[#This Row],[Inicial Asking Price (€) (Total)]]-DATABASE_Table[[#This Row],[Vista membership]]-DATABASE_Table[[#This Row],[FF&amp;E]]</f>
        <v>445000</v>
      </c>
      <c r="S147" s="234">
        <v>480000</v>
      </c>
      <c r="T147" s="235">
        <v>480000</v>
      </c>
      <c r="U147" s="198"/>
      <c r="V147" s="235">
        <v>35000</v>
      </c>
      <c r="W147" s="233">
        <f>DATABASE_Table[[#This Row],[Current Asking price( Total)]]-DATABASE_Table[[#This Row],[Vista membership]]-DATABASE_Table[[#This Row],[FF&amp;E]]</f>
        <v>445000</v>
      </c>
      <c r="X147" s="236"/>
      <c r="Y147" s="235"/>
      <c r="Z147" s="233">
        <f>DATABASE_Table[[#This Row],[Sell price (Total)]]-DATABASE_Table[[#This Row],[FF&amp;E]]-DATABASE_Table[[#This Row],[Vista membership]]</f>
        <v>-35000</v>
      </c>
      <c r="AA147" s="315"/>
      <c r="AB147" s="321">
        <v>47118</v>
      </c>
      <c r="AC147" s="198" t="s">
        <v>80</v>
      </c>
      <c r="AD147" s="198" t="s">
        <v>81</v>
      </c>
      <c r="AE147" s="279" t="s">
        <v>82</v>
      </c>
      <c r="AF147" s="279" t="s">
        <v>83</v>
      </c>
      <c r="AG147" s="279" t="s">
        <v>84</v>
      </c>
      <c r="AH147" s="279" t="s">
        <v>85</v>
      </c>
      <c r="AI147" s="198" t="s">
        <v>86</v>
      </c>
      <c r="AJ147" s="274" t="s">
        <v>78</v>
      </c>
      <c r="AK147"/>
    </row>
    <row r="148" spans="1:37" ht="15.75" hidden="1" customHeight="1">
      <c r="A148" s="198" t="s">
        <v>779</v>
      </c>
      <c r="B148" s="198" t="s">
        <v>786</v>
      </c>
      <c r="C148" s="214" t="s">
        <v>167</v>
      </c>
      <c r="D148" s="198" t="s">
        <v>79</v>
      </c>
      <c r="E148" s="198" t="s">
        <v>316</v>
      </c>
      <c r="F148" s="198">
        <v>72.5</v>
      </c>
      <c r="G148" s="198"/>
      <c r="H148" s="214" t="s">
        <v>848</v>
      </c>
      <c r="I148" s="214" t="s">
        <v>325</v>
      </c>
      <c r="J148" s="271">
        <v>12</v>
      </c>
      <c r="K148" s="198"/>
      <c r="L148" s="198"/>
      <c r="M148" s="198"/>
      <c r="N148" s="198"/>
      <c r="O148" s="198">
        <v>60.5</v>
      </c>
      <c r="P148" s="198"/>
      <c r="Q148" s="198" t="s">
        <v>329</v>
      </c>
      <c r="R148" s="230">
        <f>DATABASE_Table[[#This Row],[Inicial Asking Price (€) (Total)]]-DATABASE_Table[[#This Row],[Vista membership]]-DATABASE_Table[[#This Row],[FF&amp;E]]</f>
        <v>445000</v>
      </c>
      <c r="S148" s="234">
        <v>480000</v>
      </c>
      <c r="T148" s="235">
        <v>480000</v>
      </c>
      <c r="U148" s="198"/>
      <c r="V148" s="235">
        <v>35000</v>
      </c>
      <c r="W148" s="233">
        <f>DATABASE_Table[[#This Row],[Current Asking price( Total)]]-DATABASE_Table[[#This Row],[Vista membership]]-DATABASE_Table[[#This Row],[FF&amp;E]]</f>
        <v>445000</v>
      </c>
      <c r="X148" s="236"/>
      <c r="Y148" s="235"/>
      <c r="Z148" s="233">
        <f>DATABASE_Table[[#This Row],[Sell price (Total)]]-DATABASE_Table[[#This Row],[FF&amp;E]]-DATABASE_Table[[#This Row],[Vista membership]]</f>
        <v>-35000</v>
      </c>
      <c r="AA148" s="315"/>
      <c r="AB148" s="321">
        <v>47118</v>
      </c>
      <c r="AC148" s="198" t="s">
        <v>80</v>
      </c>
      <c r="AD148" s="198" t="s">
        <v>81</v>
      </c>
      <c r="AE148" s="279" t="s">
        <v>82</v>
      </c>
      <c r="AF148" s="279" t="s">
        <v>83</v>
      </c>
      <c r="AG148" s="279" t="s">
        <v>84</v>
      </c>
      <c r="AH148" s="279" t="s">
        <v>85</v>
      </c>
      <c r="AI148" s="198" t="s">
        <v>86</v>
      </c>
      <c r="AJ148" s="274" t="s">
        <v>78</v>
      </c>
      <c r="AK148"/>
    </row>
    <row r="149" spans="1:37" ht="15.75" hidden="1" customHeight="1">
      <c r="A149" s="198" t="s">
        <v>779</v>
      </c>
      <c r="B149" s="198" t="s">
        <v>786</v>
      </c>
      <c r="C149" s="214" t="s">
        <v>171</v>
      </c>
      <c r="D149" s="198" t="s">
        <v>79</v>
      </c>
      <c r="E149" s="198" t="s">
        <v>316</v>
      </c>
      <c r="F149" s="198">
        <v>72.5</v>
      </c>
      <c r="G149" s="198"/>
      <c r="H149" s="214" t="s">
        <v>848</v>
      </c>
      <c r="I149" s="214" t="s">
        <v>325</v>
      </c>
      <c r="J149" s="271">
        <v>12</v>
      </c>
      <c r="K149" s="198"/>
      <c r="L149" s="198"/>
      <c r="M149" s="198"/>
      <c r="N149" s="198"/>
      <c r="O149" s="198">
        <v>60.5</v>
      </c>
      <c r="P149" s="198"/>
      <c r="Q149" s="198" t="s">
        <v>329</v>
      </c>
      <c r="R149" s="230">
        <f>DATABASE_Table[[#This Row],[Inicial Asking Price (€) (Total)]]-DATABASE_Table[[#This Row],[Vista membership]]-DATABASE_Table[[#This Row],[FF&amp;E]]</f>
        <v>445000</v>
      </c>
      <c r="S149" s="234">
        <v>480000</v>
      </c>
      <c r="T149" s="235">
        <v>480000</v>
      </c>
      <c r="U149" s="198"/>
      <c r="V149" s="235">
        <v>35000</v>
      </c>
      <c r="W149" s="233">
        <f>DATABASE_Table[[#This Row],[Current Asking price( Total)]]-DATABASE_Table[[#This Row],[Vista membership]]-DATABASE_Table[[#This Row],[FF&amp;E]]</f>
        <v>445000</v>
      </c>
      <c r="X149" s="236"/>
      <c r="Y149" s="235"/>
      <c r="Z149" s="233">
        <f>DATABASE_Table[[#This Row],[Sell price (Total)]]-DATABASE_Table[[#This Row],[FF&amp;E]]-DATABASE_Table[[#This Row],[Vista membership]]</f>
        <v>-35000</v>
      </c>
      <c r="AA149" s="315"/>
      <c r="AB149" s="321">
        <v>47118</v>
      </c>
      <c r="AC149" s="198" t="s">
        <v>80</v>
      </c>
      <c r="AD149" s="198" t="s">
        <v>81</v>
      </c>
      <c r="AE149" s="279" t="s">
        <v>82</v>
      </c>
      <c r="AF149" s="279" t="s">
        <v>83</v>
      </c>
      <c r="AG149" s="279" t="s">
        <v>84</v>
      </c>
      <c r="AH149" s="279" t="s">
        <v>85</v>
      </c>
      <c r="AI149" s="198" t="s">
        <v>86</v>
      </c>
      <c r="AJ149" s="274" t="s">
        <v>78</v>
      </c>
      <c r="AK149"/>
    </row>
    <row r="150" spans="1:37" ht="15.75" hidden="1" customHeight="1">
      <c r="A150" s="198" t="s">
        <v>629</v>
      </c>
      <c r="B150" s="198" t="s">
        <v>691</v>
      </c>
      <c r="C150" s="214" t="s">
        <v>837</v>
      </c>
      <c r="D150" s="198" t="s">
        <v>9</v>
      </c>
      <c r="E150" s="198" t="s">
        <v>553</v>
      </c>
      <c r="F150" s="198">
        <v>560</v>
      </c>
      <c r="G150" s="198"/>
      <c r="H150" s="214" t="s">
        <v>325</v>
      </c>
      <c r="I150" s="214" t="s">
        <v>325</v>
      </c>
      <c r="J150" s="271"/>
      <c r="K150" s="198"/>
      <c r="L150" s="198"/>
      <c r="M150" s="198"/>
      <c r="N150" s="198"/>
      <c r="O150" s="198">
        <v>560</v>
      </c>
      <c r="P150" s="198"/>
      <c r="Q150" s="198" t="s">
        <v>329</v>
      </c>
      <c r="R150" s="230">
        <f>DATABASE_Table[[#This Row],[Inicial Asking Price (€) (Total)]]-DATABASE_Table[[#This Row],[Vista membership]]-DATABASE_Table[[#This Row],[FF&amp;E]]</f>
        <v>3360000</v>
      </c>
      <c r="S150" s="231">
        <v>3360000</v>
      </c>
      <c r="T150" s="232">
        <v>2630000</v>
      </c>
      <c r="U150" s="198"/>
      <c r="V150" s="198"/>
      <c r="W150" s="233">
        <f>DATABASE_Table[[#This Row],[Current Asking price( Total)]]-DATABASE_Table[[#This Row],[Vista membership]]-DATABASE_Table[[#This Row],[FF&amp;E]]</f>
        <v>2630000</v>
      </c>
      <c r="X150" s="216"/>
      <c r="Y150" s="232">
        <v>2630000</v>
      </c>
      <c r="Z150" s="233">
        <f>DATABASE_Table[[#This Row],[Sell price (Total)]]-DATABASE_Table[[#This Row],[FF&amp;E]]-DATABASE_Table[[#This Row],[Vista membership]]</f>
        <v>2630000</v>
      </c>
      <c r="AA150" s="315"/>
      <c r="AB150" s="321"/>
      <c r="AC150" s="198" t="s">
        <v>10</v>
      </c>
      <c r="AD150" s="198" t="s">
        <v>35</v>
      </c>
      <c r="AE150" s="279" t="s">
        <v>38</v>
      </c>
      <c r="AF150" s="279" t="s">
        <v>39</v>
      </c>
      <c r="AG150" s="279" t="s">
        <v>40</v>
      </c>
      <c r="AH150" s="279" t="s">
        <v>810</v>
      </c>
      <c r="AI150" s="198" t="s">
        <v>41</v>
      </c>
      <c r="AJ150" s="274" t="s">
        <v>37</v>
      </c>
      <c r="AK150"/>
    </row>
    <row r="151" spans="1:37" ht="15.75" customHeight="1">
      <c r="A151" s="198" t="s">
        <v>688</v>
      </c>
      <c r="B151" s="198" t="s">
        <v>691</v>
      </c>
      <c r="C151" s="214" t="s">
        <v>837</v>
      </c>
      <c r="D151" s="198"/>
      <c r="E151" s="198" t="s">
        <v>553</v>
      </c>
      <c r="F151" s="198">
        <v>265</v>
      </c>
      <c r="G151" s="198"/>
      <c r="H151" s="214" t="s">
        <v>325</v>
      </c>
      <c r="I151" s="214" t="s">
        <v>325</v>
      </c>
      <c r="J151" s="271"/>
      <c r="K151" s="198"/>
      <c r="L151" s="198"/>
      <c r="M151" s="198"/>
      <c r="N151" s="198"/>
      <c r="O151" s="198">
        <v>265</v>
      </c>
      <c r="P151" s="198"/>
      <c r="Q151" s="198" t="s">
        <v>929</v>
      </c>
      <c r="R151" s="230">
        <f>DATABASE_Table[[#This Row],[Inicial Asking Price (€) (Total)]]-DATABASE_Table[[#This Row],[Vista membership]]-DATABASE_Table[[#This Row],[FF&amp;E]]</f>
        <v>580000</v>
      </c>
      <c r="S151" s="231">
        <v>580000</v>
      </c>
      <c r="T151" s="232">
        <v>638000</v>
      </c>
      <c r="U151" s="198"/>
      <c r="V151" s="198"/>
      <c r="W151" s="233">
        <f>DATABASE_Table[[#This Row],[Current Asking price( Total)]]-DATABASE_Table[[#This Row],[Vista membership]]-DATABASE_Table[[#This Row],[FF&amp;E]]</f>
        <v>638000</v>
      </c>
      <c r="X151" s="216">
        <v>0</v>
      </c>
      <c r="Y151" s="232">
        <v>638000</v>
      </c>
      <c r="Z151" s="233">
        <f>DATABASE_Table[[#This Row],[Sell price (Total)]]-DATABASE_Table[[#This Row],[FF&amp;E]]-DATABASE_Table[[#This Row],[Vista membership]]</f>
        <v>638000</v>
      </c>
      <c r="AA151" s="315">
        <v>45436</v>
      </c>
      <c r="AB151" s="321"/>
      <c r="AC151" s="198"/>
      <c r="AD151" s="198"/>
      <c r="AE151" s="279"/>
      <c r="AF151" s="279"/>
      <c r="AG151" s="279"/>
      <c r="AH151" s="279"/>
      <c r="AI151" s="198"/>
      <c r="AJ151" s="274" t="s">
        <v>688</v>
      </c>
      <c r="AK151"/>
    </row>
    <row r="152" spans="1:37" ht="15.75" hidden="1" customHeight="1">
      <c r="A152" s="198" t="s">
        <v>565</v>
      </c>
      <c r="B152" s="198" t="s">
        <v>691</v>
      </c>
      <c r="C152" s="214" t="s">
        <v>837</v>
      </c>
      <c r="D152" s="198" t="s">
        <v>9</v>
      </c>
      <c r="E152" s="198" t="s">
        <v>419</v>
      </c>
      <c r="F152" s="198">
        <v>105.5</v>
      </c>
      <c r="G152" s="198"/>
      <c r="H152" s="214" t="s">
        <v>848</v>
      </c>
      <c r="I152" s="214" t="s">
        <v>325</v>
      </c>
      <c r="J152" s="271">
        <v>42.4</v>
      </c>
      <c r="K152" s="198"/>
      <c r="L152" s="198"/>
      <c r="M152" s="198"/>
      <c r="N152" s="198"/>
      <c r="O152" s="198">
        <v>63.1</v>
      </c>
      <c r="P152" s="198"/>
      <c r="Q152" s="198" t="s">
        <v>329</v>
      </c>
      <c r="R152" s="230">
        <f>DATABASE_Table[[#This Row],[Inicial Asking Price (€) (Total)]]-DATABASE_Table[[#This Row],[Vista membership]]-DATABASE_Table[[#This Row],[FF&amp;E]]</f>
        <v>675000</v>
      </c>
      <c r="S152" s="231">
        <v>740000</v>
      </c>
      <c r="T152" s="232">
        <v>800000</v>
      </c>
      <c r="U152" s="198">
        <v>50000</v>
      </c>
      <c r="V152" s="198">
        <v>15000</v>
      </c>
      <c r="W152" s="233">
        <f>DATABASE_Table[[#This Row],[Current Asking price( Total)]]-DATABASE_Table[[#This Row],[Vista membership]]-DATABASE_Table[[#This Row],[FF&amp;E]]</f>
        <v>735000</v>
      </c>
      <c r="X152" s="216"/>
      <c r="Y152" s="232">
        <v>800000</v>
      </c>
      <c r="Z152" s="233">
        <f>DATABASE_Table[[#This Row],[Sell price (Total)]]-DATABASE_Table[[#This Row],[FF&amp;E]]-DATABASE_Table[[#This Row],[Vista membership]]</f>
        <v>735000</v>
      </c>
      <c r="AA152" s="315"/>
      <c r="AB152" s="321"/>
      <c r="AC152" s="198" t="s">
        <v>10</v>
      </c>
      <c r="AD152" s="198" t="s">
        <v>34</v>
      </c>
      <c r="AE152" s="279" t="s">
        <v>32</v>
      </c>
      <c r="AF152" s="279" t="s">
        <v>686</v>
      </c>
      <c r="AG152" s="279" t="s">
        <v>49</v>
      </c>
      <c r="AH152" s="279" t="s">
        <v>50</v>
      </c>
      <c r="AI152" s="198" t="s">
        <v>51</v>
      </c>
      <c r="AJ152" s="274" t="s">
        <v>48</v>
      </c>
      <c r="AK152"/>
    </row>
    <row r="153" spans="1:37" ht="15.75" hidden="1" customHeight="1">
      <c r="A153" s="198" t="s">
        <v>629</v>
      </c>
      <c r="B153" s="198" t="s">
        <v>691</v>
      </c>
      <c r="C153" s="214" t="s">
        <v>838</v>
      </c>
      <c r="D153" s="198" t="s">
        <v>9</v>
      </c>
      <c r="E153" s="198" t="s">
        <v>553</v>
      </c>
      <c r="F153" s="198">
        <v>560</v>
      </c>
      <c r="G153" s="198"/>
      <c r="H153" s="214" t="s">
        <v>325</v>
      </c>
      <c r="I153" s="214" t="s">
        <v>325</v>
      </c>
      <c r="J153" s="271"/>
      <c r="K153" s="198"/>
      <c r="L153" s="198"/>
      <c r="M153" s="198"/>
      <c r="N153" s="198"/>
      <c r="O153" s="198">
        <v>560</v>
      </c>
      <c r="P153" s="198"/>
      <c r="Q153" s="198" t="s">
        <v>329</v>
      </c>
      <c r="R153" s="230">
        <f>DATABASE_Table[[#This Row],[Inicial Asking Price (€) (Total)]]-DATABASE_Table[[#This Row],[Vista membership]]-DATABASE_Table[[#This Row],[FF&amp;E]]</f>
        <v>3230000</v>
      </c>
      <c r="S153" s="231">
        <v>3230000</v>
      </c>
      <c r="T153" s="232">
        <v>2610000</v>
      </c>
      <c r="U153" s="198"/>
      <c r="V153" s="198"/>
      <c r="W153" s="233">
        <f>DATABASE_Table[[#This Row],[Current Asking price( Total)]]-DATABASE_Table[[#This Row],[Vista membership]]-DATABASE_Table[[#This Row],[FF&amp;E]]</f>
        <v>2610000</v>
      </c>
      <c r="X153" s="216"/>
      <c r="Y153" s="232">
        <v>2610000</v>
      </c>
      <c r="Z153" s="233">
        <f>DATABASE_Table[[#This Row],[Sell price (Total)]]-DATABASE_Table[[#This Row],[FF&amp;E]]-DATABASE_Table[[#This Row],[Vista membership]]</f>
        <v>2610000</v>
      </c>
      <c r="AA153" s="315"/>
      <c r="AB153" s="321"/>
      <c r="AC153" s="198" t="s">
        <v>10</v>
      </c>
      <c r="AD153" s="198" t="s">
        <v>35</v>
      </c>
      <c r="AE153" s="279" t="s">
        <v>38</v>
      </c>
      <c r="AF153" s="279" t="s">
        <v>39</v>
      </c>
      <c r="AG153" s="279" t="s">
        <v>40</v>
      </c>
      <c r="AH153" s="279" t="s">
        <v>810</v>
      </c>
      <c r="AI153" s="198" t="s">
        <v>41</v>
      </c>
      <c r="AJ153" s="274" t="s">
        <v>37</v>
      </c>
      <c r="AK153"/>
    </row>
    <row r="154" spans="1:37" ht="15.75" hidden="1" customHeight="1">
      <c r="A154" s="198" t="s">
        <v>780</v>
      </c>
      <c r="B154" s="198" t="s">
        <v>786</v>
      </c>
      <c r="C154" s="214" t="s">
        <v>240</v>
      </c>
      <c r="D154" s="198" t="s">
        <v>79</v>
      </c>
      <c r="E154" s="198" t="s">
        <v>317</v>
      </c>
      <c r="F154" s="198">
        <v>200.51</v>
      </c>
      <c r="G154" s="198"/>
      <c r="H154" s="214" t="s">
        <v>848</v>
      </c>
      <c r="I154" s="214" t="s">
        <v>325</v>
      </c>
      <c r="J154" s="271">
        <v>23.08</v>
      </c>
      <c r="K154" s="198">
        <v>87.35</v>
      </c>
      <c r="L154" s="198"/>
      <c r="M154" s="198"/>
      <c r="N154" s="198"/>
      <c r="O154" s="198">
        <v>90.08</v>
      </c>
      <c r="P154" s="198"/>
      <c r="Q154" s="198" t="s">
        <v>628</v>
      </c>
      <c r="R154" s="230">
        <f>DATABASE_Table[[#This Row],[Inicial Asking Price (€) (Total)]]-DATABASE_Table[[#This Row],[Vista membership]]-DATABASE_Table[[#This Row],[FF&amp;E]]</f>
        <v>745000</v>
      </c>
      <c r="S154" s="234">
        <v>790000</v>
      </c>
      <c r="T154" s="235">
        <v>810000</v>
      </c>
      <c r="U154" s="198"/>
      <c r="V154" s="235">
        <v>45000</v>
      </c>
      <c r="W154" s="233">
        <f>DATABASE_Table[[#This Row],[Current Asking price( Total)]]-DATABASE_Table[[#This Row],[Vista membership]]-DATABASE_Table[[#This Row],[FF&amp;E]]</f>
        <v>765000</v>
      </c>
      <c r="X154" s="236">
        <v>0</v>
      </c>
      <c r="Y154" s="235">
        <v>810000</v>
      </c>
      <c r="Z154" s="233">
        <f>DATABASE_Table[[#This Row],[Sell price (Total)]]-DATABASE_Table[[#This Row],[FF&amp;E]]-DATABASE_Table[[#This Row],[Vista membership]]</f>
        <v>765000</v>
      </c>
      <c r="AA154" s="316">
        <v>45953</v>
      </c>
      <c r="AB154" s="321">
        <v>47118</v>
      </c>
      <c r="AC154" s="198" t="s">
        <v>80</v>
      </c>
      <c r="AD154" s="198" t="s">
        <v>81</v>
      </c>
      <c r="AE154" s="279" t="s">
        <v>82</v>
      </c>
      <c r="AF154" s="279" t="s">
        <v>83</v>
      </c>
      <c r="AG154" s="279" t="s">
        <v>84</v>
      </c>
      <c r="AH154" s="279" t="s">
        <v>85</v>
      </c>
      <c r="AI154" s="198" t="s">
        <v>86</v>
      </c>
      <c r="AJ154" s="274" t="s">
        <v>78</v>
      </c>
      <c r="AK154"/>
    </row>
    <row r="155" spans="1:37" ht="15.75" hidden="1" customHeight="1">
      <c r="A155" s="198" t="s">
        <v>779</v>
      </c>
      <c r="B155" s="198" t="s">
        <v>786</v>
      </c>
      <c r="C155" s="214" t="s">
        <v>199</v>
      </c>
      <c r="D155" s="198" t="s">
        <v>79</v>
      </c>
      <c r="E155" s="198" t="s">
        <v>316</v>
      </c>
      <c r="F155" s="198">
        <v>72.5</v>
      </c>
      <c r="G155" s="198"/>
      <c r="H155" s="214" t="s">
        <v>848</v>
      </c>
      <c r="I155" s="214" t="s">
        <v>325</v>
      </c>
      <c r="J155" s="271">
        <v>12</v>
      </c>
      <c r="K155" s="198"/>
      <c r="L155" s="198"/>
      <c r="M155" s="198"/>
      <c r="N155" s="198"/>
      <c r="O155" s="198">
        <v>60.5</v>
      </c>
      <c r="P155" s="198"/>
      <c r="Q155" s="198" t="s">
        <v>329</v>
      </c>
      <c r="R155" s="230">
        <f>DATABASE_Table[[#This Row],[Inicial Asking Price (€) (Total)]]-DATABASE_Table[[#This Row],[Vista membership]]-DATABASE_Table[[#This Row],[FF&amp;E]]</f>
        <v>465000</v>
      </c>
      <c r="S155" s="234">
        <v>500000</v>
      </c>
      <c r="T155" s="235">
        <v>500000</v>
      </c>
      <c r="U155" s="198"/>
      <c r="V155" s="235">
        <v>35000</v>
      </c>
      <c r="W155" s="233">
        <f>DATABASE_Table[[#This Row],[Current Asking price( Total)]]-DATABASE_Table[[#This Row],[Vista membership]]-DATABASE_Table[[#This Row],[FF&amp;E]]</f>
        <v>465000</v>
      </c>
      <c r="X155" s="236"/>
      <c r="Y155" s="235"/>
      <c r="Z155" s="233">
        <f>DATABASE_Table[[#This Row],[Sell price (Total)]]-DATABASE_Table[[#This Row],[FF&amp;E]]-DATABASE_Table[[#This Row],[Vista membership]]</f>
        <v>-35000</v>
      </c>
      <c r="AA155" s="315"/>
      <c r="AB155" s="321">
        <v>47118</v>
      </c>
      <c r="AC155" s="198" t="s">
        <v>80</v>
      </c>
      <c r="AD155" s="198" t="s">
        <v>81</v>
      </c>
      <c r="AE155" s="279" t="s">
        <v>82</v>
      </c>
      <c r="AF155" s="279" t="s">
        <v>83</v>
      </c>
      <c r="AG155" s="279" t="s">
        <v>84</v>
      </c>
      <c r="AH155" s="279" t="s">
        <v>85</v>
      </c>
      <c r="AI155" s="198" t="s">
        <v>86</v>
      </c>
      <c r="AJ155" s="274" t="s">
        <v>78</v>
      </c>
      <c r="AK155"/>
    </row>
    <row r="156" spans="1:37" ht="15.75" hidden="1" customHeight="1">
      <c r="A156" s="198" t="s">
        <v>779</v>
      </c>
      <c r="B156" s="198" t="s">
        <v>786</v>
      </c>
      <c r="C156" s="214" t="s">
        <v>203</v>
      </c>
      <c r="D156" s="198" t="s">
        <v>79</v>
      </c>
      <c r="E156" s="198" t="s">
        <v>316</v>
      </c>
      <c r="F156" s="198">
        <v>72.5</v>
      </c>
      <c r="G156" s="198"/>
      <c r="H156" s="214" t="s">
        <v>848</v>
      </c>
      <c r="I156" s="214" t="s">
        <v>325</v>
      </c>
      <c r="J156" s="271">
        <v>12</v>
      </c>
      <c r="K156" s="198"/>
      <c r="L156" s="198"/>
      <c r="M156" s="198"/>
      <c r="N156" s="198"/>
      <c r="O156" s="198">
        <v>60.5</v>
      </c>
      <c r="P156" s="198"/>
      <c r="Q156" s="198" t="s">
        <v>329</v>
      </c>
      <c r="R156" s="230">
        <f>DATABASE_Table[[#This Row],[Inicial Asking Price (€) (Total)]]-DATABASE_Table[[#This Row],[Vista membership]]-DATABASE_Table[[#This Row],[FF&amp;E]]</f>
        <v>465000</v>
      </c>
      <c r="S156" s="234">
        <v>500000</v>
      </c>
      <c r="T156" s="235">
        <v>500000</v>
      </c>
      <c r="U156" s="198"/>
      <c r="V156" s="235">
        <v>35000</v>
      </c>
      <c r="W156" s="233">
        <f>DATABASE_Table[[#This Row],[Current Asking price( Total)]]-DATABASE_Table[[#This Row],[Vista membership]]-DATABASE_Table[[#This Row],[FF&amp;E]]</f>
        <v>465000</v>
      </c>
      <c r="X156" s="236"/>
      <c r="Y156" s="235"/>
      <c r="Z156" s="233">
        <f>DATABASE_Table[[#This Row],[Sell price (Total)]]-DATABASE_Table[[#This Row],[FF&amp;E]]-DATABASE_Table[[#This Row],[Vista membership]]</f>
        <v>-35000</v>
      </c>
      <c r="AA156" s="315"/>
      <c r="AB156" s="321">
        <v>47118</v>
      </c>
      <c r="AC156" s="198" t="s">
        <v>80</v>
      </c>
      <c r="AD156" s="198" t="s">
        <v>81</v>
      </c>
      <c r="AE156" s="279" t="s">
        <v>82</v>
      </c>
      <c r="AF156" s="279" t="s">
        <v>83</v>
      </c>
      <c r="AG156" s="279" t="s">
        <v>84</v>
      </c>
      <c r="AH156" s="279" t="s">
        <v>85</v>
      </c>
      <c r="AI156" s="198" t="s">
        <v>86</v>
      </c>
      <c r="AJ156" s="274" t="s">
        <v>78</v>
      </c>
      <c r="AK156"/>
    </row>
    <row r="157" spans="1:37" ht="15.75" hidden="1" customHeight="1">
      <c r="A157" s="198" t="s">
        <v>779</v>
      </c>
      <c r="B157" s="198" t="s">
        <v>786</v>
      </c>
      <c r="C157" s="214" t="s">
        <v>217</v>
      </c>
      <c r="D157" s="198" t="s">
        <v>79</v>
      </c>
      <c r="E157" s="198" t="s">
        <v>316</v>
      </c>
      <c r="F157" s="198">
        <v>72.5</v>
      </c>
      <c r="G157" s="198"/>
      <c r="H157" s="214" t="s">
        <v>848</v>
      </c>
      <c r="I157" s="214" t="s">
        <v>325</v>
      </c>
      <c r="J157" s="271">
        <v>12</v>
      </c>
      <c r="K157" s="198"/>
      <c r="L157" s="198"/>
      <c r="M157" s="198"/>
      <c r="N157" s="198"/>
      <c r="O157" s="198">
        <v>60.5</v>
      </c>
      <c r="P157" s="198"/>
      <c r="Q157" s="198" t="s">
        <v>329</v>
      </c>
      <c r="R157" s="230">
        <f>DATABASE_Table[[#This Row],[Inicial Asking Price (€) (Total)]]-DATABASE_Table[[#This Row],[Vista membership]]-DATABASE_Table[[#This Row],[FF&amp;E]]</f>
        <v>465000</v>
      </c>
      <c r="S157" s="234">
        <v>500000</v>
      </c>
      <c r="T157" s="235">
        <v>500000</v>
      </c>
      <c r="U157" s="198"/>
      <c r="V157" s="235">
        <v>35000</v>
      </c>
      <c r="W157" s="233">
        <f>DATABASE_Table[[#This Row],[Current Asking price( Total)]]-DATABASE_Table[[#This Row],[Vista membership]]-DATABASE_Table[[#This Row],[FF&amp;E]]</f>
        <v>465000</v>
      </c>
      <c r="X157" s="236"/>
      <c r="Y157" s="235"/>
      <c r="Z157" s="233">
        <f>DATABASE_Table[[#This Row],[Sell price (Total)]]-DATABASE_Table[[#This Row],[FF&amp;E]]-DATABASE_Table[[#This Row],[Vista membership]]</f>
        <v>-35000</v>
      </c>
      <c r="AA157" s="315"/>
      <c r="AB157" s="321">
        <v>47118</v>
      </c>
      <c r="AC157" s="198" t="s">
        <v>80</v>
      </c>
      <c r="AD157" s="198" t="s">
        <v>81</v>
      </c>
      <c r="AE157" s="279" t="s">
        <v>82</v>
      </c>
      <c r="AF157" s="279" t="s">
        <v>83</v>
      </c>
      <c r="AG157" s="279" t="s">
        <v>84</v>
      </c>
      <c r="AH157" s="279" t="s">
        <v>85</v>
      </c>
      <c r="AI157" s="198" t="s">
        <v>86</v>
      </c>
      <c r="AJ157" s="274" t="s">
        <v>78</v>
      </c>
      <c r="AK157"/>
    </row>
    <row r="158" spans="1:37" ht="15.75" customHeight="1">
      <c r="A158" s="198" t="s">
        <v>688</v>
      </c>
      <c r="B158" s="198" t="s">
        <v>691</v>
      </c>
      <c r="C158" s="214" t="s">
        <v>838</v>
      </c>
      <c r="D158" s="198"/>
      <c r="E158" s="198" t="s">
        <v>553</v>
      </c>
      <c r="F158" s="198">
        <v>265</v>
      </c>
      <c r="G158" s="198"/>
      <c r="H158" s="214" t="s">
        <v>325</v>
      </c>
      <c r="I158" s="214" t="s">
        <v>325</v>
      </c>
      <c r="J158" s="271"/>
      <c r="K158" s="198"/>
      <c r="L158" s="198"/>
      <c r="M158" s="198"/>
      <c r="N158" s="198"/>
      <c r="O158" s="198">
        <v>265</v>
      </c>
      <c r="P158" s="198"/>
      <c r="Q158" s="198" t="s">
        <v>929</v>
      </c>
      <c r="R158" s="230">
        <f>DATABASE_Table[[#This Row],[Inicial Asking Price (€) (Total)]]-DATABASE_Table[[#This Row],[Vista membership]]-DATABASE_Table[[#This Row],[FF&amp;E]]</f>
        <v>580000</v>
      </c>
      <c r="S158" s="231">
        <v>580000</v>
      </c>
      <c r="T158" s="232">
        <v>638000</v>
      </c>
      <c r="U158" s="198"/>
      <c r="V158" s="198"/>
      <c r="W158" s="233">
        <f>DATABASE_Table[[#This Row],[Current Asking price( Total)]]-DATABASE_Table[[#This Row],[Vista membership]]-DATABASE_Table[[#This Row],[FF&amp;E]]</f>
        <v>638000</v>
      </c>
      <c r="X158" s="216">
        <v>0</v>
      </c>
      <c r="Y158" s="232">
        <v>638000</v>
      </c>
      <c r="Z158" s="233">
        <f>DATABASE_Table[[#This Row],[Sell price (Total)]]-DATABASE_Table[[#This Row],[FF&amp;E]]-DATABASE_Table[[#This Row],[Vista membership]]</f>
        <v>638000</v>
      </c>
      <c r="AA158" s="315">
        <v>45436</v>
      </c>
      <c r="AB158" s="321"/>
      <c r="AC158" s="198"/>
      <c r="AD158" s="198"/>
      <c r="AE158" s="279"/>
      <c r="AF158" s="279"/>
      <c r="AG158" s="279"/>
      <c r="AH158" s="279"/>
      <c r="AI158" s="198"/>
      <c r="AJ158" s="274" t="s">
        <v>688</v>
      </c>
      <c r="AK158"/>
    </row>
    <row r="159" spans="1:37" ht="15.75" hidden="1" customHeight="1">
      <c r="A159" s="198" t="s">
        <v>565</v>
      </c>
      <c r="B159" s="198" t="s">
        <v>691</v>
      </c>
      <c r="C159" s="214" t="s">
        <v>838</v>
      </c>
      <c r="D159" s="198" t="s">
        <v>9</v>
      </c>
      <c r="E159" s="198" t="s">
        <v>419</v>
      </c>
      <c r="F159" s="198">
        <v>105.5</v>
      </c>
      <c r="G159" s="198"/>
      <c r="H159" s="214" t="s">
        <v>848</v>
      </c>
      <c r="I159" s="214" t="s">
        <v>325</v>
      </c>
      <c r="J159" s="271">
        <v>42.4</v>
      </c>
      <c r="K159" s="198"/>
      <c r="L159" s="198"/>
      <c r="M159" s="198"/>
      <c r="N159" s="198"/>
      <c r="O159" s="198">
        <v>63.1</v>
      </c>
      <c r="P159" s="198"/>
      <c r="Q159" s="198" t="s">
        <v>329</v>
      </c>
      <c r="R159" s="230">
        <f>DATABASE_Table[[#This Row],[Inicial Asking Price (€) (Total)]]-DATABASE_Table[[#This Row],[Vista membership]]-DATABASE_Table[[#This Row],[FF&amp;E]]</f>
        <v>725000</v>
      </c>
      <c r="S159" s="231">
        <v>790000</v>
      </c>
      <c r="T159" s="232">
        <v>850000</v>
      </c>
      <c r="U159" s="198">
        <v>50000</v>
      </c>
      <c r="V159" s="198">
        <v>15000</v>
      </c>
      <c r="W159" s="233">
        <f>DATABASE_Table[[#This Row],[Current Asking price( Total)]]-DATABASE_Table[[#This Row],[Vista membership]]-DATABASE_Table[[#This Row],[FF&amp;E]]</f>
        <v>785000</v>
      </c>
      <c r="X159" s="216"/>
      <c r="Y159" s="232">
        <v>850000</v>
      </c>
      <c r="Z159" s="233">
        <f>DATABASE_Table[[#This Row],[Sell price (Total)]]-DATABASE_Table[[#This Row],[FF&amp;E]]-DATABASE_Table[[#This Row],[Vista membership]]</f>
        <v>785000</v>
      </c>
      <c r="AA159" s="315"/>
      <c r="AB159" s="321"/>
      <c r="AC159" s="198" t="s">
        <v>10</v>
      </c>
      <c r="AD159" s="198" t="s">
        <v>34</v>
      </c>
      <c r="AE159" s="279" t="s">
        <v>32</v>
      </c>
      <c r="AF159" s="279" t="s">
        <v>686</v>
      </c>
      <c r="AG159" s="279" t="s">
        <v>49</v>
      </c>
      <c r="AH159" s="279" t="s">
        <v>50</v>
      </c>
      <c r="AI159" s="198" t="s">
        <v>51</v>
      </c>
      <c r="AJ159" s="274" t="s">
        <v>48</v>
      </c>
      <c r="AK159"/>
    </row>
    <row r="160" spans="1:37" ht="15.75" hidden="1" customHeight="1">
      <c r="A160" s="198" t="s">
        <v>629</v>
      </c>
      <c r="B160" s="198" t="s">
        <v>691</v>
      </c>
      <c r="C160" s="214" t="s">
        <v>839</v>
      </c>
      <c r="D160" s="198" t="s">
        <v>9</v>
      </c>
      <c r="E160" s="198" t="s">
        <v>553</v>
      </c>
      <c r="F160" s="198">
        <v>480</v>
      </c>
      <c r="G160" s="198"/>
      <c r="H160" s="214" t="s">
        <v>325</v>
      </c>
      <c r="I160" s="214" t="s">
        <v>325</v>
      </c>
      <c r="J160" s="271"/>
      <c r="K160" s="198"/>
      <c r="L160" s="198"/>
      <c r="M160" s="198"/>
      <c r="N160" s="198"/>
      <c r="O160" s="198">
        <v>480</v>
      </c>
      <c r="P160" s="198"/>
      <c r="Q160" s="198" t="s">
        <v>327</v>
      </c>
      <c r="R160" s="230">
        <f>DATABASE_Table[[#This Row],[Inicial Asking Price (€) (Total)]]-DATABASE_Table[[#This Row],[Vista membership]]-DATABASE_Table[[#This Row],[FF&amp;E]]</f>
        <v>3230000</v>
      </c>
      <c r="S160" s="231">
        <v>3230000</v>
      </c>
      <c r="T160" s="232">
        <v>2200000</v>
      </c>
      <c r="U160" s="198"/>
      <c r="V160" s="198"/>
      <c r="W160" s="233">
        <f>DATABASE_Table[[#This Row],[Current Asking price( Total)]]-DATABASE_Table[[#This Row],[Vista membership]]-DATABASE_Table[[#This Row],[FF&amp;E]]</f>
        <v>2200000</v>
      </c>
      <c r="X160" s="216">
        <v>0</v>
      </c>
      <c r="Y160" s="232">
        <v>2200000</v>
      </c>
      <c r="Z160" s="233">
        <f>DATABASE_Table[[#This Row],[Sell price (Total)]]-DATABASE_Table[[#This Row],[FF&amp;E]]-DATABASE_Table[[#This Row],[Vista membership]]</f>
        <v>2200000</v>
      </c>
      <c r="AA160" s="315">
        <v>46174</v>
      </c>
      <c r="AB160" s="321"/>
      <c r="AC160" s="198" t="s">
        <v>10</v>
      </c>
      <c r="AD160" s="198" t="s">
        <v>35</v>
      </c>
      <c r="AE160" s="279" t="s">
        <v>38</v>
      </c>
      <c r="AF160" s="279" t="s">
        <v>39</v>
      </c>
      <c r="AG160" s="279" t="s">
        <v>40</v>
      </c>
      <c r="AH160" s="279" t="s">
        <v>810</v>
      </c>
      <c r="AI160" s="198" t="s">
        <v>41</v>
      </c>
      <c r="AJ160" s="274" t="s">
        <v>37</v>
      </c>
      <c r="AK160"/>
    </row>
    <row r="161" spans="1:37" ht="15.75" customHeight="1">
      <c r="A161" s="198" t="s">
        <v>688</v>
      </c>
      <c r="B161" s="198" t="s">
        <v>691</v>
      </c>
      <c r="C161" s="214" t="s">
        <v>839</v>
      </c>
      <c r="D161" s="198"/>
      <c r="E161" s="198" t="s">
        <v>553</v>
      </c>
      <c r="F161" s="198">
        <v>245</v>
      </c>
      <c r="G161" s="198"/>
      <c r="H161" s="214" t="s">
        <v>325</v>
      </c>
      <c r="I161" s="214" t="s">
        <v>325</v>
      </c>
      <c r="J161" s="271"/>
      <c r="K161" s="198"/>
      <c r="L161" s="198"/>
      <c r="M161" s="198"/>
      <c r="N161" s="198"/>
      <c r="O161" s="198">
        <v>245</v>
      </c>
      <c r="P161" s="198"/>
      <c r="Q161" s="198" t="s">
        <v>929</v>
      </c>
      <c r="R161" s="230">
        <f>DATABASE_Table[[#This Row],[Inicial Asking Price (€) (Total)]]-DATABASE_Table[[#This Row],[Vista membership]]-DATABASE_Table[[#This Row],[FF&amp;E]]</f>
        <v>470000</v>
      </c>
      <c r="S161" s="231">
        <v>470000</v>
      </c>
      <c r="T161" s="232">
        <v>470000</v>
      </c>
      <c r="U161" s="198"/>
      <c r="V161" s="198"/>
      <c r="W161" s="233">
        <f>DATABASE_Table[[#This Row],[Current Asking price( Total)]]-DATABASE_Table[[#This Row],[Vista membership]]-DATABASE_Table[[#This Row],[FF&amp;E]]</f>
        <v>470000</v>
      </c>
      <c r="X161" s="216">
        <v>0</v>
      </c>
      <c r="Y161" s="232">
        <v>470000</v>
      </c>
      <c r="Z161" s="233">
        <f>DATABASE_Table[[#This Row],[Sell price (Total)]]-DATABASE_Table[[#This Row],[FF&amp;E]]-DATABASE_Table[[#This Row],[Vista membership]]</f>
        <v>470000</v>
      </c>
      <c r="AA161" s="315">
        <v>45473</v>
      </c>
      <c r="AB161" s="321"/>
      <c r="AC161" s="198"/>
      <c r="AD161" s="198"/>
      <c r="AE161" s="279"/>
      <c r="AF161" s="279"/>
      <c r="AG161" s="279"/>
      <c r="AH161" s="279"/>
      <c r="AI161" s="198"/>
      <c r="AJ161" s="274" t="s">
        <v>688</v>
      </c>
      <c r="AK161"/>
    </row>
    <row r="162" spans="1:37" ht="15.75" hidden="1" customHeight="1">
      <c r="A162" s="198" t="s">
        <v>565</v>
      </c>
      <c r="B162" s="198" t="s">
        <v>691</v>
      </c>
      <c r="C162" s="214" t="s">
        <v>839</v>
      </c>
      <c r="D162" s="198" t="s">
        <v>9</v>
      </c>
      <c r="E162" s="198" t="s">
        <v>419</v>
      </c>
      <c r="F162" s="198">
        <v>100.1</v>
      </c>
      <c r="G162" s="198"/>
      <c r="H162" s="214" t="s">
        <v>848</v>
      </c>
      <c r="I162" s="214" t="s">
        <v>325</v>
      </c>
      <c r="J162" s="271">
        <v>37</v>
      </c>
      <c r="K162" s="198"/>
      <c r="L162" s="198"/>
      <c r="M162" s="198"/>
      <c r="N162" s="198"/>
      <c r="O162" s="198">
        <v>63.1</v>
      </c>
      <c r="P162" s="198"/>
      <c r="Q162" s="198" t="s">
        <v>329</v>
      </c>
      <c r="R162" s="230">
        <f>DATABASE_Table[[#This Row],[Inicial Asking Price (€) (Total)]]-DATABASE_Table[[#This Row],[Vista membership]]-DATABASE_Table[[#This Row],[FF&amp;E]]</f>
        <v>775000</v>
      </c>
      <c r="S162" s="231">
        <v>840000</v>
      </c>
      <c r="T162" s="232">
        <v>900000</v>
      </c>
      <c r="U162" s="198">
        <v>50000</v>
      </c>
      <c r="V162" s="198">
        <v>15000</v>
      </c>
      <c r="W162" s="233">
        <f>DATABASE_Table[[#This Row],[Current Asking price( Total)]]-DATABASE_Table[[#This Row],[Vista membership]]-DATABASE_Table[[#This Row],[FF&amp;E]]</f>
        <v>835000</v>
      </c>
      <c r="X162" s="216"/>
      <c r="Y162" s="232">
        <v>900000</v>
      </c>
      <c r="Z162" s="233">
        <f>DATABASE_Table[[#This Row],[Sell price (Total)]]-DATABASE_Table[[#This Row],[FF&amp;E]]-DATABASE_Table[[#This Row],[Vista membership]]</f>
        <v>835000</v>
      </c>
      <c r="AA162" s="315"/>
      <c r="AB162" s="321"/>
      <c r="AC162" s="198" t="s">
        <v>10</v>
      </c>
      <c r="AD162" s="198" t="s">
        <v>34</v>
      </c>
      <c r="AE162" s="279" t="s">
        <v>32</v>
      </c>
      <c r="AF162" s="279" t="s">
        <v>686</v>
      </c>
      <c r="AG162" s="279" t="s">
        <v>49</v>
      </c>
      <c r="AH162" s="279" t="s">
        <v>50</v>
      </c>
      <c r="AI162" s="198" t="s">
        <v>51</v>
      </c>
      <c r="AJ162" s="274" t="s">
        <v>48</v>
      </c>
      <c r="AK162"/>
    </row>
    <row r="163" spans="1:37" ht="15.75" hidden="1" customHeight="1">
      <c r="A163" s="198" t="s">
        <v>773</v>
      </c>
      <c r="B163" s="198" t="s">
        <v>769</v>
      </c>
      <c r="C163" s="214" t="s">
        <v>876</v>
      </c>
      <c r="D163" s="198" t="s">
        <v>67</v>
      </c>
      <c r="E163" s="198" t="s">
        <v>553</v>
      </c>
      <c r="F163" s="198">
        <v>4980</v>
      </c>
      <c r="G163" s="198"/>
      <c r="H163" s="214" t="s">
        <v>325</v>
      </c>
      <c r="I163" s="214" t="s">
        <v>325</v>
      </c>
      <c r="J163" s="271"/>
      <c r="K163" s="198"/>
      <c r="L163" s="198"/>
      <c r="M163" s="198"/>
      <c r="N163" s="198"/>
      <c r="O163" s="198">
        <v>420</v>
      </c>
      <c r="P163" s="198"/>
      <c r="Q163" s="198" t="s">
        <v>329</v>
      </c>
      <c r="R163" s="230">
        <f>DATABASE_Table[[#This Row],[Inicial Asking Price (€) (Total)]]-DATABASE_Table[[#This Row],[Vista membership]]-DATABASE_Table[[#This Row],[FF&amp;E]]</f>
        <v>540000</v>
      </c>
      <c r="S163" s="234">
        <v>540000</v>
      </c>
      <c r="T163" s="235">
        <v>1500000</v>
      </c>
      <c r="U163" s="198"/>
      <c r="V163" s="198"/>
      <c r="W163" s="233">
        <f>DATABASE_Table[[#This Row],[Current Asking price( Total)]]-DATABASE_Table[[#This Row],[Vista membership]]-DATABASE_Table[[#This Row],[FF&amp;E]]</f>
        <v>1500000</v>
      </c>
      <c r="X163" s="236"/>
      <c r="Y163" s="235">
        <v>1500000</v>
      </c>
      <c r="Z163" s="233">
        <f>DATABASE_Table[[#This Row],[Sell price (Total)]]-DATABASE_Table[[#This Row],[FF&amp;E]]-DATABASE_Table[[#This Row],[Vista membership]]</f>
        <v>1500000</v>
      </c>
      <c r="AA163" s="315"/>
      <c r="AB163" s="321">
        <v>46843</v>
      </c>
      <c r="AC163" s="198" t="s">
        <v>57</v>
      </c>
      <c r="AD163" s="198" t="s">
        <v>68</v>
      </c>
      <c r="AE163" s="279" t="s">
        <v>69</v>
      </c>
      <c r="AF163" s="279" t="s">
        <v>70</v>
      </c>
      <c r="AG163" s="279" t="s">
        <v>71</v>
      </c>
      <c r="AH163" s="279" t="s">
        <v>816</v>
      </c>
      <c r="AI163" s="198" t="s">
        <v>72</v>
      </c>
      <c r="AJ163" s="274" t="s">
        <v>66</v>
      </c>
      <c r="AK163"/>
    </row>
    <row r="164" spans="1:37" ht="15.75" hidden="1" customHeight="1">
      <c r="A164" s="198" t="s">
        <v>773</v>
      </c>
      <c r="B164" s="198" t="s">
        <v>769</v>
      </c>
      <c r="C164" s="214" t="s">
        <v>880</v>
      </c>
      <c r="D164" s="198" t="s">
        <v>67</v>
      </c>
      <c r="E164" s="198" t="s">
        <v>553</v>
      </c>
      <c r="F164" s="198">
        <v>420</v>
      </c>
      <c r="G164" s="198"/>
      <c r="H164" s="214" t="s">
        <v>325</v>
      </c>
      <c r="I164" s="214" t="s">
        <v>325</v>
      </c>
      <c r="J164" s="271"/>
      <c r="K164" s="198"/>
      <c r="L164" s="198"/>
      <c r="M164" s="198"/>
      <c r="N164" s="198"/>
      <c r="O164" s="198">
        <v>420</v>
      </c>
      <c r="P164" s="198"/>
      <c r="Q164" s="198" t="s">
        <v>329</v>
      </c>
      <c r="R164" s="230">
        <f>DATABASE_Table[[#This Row],[Inicial Asking Price (€) (Total)]]-DATABASE_Table[[#This Row],[Vista membership]]-DATABASE_Table[[#This Row],[FF&amp;E]]</f>
        <v>540000</v>
      </c>
      <c r="S164" s="234">
        <v>540000</v>
      </c>
      <c r="T164" s="235">
        <v>1300000</v>
      </c>
      <c r="U164" s="198"/>
      <c r="V164" s="198"/>
      <c r="W164" s="233">
        <f>DATABASE_Table[[#This Row],[Current Asking price( Total)]]-DATABASE_Table[[#This Row],[Vista membership]]-DATABASE_Table[[#This Row],[FF&amp;E]]</f>
        <v>1300000</v>
      </c>
      <c r="X164" s="236"/>
      <c r="Y164" s="235">
        <v>1300000</v>
      </c>
      <c r="Z164" s="233">
        <f>DATABASE_Table[[#This Row],[Sell price (Total)]]-DATABASE_Table[[#This Row],[FF&amp;E]]-DATABASE_Table[[#This Row],[Vista membership]]</f>
        <v>1300000</v>
      </c>
      <c r="AA164" s="315"/>
      <c r="AB164" s="321">
        <v>46843</v>
      </c>
      <c r="AC164" s="198" t="s">
        <v>57</v>
      </c>
      <c r="AD164" s="198" t="s">
        <v>68</v>
      </c>
      <c r="AE164" s="279" t="s">
        <v>69</v>
      </c>
      <c r="AF164" s="279" t="s">
        <v>70</v>
      </c>
      <c r="AG164" s="279" t="s">
        <v>71</v>
      </c>
      <c r="AH164" s="279" t="s">
        <v>816</v>
      </c>
      <c r="AI164" s="198" t="s">
        <v>72</v>
      </c>
      <c r="AJ164" s="274" t="s">
        <v>66</v>
      </c>
      <c r="AK164"/>
    </row>
    <row r="165" spans="1:37" ht="15.75" hidden="1" customHeight="1">
      <c r="A165" s="198" t="s">
        <v>933</v>
      </c>
      <c r="B165" s="198" t="s">
        <v>769</v>
      </c>
      <c r="C165" s="214" t="s">
        <v>434</v>
      </c>
      <c r="D165" s="198"/>
      <c r="E165" s="198" t="s">
        <v>530</v>
      </c>
      <c r="F165" s="198">
        <v>137.29</v>
      </c>
      <c r="G165" s="198"/>
      <c r="H165" s="214" t="s">
        <v>325</v>
      </c>
      <c r="I165" s="214" t="s">
        <v>911</v>
      </c>
      <c r="J165" s="271"/>
      <c r="K165" s="198"/>
      <c r="L165" s="198"/>
      <c r="M165" s="198">
        <v>28.75</v>
      </c>
      <c r="N165" s="198"/>
      <c r="O165" s="198">
        <v>101.26</v>
      </c>
      <c r="P165" s="198"/>
      <c r="Q165" s="198" t="s">
        <v>326</v>
      </c>
      <c r="R165" s="230">
        <f>DATABASE_Table[[#This Row],[Inicial Asking Price (€) (Total)]]-DATABASE_Table[[#This Row],[Vista membership]]-DATABASE_Table[[#This Row],[FF&amp;E]]</f>
        <v>820000</v>
      </c>
      <c r="S165" s="234">
        <v>820000</v>
      </c>
      <c r="T165" s="235">
        <v>820000</v>
      </c>
      <c r="U165" s="198"/>
      <c r="V165" s="198"/>
      <c r="W165" s="233">
        <f>DATABASE_Table[[#This Row],[Current Asking price( Total)]]-DATABASE_Table[[#This Row],[Vista membership]]-DATABASE_Table[[#This Row],[FF&amp;E]]</f>
        <v>820000</v>
      </c>
      <c r="X165" s="236"/>
      <c r="Y165" s="235">
        <v>820000</v>
      </c>
      <c r="Z165" s="233">
        <f>DATABASE_Table[[#This Row],[Sell price (Total)]]-DATABASE_Table[[#This Row],[FF&amp;E]]-DATABASE_Table[[#This Row],[Vista membership]]</f>
        <v>820000</v>
      </c>
      <c r="AA165" s="315"/>
      <c r="AB165" s="321">
        <v>46843</v>
      </c>
      <c r="AC165" s="198"/>
      <c r="AD165" s="198"/>
      <c r="AE165" s="279"/>
      <c r="AF165" s="279"/>
      <c r="AG165" s="279"/>
      <c r="AH165" s="279"/>
      <c r="AI165" s="198"/>
      <c r="AJ165" s="274" t="s">
        <v>66</v>
      </c>
      <c r="AK165"/>
    </row>
    <row r="166" spans="1:37" ht="15.75" hidden="1" customHeight="1">
      <c r="A166" s="198" t="s">
        <v>933</v>
      </c>
      <c r="B166" s="198" t="s">
        <v>769</v>
      </c>
      <c r="C166" s="214" t="s">
        <v>539</v>
      </c>
      <c r="D166" s="198"/>
      <c r="E166" s="198" t="s">
        <v>533</v>
      </c>
      <c r="F166" s="198">
        <v>355.2</v>
      </c>
      <c r="G166" s="198"/>
      <c r="H166" s="214" t="s">
        <v>325</v>
      </c>
      <c r="I166" s="214" t="s">
        <v>914</v>
      </c>
      <c r="J166" s="271"/>
      <c r="K166" s="198"/>
      <c r="L166" s="198"/>
      <c r="M166" s="198">
        <v>115.74</v>
      </c>
      <c r="N166" s="198"/>
      <c r="O166" s="198">
        <v>224.33</v>
      </c>
      <c r="P166" s="198"/>
      <c r="Q166" s="198" t="s">
        <v>329</v>
      </c>
      <c r="R166" s="230">
        <f>DATABASE_Table[[#This Row],[Inicial Asking Price (€) (Total)]]-DATABASE_Table[[#This Row],[Vista membership]]-DATABASE_Table[[#This Row],[FF&amp;E]]</f>
        <v>2070000</v>
      </c>
      <c r="S166" s="234">
        <v>2070000</v>
      </c>
      <c r="T166" s="235">
        <v>2070000</v>
      </c>
      <c r="U166" s="198"/>
      <c r="V166" s="198"/>
      <c r="W166" s="233">
        <f>DATABASE_Table[[#This Row],[Current Asking price( Total)]]-DATABASE_Table[[#This Row],[Vista membership]]-DATABASE_Table[[#This Row],[FF&amp;E]]</f>
        <v>2070000</v>
      </c>
      <c r="X166" s="236"/>
      <c r="Y166" s="235">
        <v>2070000</v>
      </c>
      <c r="Z166" s="233">
        <f>DATABASE_Table[[#This Row],[Sell price (Total)]]-DATABASE_Table[[#This Row],[FF&amp;E]]-DATABASE_Table[[#This Row],[Vista membership]]</f>
        <v>2070000</v>
      </c>
      <c r="AA166" s="315"/>
      <c r="AB166" s="321">
        <v>46843</v>
      </c>
      <c r="AC166" s="198"/>
      <c r="AD166" s="198"/>
      <c r="AE166" s="279"/>
      <c r="AF166" s="279"/>
      <c r="AG166" s="279"/>
      <c r="AH166" s="279"/>
      <c r="AI166" s="198"/>
      <c r="AJ166" s="274" t="s">
        <v>66</v>
      </c>
      <c r="AK166"/>
    </row>
    <row r="167" spans="1:37" ht="15.75" hidden="1" customHeight="1">
      <c r="A167" s="198" t="s">
        <v>933</v>
      </c>
      <c r="B167" s="198" t="s">
        <v>769</v>
      </c>
      <c r="C167" s="214" t="s">
        <v>540</v>
      </c>
      <c r="D167" s="198"/>
      <c r="E167" s="198" t="s">
        <v>533</v>
      </c>
      <c r="F167" s="198">
        <v>363.7</v>
      </c>
      <c r="G167" s="198"/>
      <c r="H167" s="214" t="s">
        <v>325</v>
      </c>
      <c r="I167" s="214" t="s">
        <v>918</v>
      </c>
      <c r="J167" s="271"/>
      <c r="K167" s="198"/>
      <c r="L167" s="198"/>
      <c r="M167" s="198">
        <v>124.56</v>
      </c>
      <c r="N167" s="198"/>
      <c r="O167" s="198">
        <v>223.83</v>
      </c>
      <c r="P167" s="198"/>
      <c r="Q167" s="198" t="s">
        <v>329</v>
      </c>
      <c r="R167" s="230">
        <f>DATABASE_Table[[#This Row],[Inicial Asking Price (€) (Total)]]-DATABASE_Table[[#This Row],[Vista membership]]-DATABASE_Table[[#This Row],[FF&amp;E]]</f>
        <v>2050000</v>
      </c>
      <c r="S167" s="234">
        <v>2050000</v>
      </c>
      <c r="T167" s="235">
        <v>2050000</v>
      </c>
      <c r="U167" s="198"/>
      <c r="V167" s="198"/>
      <c r="W167" s="233">
        <f>DATABASE_Table[[#This Row],[Current Asking price( Total)]]-DATABASE_Table[[#This Row],[Vista membership]]-DATABASE_Table[[#This Row],[FF&amp;E]]</f>
        <v>2050000</v>
      </c>
      <c r="X167" s="236"/>
      <c r="Y167" s="235">
        <v>2050000</v>
      </c>
      <c r="Z167" s="233">
        <f>DATABASE_Table[[#This Row],[Sell price (Total)]]-DATABASE_Table[[#This Row],[FF&amp;E]]-DATABASE_Table[[#This Row],[Vista membership]]</f>
        <v>2050000</v>
      </c>
      <c r="AA167" s="315"/>
      <c r="AB167" s="321">
        <v>46843</v>
      </c>
      <c r="AC167" s="198"/>
      <c r="AD167" s="198"/>
      <c r="AE167" s="279"/>
      <c r="AF167" s="279"/>
      <c r="AG167" s="279"/>
      <c r="AH167" s="279"/>
      <c r="AI167" s="198"/>
      <c r="AJ167" s="274" t="s">
        <v>66</v>
      </c>
      <c r="AK167"/>
    </row>
    <row r="168" spans="1:37" ht="15.75" hidden="1" customHeight="1">
      <c r="A168" s="198" t="s">
        <v>933</v>
      </c>
      <c r="B168" s="198" t="s">
        <v>769</v>
      </c>
      <c r="C168" s="214" t="s">
        <v>541</v>
      </c>
      <c r="D168" s="198"/>
      <c r="E168" s="198" t="s">
        <v>533</v>
      </c>
      <c r="F168" s="198">
        <v>355.14</v>
      </c>
      <c r="G168" s="198"/>
      <c r="H168" s="214" t="s">
        <v>325</v>
      </c>
      <c r="I168" s="214" t="s">
        <v>914</v>
      </c>
      <c r="J168" s="271"/>
      <c r="K168" s="198"/>
      <c r="L168" s="198"/>
      <c r="M168" s="198">
        <v>115.74</v>
      </c>
      <c r="N168" s="198"/>
      <c r="O168" s="198">
        <v>224.27</v>
      </c>
      <c r="P168" s="198"/>
      <c r="Q168" s="198" t="s">
        <v>329</v>
      </c>
      <c r="R168" s="230">
        <f>DATABASE_Table[[#This Row],[Inicial Asking Price (€) (Total)]]-DATABASE_Table[[#This Row],[Vista membership]]-DATABASE_Table[[#This Row],[FF&amp;E]]</f>
        <v>2040000</v>
      </c>
      <c r="S168" s="234">
        <v>2040000</v>
      </c>
      <c r="T168" s="235">
        <v>2040000</v>
      </c>
      <c r="U168" s="198"/>
      <c r="V168" s="198"/>
      <c r="W168" s="233">
        <f>DATABASE_Table[[#This Row],[Current Asking price( Total)]]-DATABASE_Table[[#This Row],[Vista membership]]-DATABASE_Table[[#This Row],[FF&amp;E]]</f>
        <v>2040000</v>
      </c>
      <c r="X168" s="236"/>
      <c r="Y168" s="235">
        <v>2040000</v>
      </c>
      <c r="Z168" s="233">
        <f>DATABASE_Table[[#This Row],[Sell price (Total)]]-DATABASE_Table[[#This Row],[FF&amp;E]]-DATABASE_Table[[#This Row],[Vista membership]]</f>
        <v>2040000</v>
      </c>
      <c r="AA168" s="315"/>
      <c r="AB168" s="321">
        <v>46843</v>
      </c>
      <c r="AC168" s="198"/>
      <c r="AD168" s="198"/>
      <c r="AE168" s="279"/>
      <c r="AF168" s="279"/>
      <c r="AG168" s="279"/>
      <c r="AH168" s="279"/>
      <c r="AI168" s="198"/>
      <c r="AJ168" s="274" t="s">
        <v>66</v>
      </c>
      <c r="AK168"/>
    </row>
    <row r="169" spans="1:37" ht="15.75" hidden="1" customHeight="1">
      <c r="A169" s="198" t="s">
        <v>933</v>
      </c>
      <c r="B169" s="198" t="s">
        <v>769</v>
      </c>
      <c r="C169" s="214" t="s">
        <v>542</v>
      </c>
      <c r="D169" s="198"/>
      <c r="E169" s="198" t="s">
        <v>532</v>
      </c>
      <c r="F169" s="198">
        <v>396.94</v>
      </c>
      <c r="G169" s="198"/>
      <c r="H169" s="214" t="s">
        <v>325</v>
      </c>
      <c r="I169" s="214" t="s">
        <v>919</v>
      </c>
      <c r="J169" s="271"/>
      <c r="K169" s="198"/>
      <c r="L169" s="198"/>
      <c r="M169" s="198">
        <v>146.99</v>
      </c>
      <c r="N169" s="198"/>
      <c r="O169" s="198">
        <v>234.61</v>
      </c>
      <c r="P169" s="198"/>
      <c r="Q169" s="198" t="s">
        <v>329</v>
      </c>
      <c r="R169" s="230">
        <f>DATABASE_Table[[#This Row],[Inicial Asking Price (€) (Total)]]-DATABASE_Table[[#This Row],[Vista membership]]-DATABASE_Table[[#This Row],[FF&amp;E]]</f>
        <v>2040000</v>
      </c>
      <c r="S169" s="234">
        <v>2040000</v>
      </c>
      <c r="T169" s="235">
        <v>2040000</v>
      </c>
      <c r="U169" s="198"/>
      <c r="V169" s="198"/>
      <c r="W169" s="233">
        <f>DATABASE_Table[[#This Row],[Current Asking price( Total)]]-DATABASE_Table[[#This Row],[Vista membership]]-DATABASE_Table[[#This Row],[FF&amp;E]]</f>
        <v>2040000</v>
      </c>
      <c r="X169" s="236"/>
      <c r="Y169" s="235">
        <v>2040000</v>
      </c>
      <c r="Z169" s="233">
        <f>DATABASE_Table[[#This Row],[Sell price (Total)]]-DATABASE_Table[[#This Row],[FF&amp;E]]-DATABASE_Table[[#This Row],[Vista membership]]</f>
        <v>2040000</v>
      </c>
      <c r="AA169" s="315"/>
      <c r="AB169" s="321">
        <v>46843</v>
      </c>
      <c r="AC169" s="198"/>
      <c r="AD169" s="198"/>
      <c r="AE169" s="279"/>
      <c r="AF169" s="279"/>
      <c r="AG169" s="279"/>
      <c r="AH169" s="279"/>
      <c r="AI169" s="198"/>
      <c r="AJ169" s="274" t="s">
        <v>66</v>
      </c>
      <c r="AK169"/>
    </row>
    <row r="170" spans="1:37" ht="15.75" hidden="1" customHeight="1">
      <c r="A170" s="198" t="s">
        <v>629</v>
      </c>
      <c r="B170" s="198" t="s">
        <v>691</v>
      </c>
      <c r="C170" s="214" t="s">
        <v>840</v>
      </c>
      <c r="D170" s="198" t="s">
        <v>9</v>
      </c>
      <c r="E170" s="198" t="s">
        <v>553</v>
      </c>
      <c r="F170" s="198">
        <v>480</v>
      </c>
      <c r="G170" s="198"/>
      <c r="H170" s="214" t="s">
        <v>325</v>
      </c>
      <c r="I170" s="214" t="s">
        <v>325</v>
      </c>
      <c r="J170" s="271"/>
      <c r="K170" s="198"/>
      <c r="L170" s="198"/>
      <c r="M170" s="198"/>
      <c r="N170" s="198"/>
      <c r="O170" s="198">
        <v>480</v>
      </c>
      <c r="P170" s="198"/>
      <c r="Q170" s="198" t="s">
        <v>329</v>
      </c>
      <c r="R170" s="230">
        <f>DATABASE_Table[[#This Row],[Inicial Asking Price (€) (Total)]]-DATABASE_Table[[#This Row],[Vista membership]]-DATABASE_Table[[#This Row],[FF&amp;E]]</f>
        <v>3120000</v>
      </c>
      <c r="S170" s="231">
        <v>3120000</v>
      </c>
      <c r="T170" s="232">
        <v>2160000</v>
      </c>
      <c r="U170" s="198"/>
      <c r="V170" s="198"/>
      <c r="W170" s="233">
        <f>DATABASE_Table[[#This Row],[Current Asking price( Total)]]-DATABASE_Table[[#This Row],[Vista membership]]-DATABASE_Table[[#This Row],[FF&amp;E]]</f>
        <v>2160000</v>
      </c>
      <c r="X170" s="216"/>
      <c r="Y170" s="232">
        <v>2160000</v>
      </c>
      <c r="Z170" s="233">
        <f>DATABASE_Table[[#This Row],[Sell price (Total)]]-DATABASE_Table[[#This Row],[FF&amp;E]]-DATABASE_Table[[#This Row],[Vista membership]]</f>
        <v>2160000</v>
      </c>
      <c r="AA170" s="315"/>
      <c r="AB170" s="321"/>
      <c r="AC170" s="198" t="s">
        <v>10</v>
      </c>
      <c r="AD170" s="198" t="s">
        <v>35</v>
      </c>
      <c r="AE170" s="279" t="s">
        <v>38</v>
      </c>
      <c r="AF170" s="279" t="s">
        <v>39</v>
      </c>
      <c r="AG170" s="279" t="s">
        <v>40</v>
      </c>
      <c r="AH170" s="279" t="s">
        <v>810</v>
      </c>
      <c r="AI170" s="198" t="s">
        <v>41</v>
      </c>
      <c r="AJ170" s="274" t="s">
        <v>37</v>
      </c>
      <c r="AK170"/>
    </row>
    <row r="171" spans="1:37" ht="15.75" customHeight="1">
      <c r="A171" s="198" t="s">
        <v>688</v>
      </c>
      <c r="B171" s="198" t="s">
        <v>691</v>
      </c>
      <c r="C171" s="214" t="s">
        <v>840</v>
      </c>
      <c r="D171" s="198"/>
      <c r="E171" s="198" t="s">
        <v>553</v>
      </c>
      <c r="F171" s="198">
        <v>245</v>
      </c>
      <c r="G171" s="198"/>
      <c r="H171" s="214" t="s">
        <v>325</v>
      </c>
      <c r="I171" s="214" t="s">
        <v>325</v>
      </c>
      <c r="J171" s="271"/>
      <c r="K171" s="198"/>
      <c r="L171" s="198"/>
      <c r="M171" s="198"/>
      <c r="N171" s="198"/>
      <c r="O171" s="198">
        <v>245</v>
      </c>
      <c r="P171" s="198"/>
      <c r="Q171" s="198" t="s">
        <v>929</v>
      </c>
      <c r="R171" s="230">
        <f>DATABASE_Table[[#This Row],[Inicial Asking Price (€) (Total)]]-DATABASE_Table[[#This Row],[Vista membership]]-DATABASE_Table[[#This Row],[FF&amp;E]]</f>
        <v>470000</v>
      </c>
      <c r="S171" s="231">
        <v>470000</v>
      </c>
      <c r="T171" s="232">
        <v>517000</v>
      </c>
      <c r="U171" s="198"/>
      <c r="V171" s="198"/>
      <c r="W171" s="233">
        <f>DATABASE_Table[[#This Row],[Current Asking price( Total)]]-DATABASE_Table[[#This Row],[Vista membership]]-DATABASE_Table[[#This Row],[FF&amp;E]]</f>
        <v>517000</v>
      </c>
      <c r="X171" s="216">
        <v>0</v>
      </c>
      <c r="Y171" s="232">
        <v>517000</v>
      </c>
      <c r="Z171" s="233">
        <f>DATABASE_Table[[#This Row],[Sell price (Total)]]-DATABASE_Table[[#This Row],[FF&amp;E]]-DATABASE_Table[[#This Row],[Vista membership]]</f>
        <v>517000</v>
      </c>
      <c r="AA171" s="315">
        <v>45223</v>
      </c>
      <c r="AB171" s="321"/>
      <c r="AC171" s="198"/>
      <c r="AD171" s="198"/>
      <c r="AE171" s="279"/>
      <c r="AF171" s="279"/>
      <c r="AG171" s="279"/>
      <c r="AH171" s="279"/>
      <c r="AI171" s="198"/>
      <c r="AJ171" s="274" t="s">
        <v>688</v>
      </c>
      <c r="AK171"/>
    </row>
    <row r="172" spans="1:37" ht="15.75" hidden="1" customHeight="1">
      <c r="A172" s="198" t="s">
        <v>565</v>
      </c>
      <c r="B172" s="198" t="s">
        <v>691</v>
      </c>
      <c r="C172" s="214" t="s">
        <v>840</v>
      </c>
      <c r="D172" s="198" t="s">
        <v>9</v>
      </c>
      <c r="E172" s="198" t="s">
        <v>320</v>
      </c>
      <c r="F172" s="198">
        <v>200.9</v>
      </c>
      <c r="G172" s="198"/>
      <c r="H172" s="214" t="s">
        <v>848</v>
      </c>
      <c r="I172" s="214" t="s">
        <v>325</v>
      </c>
      <c r="J172" s="271">
        <v>49</v>
      </c>
      <c r="K172" s="198"/>
      <c r="L172" s="198"/>
      <c r="M172" s="198"/>
      <c r="N172" s="198"/>
      <c r="O172" s="198">
        <v>151.9</v>
      </c>
      <c r="P172" s="198"/>
      <c r="Q172" s="198" t="s">
        <v>329</v>
      </c>
      <c r="R172" s="230">
        <f>DATABASE_Table[[#This Row],[Inicial Asking Price (€) (Total)]]-DATABASE_Table[[#This Row],[Vista membership]]-DATABASE_Table[[#This Row],[FF&amp;E]]</f>
        <v>1930000</v>
      </c>
      <c r="S172" s="231">
        <v>2010000</v>
      </c>
      <c r="T172" s="232">
        <v>2090000</v>
      </c>
      <c r="U172" s="198">
        <v>50000</v>
      </c>
      <c r="V172" s="198">
        <v>30000</v>
      </c>
      <c r="W172" s="233">
        <f>DATABASE_Table[[#This Row],[Current Asking price( Total)]]-DATABASE_Table[[#This Row],[Vista membership]]-DATABASE_Table[[#This Row],[FF&amp;E]]</f>
        <v>2010000</v>
      </c>
      <c r="X172" s="216"/>
      <c r="Y172" s="232">
        <v>2090000</v>
      </c>
      <c r="Z172" s="233">
        <f>DATABASE_Table[[#This Row],[Sell price (Total)]]-DATABASE_Table[[#This Row],[FF&amp;E]]-DATABASE_Table[[#This Row],[Vista membership]]</f>
        <v>2010000</v>
      </c>
      <c r="AA172" s="315"/>
      <c r="AB172" s="321"/>
      <c r="AC172" s="198" t="s">
        <v>10</v>
      </c>
      <c r="AD172" s="198" t="s">
        <v>34</v>
      </c>
      <c r="AE172" s="279" t="s">
        <v>32</v>
      </c>
      <c r="AF172" s="279" t="s">
        <v>686</v>
      </c>
      <c r="AG172" s="279" t="s">
        <v>49</v>
      </c>
      <c r="AH172" s="279" t="s">
        <v>50</v>
      </c>
      <c r="AI172" s="198" t="s">
        <v>51</v>
      </c>
      <c r="AJ172" s="274" t="s">
        <v>48</v>
      </c>
      <c r="AK172"/>
    </row>
    <row r="173" spans="1:37" ht="15.75" hidden="1" customHeight="1">
      <c r="A173" s="198" t="s">
        <v>629</v>
      </c>
      <c r="B173" s="198" t="s">
        <v>691</v>
      </c>
      <c r="C173" s="214" t="s">
        <v>841</v>
      </c>
      <c r="D173" s="198" t="s">
        <v>9</v>
      </c>
      <c r="E173" s="198" t="s">
        <v>553</v>
      </c>
      <c r="F173" s="198">
        <v>220</v>
      </c>
      <c r="G173" s="198"/>
      <c r="H173" s="214" t="s">
        <v>325</v>
      </c>
      <c r="I173" s="214" t="s">
        <v>325</v>
      </c>
      <c r="J173" s="271"/>
      <c r="K173" s="198"/>
      <c r="L173" s="198"/>
      <c r="M173" s="198"/>
      <c r="N173" s="198"/>
      <c r="O173" s="198">
        <v>220</v>
      </c>
      <c r="P173" s="198"/>
      <c r="Q173" s="198" t="s">
        <v>329</v>
      </c>
      <c r="R173" s="230">
        <f>DATABASE_Table[[#This Row],[Inicial Asking Price (€) (Total)]]-DATABASE_Table[[#This Row],[Vista membership]]-DATABASE_Table[[#This Row],[FF&amp;E]]</f>
        <v>3100000</v>
      </c>
      <c r="S173" s="231">
        <v>3100000</v>
      </c>
      <c r="T173" s="232">
        <v>980000</v>
      </c>
      <c r="U173" s="198"/>
      <c r="V173" s="198"/>
      <c r="W173" s="233">
        <f>DATABASE_Table[[#This Row],[Current Asking price( Total)]]-DATABASE_Table[[#This Row],[Vista membership]]-DATABASE_Table[[#This Row],[FF&amp;E]]</f>
        <v>980000</v>
      </c>
      <c r="X173" s="216"/>
      <c r="Y173" s="232">
        <v>980000</v>
      </c>
      <c r="Z173" s="233">
        <f>DATABASE_Table[[#This Row],[Sell price (Total)]]-DATABASE_Table[[#This Row],[FF&amp;E]]-DATABASE_Table[[#This Row],[Vista membership]]</f>
        <v>980000</v>
      </c>
      <c r="AA173" s="315"/>
      <c r="AB173" s="321"/>
      <c r="AC173" s="198" t="s">
        <v>10</v>
      </c>
      <c r="AD173" s="198" t="s">
        <v>35</v>
      </c>
      <c r="AE173" s="279" t="s">
        <v>38</v>
      </c>
      <c r="AF173" s="279" t="s">
        <v>39</v>
      </c>
      <c r="AG173" s="279" t="s">
        <v>40</v>
      </c>
      <c r="AH173" s="279" t="s">
        <v>810</v>
      </c>
      <c r="AI173" s="198" t="s">
        <v>41</v>
      </c>
      <c r="AJ173" s="274" t="s">
        <v>37</v>
      </c>
      <c r="AK173"/>
    </row>
    <row r="174" spans="1:37" ht="15.75" customHeight="1">
      <c r="A174" s="198" t="s">
        <v>688</v>
      </c>
      <c r="B174" s="198" t="s">
        <v>691</v>
      </c>
      <c r="C174" s="214" t="s">
        <v>841</v>
      </c>
      <c r="D174" s="198"/>
      <c r="E174" s="198" t="s">
        <v>553</v>
      </c>
      <c r="F174" s="198">
        <v>245</v>
      </c>
      <c r="G174" s="198"/>
      <c r="H174" s="214" t="s">
        <v>325</v>
      </c>
      <c r="I174" s="214" t="s">
        <v>325</v>
      </c>
      <c r="J174" s="271"/>
      <c r="K174" s="198"/>
      <c r="L174" s="198"/>
      <c r="M174" s="198"/>
      <c r="N174" s="198"/>
      <c r="O174" s="198">
        <v>245</v>
      </c>
      <c r="P174" s="198"/>
      <c r="Q174" s="198" t="s">
        <v>929</v>
      </c>
      <c r="R174" s="230">
        <f>DATABASE_Table[[#This Row],[Inicial Asking Price (€) (Total)]]-DATABASE_Table[[#This Row],[Vista membership]]-DATABASE_Table[[#This Row],[FF&amp;E]]</f>
        <v>470000</v>
      </c>
      <c r="S174" s="231">
        <v>470000</v>
      </c>
      <c r="T174" s="232">
        <v>517000</v>
      </c>
      <c r="U174" s="198"/>
      <c r="V174" s="198"/>
      <c r="W174" s="233">
        <f>DATABASE_Table[[#This Row],[Current Asking price( Total)]]-DATABASE_Table[[#This Row],[Vista membership]]-DATABASE_Table[[#This Row],[FF&amp;E]]</f>
        <v>517000</v>
      </c>
      <c r="X174" s="216">
        <v>0</v>
      </c>
      <c r="Y174" s="232">
        <v>517000</v>
      </c>
      <c r="Z174" s="233">
        <f>DATABASE_Table[[#This Row],[Sell price (Total)]]-DATABASE_Table[[#This Row],[FF&amp;E]]-DATABASE_Table[[#This Row],[Vista membership]]</f>
        <v>517000</v>
      </c>
      <c r="AA174" s="315">
        <v>45223</v>
      </c>
      <c r="AB174" s="321"/>
      <c r="AC174" s="198"/>
      <c r="AD174" s="198"/>
      <c r="AE174" s="279"/>
      <c r="AF174" s="279"/>
      <c r="AG174" s="279"/>
      <c r="AH174" s="279"/>
      <c r="AI174" s="198"/>
      <c r="AJ174" s="274" t="s">
        <v>688</v>
      </c>
      <c r="AK174"/>
    </row>
    <row r="175" spans="1:37" ht="15.75" hidden="1" customHeight="1">
      <c r="A175" s="198" t="s">
        <v>629</v>
      </c>
      <c r="B175" s="198" t="s">
        <v>691</v>
      </c>
      <c r="C175" s="214" t="s">
        <v>842</v>
      </c>
      <c r="D175" s="198" t="s">
        <v>9</v>
      </c>
      <c r="E175" s="198" t="s">
        <v>553</v>
      </c>
      <c r="F175" s="198">
        <v>220</v>
      </c>
      <c r="G175" s="198"/>
      <c r="H175" s="214" t="s">
        <v>325</v>
      </c>
      <c r="I175" s="214" t="s">
        <v>325</v>
      </c>
      <c r="J175" s="271"/>
      <c r="K175" s="198"/>
      <c r="L175" s="198"/>
      <c r="M175" s="198"/>
      <c r="N175" s="198"/>
      <c r="O175" s="198">
        <v>220</v>
      </c>
      <c r="P175" s="198"/>
      <c r="Q175" s="198" t="s">
        <v>329</v>
      </c>
      <c r="R175" s="230">
        <f>DATABASE_Table[[#This Row],[Inicial Asking Price (€) (Total)]]-DATABASE_Table[[#This Row],[Vista membership]]-DATABASE_Table[[#This Row],[FF&amp;E]]</f>
        <v>2790000</v>
      </c>
      <c r="S175" s="231">
        <v>2790000</v>
      </c>
      <c r="T175" s="232">
        <v>990000</v>
      </c>
      <c r="U175" s="198"/>
      <c r="V175" s="198"/>
      <c r="W175" s="233">
        <f>DATABASE_Table[[#This Row],[Current Asking price( Total)]]-DATABASE_Table[[#This Row],[Vista membership]]-DATABASE_Table[[#This Row],[FF&amp;E]]</f>
        <v>990000</v>
      </c>
      <c r="X175" s="216"/>
      <c r="Y175" s="232">
        <v>990000</v>
      </c>
      <c r="Z175" s="233">
        <f>DATABASE_Table[[#This Row],[Sell price (Total)]]-DATABASE_Table[[#This Row],[FF&amp;E]]-DATABASE_Table[[#This Row],[Vista membership]]</f>
        <v>990000</v>
      </c>
      <c r="AA175" s="315"/>
      <c r="AB175" s="321"/>
      <c r="AC175" s="198" t="s">
        <v>10</v>
      </c>
      <c r="AD175" s="198" t="s">
        <v>35</v>
      </c>
      <c r="AE175" s="279" t="s">
        <v>38</v>
      </c>
      <c r="AF175" s="279" t="s">
        <v>39</v>
      </c>
      <c r="AG175" s="279" t="s">
        <v>40</v>
      </c>
      <c r="AH175" s="279" t="s">
        <v>810</v>
      </c>
      <c r="AI175" s="198" t="s">
        <v>41</v>
      </c>
      <c r="AJ175" s="274" t="s">
        <v>37</v>
      </c>
      <c r="AK175"/>
    </row>
    <row r="176" spans="1:37" ht="15.75" hidden="1" customHeight="1">
      <c r="A176" s="198" t="s">
        <v>933</v>
      </c>
      <c r="B176" s="198" t="s">
        <v>769</v>
      </c>
      <c r="C176" s="214" t="s">
        <v>543</v>
      </c>
      <c r="D176" s="198"/>
      <c r="E176" s="198" t="s">
        <v>544</v>
      </c>
      <c r="F176" s="198">
        <v>240.78</v>
      </c>
      <c r="G176" s="198"/>
      <c r="H176" s="214" t="s">
        <v>325</v>
      </c>
      <c r="I176" s="214" t="s">
        <v>920</v>
      </c>
      <c r="J176" s="271"/>
      <c r="K176" s="198"/>
      <c r="L176" s="198"/>
      <c r="M176" s="198">
        <v>75.489999999999995</v>
      </c>
      <c r="N176" s="198"/>
      <c r="O176" s="198">
        <v>148.91</v>
      </c>
      <c r="P176" s="198"/>
      <c r="Q176" s="198" t="s">
        <v>329</v>
      </c>
      <c r="R176" s="230">
        <f>DATABASE_Table[[#This Row],[Inicial Asking Price (€) (Total)]]-DATABASE_Table[[#This Row],[Vista membership]]-DATABASE_Table[[#This Row],[FF&amp;E]]</f>
        <v>1430000</v>
      </c>
      <c r="S176" s="234">
        <v>1430000</v>
      </c>
      <c r="T176" s="235">
        <v>1430000</v>
      </c>
      <c r="U176" s="198"/>
      <c r="V176" s="198"/>
      <c r="W176" s="233">
        <f>DATABASE_Table[[#This Row],[Current Asking price( Total)]]-DATABASE_Table[[#This Row],[Vista membership]]-DATABASE_Table[[#This Row],[FF&amp;E]]</f>
        <v>1430000</v>
      </c>
      <c r="X176" s="236"/>
      <c r="Y176" s="235">
        <v>1430000</v>
      </c>
      <c r="Z176" s="233">
        <f>DATABASE_Table[[#This Row],[Sell price (Total)]]-DATABASE_Table[[#This Row],[FF&amp;E]]-DATABASE_Table[[#This Row],[Vista membership]]</f>
        <v>1430000</v>
      </c>
      <c r="AA176" s="315"/>
      <c r="AB176" s="321">
        <v>46843</v>
      </c>
      <c r="AC176" s="198"/>
      <c r="AD176" s="198"/>
      <c r="AE176" s="279"/>
      <c r="AF176" s="279"/>
      <c r="AG176" s="279"/>
      <c r="AH176" s="279"/>
      <c r="AI176" s="198"/>
      <c r="AJ176" s="274" t="s">
        <v>66</v>
      </c>
      <c r="AK176"/>
    </row>
    <row r="177" spans="1:37" ht="15.75" hidden="1" customHeight="1">
      <c r="A177" s="198" t="s">
        <v>933</v>
      </c>
      <c r="B177" s="198" t="s">
        <v>769</v>
      </c>
      <c r="C177" s="214" t="s">
        <v>545</v>
      </c>
      <c r="D177" s="198"/>
      <c r="E177" s="198" t="s">
        <v>546</v>
      </c>
      <c r="F177" s="198">
        <v>447.28</v>
      </c>
      <c r="G177" s="198"/>
      <c r="H177" s="214" t="s">
        <v>325</v>
      </c>
      <c r="I177" s="214" t="s">
        <v>921</v>
      </c>
      <c r="J177" s="271"/>
      <c r="K177" s="198"/>
      <c r="L177" s="198"/>
      <c r="M177" s="198">
        <v>110.49</v>
      </c>
      <c r="N177" s="198"/>
      <c r="O177" s="198">
        <v>303.99</v>
      </c>
      <c r="P177" s="198"/>
      <c r="Q177" s="198" t="s">
        <v>329</v>
      </c>
      <c r="R177" s="230">
        <f>DATABASE_Table[[#This Row],[Inicial Asking Price (€) (Total)]]-DATABASE_Table[[#This Row],[Vista membership]]-DATABASE_Table[[#This Row],[FF&amp;E]]</f>
        <v>3060000</v>
      </c>
      <c r="S177" s="234">
        <v>3060000</v>
      </c>
      <c r="T177" s="235">
        <v>3060000</v>
      </c>
      <c r="U177" s="198"/>
      <c r="V177" s="198"/>
      <c r="W177" s="233">
        <f>DATABASE_Table[[#This Row],[Current Asking price( Total)]]-DATABASE_Table[[#This Row],[Vista membership]]-DATABASE_Table[[#This Row],[FF&amp;E]]</f>
        <v>3060000</v>
      </c>
      <c r="X177" s="236"/>
      <c r="Y177" s="235">
        <v>3060000</v>
      </c>
      <c r="Z177" s="233">
        <f>DATABASE_Table[[#This Row],[Sell price (Total)]]-DATABASE_Table[[#This Row],[FF&amp;E]]-DATABASE_Table[[#This Row],[Vista membership]]</f>
        <v>3060000</v>
      </c>
      <c r="AA177" s="315"/>
      <c r="AB177" s="321">
        <v>46843</v>
      </c>
      <c r="AC177" s="198"/>
      <c r="AD177" s="198"/>
      <c r="AE177" s="279"/>
      <c r="AF177" s="279"/>
      <c r="AG177" s="279"/>
      <c r="AH177" s="279"/>
      <c r="AI177" s="198"/>
      <c r="AJ177" s="274" t="s">
        <v>66</v>
      </c>
      <c r="AK177"/>
    </row>
    <row r="178" spans="1:37" ht="15.75" hidden="1" customHeight="1">
      <c r="A178" s="198" t="s">
        <v>933</v>
      </c>
      <c r="B178" s="198" t="s">
        <v>769</v>
      </c>
      <c r="C178" s="214" t="s">
        <v>547</v>
      </c>
      <c r="D178" s="198"/>
      <c r="E178" s="198" t="s">
        <v>546</v>
      </c>
      <c r="F178" s="198">
        <v>447.28</v>
      </c>
      <c r="G178" s="198"/>
      <c r="H178" s="214" t="s">
        <v>325</v>
      </c>
      <c r="I178" s="214" t="s">
        <v>921</v>
      </c>
      <c r="J178" s="271"/>
      <c r="K178" s="198"/>
      <c r="L178" s="198"/>
      <c r="M178" s="198">
        <v>110.49</v>
      </c>
      <c r="N178" s="198"/>
      <c r="O178" s="198">
        <v>303.99</v>
      </c>
      <c r="P178" s="198"/>
      <c r="Q178" s="198" t="s">
        <v>329</v>
      </c>
      <c r="R178" s="230">
        <f>DATABASE_Table[[#This Row],[Inicial Asking Price (€) (Total)]]-DATABASE_Table[[#This Row],[Vista membership]]-DATABASE_Table[[#This Row],[FF&amp;E]]</f>
        <v>2990000</v>
      </c>
      <c r="S178" s="234">
        <v>2990000</v>
      </c>
      <c r="T178" s="235">
        <v>2990000</v>
      </c>
      <c r="U178" s="198"/>
      <c r="V178" s="198"/>
      <c r="W178" s="233">
        <f>DATABASE_Table[[#This Row],[Current Asking price( Total)]]-DATABASE_Table[[#This Row],[Vista membership]]-DATABASE_Table[[#This Row],[FF&amp;E]]</f>
        <v>2990000</v>
      </c>
      <c r="X178" s="236"/>
      <c r="Y178" s="235">
        <v>2990000</v>
      </c>
      <c r="Z178" s="233">
        <f>DATABASE_Table[[#This Row],[Sell price (Total)]]-DATABASE_Table[[#This Row],[FF&amp;E]]-DATABASE_Table[[#This Row],[Vista membership]]</f>
        <v>2990000</v>
      </c>
      <c r="AA178" s="315"/>
      <c r="AB178" s="321">
        <v>46843</v>
      </c>
      <c r="AC178" s="198"/>
      <c r="AD178" s="198"/>
      <c r="AE178" s="279"/>
      <c r="AF178" s="279"/>
      <c r="AG178" s="279"/>
      <c r="AH178" s="279"/>
      <c r="AI178" s="198"/>
      <c r="AJ178" s="274" t="s">
        <v>66</v>
      </c>
      <c r="AK178"/>
    </row>
    <row r="179" spans="1:37" ht="15.75" hidden="1" customHeight="1">
      <c r="A179" s="198" t="s">
        <v>933</v>
      </c>
      <c r="B179" s="198" t="s">
        <v>769</v>
      </c>
      <c r="C179" s="214" t="s">
        <v>548</v>
      </c>
      <c r="D179" s="198"/>
      <c r="E179" s="198" t="s">
        <v>546</v>
      </c>
      <c r="F179" s="198">
        <v>445.43</v>
      </c>
      <c r="G179" s="198"/>
      <c r="H179" s="214" t="s">
        <v>325</v>
      </c>
      <c r="I179" s="214" t="s">
        <v>921</v>
      </c>
      <c r="J179" s="271"/>
      <c r="K179" s="198"/>
      <c r="L179" s="198"/>
      <c r="M179" s="198">
        <v>110.49</v>
      </c>
      <c r="N179" s="198"/>
      <c r="O179" s="198">
        <v>302.14</v>
      </c>
      <c r="P179" s="198"/>
      <c r="Q179" s="198" t="s">
        <v>329</v>
      </c>
      <c r="R179" s="230">
        <f>DATABASE_Table[[#This Row],[Inicial Asking Price (€) (Total)]]-DATABASE_Table[[#This Row],[Vista membership]]-DATABASE_Table[[#This Row],[FF&amp;E]]</f>
        <v>2890000</v>
      </c>
      <c r="S179" s="234">
        <v>2890000</v>
      </c>
      <c r="T179" s="235">
        <v>2890000</v>
      </c>
      <c r="U179" s="198"/>
      <c r="V179" s="198"/>
      <c r="W179" s="233">
        <f>DATABASE_Table[[#This Row],[Current Asking price( Total)]]-DATABASE_Table[[#This Row],[Vista membership]]-DATABASE_Table[[#This Row],[FF&amp;E]]</f>
        <v>2890000</v>
      </c>
      <c r="X179" s="236"/>
      <c r="Y179" s="235">
        <v>2890000</v>
      </c>
      <c r="Z179" s="233">
        <f>DATABASE_Table[[#This Row],[Sell price (Total)]]-DATABASE_Table[[#This Row],[FF&amp;E]]-DATABASE_Table[[#This Row],[Vista membership]]</f>
        <v>2890000</v>
      </c>
      <c r="AA179" s="315"/>
      <c r="AB179" s="321">
        <v>46843</v>
      </c>
      <c r="AC179" s="198"/>
      <c r="AD179" s="198"/>
      <c r="AE179" s="279"/>
      <c r="AF179" s="279"/>
      <c r="AG179" s="279"/>
      <c r="AH179" s="279"/>
      <c r="AI179" s="198"/>
      <c r="AJ179" s="274" t="s">
        <v>66</v>
      </c>
      <c r="AK179"/>
    </row>
    <row r="180" spans="1:37" ht="15.75" hidden="1" customHeight="1">
      <c r="A180" s="198" t="s">
        <v>933</v>
      </c>
      <c r="B180" s="198" t="s">
        <v>769</v>
      </c>
      <c r="C180" s="214" t="s">
        <v>549</v>
      </c>
      <c r="D180" s="198"/>
      <c r="E180" s="198" t="s">
        <v>550</v>
      </c>
      <c r="F180" s="198">
        <v>327.23</v>
      </c>
      <c r="G180" s="198"/>
      <c r="H180" s="214" t="s">
        <v>325</v>
      </c>
      <c r="I180" s="214" t="s">
        <v>922</v>
      </c>
      <c r="J180" s="271"/>
      <c r="K180" s="198"/>
      <c r="L180" s="198"/>
      <c r="M180" s="198">
        <v>113.23</v>
      </c>
      <c r="N180" s="198"/>
      <c r="O180" s="198">
        <v>195.61</v>
      </c>
      <c r="P180" s="198"/>
      <c r="Q180" s="198" t="s">
        <v>329</v>
      </c>
      <c r="R180" s="230">
        <f>DATABASE_Table[[#This Row],[Inicial Asking Price (€) (Total)]]-DATABASE_Table[[#This Row],[Vista membership]]-DATABASE_Table[[#This Row],[FF&amp;E]]</f>
        <v>1930000</v>
      </c>
      <c r="S180" s="234">
        <v>1930000</v>
      </c>
      <c r="T180" s="235">
        <v>1930000</v>
      </c>
      <c r="U180" s="198"/>
      <c r="V180" s="198"/>
      <c r="W180" s="233">
        <f>DATABASE_Table[[#This Row],[Current Asking price( Total)]]-DATABASE_Table[[#This Row],[Vista membership]]-DATABASE_Table[[#This Row],[FF&amp;E]]</f>
        <v>1930000</v>
      </c>
      <c r="X180" s="236"/>
      <c r="Y180" s="235">
        <v>1930000</v>
      </c>
      <c r="Z180" s="233">
        <f>DATABASE_Table[[#This Row],[Sell price (Total)]]-DATABASE_Table[[#This Row],[FF&amp;E]]-DATABASE_Table[[#This Row],[Vista membership]]</f>
        <v>1930000</v>
      </c>
      <c r="AA180" s="315"/>
      <c r="AB180" s="321">
        <v>46843</v>
      </c>
      <c r="AC180" s="198"/>
      <c r="AD180" s="198"/>
      <c r="AE180" s="279"/>
      <c r="AF180" s="279"/>
      <c r="AG180" s="279"/>
      <c r="AH180" s="279"/>
      <c r="AI180" s="198"/>
      <c r="AJ180" s="274" t="s">
        <v>66</v>
      </c>
      <c r="AK180"/>
    </row>
    <row r="181" spans="1:37" ht="15.75" hidden="1" customHeight="1">
      <c r="A181" s="198" t="s">
        <v>933</v>
      </c>
      <c r="B181" s="198" t="s">
        <v>769</v>
      </c>
      <c r="C181" s="214" t="s">
        <v>551</v>
      </c>
      <c r="D181" s="198"/>
      <c r="E181" s="198" t="s">
        <v>552</v>
      </c>
      <c r="F181" s="198">
        <v>258.68</v>
      </c>
      <c r="G181" s="198"/>
      <c r="H181" s="214" t="s">
        <v>325</v>
      </c>
      <c r="I181" s="214" t="s">
        <v>923</v>
      </c>
      <c r="J181" s="271"/>
      <c r="K181" s="198"/>
      <c r="L181" s="198"/>
      <c r="M181" s="198">
        <v>75.849999999999994</v>
      </c>
      <c r="N181" s="198"/>
      <c r="O181" s="198">
        <v>164.05</v>
      </c>
      <c r="P181" s="198"/>
      <c r="Q181" s="198" t="s">
        <v>329</v>
      </c>
      <c r="R181" s="230">
        <f>DATABASE_Table[[#This Row],[Inicial Asking Price (€) (Total)]]-DATABASE_Table[[#This Row],[Vista membership]]-DATABASE_Table[[#This Row],[FF&amp;E]]</f>
        <v>1340000</v>
      </c>
      <c r="S181" s="234">
        <v>1340000</v>
      </c>
      <c r="T181" s="235">
        <v>1340000</v>
      </c>
      <c r="U181" s="198"/>
      <c r="V181" s="198"/>
      <c r="W181" s="233">
        <f>DATABASE_Table[[#This Row],[Current Asking price( Total)]]-DATABASE_Table[[#This Row],[Vista membership]]-DATABASE_Table[[#This Row],[FF&amp;E]]</f>
        <v>1340000</v>
      </c>
      <c r="X181" s="236"/>
      <c r="Y181" s="235">
        <v>1340000</v>
      </c>
      <c r="Z181" s="233">
        <f>DATABASE_Table[[#This Row],[Sell price (Total)]]-DATABASE_Table[[#This Row],[FF&amp;E]]-DATABASE_Table[[#This Row],[Vista membership]]</f>
        <v>1340000</v>
      </c>
      <c r="AA181" s="315"/>
      <c r="AB181" s="321">
        <v>46843</v>
      </c>
      <c r="AC181" s="198"/>
      <c r="AD181" s="198"/>
      <c r="AE181" s="279"/>
      <c r="AF181" s="279"/>
      <c r="AG181" s="279"/>
      <c r="AH181" s="279"/>
      <c r="AI181" s="198"/>
      <c r="AJ181" s="274" t="s">
        <v>66</v>
      </c>
      <c r="AK181"/>
    </row>
    <row r="182" spans="1:37" ht="15.75" hidden="1" customHeight="1">
      <c r="A182" s="198" t="s">
        <v>933</v>
      </c>
      <c r="B182" s="198" t="s">
        <v>769</v>
      </c>
      <c r="C182" s="214" t="s">
        <v>435</v>
      </c>
      <c r="D182" s="198"/>
      <c r="E182" s="198" t="s">
        <v>419</v>
      </c>
      <c r="F182" s="198">
        <v>87.35</v>
      </c>
      <c r="G182" s="198"/>
      <c r="H182" s="214" t="s">
        <v>325</v>
      </c>
      <c r="I182" s="214" t="s">
        <v>912</v>
      </c>
      <c r="J182" s="271"/>
      <c r="K182" s="198"/>
      <c r="L182" s="198"/>
      <c r="M182" s="198">
        <v>15.12</v>
      </c>
      <c r="N182" s="198"/>
      <c r="O182" s="198">
        <v>63.86</v>
      </c>
      <c r="P182" s="198"/>
      <c r="Q182" s="198" t="s">
        <v>329</v>
      </c>
      <c r="R182" s="230">
        <f>DATABASE_Table[[#This Row],[Inicial Asking Price (€) (Total)]]-DATABASE_Table[[#This Row],[Vista membership]]-DATABASE_Table[[#This Row],[FF&amp;E]]</f>
        <v>660000</v>
      </c>
      <c r="S182" s="234">
        <v>660000</v>
      </c>
      <c r="T182" s="235">
        <v>660000</v>
      </c>
      <c r="U182" s="198"/>
      <c r="V182" s="198"/>
      <c r="W182" s="233">
        <f>DATABASE_Table[[#This Row],[Current Asking price( Total)]]-DATABASE_Table[[#This Row],[Vista membership]]-DATABASE_Table[[#This Row],[FF&amp;E]]</f>
        <v>660000</v>
      </c>
      <c r="X182" s="236"/>
      <c r="Y182" s="235">
        <v>660000</v>
      </c>
      <c r="Z182" s="233">
        <f>DATABASE_Table[[#This Row],[Sell price (Total)]]-DATABASE_Table[[#This Row],[FF&amp;E]]-DATABASE_Table[[#This Row],[Vista membership]]</f>
        <v>660000</v>
      </c>
      <c r="AA182" s="315"/>
      <c r="AB182" s="321">
        <v>46843</v>
      </c>
      <c r="AC182" s="198"/>
      <c r="AD182" s="198"/>
      <c r="AE182" s="279"/>
      <c r="AF182" s="279"/>
      <c r="AG182" s="279"/>
      <c r="AH182" s="279"/>
      <c r="AI182" s="198"/>
      <c r="AJ182" s="274" t="s">
        <v>66</v>
      </c>
      <c r="AK182"/>
    </row>
    <row r="183" spans="1:37" ht="15.75" hidden="1" customHeight="1">
      <c r="A183" s="198" t="s">
        <v>933</v>
      </c>
      <c r="B183" s="198" t="s">
        <v>769</v>
      </c>
      <c r="C183" s="214" t="s">
        <v>436</v>
      </c>
      <c r="D183" s="198"/>
      <c r="E183" s="198" t="s">
        <v>419</v>
      </c>
      <c r="F183" s="198">
        <v>89.62</v>
      </c>
      <c r="G183" s="198"/>
      <c r="H183" s="214" t="s">
        <v>325</v>
      </c>
      <c r="I183" s="214" t="s">
        <v>911</v>
      </c>
      <c r="J183" s="271"/>
      <c r="K183" s="198"/>
      <c r="L183" s="198"/>
      <c r="M183" s="198">
        <v>19.03</v>
      </c>
      <c r="N183" s="198"/>
      <c r="O183" s="198">
        <v>63.31</v>
      </c>
      <c r="P183" s="198"/>
      <c r="Q183" s="198" t="s">
        <v>329</v>
      </c>
      <c r="R183" s="230">
        <f>DATABASE_Table[[#This Row],[Inicial Asking Price (€) (Total)]]-DATABASE_Table[[#This Row],[Vista membership]]-DATABASE_Table[[#This Row],[FF&amp;E]]</f>
        <v>640000</v>
      </c>
      <c r="S183" s="234">
        <v>640000</v>
      </c>
      <c r="T183" s="235">
        <v>640000</v>
      </c>
      <c r="U183" s="198"/>
      <c r="V183" s="198"/>
      <c r="W183" s="233">
        <f>DATABASE_Table[[#This Row],[Current Asking price( Total)]]-DATABASE_Table[[#This Row],[Vista membership]]-DATABASE_Table[[#This Row],[FF&amp;E]]</f>
        <v>640000</v>
      </c>
      <c r="X183" s="236"/>
      <c r="Y183" s="235">
        <v>640000</v>
      </c>
      <c r="Z183" s="233">
        <f>DATABASE_Table[[#This Row],[Sell price (Total)]]-DATABASE_Table[[#This Row],[FF&amp;E]]-DATABASE_Table[[#This Row],[Vista membership]]</f>
        <v>640000</v>
      </c>
      <c r="AA183" s="315"/>
      <c r="AB183" s="321">
        <v>46843</v>
      </c>
      <c r="AC183" s="198"/>
      <c r="AD183" s="198"/>
      <c r="AE183" s="279"/>
      <c r="AF183" s="279"/>
      <c r="AG183" s="279"/>
      <c r="AH183" s="279"/>
      <c r="AI183" s="198"/>
      <c r="AJ183" s="274" t="s">
        <v>66</v>
      </c>
      <c r="AK183"/>
    </row>
    <row r="184" spans="1:37" ht="15.75" hidden="1" customHeight="1">
      <c r="A184" s="198" t="s">
        <v>933</v>
      </c>
      <c r="B184" s="198" t="s">
        <v>769</v>
      </c>
      <c r="C184" s="214" t="s">
        <v>437</v>
      </c>
      <c r="D184" s="198"/>
      <c r="E184" s="198" t="s">
        <v>419</v>
      </c>
      <c r="F184" s="198">
        <v>86.99</v>
      </c>
      <c r="G184" s="198"/>
      <c r="H184" s="214" t="s">
        <v>325</v>
      </c>
      <c r="I184" s="214" t="s">
        <v>912</v>
      </c>
      <c r="J184" s="271"/>
      <c r="K184" s="198"/>
      <c r="L184" s="198"/>
      <c r="M184" s="198">
        <v>15.09</v>
      </c>
      <c r="N184" s="198"/>
      <c r="O184" s="198">
        <v>63.53</v>
      </c>
      <c r="P184" s="198"/>
      <c r="Q184" s="198" t="s">
        <v>329</v>
      </c>
      <c r="R184" s="230">
        <f>DATABASE_Table[[#This Row],[Inicial Asking Price (€) (Total)]]-DATABASE_Table[[#This Row],[Vista membership]]-DATABASE_Table[[#This Row],[FF&amp;E]]</f>
        <v>660000</v>
      </c>
      <c r="S184" s="234">
        <v>660000</v>
      </c>
      <c r="T184" s="235">
        <v>660000</v>
      </c>
      <c r="U184" s="198"/>
      <c r="V184" s="198"/>
      <c r="W184" s="233">
        <f>DATABASE_Table[[#This Row],[Current Asking price( Total)]]-DATABASE_Table[[#This Row],[Vista membership]]-DATABASE_Table[[#This Row],[FF&amp;E]]</f>
        <v>660000</v>
      </c>
      <c r="X184" s="236"/>
      <c r="Y184" s="235">
        <v>660000</v>
      </c>
      <c r="Z184" s="233">
        <f>DATABASE_Table[[#This Row],[Sell price (Total)]]-DATABASE_Table[[#This Row],[FF&amp;E]]-DATABASE_Table[[#This Row],[Vista membership]]</f>
        <v>660000</v>
      </c>
      <c r="AA184" s="315"/>
      <c r="AB184" s="321">
        <v>46843</v>
      </c>
      <c r="AC184" s="198"/>
      <c r="AD184" s="198"/>
      <c r="AE184" s="279"/>
      <c r="AF184" s="279"/>
      <c r="AG184" s="279"/>
      <c r="AH184" s="279"/>
      <c r="AI184" s="198"/>
      <c r="AJ184" s="274" t="s">
        <v>66</v>
      </c>
      <c r="AK184"/>
    </row>
    <row r="185" spans="1:37" ht="15.75" customHeight="1">
      <c r="A185" s="198" t="s">
        <v>688</v>
      </c>
      <c r="B185" s="198" t="s">
        <v>691</v>
      </c>
      <c r="C185" s="214" t="s">
        <v>842</v>
      </c>
      <c r="D185" s="198"/>
      <c r="E185" s="198" t="s">
        <v>553</v>
      </c>
      <c r="F185" s="198">
        <v>245</v>
      </c>
      <c r="G185" s="198"/>
      <c r="H185" s="214" t="s">
        <v>325</v>
      </c>
      <c r="I185" s="214" t="s">
        <v>325</v>
      </c>
      <c r="J185" s="271"/>
      <c r="K185" s="198"/>
      <c r="L185" s="198"/>
      <c r="M185" s="198"/>
      <c r="N185" s="198"/>
      <c r="O185" s="198">
        <v>245</v>
      </c>
      <c r="P185" s="198"/>
      <c r="Q185" s="198" t="s">
        <v>929</v>
      </c>
      <c r="R185" s="230">
        <f>DATABASE_Table[[#This Row],[Inicial Asking Price (€) (Total)]]-DATABASE_Table[[#This Row],[Vista membership]]-DATABASE_Table[[#This Row],[FF&amp;E]]</f>
        <v>540000</v>
      </c>
      <c r="S185" s="231">
        <v>540000</v>
      </c>
      <c r="T185" s="232">
        <v>594000</v>
      </c>
      <c r="U185" s="198"/>
      <c r="V185" s="198"/>
      <c r="W185" s="233">
        <f>DATABASE_Table[[#This Row],[Current Asking price( Total)]]-DATABASE_Table[[#This Row],[Vista membership]]-DATABASE_Table[[#This Row],[FF&amp;E]]</f>
        <v>594000</v>
      </c>
      <c r="X185" s="216">
        <v>0</v>
      </c>
      <c r="Y185" s="232">
        <v>594000</v>
      </c>
      <c r="Z185" s="233">
        <f>DATABASE_Table[[#This Row],[Sell price (Total)]]-DATABASE_Table[[#This Row],[FF&amp;E]]-DATABASE_Table[[#This Row],[Vista membership]]</f>
        <v>594000</v>
      </c>
      <c r="AA185" s="315">
        <v>45938</v>
      </c>
      <c r="AB185" s="321"/>
      <c r="AC185" s="198"/>
      <c r="AD185" s="198"/>
      <c r="AE185" s="279"/>
      <c r="AF185" s="279"/>
      <c r="AG185" s="279"/>
      <c r="AH185" s="279"/>
      <c r="AI185" s="198"/>
      <c r="AJ185" s="274" t="s">
        <v>688</v>
      </c>
      <c r="AK185"/>
    </row>
    <row r="186" spans="1:37" ht="15.75" hidden="1" customHeight="1">
      <c r="A186" s="198" t="s">
        <v>629</v>
      </c>
      <c r="B186" s="198" t="s">
        <v>691</v>
      </c>
      <c r="C186" s="214" t="s">
        <v>843</v>
      </c>
      <c r="D186" s="198" t="s">
        <v>9</v>
      </c>
      <c r="E186" s="198" t="s">
        <v>553</v>
      </c>
      <c r="F186" s="198">
        <v>260</v>
      </c>
      <c r="G186" s="198"/>
      <c r="H186" s="214" t="s">
        <v>325</v>
      </c>
      <c r="I186" s="214" t="s">
        <v>325</v>
      </c>
      <c r="J186" s="271"/>
      <c r="K186" s="198"/>
      <c r="L186" s="198"/>
      <c r="M186" s="198"/>
      <c r="N186" s="198"/>
      <c r="O186" s="198">
        <v>260</v>
      </c>
      <c r="P186" s="198"/>
      <c r="Q186" s="198" t="s">
        <v>329</v>
      </c>
      <c r="R186" s="230">
        <f>DATABASE_Table[[#This Row],[Inicial Asking Price (€) (Total)]]-DATABASE_Table[[#This Row],[Vista membership]]-DATABASE_Table[[#This Row],[FF&amp;E]]</f>
        <v>2920000</v>
      </c>
      <c r="S186" s="231">
        <v>2920000</v>
      </c>
      <c r="T186" s="232">
        <v>660000</v>
      </c>
      <c r="U186" s="198"/>
      <c r="V186" s="198"/>
      <c r="W186" s="233">
        <f>DATABASE_Table[[#This Row],[Current Asking price( Total)]]-DATABASE_Table[[#This Row],[Vista membership]]-DATABASE_Table[[#This Row],[FF&amp;E]]</f>
        <v>660000</v>
      </c>
      <c r="X186" s="216"/>
      <c r="Y186" s="232">
        <v>660000</v>
      </c>
      <c r="Z186" s="233">
        <f>DATABASE_Table[[#This Row],[Sell price (Total)]]-DATABASE_Table[[#This Row],[FF&amp;E]]-DATABASE_Table[[#This Row],[Vista membership]]</f>
        <v>660000</v>
      </c>
      <c r="AA186" s="315"/>
      <c r="AB186" s="321"/>
      <c r="AC186" s="198" t="s">
        <v>10</v>
      </c>
      <c r="AD186" s="198" t="s">
        <v>35</v>
      </c>
      <c r="AE186" s="279" t="s">
        <v>38</v>
      </c>
      <c r="AF186" s="279" t="s">
        <v>39</v>
      </c>
      <c r="AG186" s="279" t="s">
        <v>40</v>
      </c>
      <c r="AH186" s="279" t="s">
        <v>810</v>
      </c>
      <c r="AI186" s="198" t="s">
        <v>41</v>
      </c>
      <c r="AJ186" s="274" t="s">
        <v>37</v>
      </c>
      <c r="AK186"/>
    </row>
    <row r="187" spans="1:37" ht="15.75" customHeight="1">
      <c r="A187" s="198" t="s">
        <v>688</v>
      </c>
      <c r="B187" s="198" t="s">
        <v>691</v>
      </c>
      <c r="C187" s="214" t="s">
        <v>843</v>
      </c>
      <c r="D187" s="198"/>
      <c r="E187" s="198" t="s">
        <v>553</v>
      </c>
      <c r="F187" s="198">
        <v>265</v>
      </c>
      <c r="G187" s="198"/>
      <c r="H187" s="214" t="s">
        <v>325</v>
      </c>
      <c r="I187" s="214" t="s">
        <v>325</v>
      </c>
      <c r="J187" s="271"/>
      <c r="K187" s="198"/>
      <c r="L187" s="198"/>
      <c r="M187" s="198"/>
      <c r="N187" s="198"/>
      <c r="O187" s="198">
        <v>265</v>
      </c>
      <c r="P187" s="198"/>
      <c r="Q187" s="198" t="s">
        <v>929</v>
      </c>
      <c r="R187" s="230">
        <f>DATABASE_Table[[#This Row],[Inicial Asking Price (€) (Total)]]-DATABASE_Table[[#This Row],[Vista membership]]-DATABASE_Table[[#This Row],[FF&amp;E]]</f>
        <v>580000</v>
      </c>
      <c r="S187" s="231">
        <v>580000</v>
      </c>
      <c r="T187" s="232">
        <v>701800</v>
      </c>
      <c r="U187" s="198"/>
      <c r="V187" s="198"/>
      <c r="W187" s="233">
        <f>DATABASE_Table[[#This Row],[Current Asking price( Total)]]-DATABASE_Table[[#This Row],[Vista membership]]-DATABASE_Table[[#This Row],[FF&amp;E]]</f>
        <v>701800</v>
      </c>
      <c r="X187" s="216">
        <v>0</v>
      </c>
      <c r="Y187" s="232">
        <v>701800</v>
      </c>
      <c r="Z187" s="233">
        <f>DATABASE_Table[[#This Row],[Sell price (Total)]]-DATABASE_Table[[#This Row],[FF&amp;E]]-DATABASE_Table[[#This Row],[Vista membership]]</f>
        <v>701800</v>
      </c>
      <c r="AA187" s="315">
        <v>45474</v>
      </c>
      <c r="AB187" s="321"/>
      <c r="AC187" s="198"/>
      <c r="AD187" s="198"/>
      <c r="AE187" s="279"/>
      <c r="AF187" s="279"/>
      <c r="AG187" s="279"/>
      <c r="AH187" s="279"/>
      <c r="AI187" s="198"/>
      <c r="AJ187" s="274" t="s">
        <v>688</v>
      </c>
      <c r="AK187"/>
    </row>
    <row r="188" spans="1:37" ht="15.75" hidden="1" customHeight="1">
      <c r="A188" s="198" t="s">
        <v>629</v>
      </c>
      <c r="B188" s="198" t="s">
        <v>691</v>
      </c>
      <c r="C188" s="214" t="s">
        <v>849</v>
      </c>
      <c r="D188" s="276" t="s">
        <v>9</v>
      </c>
      <c r="E188" s="198" t="s">
        <v>553</v>
      </c>
      <c r="F188" s="198">
        <v>285</v>
      </c>
      <c r="G188" s="198"/>
      <c r="H188" s="214" t="s">
        <v>325</v>
      </c>
      <c r="I188" s="214" t="s">
        <v>325</v>
      </c>
      <c r="J188" s="271"/>
      <c r="K188" s="198"/>
      <c r="L188" s="198"/>
      <c r="M188" s="198"/>
      <c r="N188" s="198"/>
      <c r="O188" s="198">
        <v>285</v>
      </c>
      <c r="P188" s="198"/>
      <c r="Q188" s="198" t="s">
        <v>329</v>
      </c>
      <c r="R188" s="230">
        <f>DATABASE_Table[[#This Row],[Inicial Asking Price (€) (Total)]]-DATABASE_Table[[#This Row],[Vista membership]]-DATABASE_Table[[#This Row],[FF&amp;E]]</f>
        <v>2640000</v>
      </c>
      <c r="S188" s="231">
        <v>2640000</v>
      </c>
      <c r="T188" s="232">
        <v>1510000</v>
      </c>
      <c r="U188" s="198"/>
      <c r="V188" s="198"/>
      <c r="W188" s="233">
        <f>DATABASE_Table[[#This Row],[Current Asking price( Total)]]-DATABASE_Table[[#This Row],[Vista membership]]-DATABASE_Table[[#This Row],[FF&amp;E]]</f>
        <v>1510000</v>
      </c>
      <c r="X188" s="216"/>
      <c r="Y188" s="232">
        <v>1510000</v>
      </c>
      <c r="Z188" s="233">
        <f>DATABASE_Table[[#This Row],[Sell price (Total)]]-DATABASE_Table[[#This Row],[FF&amp;E]]-DATABASE_Table[[#This Row],[Vista membership]]</f>
        <v>1510000</v>
      </c>
      <c r="AA188" s="315"/>
      <c r="AB188" s="321"/>
      <c r="AC188" s="276" t="s">
        <v>10</v>
      </c>
      <c r="AD188" s="276" t="s">
        <v>35</v>
      </c>
      <c r="AE188" s="277" t="s">
        <v>38</v>
      </c>
      <c r="AF188" s="277" t="s">
        <v>39</v>
      </c>
      <c r="AG188" s="277" t="s">
        <v>40</v>
      </c>
      <c r="AH188" s="277" t="s">
        <v>810</v>
      </c>
      <c r="AI188" s="276" t="s">
        <v>41</v>
      </c>
      <c r="AJ188" s="274" t="s">
        <v>37</v>
      </c>
      <c r="AK188"/>
    </row>
    <row r="189" spans="1:37" ht="15.75" hidden="1" customHeight="1">
      <c r="A189" s="198" t="s">
        <v>565</v>
      </c>
      <c r="B189" s="198" t="s">
        <v>691</v>
      </c>
      <c r="C189" s="214" t="s">
        <v>849</v>
      </c>
      <c r="D189" s="276" t="s">
        <v>9</v>
      </c>
      <c r="E189" s="198" t="s">
        <v>319</v>
      </c>
      <c r="F189" s="198">
        <v>168.6</v>
      </c>
      <c r="G189" s="198"/>
      <c r="H189" s="214" t="s">
        <v>848</v>
      </c>
      <c r="I189" s="214" t="s">
        <v>325</v>
      </c>
      <c r="J189" s="271">
        <v>64.7</v>
      </c>
      <c r="K189" s="198"/>
      <c r="L189" s="198"/>
      <c r="M189" s="198"/>
      <c r="N189" s="198"/>
      <c r="O189" s="198">
        <v>103.9</v>
      </c>
      <c r="P189" s="198"/>
      <c r="Q189" s="198" t="s">
        <v>329</v>
      </c>
      <c r="R189" s="230">
        <f>DATABASE_Table[[#This Row],[Inicial Asking Price (€) (Total)]]-DATABASE_Table[[#This Row],[Vista membership]]-DATABASE_Table[[#This Row],[FF&amp;E]]</f>
        <v>1037000</v>
      </c>
      <c r="S189" s="231">
        <v>1110000</v>
      </c>
      <c r="T189" s="232">
        <v>1180000</v>
      </c>
      <c r="U189" s="198">
        <v>50000</v>
      </c>
      <c r="V189" s="198">
        <v>23000</v>
      </c>
      <c r="W189" s="233">
        <f>DATABASE_Table[[#This Row],[Current Asking price( Total)]]-DATABASE_Table[[#This Row],[Vista membership]]-DATABASE_Table[[#This Row],[FF&amp;E]]</f>
        <v>1107000</v>
      </c>
      <c r="X189" s="216"/>
      <c r="Y189" s="232">
        <v>1180000</v>
      </c>
      <c r="Z189" s="233">
        <f>DATABASE_Table[[#This Row],[Sell price (Total)]]-DATABASE_Table[[#This Row],[FF&amp;E]]-DATABASE_Table[[#This Row],[Vista membership]]</f>
        <v>1107000</v>
      </c>
      <c r="AA189" s="315"/>
      <c r="AB189" s="321"/>
      <c r="AC189" s="276" t="s">
        <v>10</v>
      </c>
      <c r="AD189" s="276" t="s">
        <v>34</v>
      </c>
      <c r="AE189" s="277" t="s">
        <v>32</v>
      </c>
      <c r="AF189" s="277" t="s">
        <v>686</v>
      </c>
      <c r="AG189" s="277" t="s">
        <v>49</v>
      </c>
      <c r="AH189" s="277" t="s">
        <v>50</v>
      </c>
      <c r="AI189" s="276" t="s">
        <v>51</v>
      </c>
      <c r="AJ189" s="274" t="s">
        <v>48</v>
      </c>
      <c r="AK189"/>
    </row>
    <row r="190" spans="1:37" ht="15.75" hidden="1" customHeight="1">
      <c r="A190" s="198" t="s">
        <v>629</v>
      </c>
      <c r="B190" s="198" t="s">
        <v>691</v>
      </c>
      <c r="C190" s="214" t="s">
        <v>844</v>
      </c>
      <c r="D190" s="276" t="s">
        <v>9</v>
      </c>
      <c r="E190" s="198" t="s">
        <v>553</v>
      </c>
      <c r="F190" s="198">
        <v>260</v>
      </c>
      <c r="G190" s="198"/>
      <c r="H190" s="214" t="s">
        <v>325</v>
      </c>
      <c r="I190" s="214" t="s">
        <v>325</v>
      </c>
      <c r="J190" s="271"/>
      <c r="K190" s="198"/>
      <c r="L190" s="198"/>
      <c r="M190" s="198"/>
      <c r="N190" s="198"/>
      <c r="O190" s="198">
        <v>260</v>
      </c>
      <c r="P190" s="198"/>
      <c r="Q190" s="198" t="s">
        <v>329</v>
      </c>
      <c r="R190" s="230">
        <f>DATABASE_Table[[#This Row],[Inicial Asking Price (€) (Total)]]-DATABASE_Table[[#This Row],[Vista membership]]-DATABASE_Table[[#This Row],[FF&amp;E]]</f>
        <v>1840000</v>
      </c>
      <c r="S190" s="231">
        <v>1840000</v>
      </c>
      <c r="T190" s="232">
        <v>640000</v>
      </c>
      <c r="U190" s="198"/>
      <c r="V190" s="198"/>
      <c r="W190" s="233">
        <f>DATABASE_Table[[#This Row],[Current Asking price( Total)]]-DATABASE_Table[[#This Row],[Vista membership]]-DATABASE_Table[[#This Row],[FF&amp;E]]</f>
        <v>640000</v>
      </c>
      <c r="X190" s="216"/>
      <c r="Y190" s="232">
        <v>640000</v>
      </c>
      <c r="Z190" s="233">
        <f>DATABASE_Table[[#This Row],[Sell price (Total)]]-DATABASE_Table[[#This Row],[FF&amp;E]]-DATABASE_Table[[#This Row],[Vista membership]]</f>
        <v>640000</v>
      </c>
      <c r="AA190" s="315"/>
      <c r="AB190" s="321"/>
      <c r="AC190" s="276" t="s">
        <v>10</v>
      </c>
      <c r="AD190" s="276" t="s">
        <v>35</v>
      </c>
      <c r="AE190" s="277" t="s">
        <v>38</v>
      </c>
      <c r="AF190" s="277" t="s">
        <v>39</v>
      </c>
      <c r="AG190" s="277" t="s">
        <v>40</v>
      </c>
      <c r="AH190" s="277" t="s">
        <v>810</v>
      </c>
      <c r="AI190" s="276" t="s">
        <v>41</v>
      </c>
      <c r="AJ190" s="274" t="s">
        <v>37</v>
      </c>
      <c r="AK190"/>
    </row>
    <row r="191" spans="1:37" ht="15.75" customHeight="1">
      <c r="A191" s="198" t="s">
        <v>688</v>
      </c>
      <c r="B191" s="198" t="s">
        <v>691</v>
      </c>
      <c r="C191" s="214" t="s">
        <v>844</v>
      </c>
      <c r="D191" s="276"/>
      <c r="E191" s="198" t="s">
        <v>553</v>
      </c>
      <c r="F191" s="198">
        <v>265</v>
      </c>
      <c r="G191" s="198"/>
      <c r="H191" s="214" t="s">
        <v>325</v>
      </c>
      <c r="I191" s="214" t="s">
        <v>325</v>
      </c>
      <c r="J191" s="271"/>
      <c r="K191" s="198"/>
      <c r="L191" s="198"/>
      <c r="M191" s="198"/>
      <c r="N191" s="198"/>
      <c r="O191" s="198">
        <v>265</v>
      </c>
      <c r="P191" s="198"/>
      <c r="Q191" s="198" t="s">
        <v>929</v>
      </c>
      <c r="R191" s="230">
        <f>DATABASE_Table[[#This Row],[Inicial Asking Price (€) (Total)]]-DATABASE_Table[[#This Row],[Vista membership]]-DATABASE_Table[[#This Row],[FF&amp;E]]</f>
        <v>580000</v>
      </c>
      <c r="S191" s="231">
        <v>580000</v>
      </c>
      <c r="T191" s="232">
        <v>638000</v>
      </c>
      <c r="U191" s="198"/>
      <c r="V191" s="198"/>
      <c r="W191" s="233">
        <f>DATABASE_Table[[#This Row],[Current Asking price( Total)]]-DATABASE_Table[[#This Row],[Vista membership]]-DATABASE_Table[[#This Row],[FF&amp;E]]</f>
        <v>638000</v>
      </c>
      <c r="X191" s="216">
        <v>0</v>
      </c>
      <c r="Y191" s="232">
        <v>638000</v>
      </c>
      <c r="Z191" s="233">
        <f>DATABASE_Table[[#This Row],[Sell price (Total)]]-DATABASE_Table[[#This Row],[FF&amp;E]]-DATABASE_Table[[#This Row],[Vista membership]]</f>
        <v>638000</v>
      </c>
      <c r="AA191" s="315">
        <v>45348</v>
      </c>
      <c r="AB191" s="321"/>
      <c r="AC191" s="276"/>
      <c r="AD191" s="276"/>
      <c r="AE191" s="277"/>
      <c r="AF191" s="277"/>
      <c r="AG191" s="277"/>
      <c r="AH191" s="277"/>
      <c r="AI191" s="276"/>
      <c r="AJ191" s="274" t="s">
        <v>688</v>
      </c>
      <c r="AK191"/>
    </row>
    <row r="192" spans="1:37" ht="15.75" hidden="1" customHeight="1">
      <c r="A192" s="198" t="s">
        <v>565</v>
      </c>
      <c r="B192" s="198" t="s">
        <v>691</v>
      </c>
      <c r="C192" s="214" t="s">
        <v>706</v>
      </c>
      <c r="D192" s="276" t="s">
        <v>9</v>
      </c>
      <c r="E192" s="198" t="s">
        <v>320</v>
      </c>
      <c r="F192" s="198">
        <v>183.9</v>
      </c>
      <c r="G192" s="198"/>
      <c r="H192" s="214" t="s">
        <v>848</v>
      </c>
      <c r="I192" s="214" t="s">
        <v>325</v>
      </c>
      <c r="J192" s="271">
        <v>34.299999999999997</v>
      </c>
      <c r="K192" s="198"/>
      <c r="L192" s="198"/>
      <c r="M192" s="198"/>
      <c r="N192" s="198"/>
      <c r="O192" s="198">
        <v>149.6</v>
      </c>
      <c r="P192" s="198"/>
      <c r="Q192" s="198" t="s">
        <v>329</v>
      </c>
      <c r="R192" s="230">
        <f>DATABASE_Table[[#This Row],[Inicial Asking Price (€) (Total)]]-DATABASE_Table[[#This Row],[Vista membership]]-DATABASE_Table[[#This Row],[FF&amp;E]]</f>
        <v>2000000</v>
      </c>
      <c r="S192" s="231">
        <v>2080000</v>
      </c>
      <c r="T192" s="232">
        <v>2160000</v>
      </c>
      <c r="U192" s="198">
        <v>50000</v>
      </c>
      <c r="V192" s="198">
        <v>30000</v>
      </c>
      <c r="W192" s="233">
        <f>DATABASE_Table[[#This Row],[Current Asking price( Total)]]-DATABASE_Table[[#This Row],[Vista membership]]-DATABASE_Table[[#This Row],[FF&amp;E]]</f>
        <v>2080000</v>
      </c>
      <c r="X192" s="216"/>
      <c r="Y192" s="232">
        <v>2160000</v>
      </c>
      <c r="Z192" s="233">
        <f>DATABASE_Table[[#This Row],[Sell price (Total)]]-DATABASE_Table[[#This Row],[FF&amp;E]]-DATABASE_Table[[#This Row],[Vista membership]]</f>
        <v>2080000</v>
      </c>
      <c r="AA192" s="315"/>
      <c r="AB192" s="321"/>
      <c r="AC192" s="276" t="s">
        <v>10</v>
      </c>
      <c r="AD192" s="276" t="s">
        <v>34</v>
      </c>
      <c r="AE192" s="277" t="s">
        <v>32</v>
      </c>
      <c r="AF192" s="277" t="s">
        <v>686</v>
      </c>
      <c r="AG192" s="277" t="s">
        <v>49</v>
      </c>
      <c r="AH192" s="277" t="s">
        <v>50</v>
      </c>
      <c r="AI192" s="276" t="s">
        <v>51</v>
      </c>
      <c r="AJ192" s="274" t="s">
        <v>48</v>
      </c>
      <c r="AK192"/>
    </row>
    <row r="193" spans="1:37" ht="15.75" hidden="1" customHeight="1">
      <c r="A193" s="198" t="s">
        <v>565</v>
      </c>
      <c r="B193" s="198" t="s">
        <v>691</v>
      </c>
      <c r="C193" s="214" t="s">
        <v>707</v>
      </c>
      <c r="D193" s="276" t="s">
        <v>9</v>
      </c>
      <c r="E193" s="198" t="s">
        <v>319</v>
      </c>
      <c r="F193" s="198">
        <v>129.4</v>
      </c>
      <c r="G193" s="198"/>
      <c r="H193" s="214" t="s">
        <v>848</v>
      </c>
      <c r="I193" s="214" t="s">
        <v>325</v>
      </c>
      <c r="J193" s="271">
        <v>25.5</v>
      </c>
      <c r="K193" s="198"/>
      <c r="L193" s="198"/>
      <c r="M193" s="198"/>
      <c r="N193" s="198"/>
      <c r="O193" s="198">
        <v>103.9</v>
      </c>
      <c r="P193" s="198"/>
      <c r="Q193" s="198" t="s">
        <v>628</v>
      </c>
      <c r="R193" s="230">
        <f>DATABASE_Table[[#This Row],[Inicial Asking Price (€) (Total)]]-DATABASE_Table[[#This Row],[Vista membership]]-DATABASE_Table[[#This Row],[FF&amp;E]]</f>
        <v>1057000</v>
      </c>
      <c r="S193" s="231">
        <v>1130000</v>
      </c>
      <c r="T193" s="232">
        <v>1230000</v>
      </c>
      <c r="U193" s="198">
        <v>50000</v>
      </c>
      <c r="V193" s="198">
        <v>23000</v>
      </c>
      <c r="W193" s="233">
        <f>DATABASE_Table[[#This Row],[Current Asking price( Total)]]-DATABASE_Table[[#This Row],[Vista membership]]-DATABASE_Table[[#This Row],[FF&amp;E]]</f>
        <v>1157000</v>
      </c>
      <c r="X193" s="216">
        <v>6.94308943089431E-2</v>
      </c>
      <c r="Y193" s="232">
        <v>1144600</v>
      </c>
      <c r="Z193" s="233">
        <f>DATABASE_Table[[#This Row],[Sell price (Total)]]-DATABASE_Table[[#This Row],[FF&amp;E]]-DATABASE_Table[[#This Row],[Vista membership]]</f>
        <v>1071600</v>
      </c>
      <c r="AA193" s="315">
        <v>46057</v>
      </c>
      <c r="AB193" s="321"/>
      <c r="AC193" s="276" t="s">
        <v>10</v>
      </c>
      <c r="AD193" s="276" t="s">
        <v>34</v>
      </c>
      <c r="AE193" s="277" t="s">
        <v>32</v>
      </c>
      <c r="AF193" s="277" t="s">
        <v>686</v>
      </c>
      <c r="AG193" s="277" t="s">
        <v>49</v>
      </c>
      <c r="AH193" s="277" t="s">
        <v>50</v>
      </c>
      <c r="AI193" s="276" t="s">
        <v>51</v>
      </c>
      <c r="AJ193" s="274" t="s">
        <v>48</v>
      </c>
      <c r="AK193"/>
    </row>
    <row r="194" spans="1:37" ht="15.75" hidden="1" customHeight="1">
      <c r="A194" s="198" t="s">
        <v>565</v>
      </c>
      <c r="B194" s="198" t="s">
        <v>691</v>
      </c>
      <c r="C194" s="214" t="s">
        <v>708</v>
      </c>
      <c r="D194" s="276" t="s">
        <v>9</v>
      </c>
      <c r="E194" s="198" t="s">
        <v>319</v>
      </c>
      <c r="F194" s="198">
        <v>129.4</v>
      </c>
      <c r="G194" s="198"/>
      <c r="H194" s="214" t="s">
        <v>848</v>
      </c>
      <c r="I194" s="214" t="s">
        <v>325</v>
      </c>
      <c r="J194" s="271">
        <v>25.5</v>
      </c>
      <c r="K194" s="198"/>
      <c r="L194" s="198"/>
      <c r="M194" s="198"/>
      <c r="N194" s="198"/>
      <c r="O194" s="198">
        <v>103.9</v>
      </c>
      <c r="P194" s="198"/>
      <c r="Q194" s="198" t="s">
        <v>329</v>
      </c>
      <c r="R194" s="230">
        <f>DATABASE_Table[[#This Row],[Inicial Asking Price (€) (Total)]]-DATABASE_Table[[#This Row],[Vista membership]]-DATABASE_Table[[#This Row],[FF&amp;E]]</f>
        <v>977000</v>
      </c>
      <c r="S194" s="231">
        <v>1050000</v>
      </c>
      <c r="T194" s="232">
        <v>1120000</v>
      </c>
      <c r="U194" s="198">
        <v>50000</v>
      </c>
      <c r="V194" s="198">
        <v>23000</v>
      </c>
      <c r="W194" s="233">
        <f>DATABASE_Table[[#This Row],[Current Asking price( Total)]]-DATABASE_Table[[#This Row],[Vista membership]]-DATABASE_Table[[#This Row],[FF&amp;E]]</f>
        <v>1047000</v>
      </c>
      <c r="X194" s="216"/>
      <c r="Y194" s="232">
        <v>1120000</v>
      </c>
      <c r="Z194" s="233">
        <f>DATABASE_Table[[#This Row],[Sell price (Total)]]-DATABASE_Table[[#This Row],[FF&amp;E]]-DATABASE_Table[[#This Row],[Vista membership]]</f>
        <v>1047000</v>
      </c>
      <c r="AA194" s="315"/>
      <c r="AB194" s="321"/>
      <c r="AC194" s="276" t="s">
        <v>10</v>
      </c>
      <c r="AD194" s="276" t="s">
        <v>34</v>
      </c>
      <c r="AE194" s="277" t="s">
        <v>32</v>
      </c>
      <c r="AF194" s="277" t="s">
        <v>686</v>
      </c>
      <c r="AG194" s="277" t="s">
        <v>49</v>
      </c>
      <c r="AH194" s="277" t="s">
        <v>50</v>
      </c>
      <c r="AI194" s="276" t="s">
        <v>51</v>
      </c>
      <c r="AJ194" s="274" t="s">
        <v>48</v>
      </c>
      <c r="AK194"/>
    </row>
    <row r="195" spans="1:37" ht="15.75" hidden="1" customHeight="1">
      <c r="A195" s="198" t="s">
        <v>565</v>
      </c>
      <c r="B195" s="198" t="s">
        <v>691</v>
      </c>
      <c r="C195" s="214" t="s">
        <v>709</v>
      </c>
      <c r="D195" s="276" t="s">
        <v>9</v>
      </c>
      <c r="E195" s="198" t="s">
        <v>319</v>
      </c>
      <c r="F195" s="198">
        <v>130</v>
      </c>
      <c r="G195" s="198"/>
      <c r="H195" s="214" t="s">
        <v>848</v>
      </c>
      <c r="I195" s="214" t="s">
        <v>325</v>
      </c>
      <c r="J195" s="271">
        <v>25.4</v>
      </c>
      <c r="K195" s="198"/>
      <c r="L195" s="198"/>
      <c r="M195" s="198"/>
      <c r="N195" s="198"/>
      <c r="O195" s="198">
        <v>104.6</v>
      </c>
      <c r="P195" s="198"/>
      <c r="Q195" s="198" t="s">
        <v>329</v>
      </c>
      <c r="R195" s="230">
        <f>DATABASE_Table[[#This Row],[Inicial Asking Price (€) (Total)]]-DATABASE_Table[[#This Row],[Vista membership]]-DATABASE_Table[[#This Row],[FF&amp;E]]</f>
        <v>887000</v>
      </c>
      <c r="S195" s="231">
        <v>960000</v>
      </c>
      <c r="T195" s="232">
        <v>1020000</v>
      </c>
      <c r="U195" s="198">
        <v>50000</v>
      </c>
      <c r="V195" s="198">
        <v>23000</v>
      </c>
      <c r="W195" s="233">
        <f>DATABASE_Table[[#This Row],[Current Asking price( Total)]]-DATABASE_Table[[#This Row],[Vista membership]]-DATABASE_Table[[#This Row],[FF&amp;E]]</f>
        <v>947000</v>
      </c>
      <c r="X195" s="216"/>
      <c r="Y195" s="232">
        <v>1020000</v>
      </c>
      <c r="Z195" s="233">
        <f>DATABASE_Table[[#This Row],[Sell price (Total)]]-DATABASE_Table[[#This Row],[FF&amp;E]]-DATABASE_Table[[#This Row],[Vista membership]]</f>
        <v>947000</v>
      </c>
      <c r="AA195" s="315"/>
      <c r="AB195" s="321"/>
      <c r="AC195" s="276" t="s">
        <v>10</v>
      </c>
      <c r="AD195" s="276" t="s">
        <v>34</v>
      </c>
      <c r="AE195" s="277" t="s">
        <v>32</v>
      </c>
      <c r="AF195" s="277" t="s">
        <v>686</v>
      </c>
      <c r="AG195" s="277" t="s">
        <v>49</v>
      </c>
      <c r="AH195" s="277" t="s">
        <v>50</v>
      </c>
      <c r="AI195" s="276" t="s">
        <v>51</v>
      </c>
      <c r="AJ195" s="274" t="s">
        <v>48</v>
      </c>
      <c r="AK195"/>
    </row>
    <row r="196" spans="1:37" ht="15.75" hidden="1" customHeight="1">
      <c r="A196" s="198" t="s">
        <v>565</v>
      </c>
      <c r="B196" s="198" t="s">
        <v>691</v>
      </c>
      <c r="C196" s="214" t="s">
        <v>710</v>
      </c>
      <c r="D196" s="276" t="s">
        <v>9</v>
      </c>
      <c r="E196" s="198" t="s">
        <v>319</v>
      </c>
      <c r="F196" s="198">
        <v>130.1</v>
      </c>
      <c r="G196" s="198"/>
      <c r="H196" s="214" t="s">
        <v>848</v>
      </c>
      <c r="I196" s="214" t="s">
        <v>325</v>
      </c>
      <c r="J196" s="271">
        <v>25.5</v>
      </c>
      <c r="K196" s="198"/>
      <c r="L196" s="198"/>
      <c r="M196" s="198"/>
      <c r="N196" s="198"/>
      <c r="O196" s="198">
        <v>104.6</v>
      </c>
      <c r="P196" s="198"/>
      <c r="Q196" s="198" t="s">
        <v>329</v>
      </c>
      <c r="R196" s="230">
        <f>DATABASE_Table[[#This Row],[Inicial Asking Price (€) (Total)]]-DATABASE_Table[[#This Row],[Vista membership]]-DATABASE_Table[[#This Row],[FF&amp;E]]</f>
        <v>967000</v>
      </c>
      <c r="S196" s="231">
        <v>1040000</v>
      </c>
      <c r="T196" s="232">
        <v>1140000</v>
      </c>
      <c r="U196" s="198">
        <v>50000</v>
      </c>
      <c r="V196" s="198">
        <v>23000</v>
      </c>
      <c r="W196" s="233">
        <f>DATABASE_Table[[#This Row],[Current Asking price( Total)]]-DATABASE_Table[[#This Row],[Vista membership]]-DATABASE_Table[[#This Row],[FF&amp;E]]</f>
        <v>1067000</v>
      </c>
      <c r="X196" s="216"/>
      <c r="Y196" s="232">
        <v>1044780</v>
      </c>
      <c r="Z196" s="233">
        <f>DATABASE_Table[[#This Row],[Sell price (Total)]]-DATABASE_Table[[#This Row],[FF&amp;E]]-DATABASE_Table[[#This Row],[Vista membership]]</f>
        <v>971780</v>
      </c>
      <c r="AA196" s="315"/>
      <c r="AB196" s="321"/>
      <c r="AC196" s="276" t="s">
        <v>10</v>
      </c>
      <c r="AD196" s="276" t="s">
        <v>34</v>
      </c>
      <c r="AE196" s="277" t="s">
        <v>32</v>
      </c>
      <c r="AF196" s="277" t="s">
        <v>686</v>
      </c>
      <c r="AG196" s="277" t="s">
        <v>49</v>
      </c>
      <c r="AH196" s="277" t="s">
        <v>50</v>
      </c>
      <c r="AI196" s="276" t="s">
        <v>51</v>
      </c>
      <c r="AJ196" s="274" t="s">
        <v>48</v>
      </c>
      <c r="AK196"/>
    </row>
    <row r="197" spans="1:37" ht="15.75" hidden="1" customHeight="1">
      <c r="A197" s="198" t="s">
        <v>565</v>
      </c>
      <c r="B197" s="198" t="s">
        <v>691</v>
      </c>
      <c r="C197" s="214" t="s">
        <v>711</v>
      </c>
      <c r="D197" s="276" t="s">
        <v>9</v>
      </c>
      <c r="E197" s="198" t="s">
        <v>319</v>
      </c>
      <c r="F197" s="198">
        <v>129.4</v>
      </c>
      <c r="G197" s="198"/>
      <c r="H197" s="214" t="s">
        <v>848</v>
      </c>
      <c r="I197" s="214" t="s">
        <v>325</v>
      </c>
      <c r="J197" s="271">
        <v>25.5</v>
      </c>
      <c r="K197" s="198"/>
      <c r="L197" s="198"/>
      <c r="M197" s="198"/>
      <c r="N197" s="198"/>
      <c r="O197" s="198">
        <v>103.9</v>
      </c>
      <c r="P197" s="198"/>
      <c r="Q197" s="198" t="s">
        <v>329</v>
      </c>
      <c r="R197" s="230">
        <f>DATABASE_Table[[#This Row],[Inicial Asking Price (€) (Total)]]-DATABASE_Table[[#This Row],[Vista membership]]-DATABASE_Table[[#This Row],[FF&amp;E]]</f>
        <v>1057000</v>
      </c>
      <c r="S197" s="231">
        <v>1130000</v>
      </c>
      <c r="T197" s="232">
        <v>1200000</v>
      </c>
      <c r="U197" s="198">
        <v>50000</v>
      </c>
      <c r="V197" s="198">
        <v>23000</v>
      </c>
      <c r="W197" s="233">
        <f>DATABASE_Table[[#This Row],[Current Asking price( Total)]]-DATABASE_Table[[#This Row],[Vista membership]]-DATABASE_Table[[#This Row],[FF&amp;E]]</f>
        <v>1127000</v>
      </c>
      <c r="X197" s="216"/>
      <c r="Y197" s="232">
        <v>1200000</v>
      </c>
      <c r="Z197" s="233">
        <f>DATABASE_Table[[#This Row],[Sell price (Total)]]-DATABASE_Table[[#This Row],[FF&amp;E]]-DATABASE_Table[[#This Row],[Vista membership]]</f>
        <v>1127000</v>
      </c>
      <c r="AA197" s="315"/>
      <c r="AB197" s="321"/>
      <c r="AC197" s="276" t="s">
        <v>10</v>
      </c>
      <c r="AD197" s="276" t="s">
        <v>34</v>
      </c>
      <c r="AE197" s="277" t="s">
        <v>32</v>
      </c>
      <c r="AF197" s="277" t="s">
        <v>686</v>
      </c>
      <c r="AG197" s="277" t="s">
        <v>49</v>
      </c>
      <c r="AH197" s="277" t="s">
        <v>50</v>
      </c>
      <c r="AI197" s="276" t="s">
        <v>51</v>
      </c>
      <c r="AJ197" s="274" t="s">
        <v>48</v>
      </c>
      <c r="AK197"/>
    </row>
    <row r="198" spans="1:37" ht="15.75" hidden="1" customHeight="1">
      <c r="A198" s="198" t="s">
        <v>565</v>
      </c>
      <c r="B198" s="198" t="s">
        <v>691</v>
      </c>
      <c r="C198" s="214" t="s">
        <v>712</v>
      </c>
      <c r="D198" s="276" t="s">
        <v>9</v>
      </c>
      <c r="E198" s="198" t="s">
        <v>319</v>
      </c>
      <c r="F198" s="198">
        <v>129.4</v>
      </c>
      <c r="G198" s="198"/>
      <c r="H198" s="214" t="s">
        <v>848</v>
      </c>
      <c r="I198" s="214" t="s">
        <v>325</v>
      </c>
      <c r="J198" s="271">
        <v>25.5</v>
      </c>
      <c r="K198" s="198"/>
      <c r="L198" s="198"/>
      <c r="M198" s="198"/>
      <c r="N198" s="198"/>
      <c r="O198" s="198">
        <v>103.9</v>
      </c>
      <c r="P198" s="198"/>
      <c r="Q198" s="198" t="s">
        <v>329</v>
      </c>
      <c r="R198" s="230">
        <f>DATABASE_Table[[#This Row],[Inicial Asking Price (€) (Total)]]-DATABASE_Table[[#This Row],[Vista membership]]-DATABASE_Table[[#This Row],[FF&amp;E]]</f>
        <v>1137000</v>
      </c>
      <c r="S198" s="231">
        <v>1210000</v>
      </c>
      <c r="T198" s="232">
        <v>1280000</v>
      </c>
      <c r="U198" s="198">
        <v>50000</v>
      </c>
      <c r="V198" s="198">
        <v>23000</v>
      </c>
      <c r="W198" s="233">
        <f>DATABASE_Table[[#This Row],[Current Asking price( Total)]]-DATABASE_Table[[#This Row],[Vista membership]]-DATABASE_Table[[#This Row],[FF&amp;E]]</f>
        <v>1207000</v>
      </c>
      <c r="X198" s="216"/>
      <c r="Y198" s="232">
        <v>1280000</v>
      </c>
      <c r="Z198" s="233">
        <f>DATABASE_Table[[#This Row],[Sell price (Total)]]-DATABASE_Table[[#This Row],[FF&amp;E]]-DATABASE_Table[[#This Row],[Vista membership]]</f>
        <v>1207000</v>
      </c>
      <c r="AA198" s="315"/>
      <c r="AB198" s="321"/>
      <c r="AC198" s="276" t="s">
        <v>10</v>
      </c>
      <c r="AD198" s="276" t="s">
        <v>34</v>
      </c>
      <c r="AE198" s="277" t="s">
        <v>32</v>
      </c>
      <c r="AF198" s="277" t="s">
        <v>686</v>
      </c>
      <c r="AG198" s="277" t="s">
        <v>49</v>
      </c>
      <c r="AH198" s="277" t="s">
        <v>50</v>
      </c>
      <c r="AI198" s="276" t="s">
        <v>51</v>
      </c>
      <c r="AJ198" s="274" t="s">
        <v>48</v>
      </c>
      <c r="AK198"/>
    </row>
    <row r="199" spans="1:37" ht="15.75" hidden="1" customHeight="1">
      <c r="A199" s="198" t="s">
        <v>565</v>
      </c>
      <c r="B199" s="198" t="s">
        <v>691</v>
      </c>
      <c r="C199" s="214" t="s">
        <v>713</v>
      </c>
      <c r="D199" s="276" t="s">
        <v>9</v>
      </c>
      <c r="E199" s="198" t="s">
        <v>319</v>
      </c>
      <c r="F199" s="198">
        <v>129.4</v>
      </c>
      <c r="G199" s="198"/>
      <c r="H199" s="214" t="s">
        <v>848</v>
      </c>
      <c r="I199" s="214" t="s">
        <v>325</v>
      </c>
      <c r="J199" s="271">
        <v>25.5</v>
      </c>
      <c r="K199" s="198"/>
      <c r="L199" s="198"/>
      <c r="M199" s="198"/>
      <c r="N199" s="198"/>
      <c r="O199" s="198">
        <v>103.9</v>
      </c>
      <c r="P199" s="198"/>
      <c r="Q199" s="198" t="s">
        <v>329</v>
      </c>
      <c r="R199" s="230">
        <f>DATABASE_Table[[#This Row],[Inicial Asking Price (€) (Total)]]-DATABASE_Table[[#This Row],[Vista membership]]-DATABASE_Table[[#This Row],[FF&amp;E]]</f>
        <v>1187000</v>
      </c>
      <c r="S199" s="231">
        <v>1260000</v>
      </c>
      <c r="T199" s="232">
        <v>1330000</v>
      </c>
      <c r="U199" s="198">
        <v>50000</v>
      </c>
      <c r="V199" s="198">
        <v>23000</v>
      </c>
      <c r="W199" s="233">
        <f>DATABASE_Table[[#This Row],[Current Asking price( Total)]]-DATABASE_Table[[#This Row],[Vista membership]]-DATABASE_Table[[#This Row],[FF&amp;E]]</f>
        <v>1257000</v>
      </c>
      <c r="X199" s="216"/>
      <c r="Y199" s="232">
        <v>1330000</v>
      </c>
      <c r="Z199" s="233">
        <f>DATABASE_Table[[#This Row],[Sell price (Total)]]-DATABASE_Table[[#This Row],[FF&amp;E]]-DATABASE_Table[[#This Row],[Vista membership]]</f>
        <v>1257000</v>
      </c>
      <c r="AA199" s="315"/>
      <c r="AB199" s="321"/>
      <c r="AC199" s="276" t="s">
        <v>10</v>
      </c>
      <c r="AD199" s="276" t="s">
        <v>34</v>
      </c>
      <c r="AE199" s="277" t="s">
        <v>32</v>
      </c>
      <c r="AF199" s="277" t="s">
        <v>686</v>
      </c>
      <c r="AG199" s="277" t="s">
        <v>49</v>
      </c>
      <c r="AH199" s="277" t="s">
        <v>50</v>
      </c>
      <c r="AI199" s="276" t="s">
        <v>51</v>
      </c>
      <c r="AJ199" s="274" t="s">
        <v>48</v>
      </c>
      <c r="AK199"/>
    </row>
    <row r="200" spans="1:37" ht="15.75" hidden="1" customHeight="1">
      <c r="A200" s="198" t="s">
        <v>565</v>
      </c>
      <c r="B200" s="198" t="s">
        <v>691</v>
      </c>
      <c r="C200" s="214" t="s">
        <v>714</v>
      </c>
      <c r="D200" s="276" t="s">
        <v>9</v>
      </c>
      <c r="E200" s="198" t="s">
        <v>319</v>
      </c>
      <c r="F200" s="198">
        <v>129.4</v>
      </c>
      <c r="G200" s="198"/>
      <c r="H200" s="214" t="s">
        <v>848</v>
      </c>
      <c r="I200" s="214" t="s">
        <v>325</v>
      </c>
      <c r="J200" s="271">
        <v>25.5</v>
      </c>
      <c r="K200" s="198"/>
      <c r="L200" s="198"/>
      <c r="M200" s="198"/>
      <c r="N200" s="198"/>
      <c r="O200" s="198">
        <v>103.9</v>
      </c>
      <c r="P200" s="198"/>
      <c r="Q200" s="198" t="s">
        <v>329</v>
      </c>
      <c r="R200" s="230">
        <f>DATABASE_Table[[#This Row],[Inicial Asking Price (€) (Total)]]-DATABASE_Table[[#This Row],[Vista membership]]-DATABASE_Table[[#This Row],[FF&amp;E]]</f>
        <v>1247000</v>
      </c>
      <c r="S200" s="231">
        <v>1320000</v>
      </c>
      <c r="T200" s="232">
        <v>1390000</v>
      </c>
      <c r="U200" s="198">
        <v>50000</v>
      </c>
      <c r="V200" s="198">
        <v>23000</v>
      </c>
      <c r="W200" s="233">
        <f>DATABASE_Table[[#This Row],[Current Asking price( Total)]]-DATABASE_Table[[#This Row],[Vista membership]]-DATABASE_Table[[#This Row],[FF&amp;E]]</f>
        <v>1317000</v>
      </c>
      <c r="X200" s="216"/>
      <c r="Y200" s="232">
        <v>1390000</v>
      </c>
      <c r="Z200" s="233">
        <f>DATABASE_Table[[#This Row],[Sell price (Total)]]-DATABASE_Table[[#This Row],[FF&amp;E]]-DATABASE_Table[[#This Row],[Vista membership]]</f>
        <v>1317000</v>
      </c>
      <c r="AA200" s="315"/>
      <c r="AB200" s="321"/>
      <c r="AC200" s="276" t="s">
        <v>10</v>
      </c>
      <c r="AD200" s="276" t="s">
        <v>34</v>
      </c>
      <c r="AE200" s="277" t="s">
        <v>32</v>
      </c>
      <c r="AF200" s="277" t="s">
        <v>686</v>
      </c>
      <c r="AG200" s="277" t="s">
        <v>49</v>
      </c>
      <c r="AH200" s="277" t="s">
        <v>50</v>
      </c>
      <c r="AI200" s="276" t="s">
        <v>51</v>
      </c>
      <c r="AJ200" s="274" t="s">
        <v>48</v>
      </c>
      <c r="AK200"/>
    </row>
    <row r="201" spans="1:37" ht="15.75" hidden="1" customHeight="1">
      <c r="A201" s="198" t="s">
        <v>629</v>
      </c>
      <c r="B201" s="198" t="s">
        <v>691</v>
      </c>
      <c r="C201" s="214" t="s">
        <v>845</v>
      </c>
      <c r="D201" s="276" t="s">
        <v>9</v>
      </c>
      <c r="E201" s="198" t="s">
        <v>553</v>
      </c>
      <c r="F201" s="198">
        <v>260</v>
      </c>
      <c r="G201" s="198"/>
      <c r="H201" s="214" t="s">
        <v>325</v>
      </c>
      <c r="I201" s="214" t="s">
        <v>325</v>
      </c>
      <c r="J201" s="271"/>
      <c r="K201" s="198"/>
      <c r="L201" s="198"/>
      <c r="M201" s="198"/>
      <c r="N201" s="198"/>
      <c r="O201" s="198">
        <v>260</v>
      </c>
      <c r="P201" s="198"/>
      <c r="Q201" s="198" t="s">
        <v>329</v>
      </c>
      <c r="R201" s="230">
        <f>DATABASE_Table[[#This Row],[Inicial Asking Price (€) (Total)]]-DATABASE_Table[[#This Row],[Vista membership]]-DATABASE_Table[[#This Row],[FF&amp;E]]</f>
        <v>3150000</v>
      </c>
      <c r="S201" s="231">
        <v>3150000</v>
      </c>
      <c r="T201" s="232">
        <v>660000</v>
      </c>
      <c r="U201" s="198"/>
      <c r="V201" s="198"/>
      <c r="W201" s="233">
        <f>DATABASE_Table[[#This Row],[Current Asking price( Total)]]-DATABASE_Table[[#This Row],[Vista membership]]-DATABASE_Table[[#This Row],[FF&amp;E]]</f>
        <v>660000</v>
      </c>
      <c r="X201" s="216"/>
      <c r="Y201" s="232">
        <v>660000</v>
      </c>
      <c r="Z201" s="233">
        <f>DATABASE_Table[[#This Row],[Sell price (Total)]]-DATABASE_Table[[#This Row],[FF&amp;E]]-DATABASE_Table[[#This Row],[Vista membership]]</f>
        <v>660000</v>
      </c>
      <c r="AA201" s="315"/>
      <c r="AB201" s="321"/>
      <c r="AC201" s="276" t="s">
        <v>10</v>
      </c>
      <c r="AD201" s="276" t="s">
        <v>35</v>
      </c>
      <c r="AE201" s="277" t="s">
        <v>38</v>
      </c>
      <c r="AF201" s="277" t="s">
        <v>39</v>
      </c>
      <c r="AG201" s="277" t="s">
        <v>40</v>
      </c>
      <c r="AH201" s="277" t="s">
        <v>810</v>
      </c>
      <c r="AI201" s="276" t="s">
        <v>41</v>
      </c>
      <c r="AJ201" s="274" t="s">
        <v>37</v>
      </c>
      <c r="AK201"/>
    </row>
    <row r="202" spans="1:37" ht="15.75" customHeight="1">
      <c r="A202" s="198" t="s">
        <v>688</v>
      </c>
      <c r="B202" s="198" t="s">
        <v>691</v>
      </c>
      <c r="C202" s="214" t="s">
        <v>845</v>
      </c>
      <c r="D202" s="276"/>
      <c r="E202" s="198" t="s">
        <v>553</v>
      </c>
      <c r="F202" s="198">
        <v>280</v>
      </c>
      <c r="G202" s="198"/>
      <c r="H202" s="214" t="s">
        <v>325</v>
      </c>
      <c r="I202" s="214" t="s">
        <v>325</v>
      </c>
      <c r="J202" s="271"/>
      <c r="K202" s="198"/>
      <c r="L202" s="198"/>
      <c r="M202" s="198"/>
      <c r="N202" s="198"/>
      <c r="O202" s="198">
        <v>280</v>
      </c>
      <c r="P202" s="198"/>
      <c r="Q202" s="198" t="s">
        <v>929</v>
      </c>
      <c r="R202" s="230">
        <f>DATABASE_Table[[#This Row],[Inicial Asking Price (€) (Total)]]-DATABASE_Table[[#This Row],[Vista membership]]-DATABASE_Table[[#This Row],[FF&amp;E]]</f>
        <v>610000</v>
      </c>
      <c r="S202" s="231">
        <v>610000</v>
      </c>
      <c r="T202" s="232">
        <v>738100</v>
      </c>
      <c r="U202" s="198"/>
      <c r="V202" s="198"/>
      <c r="W202" s="233">
        <f>DATABASE_Table[[#This Row],[Current Asking price( Total)]]-DATABASE_Table[[#This Row],[Vista membership]]-DATABASE_Table[[#This Row],[FF&amp;E]]</f>
        <v>738100</v>
      </c>
      <c r="X202" s="216">
        <v>1.11022302462516E-16</v>
      </c>
      <c r="Y202" s="232">
        <v>738100</v>
      </c>
      <c r="Z202" s="233">
        <f>DATABASE_Table[[#This Row],[Sell price (Total)]]-DATABASE_Table[[#This Row],[FF&amp;E]]-DATABASE_Table[[#This Row],[Vista membership]]</f>
        <v>738100</v>
      </c>
      <c r="AA202" s="315">
        <v>45464</v>
      </c>
      <c r="AB202" s="321"/>
      <c r="AC202" s="276"/>
      <c r="AD202" s="276"/>
      <c r="AE202" s="277"/>
      <c r="AF202" s="277"/>
      <c r="AG202" s="277"/>
      <c r="AH202" s="277"/>
      <c r="AI202" s="276"/>
      <c r="AJ202" s="274" t="s">
        <v>688</v>
      </c>
      <c r="AK202"/>
    </row>
    <row r="203" spans="1:37" ht="15.75" hidden="1" customHeight="1">
      <c r="A203" s="198" t="s">
        <v>773</v>
      </c>
      <c r="B203" s="198" t="s">
        <v>769</v>
      </c>
      <c r="C203" s="214" t="s">
        <v>868</v>
      </c>
      <c r="D203" s="276" t="s">
        <v>67</v>
      </c>
      <c r="E203" s="198" t="s">
        <v>553</v>
      </c>
      <c r="F203" s="198">
        <v>2725</v>
      </c>
      <c r="G203" s="198"/>
      <c r="H203" s="214" t="s">
        <v>325</v>
      </c>
      <c r="I203" s="214" t="s">
        <v>325</v>
      </c>
      <c r="J203" s="271"/>
      <c r="K203" s="198"/>
      <c r="L203" s="198"/>
      <c r="M203" s="198"/>
      <c r="N203" s="198"/>
      <c r="O203" s="198">
        <v>340</v>
      </c>
      <c r="P203" s="198"/>
      <c r="Q203" s="198" t="s">
        <v>329</v>
      </c>
      <c r="R203" s="230">
        <f>DATABASE_Table[[#This Row],[Inicial Asking Price (€) (Total)]]-DATABASE_Table[[#This Row],[Vista membership]]-DATABASE_Table[[#This Row],[FF&amp;E]]</f>
        <v>570000</v>
      </c>
      <c r="S203" s="234">
        <v>570000</v>
      </c>
      <c r="T203" s="235">
        <v>1250000</v>
      </c>
      <c r="U203" s="198"/>
      <c r="V203" s="198"/>
      <c r="W203" s="233">
        <f>DATABASE_Table[[#This Row],[Current Asking price( Total)]]-DATABASE_Table[[#This Row],[Vista membership]]-DATABASE_Table[[#This Row],[FF&amp;E]]</f>
        <v>1250000</v>
      </c>
      <c r="X203" s="236"/>
      <c r="Y203" s="235">
        <v>1250000</v>
      </c>
      <c r="Z203" s="233">
        <f>DATABASE_Table[[#This Row],[Sell price (Total)]]-DATABASE_Table[[#This Row],[FF&amp;E]]-DATABASE_Table[[#This Row],[Vista membership]]</f>
        <v>1250000</v>
      </c>
      <c r="AA203" s="315"/>
      <c r="AB203" s="321">
        <v>46843</v>
      </c>
      <c r="AC203" s="276" t="s">
        <v>57</v>
      </c>
      <c r="AD203" s="276" t="s">
        <v>68</v>
      </c>
      <c r="AE203" s="277" t="s">
        <v>69</v>
      </c>
      <c r="AF203" s="277" t="s">
        <v>70</v>
      </c>
      <c r="AG203" s="277" t="s">
        <v>71</v>
      </c>
      <c r="AH203" s="277" t="s">
        <v>816</v>
      </c>
      <c r="AI203" s="276" t="s">
        <v>72</v>
      </c>
      <c r="AJ203" s="274" t="s">
        <v>66</v>
      </c>
      <c r="AK203"/>
    </row>
    <row r="204" spans="1:37" ht="15.75" hidden="1" customHeight="1">
      <c r="A204" s="198" t="s">
        <v>773</v>
      </c>
      <c r="B204" s="198" t="s">
        <v>769</v>
      </c>
      <c r="C204" s="214" t="s">
        <v>869</v>
      </c>
      <c r="D204" s="276" t="s">
        <v>67</v>
      </c>
      <c r="E204" s="198" t="s">
        <v>553</v>
      </c>
      <c r="F204" s="198">
        <v>3281</v>
      </c>
      <c r="G204" s="198"/>
      <c r="H204" s="214" t="s">
        <v>325</v>
      </c>
      <c r="I204" s="214" t="s">
        <v>325</v>
      </c>
      <c r="J204" s="271"/>
      <c r="K204" s="198"/>
      <c r="L204" s="198"/>
      <c r="M204" s="198"/>
      <c r="N204" s="198"/>
      <c r="O204" s="198">
        <v>500</v>
      </c>
      <c r="P204" s="198"/>
      <c r="Q204" s="198" t="s">
        <v>329</v>
      </c>
      <c r="R204" s="230">
        <f>DATABASE_Table[[#This Row],[Inicial Asking Price (€) (Total)]]-DATABASE_Table[[#This Row],[Vista membership]]-DATABASE_Table[[#This Row],[FF&amp;E]]</f>
        <v>570000</v>
      </c>
      <c r="S204" s="234">
        <v>570000</v>
      </c>
      <c r="T204" s="235">
        <v>1350000</v>
      </c>
      <c r="U204" s="198"/>
      <c r="V204" s="198"/>
      <c r="W204" s="233">
        <f>DATABASE_Table[[#This Row],[Current Asking price( Total)]]-DATABASE_Table[[#This Row],[Vista membership]]-DATABASE_Table[[#This Row],[FF&amp;E]]</f>
        <v>1350000</v>
      </c>
      <c r="X204" s="236"/>
      <c r="Y204" s="235">
        <v>1350000</v>
      </c>
      <c r="Z204" s="233">
        <f>DATABASE_Table[[#This Row],[Sell price (Total)]]-DATABASE_Table[[#This Row],[FF&amp;E]]-DATABASE_Table[[#This Row],[Vista membership]]</f>
        <v>1350000</v>
      </c>
      <c r="AA204" s="315"/>
      <c r="AB204" s="321">
        <v>46843</v>
      </c>
      <c r="AC204" s="276" t="s">
        <v>57</v>
      </c>
      <c r="AD204" s="276" t="s">
        <v>68</v>
      </c>
      <c r="AE204" s="277" t="s">
        <v>69</v>
      </c>
      <c r="AF204" s="277" t="s">
        <v>70</v>
      </c>
      <c r="AG204" s="277" t="s">
        <v>71</v>
      </c>
      <c r="AH204" s="277" t="s">
        <v>816</v>
      </c>
      <c r="AI204" s="276" t="s">
        <v>72</v>
      </c>
      <c r="AJ204" s="274" t="s">
        <v>66</v>
      </c>
      <c r="AK204"/>
    </row>
    <row r="205" spans="1:37" ht="15.75" hidden="1" customHeight="1">
      <c r="A205" s="198" t="s">
        <v>933</v>
      </c>
      <c r="B205" s="198" t="s">
        <v>769</v>
      </c>
      <c r="C205" s="214" t="s">
        <v>438</v>
      </c>
      <c r="D205" s="276"/>
      <c r="E205" s="198" t="s">
        <v>419</v>
      </c>
      <c r="F205" s="198">
        <v>90.53</v>
      </c>
      <c r="G205" s="198"/>
      <c r="H205" s="214" t="s">
        <v>325</v>
      </c>
      <c r="I205" s="214" t="s">
        <v>911</v>
      </c>
      <c r="J205" s="271"/>
      <c r="K205" s="198"/>
      <c r="L205" s="198"/>
      <c r="M205" s="198">
        <v>19.03</v>
      </c>
      <c r="N205" s="198"/>
      <c r="O205" s="198">
        <v>64.22</v>
      </c>
      <c r="P205" s="198"/>
      <c r="Q205" s="198" t="s">
        <v>329</v>
      </c>
      <c r="R205" s="230">
        <f>DATABASE_Table[[#This Row],[Inicial Asking Price (€) (Total)]]-DATABASE_Table[[#This Row],[Vista membership]]-DATABASE_Table[[#This Row],[FF&amp;E]]</f>
        <v>640000</v>
      </c>
      <c r="S205" s="234">
        <v>640000</v>
      </c>
      <c r="T205" s="235">
        <v>640000</v>
      </c>
      <c r="U205" s="198"/>
      <c r="V205" s="198"/>
      <c r="W205" s="233">
        <f>DATABASE_Table[[#This Row],[Current Asking price( Total)]]-DATABASE_Table[[#This Row],[Vista membership]]-DATABASE_Table[[#This Row],[FF&amp;E]]</f>
        <v>640000</v>
      </c>
      <c r="X205" s="236"/>
      <c r="Y205" s="235">
        <v>640000</v>
      </c>
      <c r="Z205" s="233">
        <f>DATABASE_Table[[#This Row],[Sell price (Total)]]-DATABASE_Table[[#This Row],[FF&amp;E]]-DATABASE_Table[[#This Row],[Vista membership]]</f>
        <v>640000</v>
      </c>
      <c r="AA205" s="315"/>
      <c r="AB205" s="321">
        <v>46843</v>
      </c>
      <c r="AC205" s="276"/>
      <c r="AD205" s="276"/>
      <c r="AE205" s="277"/>
      <c r="AF205" s="277"/>
      <c r="AG205" s="277"/>
      <c r="AH205" s="277"/>
      <c r="AI205" s="276"/>
      <c r="AJ205" s="274" t="s">
        <v>66</v>
      </c>
      <c r="AK205"/>
    </row>
    <row r="206" spans="1:37" ht="15.75" hidden="1" customHeight="1">
      <c r="A206" s="198" t="s">
        <v>565</v>
      </c>
      <c r="B206" s="198" t="s">
        <v>691</v>
      </c>
      <c r="C206" s="214" t="s">
        <v>860</v>
      </c>
      <c r="D206" s="276" t="s">
        <v>9</v>
      </c>
      <c r="E206" s="198" t="s">
        <v>421</v>
      </c>
      <c r="F206" s="198">
        <v>280.5</v>
      </c>
      <c r="G206" s="198"/>
      <c r="H206" s="214" t="s">
        <v>848</v>
      </c>
      <c r="I206" s="214" t="s">
        <v>325</v>
      </c>
      <c r="J206" s="271">
        <v>46.5</v>
      </c>
      <c r="K206" s="198"/>
      <c r="L206" s="198"/>
      <c r="M206" s="198"/>
      <c r="N206" s="198"/>
      <c r="O206" s="198">
        <v>234</v>
      </c>
      <c r="P206" s="198"/>
      <c r="Q206" s="198" t="s">
        <v>329</v>
      </c>
      <c r="R206" s="230">
        <f>DATABASE_Table[[#This Row],[Inicial Asking Price (€) (Total)]]-DATABASE_Table[[#This Row],[Vista membership]]-DATABASE_Table[[#This Row],[FF&amp;E]]</f>
        <v>3705000</v>
      </c>
      <c r="S206" s="231">
        <v>3810000</v>
      </c>
      <c r="T206" s="232">
        <v>3930000</v>
      </c>
      <c r="U206" s="198">
        <v>60000</v>
      </c>
      <c r="V206" s="198">
        <v>45000</v>
      </c>
      <c r="W206" s="233">
        <f>DATABASE_Table[[#This Row],[Current Asking price( Total)]]-DATABASE_Table[[#This Row],[Vista membership]]-DATABASE_Table[[#This Row],[FF&amp;E]]</f>
        <v>3825000</v>
      </c>
      <c r="X206" s="216"/>
      <c r="Y206" s="232">
        <v>3930000</v>
      </c>
      <c r="Z206" s="233">
        <f>DATABASE_Table[[#This Row],[Sell price (Total)]]-DATABASE_Table[[#This Row],[FF&amp;E]]-DATABASE_Table[[#This Row],[Vista membership]]</f>
        <v>3825000</v>
      </c>
      <c r="AA206" s="315"/>
      <c r="AB206" s="321"/>
      <c r="AC206" s="276" t="s">
        <v>10</v>
      </c>
      <c r="AD206" s="276" t="s">
        <v>34</v>
      </c>
      <c r="AE206" s="277" t="s">
        <v>32</v>
      </c>
      <c r="AF206" s="277" t="s">
        <v>686</v>
      </c>
      <c r="AG206" s="277" t="s">
        <v>49</v>
      </c>
      <c r="AH206" s="277" t="s">
        <v>50</v>
      </c>
      <c r="AI206" s="276" t="s">
        <v>51</v>
      </c>
      <c r="AJ206" s="274" t="s">
        <v>48</v>
      </c>
      <c r="AK206"/>
    </row>
    <row r="207" spans="1:37" ht="15.75" hidden="1" customHeight="1">
      <c r="A207" s="198" t="s">
        <v>565</v>
      </c>
      <c r="B207" s="198" t="s">
        <v>691</v>
      </c>
      <c r="C207" s="214" t="s">
        <v>715</v>
      </c>
      <c r="D207" s="276" t="s">
        <v>9</v>
      </c>
      <c r="E207" s="198" t="s">
        <v>419</v>
      </c>
      <c r="F207" s="198">
        <v>80.900000000000006</v>
      </c>
      <c r="G207" s="198"/>
      <c r="H207" s="214" t="s">
        <v>848</v>
      </c>
      <c r="I207" s="214" t="s">
        <v>325</v>
      </c>
      <c r="J207" s="271">
        <v>18</v>
      </c>
      <c r="K207" s="198"/>
      <c r="L207" s="198"/>
      <c r="M207" s="198"/>
      <c r="N207" s="198"/>
      <c r="O207" s="198">
        <v>62.9</v>
      </c>
      <c r="P207" s="198"/>
      <c r="Q207" s="198" t="s">
        <v>329</v>
      </c>
      <c r="R207" s="230">
        <f>DATABASE_Table[[#This Row],[Inicial Asking Price (€) (Total)]]-DATABASE_Table[[#This Row],[Vista membership]]-DATABASE_Table[[#This Row],[FF&amp;E]]</f>
        <v>625000</v>
      </c>
      <c r="S207" s="231">
        <v>690000</v>
      </c>
      <c r="T207" s="232">
        <v>750000</v>
      </c>
      <c r="U207" s="198">
        <v>50000</v>
      </c>
      <c r="V207" s="198">
        <v>15000</v>
      </c>
      <c r="W207" s="233">
        <f>DATABASE_Table[[#This Row],[Current Asking price( Total)]]-DATABASE_Table[[#This Row],[Vista membership]]-DATABASE_Table[[#This Row],[FF&amp;E]]</f>
        <v>685000</v>
      </c>
      <c r="X207" s="216"/>
      <c r="Y207" s="232">
        <v>750000</v>
      </c>
      <c r="Z207" s="233">
        <f>DATABASE_Table[[#This Row],[Sell price (Total)]]-DATABASE_Table[[#This Row],[FF&amp;E]]-DATABASE_Table[[#This Row],[Vista membership]]</f>
        <v>685000</v>
      </c>
      <c r="AA207" s="315"/>
      <c r="AB207" s="321"/>
      <c r="AC207" s="276" t="s">
        <v>10</v>
      </c>
      <c r="AD207" s="276" t="s">
        <v>34</v>
      </c>
      <c r="AE207" s="277" t="s">
        <v>32</v>
      </c>
      <c r="AF207" s="277" t="s">
        <v>686</v>
      </c>
      <c r="AG207" s="277" t="s">
        <v>49</v>
      </c>
      <c r="AH207" s="277" t="s">
        <v>50</v>
      </c>
      <c r="AI207" s="276" t="s">
        <v>51</v>
      </c>
      <c r="AJ207" s="274" t="s">
        <v>48</v>
      </c>
      <c r="AK207"/>
    </row>
    <row r="208" spans="1:37" ht="15.75" hidden="1" customHeight="1">
      <c r="A208" s="198" t="s">
        <v>565</v>
      </c>
      <c r="B208" s="198" t="s">
        <v>691</v>
      </c>
      <c r="C208" s="214" t="s">
        <v>716</v>
      </c>
      <c r="D208" s="276" t="s">
        <v>9</v>
      </c>
      <c r="E208" s="198" t="s">
        <v>419</v>
      </c>
      <c r="F208" s="198">
        <v>81.099999999999994</v>
      </c>
      <c r="G208" s="198"/>
      <c r="H208" s="214" t="s">
        <v>848</v>
      </c>
      <c r="I208" s="214" t="s">
        <v>325</v>
      </c>
      <c r="J208" s="271">
        <v>18</v>
      </c>
      <c r="K208" s="198"/>
      <c r="L208" s="198"/>
      <c r="M208" s="198"/>
      <c r="N208" s="198"/>
      <c r="O208" s="198">
        <v>63.1</v>
      </c>
      <c r="P208" s="198"/>
      <c r="Q208" s="198" t="s">
        <v>329</v>
      </c>
      <c r="R208" s="230">
        <f>DATABASE_Table[[#This Row],[Inicial Asking Price (€) (Total)]]-DATABASE_Table[[#This Row],[Vista membership]]-DATABASE_Table[[#This Row],[FF&amp;E]]</f>
        <v>645000</v>
      </c>
      <c r="S208" s="231">
        <v>710000</v>
      </c>
      <c r="T208" s="232">
        <v>770000</v>
      </c>
      <c r="U208" s="198">
        <v>50000</v>
      </c>
      <c r="V208" s="198">
        <v>15000</v>
      </c>
      <c r="W208" s="233">
        <f>DATABASE_Table[[#This Row],[Current Asking price( Total)]]-DATABASE_Table[[#This Row],[Vista membership]]-DATABASE_Table[[#This Row],[FF&amp;E]]</f>
        <v>705000</v>
      </c>
      <c r="X208" s="216"/>
      <c r="Y208" s="232">
        <v>770000</v>
      </c>
      <c r="Z208" s="233">
        <f>DATABASE_Table[[#This Row],[Sell price (Total)]]-DATABASE_Table[[#This Row],[FF&amp;E]]-DATABASE_Table[[#This Row],[Vista membership]]</f>
        <v>705000</v>
      </c>
      <c r="AA208" s="315"/>
      <c r="AB208" s="321"/>
      <c r="AC208" s="276" t="s">
        <v>10</v>
      </c>
      <c r="AD208" s="276" t="s">
        <v>34</v>
      </c>
      <c r="AE208" s="277" t="s">
        <v>32</v>
      </c>
      <c r="AF208" s="277" t="s">
        <v>686</v>
      </c>
      <c r="AG208" s="277" t="s">
        <v>49</v>
      </c>
      <c r="AH208" s="277" t="s">
        <v>50</v>
      </c>
      <c r="AI208" s="276" t="s">
        <v>51</v>
      </c>
      <c r="AJ208" s="274" t="s">
        <v>48</v>
      </c>
      <c r="AK208"/>
    </row>
    <row r="209" spans="1:37" ht="15.75" hidden="1" customHeight="1">
      <c r="A209" s="198" t="s">
        <v>565</v>
      </c>
      <c r="B209" s="198" t="s">
        <v>691</v>
      </c>
      <c r="C209" s="214" t="s">
        <v>717</v>
      </c>
      <c r="D209" s="276" t="s">
        <v>9</v>
      </c>
      <c r="E209" s="198" t="s">
        <v>419</v>
      </c>
      <c r="F209" s="198">
        <v>81.099999999999994</v>
      </c>
      <c r="G209" s="198"/>
      <c r="H209" s="214" t="s">
        <v>848</v>
      </c>
      <c r="I209" s="214" t="s">
        <v>325</v>
      </c>
      <c r="J209" s="271">
        <v>18</v>
      </c>
      <c r="K209" s="198"/>
      <c r="L209" s="198"/>
      <c r="M209" s="198"/>
      <c r="N209" s="198"/>
      <c r="O209" s="198">
        <v>63.1</v>
      </c>
      <c r="P209" s="198"/>
      <c r="Q209" s="198" t="s">
        <v>329</v>
      </c>
      <c r="R209" s="230">
        <f>DATABASE_Table[[#This Row],[Inicial Asking Price (€) (Total)]]-DATABASE_Table[[#This Row],[Vista membership]]-DATABASE_Table[[#This Row],[FF&amp;E]]</f>
        <v>695000</v>
      </c>
      <c r="S209" s="231">
        <v>760000</v>
      </c>
      <c r="T209" s="232">
        <v>820000</v>
      </c>
      <c r="U209" s="198">
        <v>50000</v>
      </c>
      <c r="V209" s="198">
        <v>15000</v>
      </c>
      <c r="W209" s="233">
        <f>DATABASE_Table[[#This Row],[Current Asking price( Total)]]-DATABASE_Table[[#This Row],[Vista membership]]-DATABASE_Table[[#This Row],[FF&amp;E]]</f>
        <v>755000</v>
      </c>
      <c r="X209" s="216"/>
      <c r="Y209" s="232">
        <v>820000</v>
      </c>
      <c r="Z209" s="233">
        <f>DATABASE_Table[[#This Row],[Sell price (Total)]]-DATABASE_Table[[#This Row],[FF&amp;E]]-DATABASE_Table[[#This Row],[Vista membership]]</f>
        <v>755000</v>
      </c>
      <c r="AA209" s="315"/>
      <c r="AB209" s="321"/>
      <c r="AC209" s="276" t="s">
        <v>10</v>
      </c>
      <c r="AD209" s="276" t="s">
        <v>34</v>
      </c>
      <c r="AE209" s="277" t="s">
        <v>32</v>
      </c>
      <c r="AF209" s="277" t="s">
        <v>686</v>
      </c>
      <c r="AG209" s="277" t="s">
        <v>49</v>
      </c>
      <c r="AH209" s="277" t="s">
        <v>50</v>
      </c>
      <c r="AI209" s="276" t="s">
        <v>51</v>
      </c>
      <c r="AJ209" s="274" t="s">
        <v>48</v>
      </c>
      <c r="AK209"/>
    </row>
    <row r="210" spans="1:37" ht="15.75" hidden="1" customHeight="1">
      <c r="A210" s="198" t="s">
        <v>565</v>
      </c>
      <c r="B210" s="198" t="s">
        <v>691</v>
      </c>
      <c r="C210" s="214" t="s">
        <v>718</v>
      </c>
      <c r="D210" s="276" t="s">
        <v>9</v>
      </c>
      <c r="E210" s="198" t="s">
        <v>419</v>
      </c>
      <c r="F210" s="198">
        <v>81.099999999999994</v>
      </c>
      <c r="G210" s="198"/>
      <c r="H210" s="214" t="s">
        <v>848</v>
      </c>
      <c r="I210" s="214" t="s">
        <v>325</v>
      </c>
      <c r="J210" s="271">
        <v>18</v>
      </c>
      <c r="K210" s="198"/>
      <c r="L210" s="198"/>
      <c r="M210" s="198"/>
      <c r="N210" s="198"/>
      <c r="O210" s="198">
        <v>63.1</v>
      </c>
      <c r="P210" s="198"/>
      <c r="Q210" s="198" t="s">
        <v>329</v>
      </c>
      <c r="R210" s="230">
        <f>DATABASE_Table[[#This Row],[Inicial Asking Price (€) (Total)]]-DATABASE_Table[[#This Row],[Vista membership]]-DATABASE_Table[[#This Row],[FF&amp;E]]</f>
        <v>735000</v>
      </c>
      <c r="S210" s="231">
        <v>800000</v>
      </c>
      <c r="T210" s="232">
        <v>860000</v>
      </c>
      <c r="U210" s="198">
        <v>50000</v>
      </c>
      <c r="V210" s="198">
        <v>15000</v>
      </c>
      <c r="W210" s="233">
        <f>DATABASE_Table[[#This Row],[Current Asking price( Total)]]-DATABASE_Table[[#This Row],[Vista membership]]-DATABASE_Table[[#This Row],[FF&amp;E]]</f>
        <v>795000</v>
      </c>
      <c r="X210" s="216"/>
      <c r="Y210" s="232">
        <v>860000</v>
      </c>
      <c r="Z210" s="233">
        <f>DATABASE_Table[[#This Row],[Sell price (Total)]]-DATABASE_Table[[#This Row],[FF&amp;E]]-DATABASE_Table[[#This Row],[Vista membership]]</f>
        <v>795000</v>
      </c>
      <c r="AA210" s="315"/>
      <c r="AB210" s="321"/>
      <c r="AC210" s="276" t="s">
        <v>10</v>
      </c>
      <c r="AD210" s="276" t="s">
        <v>34</v>
      </c>
      <c r="AE210" s="277" t="s">
        <v>32</v>
      </c>
      <c r="AF210" s="277" t="s">
        <v>686</v>
      </c>
      <c r="AG210" s="277" t="s">
        <v>49</v>
      </c>
      <c r="AH210" s="277" t="s">
        <v>50</v>
      </c>
      <c r="AI210" s="276" t="s">
        <v>51</v>
      </c>
      <c r="AJ210" s="274" t="s">
        <v>48</v>
      </c>
      <c r="AK210"/>
    </row>
    <row r="211" spans="1:37" ht="15.75" hidden="1" customHeight="1">
      <c r="A211" s="198" t="s">
        <v>565</v>
      </c>
      <c r="B211" s="198" t="s">
        <v>691</v>
      </c>
      <c r="C211" s="214" t="s">
        <v>861</v>
      </c>
      <c r="D211" s="276" t="s">
        <v>9</v>
      </c>
      <c r="E211" s="198" t="s">
        <v>419</v>
      </c>
      <c r="F211" s="198">
        <v>83</v>
      </c>
      <c r="G211" s="198"/>
      <c r="H211" s="214" t="s">
        <v>848</v>
      </c>
      <c r="I211" s="214" t="s">
        <v>325</v>
      </c>
      <c r="J211" s="271">
        <v>18.7</v>
      </c>
      <c r="K211" s="198"/>
      <c r="L211" s="198"/>
      <c r="M211" s="198"/>
      <c r="N211" s="198"/>
      <c r="O211" s="198">
        <v>64.3</v>
      </c>
      <c r="P211" s="198"/>
      <c r="Q211" s="198" t="s">
        <v>329</v>
      </c>
      <c r="R211" s="230">
        <f>DATABASE_Table[[#This Row],[Inicial Asking Price (€) (Total)]]-DATABASE_Table[[#This Row],[Vista membership]]-DATABASE_Table[[#This Row],[FF&amp;E]]</f>
        <v>805000</v>
      </c>
      <c r="S211" s="231">
        <v>870000</v>
      </c>
      <c r="T211" s="232">
        <v>930000</v>
      </c>
      <c r="U211" s="198">
        <v>50000</v>
      </c>
      <c r="V211" s="198">
        <v>15000</v>
      </c>
      <c r="W211" s="233">
        <f>DATABASE_Table[[#This Row],[Current Asking price( Total)]]-DATABASE_Table[[#This Row],[Vista membership]]-DATABASE_Table[[#This Row],[FF&amp;E]]</f>
        <v>865000</v>
      </c>
      <c r="X211" s="216"/>
      <c r="Y211" s="232">
        <v>930000</v>
      </c>
      <c r="Z211" s="233">
        <f>DATABASE_Table[[#This Row],[Sell price (Total)]]-DATABASE_Table[[#This Row],[FF&amp;E]]-DATABASE_Table[[#This Row],[Vista membership]]</f>
        <v>865000</v>
      </c>
      <c r="AA211" s="315"/>
      <c r="AB211" s="321"/>
      <c r="AC211" s="276" t="s">
        <v>10</v>
      </c>
      <c r="AD211" s="276" t="s">
        <v>34</v>
      </c>
      <c r="AE211" s="277" t="s">
        <v>32</v>
      </c>
      <c r="AF211" s="277" t="s">
        <v>686</v>
      </c>
      <c r="AG211" s="277" t="s">
        <v>49</v>
      </c>
      <c r="AH211" s="277" t="s">
        <v>50</v>
      </c>
      <c r="AI211" s="276" t="s">
        <v>51</v>
      </c>
      <c r="AJ211" s="274" t="s">
        <v>48</v>
      </c>
      <c r="AK211"/>
    </row>
    <row r="212" spans="1:37" ht="15.75" hidden="1" customHeight="1">
      <c r="A212" s="198" t="s">
        <v>565</v>
      </c>
      <c r="B212" s="198" t="s">
        <v>691</v>
      </c>
      <c r="C212" s="214" t="s">
        <v>719</v>
      </c>
      <c r="D212" s="276" t="s">
        <v>9</v>
      </c>
      <c r="E212" s="198" t="s">
        <v>421</v>
      </c>
      <c r="F212" s="198">
        <v>284.8</v>
      </c>
      <c r="G212" s="198"/>
      <c r="H212" s="214" t="s">
        <v>848</v>
      </c>
      <c r="I212" s="214" t="s">
        <v>325</v>
      </c>
      <c r="J212" s="271">
        <v>60.8</v>
      </c>
      <c r="K212" s="198"/>
      <c r="L212" s="198"/>
      <c r="M212" s="198"/>
      <c r="N212" s="198"/>
      <c r="O212" s="198">
        <v>224</v>
      </c>
      <c r="P212" s="198"/>
      <c r="Q212" s="198" t="s">
        <v>329</v>
      </c>
      <c r="R212" s="230">
        <f>DATABASE_Table[[#This Row],[Inicial Asking Price (€) (Total)]]-DATABASE_Table[[#This Row],[Vista membership]]-DATABASE_Table[[#This Row],[FF&amp;E]]</f>
        <v>3525000</v>
      </c>
      <c r="S212" s="231">
        <v>3630000</v>
      </c>
      <c r="T212" s="232">
        <v>3740000</v>
      </c>
      <c r="U212" s="198">
        <v>60000</v>
      </c>
      <c r="V212" s="198">
        <v>45000</v>
      </c>
      <c r="W212" s="233">
        <f>DATABASE_Table[[#This Row],[Current Asking price( Total)]]-DATABASE_Table[[#This Row],[Vista membership]]-DATABASE_Table[[#This Row],[FF&amp;E]]</f>
        <v>3635000</v>
      </c>
      <c r="X212" s="216"/>
      <c r="Y212" s="232">
        <v>3740000</v>
      </c>
      <c r="Z212" s="233">
        <f>DATABASE_Table[[#This Row],[Sell price (Total)]]-DATABASE_Table[[#This Row],[FF&amp;E]]-DATABASE_Table[[#This Row],[Vista membership]]</f>
        <v>3635000</v>
      </c>
      <c r="AA212" s="315"/>
      <c r="AB212" s="321"/>
      <c r="AC212" s="276" t="s">
        <v>10</v>
      </c>
      <c r="AD212" s="276" t="s">
        <v>34</v>
      </c>
      <c r="AE212" s="277" t="s">
        <v>32</v>
      </c>
      <c r="AF212" s="277" t="s">
        <v>686</v>
      </c>
      <c r="AG212" s="277" t="s">
        <v>49</v>
      </c>
      <c r="AH212" s="277" t="s">
        <v>50</v>
      </c>
      <c r="AI212" s="276" t="s">
        <v>51</v>
      </c>
      <c r="AJ212" s="274" t="s">
        <v>48</v>
      </c>
      <c r="AK212"/>
    </row>
    <row r="213" spans="1:37" ht="15.75" hidden="1" customHeight="1">
      <c r="A213" s="198" t="s">
        <v>629</v>
      </c>
      <c r="B213" s="198" t="s">
        <v>691</v>
      </c>
      <c r="C213" s="214" t="s">
        <v>846</v>
      </c>
      <c r="D213" s="276" t="s">
        <v>9</v>
      </c>
      <c r="E213" s="198" t="s">
        <v>553</v>
      </c>
      <c r="F213" s="198">
        <v>260</v>
      </c>
      <c r="G213" s="198"/>
      <c r="H213" s="214" t="s">
        <v>325</v>
      </c>
      <c r="I213" s="214" t="s">
        <v>325</v>
      </c>
      <c r="J213" s="271"/>
      <c r="K213" s="198"/>
      <c r="L213" s="198"/>
      <c r="M213" s="198"/>
      <c r="N213" s="198"/>
      <c r="O213" s="198">
        <v>260</v>
      </c>
      <c r="P213" s="198"/>
      <c r="Q213" s="198" t="s">
        <v>329</v>
      </c>
      <c r="R213" s="230">
        <f>DATABASE_Table[[#This Row],[Inicial Asking Price (€) (Total)]]-DATABASE_Table[[#This Row],[Vista membership]]-DATABASE_Table[[#This Row],[FF&amp;E]]</f>
        <v>1840000</v>
      </c>
      <c r="S213" s="231">
        <v>1840000</v>
      </c>
      <c r="T213" s="232">
        <v>650000</v>
      </c>
      <c r="U213" s="198"/>
      <c r="V213" s="198"/>
      <c r="W213" s="233">
        <f>DATABASE_Table[[#This Row],[Current Asking price( Total)]]-DATABASE_Table[[#This Row],[Vista membership]]-DATABASE_Table[[#This Row],[FF&amp;E]]</f>
        <v>650000</v>
      </c>
      <c r="X213" s="216"/>
      <c r="Y213" s="232">
        <v>650000</v>
      </c>
      <c r="Z213" s="233">
        <f>DATABASE_Table[[#This Row],[Sell price (Total)]]-DATABASE_Table[[#This Row],[FF&amp;E]]-DATABASE_Table[[#This Row],[Vista membership]]</f>
        <v>650000</v>
      </c>
      <c r="AA213" s="315"/>
      <c r="AB213" s="321"/>
      <c r="AC213" s="276" t="s">
        <v>10</v>
      </c>
      <c r="AD213" s="276" t="s">
        <v>35</v>
      </c>
      <c r="AE213" s="277" t="s">
        <v>38</v>
      </c>
      <c r="AF213" s="277" t="s">
        <v>39</v>
      </c>
      <c r="AG213" s="277" t="s">
        <v>40</v>
      </c>
      <c r="AH213" s="277" t="s">
        <v>810</v>
      </c>
      <c r="AI213" s="276" t="s">
        <v>41</v>
      </c>
      <c r="AJ213" s="274" t="s">
        <v>37</v>
      </c>
      <c r="AK213"/>
    </row>
    <row r="214" spans="1:37" ht="15.75" customHeight="1">
      <c r="A214" s="198" t="s">
        <v>688</v>
      </c>
      <c r="B214" s="198" t="s">
        <v>691</v>
      </c>
      <c r="C214" s="214" t="s">
        <v>846</v>
      </c>
      <c r="D214" s="276"/>
      <c r="E214" s="198" t="s">
        <v>553</v>
      </c>
      <c r="F214" s="198">
        <v>280</v>
      </c>
      <c r="G214" s="198"/>
      <c r="H214" s="214" t="s">
        <v>325</v>
      </c>
      <c r="I214" s="214" t="s">
        <v>325</v>
      </c>
      <c r="J214" s="271"/>
      <c r="K214" s="198"/>
      <c r="L214" s="198"/>
      <c r="M214" s="198"/>
      <c r="N214" s="198"/>
      <c r="O214" s="198">
        <v>280</v>
      </c>
      <c r="P214" s="198"/>
      <c r="Q214" s="325" t="s">
        <v>628</v>
      </c>
      <c r="R214" s="230">
        <f>DATABASE_Table[[#This Row],[Inicial Asking Price (€) (Total)]]-DATABASE_Table[[#This Row],[Vista membership]]-DATABASE_Table[[#This Row],[FF&amp;E]]</f>
        <v>610000</v>
      </c>
      <c r="S214" s="231">
        <v>610000</v>
      </c>
      <c r="T214" s="232">
        <v>738100</v>
      </c>
      <c r="U214" s="198"/>
      <c r="V214" s="198"/>
      <c r="W214" s="233">
        <f>DATABASE_Table[[#This Row],[Current Asking price( Total)]]-DATABASE_Table[[#This Row],[Vista membership]]-DATABASE_Table[[#This Row],[FF&amp;E]]</f>
        <v>738100</v>
      </c>
      <c r="X214" s="216">
        <v>1.11022302462516E-16</v>
      </c>
      <c r="Y214" s="232">
        <v>738100</v>
      </c>
      <c r="Z214" s="233">
        <f>DATABASE_Table[[#This Row],[Sell price (Total)]]-DATABASE_Table[[#This Row],[FF&amp;E]]-DATABASE_Table[[#This Row],[Vista membership]]</f>
        <v>738100</v>
      </c>
      <c r="AA214" s="315">
        <v>46185</v>
      </c>
      <c r="AB214" s="321"/>
      <c r="AC214" s="276"/>
      <c r="AD214" s="276"/>
      <c r="AE214" s="277"/>
      <c r="AF214" s="277"/>
      <c r="AG214" s="277"/>
      <c r="AH214" s="277"/>
      <c r="AI214" s="276"/>
      <c r="AJ214" s="274" t="s">
        <v>688</v>
      </c>
      <c r="AK214"/>
    </row>
    <row r="215" spans="1:37" ht="15.75" hidden="1" customHeight="1">
      <c r="A215" s="198" t="s">
        <v>629</v>
      </c>
      <c r="B215" s="198" t="s">
        <v>691</v>
      </c>
      <c r="C215" s="214" t="s">
        <v>847</v>
      </c>
      <c r="D215" s="276" t="s">
        <v>9</v>
      </c>
      <c r="E215" s="198" t="s">
        <v>553</v>
      </c>
      <c r="F215" s="198">
        <v>260</v>
      </c>
      <c r="G215" s="198"/>
      <c r="H215" s="214" t="s">
        <v>325</v>
      </c>
      <c r="I215" s="214" t="s">
        <v>325</v>
      </c>
      <c r="J215" s="271"/>
      <c r="K215" s="198"/>
      <c r="L215" s="198"/>
      <c r="M215" s="198"/>
      <c r="N215" s="198"/>
      <c r="O215" s="198">
        <v>260</v>
      </c>
      <c r="P215" s="198"/>
      <c r="Q215" s="198" t="s">
        <v>327</v>
      </c>
      <c r="R215" s="230">
        <f>DATABASE_Table[[#This Row],[Inicial Asking Price (€) (Total)]]-DATABASE_Table[[#This Row],[Vista membership]]-DATABASE_Table[[#This Row],[FF&amp;E]]</f>
        <v>3150000</v>
      </c>
      <c r="S215" s="231">
        <v>3150000</v>
      </c>
      <c r="T215" s="232">
        <v>780000</v>
      </c>
      <c r="U215" s="198"/>
      <c r="V215" s="198"/>
      <c r="W215" s="233">
        <f>DATABASE_Table[[#This Row],[Current Asking price( Total)]]-DATABASE_Table[[#This Row],[Vista membership]]-DATABASE_Table[[#This Row],[FF&amp;E]]</f>
        <v>780000</v>
      </c>
      <c r="X215" s="216">
        <v>0</v>
      </c>
      <c r="Y215" s="232">
        <v>780000</v>
      </c>
      <c r="Z215" s="233">
        <f>DATABASE_Table[[#This Row],[Sell price (Total)]]-DATABASE_Table[[#This Row],[FF&amp;E]]-DATABASE_Table[[#This Row],[Vista membership]]</f>
        <v>780000</v>
      </c>
      <c r="AA215" s="315">
        <v>46174</v>
      </c>
      <c r="AB215" s="321"/>
      <c r="AC215" s="276" t="s">
        <v>10</v>
      </c>
      <c r="AD215" s="276" t="s">
        <v>35</v>
      </c>
      <c r="AE215" s="277" t="s">
        <v>38</v>
      </c>
      <c r="AF215" s="277" t="s">
        <v>39</v>
      </c>
      <c r="AG215" s="277" t="s">
        <v>40</v>
      </c>
      <c r="AH215" s="277" t="s">
        <v>810</v>
      </c>
      <c r="AI215" s="276" t="s">
        <v>41</v>
      </c>
      <c r="AJ215" s="274" t="s">
        <v>37</v>
      </c>
      <c r="AK215"/>
    </row>
    <row r="216" spans="1:37" ht="15.75" customHeight="1">
      <c r="A216" s="198" t="s">
        <v>688</v>
      </c>
      <c r="B216" s="198" t="s">
        <v>691</v>
      </c>
      <c r="C216" s="214" t="s">
        <v>847</v>
      </c>
      <c r="D216" s="276"/>
      <c r="E216" s="198" t="s">
        <v>553</v>
      </c>
      <c r="F216" s="198">
        <v>305</v>
      </c>
      <c r="G216" s="198"/>
      <c r="H216" s="214" t="s">
        <v>325</v>
      </c>
      <c r="I216" s="214" t="s">
        <v>325</v>
      </c>
      <c r="J216" s="271"/>
      <c r="K216" s="198"/>
      <c r="L216" s="198"/>
      <c r="M216" s="198"/>
      <c r="N216" s="198"/>
      <c r="O216" s="198">
        <v>305</v>
      </c>
      <c r="P216" s="198"/>
      <c r="Q216" s="198" t="s">
        <v>929</v>
      </c>
      <c r="R216" s="230">
        <f>DATABASE_Table[[#This Row],[Inicial Asking Price (€) (Total)]]-DATABASE_Table[[#This Row],[Vista membership]]-DATABASE_Table[[#This Row],[FF&amp;E]]</f>
        <v>1000000</v>
      </c>
      <c r="S216" s="231">
        <v>1000000</v>
      </c>
      <c r="T216" s="232">
        <v>1210000</v>
      </c>
      <c r="U216" s="198"/>
      <c r="V216" s="198"/>
      <c r="W216" s="233">
        <f>DATABASE_Table[[#This Row],[Current Asking price( Total)]]-DATABASE_Table[[#This Row],[Vista membership]]-DATABASE_Table[[#This Row],[FF&amp;E]]</f>
        <v>1210000</v>
      </c>
      <c r="X216" s="216">
        <v>0</v>
      </c>
      <c r="Y216" s="232">
        <v>1210000</v>
      </c>
      <c r="Z216" s="233">
        <f>DATABASE_Table[[#This Row],[Sell price (Total)]]-DATABASE_Table[[#This Row],[FF&amp;E]]-DATABASE_Table[[#This Row],[Vista membership]]</f>
        <v>1210000</v>
      </c>
      <c r="AA216" s="315">
        <v>46174</v>
      </c>
      <c r="AB216" s="321"/>
      <c r="AC216" s="276"/>
      <c r="AD216" s="276"/>
      <c r="AE216" s="277"/>
      <c r="AF216" s="277"/>
      <c r="AG216" s="277"/>
      <c r="AH216" s="277"/>
      <c r="AI216" s="276"/>
      <c r="AJ216" s="274" t="s">
        <v>688</v>
      </c>
      <c r="AK216"/>
    </row>
    <row r="217" spans="1:37" ht="15.75" hidden="1" customHeight="1">
      <c r="A217" s="198" t="s">
        <v>629</v>
      </c>
      <c r="B217" s="198" t="s">
        <v>691</v>
      </c>
      <c r="C217" s="214" t="s">
        <v>850</v>
      </c>
      <c r="D217" s="276" t="s">
        <v>9</v>
      </c>
      <c r="E217" s="198" t="s">
        <v>553</v>
      </c>
      <c r="F217" s="198">
        <v>440</v>
      </c>
      <c r="G217" s="198"/>
      <c r="H217" s="214" t="s">
        <v>325</v>
      </c>
      <c r="I217" s="214" t="s">
        <v>325</v>
      </c>
      <c r="J217" s="271"/>
      <c r="K217" s="198"/>
      <c r="L217" s="198"/>
      <c r="M217" s="198"/>
      <c r="N217" s="198"/>
      <c r="O217" s="198">
        <v>440</v>
      </c>
      <c r="P217" s="198"/>
      <c r="Q217" s="198" t="s">
        <v>329</v>
      </c>
      <c r="R217" s="230">
        <f>DATABASE_Table[[#This Row],[Inicial Asking Price (€) (Total)]]-DATABASE_Table[[#This Row],[Vista membership]]-DATABASE_Table[[#This Row],[FF&amp;E]]</f>
        <v>1230000</v>
      </c>
      <c r="S217" s="231">
        <v>1230000</v>
      </c>
      <c r="T217" s="232">
        <v>2390000</v>
      </c>
      <c r="U217" s="198"/>
      <c r="V217" s="198"/>
      <c r="W217" s="233">
        <f>DATABASE_Table[[#This Row],[Current Asking price( Total)]]-DATABASE_Table[[#This Row],[Vista membership]]-DATABASE_Table[[#This Row],[FF&amp;E]]</f>
        <v>2390000</v>
      </c>
      <c r="X217" s="216"/>
      <c r="Y217" s="232">
        <v>2390000</v>
      </c>
      <c r="Z217" s="233">
        <f>DATABASE_Table[[#This Row],[Sell price (Total)]]-DATABASE_Table[[#This Row],[FF&amp;E]]-DATABASE_Table[[#This Row],[Vista membership]]</f>
        <v>2390000</v>
      </c>
      <c r="AA217" s="315"/>
      <c r="AB217" s="321"/>
      <c r="AC217" s="276" t="s">
        <v>10</v>
      </c>
      <c r="AD217" s="276" t="s">
        <v>35</v>
      </c>
      <c r="AE217" s="277" t="s">
        <v>38</v>
      </c>
      <c r="AF217" s="277" t="s">
        <v>39</v>
      </c>
      <c r="AG217" s="277" t="s">
        <v>40</v>
      </c>
      <c r="AH217" s="277" t="s">
        <v>810</v>
      </c>
      <c r="AI217" s="276" t="s">
        <v>41</v>
      </c>
      <c r="AJ217" s="274" t="s">
        <v>37</v>
      </c>
      <c r="AK217"/>
    </row>
    <row r="218" spans="1:37" ht="15.75" hidden="1" customHeight="1">
      <c r="A218" s="198" t="s">
        <v>933</v>
      </c>
      <c r="B218" s="198" t="s">
        <v>769</v>
      </c>
      <c r="C218" s="214" t="s">
        <v>439</v>
      </c>
      <c r="D218" s="276"/>
      <c r="E218" s="198" t="s">
        <v>419</v>
      </c>
      <c r="F218" s="198">
        <v>87.33</v>
      </c>
      <c r="G218" s="198"/>
      <c r="H218" s="214" t="s">
        <v>325</v>
      </c>
      <c r="I218" s="214" t="s">
        <v>912</v>
      </c>
      <c r="J218" s="271"/>
      <c r="K218" s="198"/>
      <c r="L218" s="198"/>
      <c r="M218" s="198">
        <v>15.12</v>
      </c>
      <c r="N218" s="198"/>
      <c r="O218" s="198">
        <v>63.84</v>
      </c>
      <c r="P218" s="198"/>
      <c r="Q218" s="198" t="s">
        <v>329</v>
      </c>
      <c r="R218" s="230">
        <f>DATABASE_Table[[#This Row],[Inicial Asking Price (€) (Total)]]-DATABASE_Table[[#This Row],[Vista membership]]-DATABASE_Table[[#This Row],[FF&amp;E]]</f>
        <v>660000</v>
      </c>
      <c r="S218" s="234">
        <v>660000</v>
      </c>
      <c r="T218" s="235">
        <v>660000</v>
      </c>
      <c r="U218" s="198"/>
      <c r="V218" s="198"/>
      <c r="W218" s="233">
        <f>DATABASE_Table[[#This Row],[Current Asking price( Total)]]-DATABASE_Table[[#This Row],[Vista membership]]-DATABASE_Table[[#This Row],[FF&amp;E]]</f>
        <v>660000</v>
      </c>
      <c r="X218" s="236"/>
      <c r="Y218" s="235">
        <v>660000</v>
      </c>
      <c r="Z218" s="233">
        <f>DATABASE_Table[[#This Row],[Sell price (Total)]]-DATABASE_Table[[#This Row],[FF&amp;E]]-DATABASE_Table[[#This Row],[Vista membership]]</f>
        <v>660000</v>
      </c>
      <c r="AA218" s="315"/>
      <c r="AB218" s="321">
        <v>46843</v>
      </c>
      <c r="AC218" s="276"/>
      <c r="AD218" s="276"/>
      <c r="AE218" s="277"/>
      <c r="AF218" s="277"/>
      <c r="AG218" s="277"/>
      <c r="AH218" s="277"/>
      <c r="AI218" s="276"/>
      <c r="AJ218" s="274" t="s">
        <v>66</v>
      </c>
      <c r="AK218"/>
    </row>
    <row r="219" spans="1:37" ht="15.75" hidden="1" customHeight="1">
      <c r="A219" s="198" t="s">
        <v>565</v>
      </c>
      <c r="B219" s="198" t="s">
        <v>691</v>
      </c>
      <c r="C219" s="214" t="s">
        <v>850</v>
      </c>
      <c r="D219" s="276" t="s">
        <v>9</v>
      </c>
      <c r="E219" s="198" t="s">
        <v>319</v>
      </c>
      <c r="F219" s="198">
        <v>168.6</v>
      </c>
      <c r="G219" s="198"/>
      <c r="H219" s="214" t="s">
        <v>848</v>
      </c>
      <c r="I219" s="214" t="s">
        <v>325</v>
      </c>
      <c r="J219" s="271">
        <v>64.7</v>
      </c>
      <c r="K219" s="198"/>
      <c r="L219" s="198"/>
      <c r="M219" s="198"/>
      <c r="N219" s="198"/>
      <c r="O219" s="198">
        <v>103.9</v>
      </c>
      <c r="P219" s="198"/>
      <c r="Q219" s="198" t="s">
        <v>329</v>
      </c>
      <c r="R219" s="230">
        <f>DATABASE_Table[[#This Row],[Inicial Asking Price (€) (Total)]]-DATABASE_Table[[#This Row],[Vista membership]]-DATABASE_Table[[#This Row],[FF&amp;E]]</f>
        <v>957000</v>
      </c>
      <c r="S219" s="231">
        <v>1030000</v>
      </c>
      <c r="T219" s="232">
        <v>1100000</v>
      </c>
      <c r="U219" s="198">
        <v>50000</v>
      </c>
      <c r="V219" s="198">
        <v>23000</v>
      </c>
      <c r="W219" s="233">
        <f>DATABASE_Table[[#This Row],[Current Asking price( Total)]]-DATABASE_Table[[#This Row],[Vista membership]]-DATABASE_Table[[#This Row],[FF&amp;E]]</f>
        <v>1027000</v>
      </c>
      <c r="X219" s="216"/>
      <c r="Y219" s="232">
        <v>1100000</v>
      </c>
      <c r="Z219" s="233">
        <f>DATABASE_Table[[#This Row],[Sell price (Total)]]-DATABASE_Table[[#This Row],[FF&amp;E]]-DATABASE_Table[[#This Row],[Vista membership]]</f>
        <v>1027000</v>
      </c>
      <c r="AA219" s="315"/>
      <c r="AB219" s="321"/>
      <c r="AC219" s="276" t="s">
        <v>10</v>
      </c>
      <c r="AD219" s="276" t="s">
        <v>34</v>
      </c>
      <c r="AE219" s="277" t="s">
        <v>32</v>
      </c>
      <c r="AF219" s="277" t="s">
        <v>686</v>
      </c>
      <c r="AG219" s="277" t="s">
        <v>49</v>
      </c>
      <c r="AH219" s="277" t="s">
        <v>50</v>
      </c>
      <c r="AI219" s="276" t="s">
        <v>51</v>
      </c>
      <c r="AJ219" s="274" t="s">
        <v>48</v>
      </c>
      <c r="AK219"/>
    </row>
    <row r="220" spans="1:37" ht="15.75" hidden="1" customHeight="1">
      <c r="A220" s="198" t="s">
        <v>565</v>
      </c>
      <c r="B220" s="198" t="s">
        <v>691</v>
      </c>
      <c r="C220" s="214" t="s">
        <v>720</v>
      </c>
      <c r="D220" s="276" t="s">
        <v>9</v>
      </c>
      <c r="E220" s="198" t="s">
        <v>320</v>
      </c>
      <c r="F220" s="198">
        <v>183.9</v>
      </c>
      <c r="G220" s="198"/>
      <c r="H220" s="214" t="s">
        <v>848</v>
      </c>
      <c r="I220" s="214" t="s">
        <v>325</v>
      </c>
      <c r="J220" s="271">
        <v>34.299999999999997</v>
      </c>
      <c r="K220" s="198"/>
      <c r="L220" s="198"/>
      <c r="M220" s="198"/>
      <c r="N220" s="198"/>
      <c r="O220" s="198">
        <v>149.6</v>
      </c>
      <c r="P220" s="198"/>
      <c r="Q220" s="198" t="s">
        <v>329</v>
      </c>
      <c r="R220" s="230">
        <f>DATABASE_Table[[#This Row],[Inicial Asking Price (€) (Total)]]-DATABASE_Table[[#This Row],[Vista membership]]-DATABASE_Table[[#This Row],[FF&amp;E]]</f>
        <v>2110000</v>
      </c>
      <c r="S220" s="231">
        <v>2190000</v>
      </c>
      <c r="T220" s="232">
        <v>2270000</v>
      </c>
      <c r="U220" s="198">
        <v>50000</v>
      </c>
      <c r="V220" s="198">
        <v>30000</v>
      </c>
      <c r="W220" s="233">
        <f>DATABASE_Table[[#This Row],[Current Asking price( Total)]]-DATABASE_Table[[#This Row],[Vista membership]]-DATABASE_Table[[#This Row],[FF&amp;E]]</f>
        <v>2190000</v>
      </c>
      <c r="X220" s="216"/>
      <c r="Y220" s="232">
        <v>2270000</v>
      </c>
      <c r="Z220" s="233">
        <f>DATABASE_Table[[#This Row],[Sell price (Total)]]-DATABASE_Table[[#This Row],[FF&amp;E]]-DATABASE_Table[[#This Row],[Vista membership]]</f>
        <v>2190000</v>
      </c>
      <c r="AA220" s="315"/>
      <c r="AB220" s="321"/>
      <c r="AC220" s="276" t="s">
        <v>10</v>
      </c>
      <c r="AD220" s="276" t="s">
        <v>34</v>
      </c>
      <c r="AE220" s="277" t="s">
        <v>32</v>
      </c>
      <c r="AF220" s="277" t="s">
        <v>686</v>
      </c>
      <c r="AG220" s="277" t="s">
        <v>49</v>
      </c>
      <c r="AH220" s="277" t="s">
        <v>50</v>
      </c>
      <c r="AI220" s="276" t="s">
        <v>51</v>
      </c>
      <c r="AJ220" s="274" t="s">
        <v>48</v>
      </c>
      <c r="AK220"/>
    </row>
    <row r="221" spans="1:37" ht="15.75" hidden="1" customHeight="1">
      <c r="A221" s="198" t="s">
        <v>565</v>
      </c>
      <c r="B221" s="198" t="s">
        <v>691</v>
      </c>
      <c r="C221" s="214" t="s">
        <v>721</v>
      </c>
      <c r="D221" s="276" t="s">
        <v>9</v>
      </c>
      <c r="E221" s="198" t="s">
        <v>319</v>
      </c>
      <c r="F221" s="198">
        <v>129.4</v>
      </c>
      <c r="G221" s="198"/>
      <c r="H221" s="214" t="s">
        <v>848</v>
      </c>
      <c r="I221" s="214" t="s">
        <v>325</v>
      </c>
      <c r="J221" s="271">
        <v>25.5</v>
      </c>
      <c r="K221" s="198"/>
      <c r="L221" s="198"/>
      <c r="M221" s="198"/>
      <c r="N221" s="198"/>
      <c r="O221" s="198">
        <v>103.9</v>
      </c>
      <c r="P221" s="198"/>
      <c r="Q221" s="198" t="s">
        <v>329</v>
      </c>
      <c r="R221" s="230">
        <f>DATABASE_Table[[#This Row],[Inicial Asking Price (€) (Total)]]-DATABASE_Table[[#This Row],[Vista membership]]-DATABASE_Table[[#This Row],[FF&amp;E]]</f>
        <v>1097000</v>
      </c>
      <c r="S221" s="231">
        <v>1170000</v>
      </c>
      <c r="T221" s="232">
        <v>1240000</v>
      </c>
      <c r="U221" s="198">
        <v>50000</v>
      </c>
      <c r="V221" s="198">
        <v>23000</v>
      </c>
      <c r="W221" s="233">
        <f>DATABASE_Table[[#This Row],[Current Asking price( Total)]]-DATABASE_Table[[#This Row],[Vista membership]]-DATABASE_Table[[#This Row],[FF&amp;E]]</f>
        <v>1167000</v>
      </c>
      <c r="X221" s="216"/>
      <c r="Y221" s="232">
        <v>1240000</v>
      </c>
      <c r="Z221" s="233">
        <f>DATABASE_Table[[#This Row],[Sell price (Total)]]-DATABASE_Table[[#This Row],[FF&amp;E]]-DATABASE_Table[[#This Row],[Vista membership]]</f>
        <v>1167000</v>
      </c>
      <c r="AA221" s="315"/>
      <c r="AB221" s="321"/>
      <c r="AC221" s="276" t="s">
        <v>10</v>
      </c>
      <c r="AD221" s="276" t="s">
        <v>34</v>
      </c>
      <c r="AE221" s="277" t="s">
        <v>32</v>
      </c>
      <c r="AF221" s="277" t="s">
        <v>686</v>
      </c>
      <c r="AG221" s="277" t="s">
        <v>49</v>
      </c>
      <c r="AH221" s="277" t="s">
        <v>50</v>
      </c>
      <c r="AI221" s="276" t="s">
        <v>51</v>
      </c>
      <c r="AJ221" s="274" t="s">
        <v>48</v>
      </c>
      <c r="AK221"/>
    </row>
    <row r="222" spans="1:37" ht="15.75" hidden="1" customHeight="1">
      <c r="A222" s="198" t="s">
        <v>565</v>
      </c>
      <c r="B222" s="198" t="s">
        <v>691</v>
      </c>
      <c r="C222" s="214" t="s">
        <v>722</v>
      </c>
      <c r="D222" s="276" t="s">
        <v>9</v>
      </c>
      <c r="E222" s="198" t="s">
        <v>319</v>
      </c>
      <c r="F222" s="198">
        <v>130.1</v>
      </c>
      <c r="G222" s="198"/>
      <c r="H222" s="214" t="s">
        <v>848</v>
      </c>
      <c r="I222" s="214" t="s">
        <v>325</v>
      </c>
      <c r="J222" s="271">
        <v>25.5</v>
      </c>
      <c r="K222" s="198"/>
      <c r="L222" s="198"/>
      <c r="M222" s="198"/>
      <c r="N222" s="198"/>
      <c r="O222" s="198">
        <v>104.6</v>
      </c>
      <c r="P222" s="198"/>
      <c r="Q222" s="198" t="s">
        <v>329</v>
      </c>
      <c r="R222" s="230">
        <f>DATABASE_Table[[#This Row],[Inicial Asking Price (€) (Total)]]-DATABASE_Table[[#This Row],[Vista membership]]-DATABASE_Table[[#This Row],[FF&amp;E]]</f>
        <v>1017000</v>
      </c>
      <c r="S222" s="231">
        <v>1090000</v>
      </c>
      <c r="T222" s="232">
        <v>1160000</v>
      </c>
      <c r="U222" s="198">
        <v>50000</v>
      </c>
      <c r="V222" s="198">
        <v>23000</v>
      </c>
      <c r="W222" s="233">
        <f>DATABASE_Table[[#This Row],[Current Asking price( Total)]]-DATABASE_Table[[#This Row],[Vista membership]]-DATABASE_Table[[#This Row],[FF&amp;E]]</f>
        <v>1087000</v>
      </c>
      <c r="X222" s="216"/>
      <c r="Y222" s="232">
        <v>1160000</v>
      </c>
      <c r="Z222" s="233">
        <f>DATABASE_Table[[#This Row],[Sell price (Total)]]-DATABASE_Table[[#This Row],[FF&amp;E]]-DATABASE_Table[[#This Row],[Vista membership]]</f>
        <v>1087000</v>
      </c>
      <c r="AA222" s="315"/>
      <c r="AB222" s="321"/>
      <c r="AC222" s="276" t="s">
        <v>10</v>
      </c>
      <c r="AD222" s="276" t="s">
        <v>34</v>
      </c>
      <c r="AE222" s="277" t="s">
        <v>32</v>
      </c>
      <c r="AF222" s="277" t="s">
        <v>686</v>
      </c>
      <c r="AG222" s="277" t="s">
        <v>49</v>
      </c>
      <c r="AH222" s="277" t="s">
        <v>50</v>
      </c>
      <c r="AI222" s="276" t="s">
        <v>51</v>
      </c>
      <c r="AJ222" s="274" t="s">
        <v>48</v>
      </c>
      <c r="AK222"/>
    </row>
    <row r="223" spans="1:37" ht="15.75" hidden="1" customHeight="1">
      <c r="A223" s="198" t="s">
        <v>565</v>
      </c>
      <c r="B223" s="198" t="s">
        <v>691</v>
      </c>
      <c r="C223" s="214" t="s">
        <v>723</v>
      </c>
      <c r="D223" s="276" t="s">
        <v>9</v>
      </c>
      <c r="E223" s="198" t="s">
        <v>319</v>
      </c>
      <c r="F223" s="198">
        <v>130</v>
      </c>
      <c r="G223" s="198"/>
      <c r="H223" s="214" t="s">
        <v>848</v>
      </c>
      <c r="I223" s="214" t="s">
        <v>325</v>
      </c>
      <c r="J223" s="271">
        <v>25.4</v>
      </c>
      <c r="K223" s="198"/>
      <c r="L223" s="198"/>
      <c r="M223" s="198"/>
      <c r="N223" s="198"/>
      <c r="O223" s="198">
        <v>104.6</v>
      </c>
      <c r="P223" s="198"/>
      <c r="Q223" s="198" t="s">
        <v>329</v>
      </c>
      <c r="R223" s="230">
        <f>DATABASE_Table[[#This Row],[Inicial Asking Price (€) (Total)]]-DATABASE_Table[[#This Row],[Vista membership]]-DATABASE_Table[[#This Row],[FF&amp;E]]</f>
        <v>937000</v>
      </c>
      <c r="S223" s="231">
        <v>1010000</v>
      </c>
      <c r="T223" s="232">
        <v>1070000</v>
      </c>
      <c r="U223" s="198">
        <v>50000</v>
      </c>
      <c r="V223" s="198">
        <v>23000</v>
      </c>
      <c r="W223" s="233">
        <f>DATABASE_Table[[#This Row],[Current Asking price( Total)]]-DATABASE_Table[[#This Row],[Vista membership]]-DATABASE_Table[[#This Row],[FF&amp;E]]</f>
        <v>997000</v>
      </c>
      <c r="X223" s="216"/>
      <c r="Y223" s="232">
        <v>1070000</v>
      </c>
      <c r="Z223" s="233">
        <f>DATABASE_Table[[#This Row],[Sell price (Total)]]-DATABASE_Table[[#This Row],[FF&amp;E]]-DATABASE_Table[[#This Row],[Vista membership]]</f>
        <v>997000</v>
      </c>
      <c r="AA223" s="315"/>
      <c r="AB223" s="321"/>
      <c r="AC223" s="276" t="s">
        <v>10</v>
      </c>
      <c r="AD223" s="276" t="s">
        <v>34</v>
      </c>
      <c r="AE223" s="277" t="s">
        <v>32</v>
      </c>
      <c r="AF223" s="277" t="s">
        <v>686</v>
      </c>
      <c r="AG223" s="277" t="s">
        <v>49</v>
      </c>
      <c r="AH223" s="277" t="s">
        <v>50</v>
      </c>
      <c r="AI223" s="276" t="s">
        <v>51</v>
      </c>
      <c r="AJ223" s="274" t="s">
        <v>48</v>
      </c>
      <c r="AK223"/>
    </row>
    <row r="224" spans="1:37" ht="15.75" hidden="1" customHeight="1">
      <c r="A224" s="198" t="s">
        <v>565</v>
      </c>
      <c r="B224" s="198" t="s">
        <v>691</v>
      </c>
      <c r="C224" s="214" t="s">
        <v>724</v>
      </c>
      <c r="D224" s="276" t="s">
        <v>9</v>
      </c>
      <c r="E224" s="198" t="s">
        <v>319</v>
      </c>
      <c r="F224" s="198">
        <v>130.1</v>
      </c>
      <c r="G224" s="198"/>
      <c r="H224" s="214" t="s">
        <v>848</v>
      </c>
      <c r="I224" s="214" t="s">
        <v>325</v>
      </c>
      <c r="J224" s="271">
        <v>25.5</v>
      </c>
      <c r="K224" s="198"/>
      <c r="L224" s="198"/>
      <c r="M224" s="198"/>
      <c r="N224" s="198"/>
      <c r="O224" s="198">
        <v>104.6</v>
      </c>
      <c r="P224" s="198"/>
      <c r="Q224" s="198" t="s">
        <v>329</v>
      </c>
      <c r="R224" s="230">
        <f>DATABASE_Table[[#This Row],[Inicial Asking Price (€) (Total)]]-DATABASE_Table[[#This Row],[Vista membership]]-DATABASE_Table[[#This Row],[FF&amp;E]]</f>
        <v>1017000</v>
      </c>
      <c r="S224" s="231">
        <v>1090000</v>
      </c>
      <c r="T224" s="232">
        <v>1160000</v>
      </c>
      <c r="U224" s="198">
        <v>50000</v>
      </c>
      <c r="V224" s="198">
        <v>23000</v>
      </c>
      <c r="W224" s="233">
        <f>DATABASE_Table[[#This Row],[Current Asking price( Total)]]-DATABASE_Table[[#This Row],[Vista membership]]-DATABASE_Table[[#This Row],[FF&amp;E]]</f>
        <v>1087000</v>
      </c>
      <c r="X224" s="216"/>
      <c r="Y224" s="232">
        <v>1160000</v>
      </c>
      <c r="Z224" s="233">
        <f>DATABASE_Table[[#This Row],[Sell price (Total)]]-DATABASE_Table[[#This Row],[FF&amp;E]]-DATABASE_Table[[#This Row],[Vista membership]]</f>
        <v>1087000</v>
      </c>
      <c r="AA224" s="315"/>
      <c r="AB224" s="321"/>
      <c r="AC224" s="276" t="s">
        <v>10</v>
      </c>
      <c r="AD224" s="276" t="s">
        <v>34</v>
      </c>
      <c r="AE224" s="277" t="s">
        <v>32</v>
      </c>
      <c r="AF224" s="277" t="s">
        <v>686</v>
      </c>
      <c r="AG224" s="277" t="s">
        <v>49</v>
      </c>
      <c r="AH224" s="277" t="s">
        <v>50</v>
      </c>
      <c r="AI224" s="276" t="s">
        <v>51</v>
      </c>
      <c r="AJ224" s="274" t="s">
        <v>48</v>
      </c>
      <c r="AK224"/>
    </row>
    <row r="225" spans="1:37" ht="15.75" hidden="1" customHeight="1">
      <c r="A225" s="198" t="s">
        <v>773</v>
      </c>
      <c r="B225" s="198" t="s">
        <v>769</v>
      </c>
      <c r="C225" s="214" t="s">
        <v>881</v>
      </c>
      <c r="D225" s="276" t="s">
        <v>67</v>
      </c>
      <c r="E225" s="198" t="s">
        <v>553</v>
      </c>
      <c r="F225" s="198">
        <v>420</v>
      </c>
      <c r="G225" s="198"/>
      <c r="H225" s="214" t="s">
        <v>325</v>
      </c>
      <c r="I225" s="214" t="s">
        <v>325</v>
      </c>
      <c r="J225" s="271"/>
      <c r="K225" s="198"/>
      <c r="L225" s="198"/>
      <c r="M225" s="198"/>
      <c r="N225" s="198"/>
      <c r="O225" s="198">
        <v>420</v>
      </c>
      <c r="P225" s="198"/>
      <c r="Q225" s="198" t="s">
        <v>329</v>
      </c>
      <c r="R225" s="230">
        <f>DATABASE_Table[[#This Row],[Inicial Asking Price (€) (Total)]]-DATABASE_Table[[#This Row],[Vista membership]]-DATABASE_Table[[#This Row],[FF&amp;E]]</f>
        <v>580000</v>
      </c>
      <c r="S225" s="234">
        <v>580000</v>
      </c>
      <c r="T225" s="235">
        <v>1300000</v>
      </c>
      <c r="U225" s="198"/>
      <c r="V225" s="198"/>
      <c r="W225" s="233">
        <f>DATABASE_Table[[#This Row],[Current Asking price( Total)]]-DATABASE_Table[[#This Row],[Vista membership]]-DATABASE_Table[[#This Row],[FF&amp;E]]</f>
        <v>1300000</v>
      </c>
      <c r="X225" s="236"/>
      <c r="Y225" s="235">
        <v>1300000</v>
      </c>
      <c r="Z225" s="233">
        <f>DATABASE_Table[[#This Row],[Sell price (Total)]]-DATABASE_Table[[#This Row],[FF&amp;E]]-DATABASE_Table[[#This Row],[Vista membership]]</f>
        <v>1300000</v>
      </c>
      <c r="AA225" s="315"/>
      <c r="AB225" s="321">
        <v>46843</v>
      </c>
      <c r="AC225" s="276" t="s">
        <v>57</v>
      </c>
      <c r="AD225" s="276" t="s">
        <v>68</v>
      </c>
      <c r="AE225" s="277" t="s">
        <v>69</v>
      </c>
      <c r="AF225" s="277" t="s">
        <v>70</v>
      </c>
      <c r="AG225" s="277" t="s">
        <v>71</v>
      </c>
      <c r="AH225" s="277" t="s">
        <v>816</v>
      </c>
      <c r="AI225" s="276" t="s">
        <v>72</v>
      </c>
      <c r="AJ225" s="274" t="s">
        <v>66</v>
      </c>
      <c r="AK225"/>
    </row>
    <row r="226" spans="1:37" ht="15.75" hidden="1" customHeight="1">
      <c r="A226" s="198" t="s">
        <v>773</v>
      </c>
      <c r="B226" s="198" t="s">
        <v>769</v>
      </c>
      <c r="C226" s="214" t="s">
        <v>882</v>
      </c>
      <c r="D226" s="276" t="s">
        <v>67</v>
      </c>
      <c r="E226" s="198" t="s">
        <v>553</v>
      </c>
      <c r="F226" s="198">
        <v>420</v>
      </c>
      <c r="G226" s="198"/>
      <c r="H226" s="214" t="s">
        <v>325</v>
      </c>
      <c r="I226" s="214" t="s">
        <v>325</v>
      </c>
      <c r="J226" s="271"/>
      <c r="K226" s="198"/>
      <c r="L226" s="198"/>
      <c r="M226" s="198"/>
      <c r="N226" s="198"/>
      <c r="O226" s="198">
        <v>420</v>
      </c>
      <c r="P226" s="198"/>
      <c r="Q226" s="198" t="s">
        <v>329</v>
      </c>
      <c r="R226" s="230">
        <f>DATABASE_Table[[#This Row],[Inicial Asking Price (€) (Total)]]-DATABASE_Table[[#This Row],[Vista membership]]-DATABASE_Table[[#This Row],[FF&amp;E]]</f>
        <v>580000</v>
      </c>
      <c r="S226" s="234">
        <v>580000</v>
      </c>
      <c r="T226" s="235">
        <v>1300000</v>
      </c>
      <c r="U226" s="198"/>
      <c r="V226" s="198"/>
      <c r="W226" s="233">
        <f>DATABASE_Table[[#This Row],[Current Asking price( Total)]]-DATABASE_Table[[#This Row],[Vista membership]]-DATABASE_Table[[#This Row],[FF&amp;E]]</f>
        <v>1300000</v>
      </c>
      <c r="X226" s="236"/>
      <c r="Y226" s="235">
        <v>1300000</v>
      </c>
      <c r="Z226" s="233">
        <f>DATABASE_Table[[#This Row],[Sell price (Total)]]-DATABASE_Table[[#This Row],[FF&amp;E]]-DATABASE_Table[[#This Row],[Vista membership]]</f>
        <v>1300000</v>
      </c>
      <c r="AA226" s="315"/>
      <c r="AB226" s="321">
        <v>46843</v>
      </c>
      <c r="AC226" s="276" t="s">
        <v>57</v>
      </c>
      <c r="AD226" s="276" t="s">
        <v>68</v>
      </c>
      <c r="AE226" s="277" t="s">
        <v>69</v>
      </c>
      <c r="AF226" s="277" t="s">
        <v>70</v>
      </c>
      <c r="AG226" s="277" t="s">
        <v>71</v>
      </c>
      <c r="AH226" s="277" t="s">
        <v>816</v>
      </c>
      <c r="AI226" s="276" t="s">
        <v>72</v>
      </c>
      <c r="AJ226" s="274" t="s">
        <v>66</v>
      </c>
      <c r="AK226"/>
    </row>
    <row r="227" spans="1:37" ht="15.75" hidden="1" customHeight="1">
      <c r="A227" s="198" t="s">
        <v>773</v>
      </c>
      <c r="B227" s="198" t="s">
        <v>769</v>
      </c>
      <c r="C227" s="214" t="s">
        <v>870</v>
      </c>
      <c r="D227" s="276" t="s">
        <v>67</v>
      </c>
      <c r="E227" s="198" t="s">
        <v>553</v>
      </c>
      <c r="F227" s="198">
        <v>14391</v>
      </c>
      <c r="G227" s="198"/>
      <c r="H227" s="214" t="s">
        <v>325</v>
      </c>
      <c r="I227" s="214" t="s">
        <v>325</v>
      </c>
      <c r="J227" s="271"/>
      <c r="K227" s="198"/>
      <c r="L227" s="198"/>
      <c r="M227" s="198"/>
      <c r="N227" s="198"/>
      <c r="O227" s="198">
        <v>500</v>
      </c>
      <c r="P227" s="198"/>
      <c r="Q227" s="198" t="s">
        <v>329</v>
      </c>
      <c r="R227" s="230">
        <f>DATABASE_Table[[#This Row],[Inicial Asking Price (€) (Total)]]-DATABASE_Table[[#This Row],[Vista membership]]-DATABASE_Table[[#This Row],[FF&amp;E]]</f>
        <v>590000</v>
      </c>
      <c r="S227" s="234">
        <v>590000</v>
      </c>
      <c r="T227" s="235">
        <v>3400000</v>
      </c>
      <c r="U227" s="198"/>
      <c r="V227" s="198"/>
      <c r="W227" s="233">
        <f>DATABASE_Table[[#This Row],[Current Asking price( Total)]]-DATABASE_Table[[#This Row],[Vista membership]]-DATABASE_Table[[#This Row],[FF&amp;E]]</f>
        <v>3400000</v>
      </c>
      <c r="X227" s="236"/>
      <c r="Y227" s="235">
        <v>3400000</v>
      </c>
      <c r="Z227" s="233">
        <f>DATABASE_Table[[#This Row],[Sell price (Total)]]-DATABASE_Table[[#This Row],[FF&amp;E]]-DATABASE_Table[[#This Row],[Vista membership]]</f>
        <v>3400000</v>
      </c>
      <c r="AA227" s="315"/>
      <c r="AB227" s="321">
        <v>46843</v>
      </c>
      <c r="AC227" s="276" t="s">
        <v>57</v>
      </c>
      <c r="AD227" s="276" t="s">
        <v>68</v>
      </c>
      <c r="AE227" s="277" t="s">
        <v>69</v>
      </c>
      <c r="AF227" s="277" t="s">
        <v>70</v>
      </c>
      <c r="AG227" s="277" t="s">
        <v>71</v>
      </c>
      <c r="AH227" s="277" t="s">
        <v>816</v>
      </c>
      <c r="AI227" s="276" t="s">
        <v>72</v>
      </c>
      <c r="AJ227" s="274" t="s">
        <v>66</v>
      </c>
      <c r="AK227"/>
    </row>
    <row r="228" spans="1:37" ht="15.75" hidden="1" customHeight="1">
      <c r="A228" s="198" t="s">
        <v>773</v>
      </c>
      <c r="B228" s="198" t="s">
        <v>769</v>
      </c>
      <c r="C228" s="214" t="s">
        <v>871</v>
      </c>
      <c r="D228" s="276" t="s">
        <v>67</v>
      </c>
      <c r="E228" s="198" t="s">
        <v>553</v>
      </c>
      <c r="F228" s="198">
        <v>3888</v>
      </c>
      <c r="G228" s="198"/>
      <c r="H228" s="214" t="s">
        <v>325</v>
      </c>
      <c r="I228" s="214" t="s">
        <v>325</v>
      </c>
      <c r="J228" s="271"/>
      <c r="K228" s="198"/>
      <c r="L228" s="198"/>
      <c r="M228" s="198"/>
      <c r="N228" s="198"/>
      <c r="O228" s="198">
        <v>484</v>
      </c>
      <c r="P228" s="198"/>
      <c r="Q228" s="198" t="s">
        <v>329</v>
      </c>
      <c r="R228" s="230">
        <f>DATABASE_Table[[#This Row],[Inicial Asking Price (€) (Total)]]-DATABASE_Table[[#This Row],[Vista membership]]-DATABASE_Table[[#This Row],[FF&amp;E]]</f>
        <v>590000</v>
      </c>
      <c r="S228" s="234">
        <v>590000</v>
      </c>
      <c r="T228" s="235">
        <v>1700000</v>
      </c>
      <c r="U228" s="198"/>
      <c r="V228" s="198"/>
      <c r="W228" s="233">
        <f>DATABASE_Table[[#This Row],[Current Asking price( Total)]]-DATABASE_Table[[#This Row],[Vista membership]]-DATABASE_Table[[#This Row],[FF&amp;E]]</f>
        <v>1700000</v>
      </c>
      <c r="X228" s="236"/>
      <c r="Y228" s="235">
        <v>1700000</v>
      </c>
      <c r="Z228" s="233">
        <f>DATABASE_Table[[#This Row],[Sell price (Total)]]-DATABASE_Table[[#This Row],[FF&amp;E]]-DATABASE_Table[[#This Row],[Vista membership]]</f>
        <v>1700000</v>
      </c>
      <c r="AA228" s="315"/>
      <c r="AB228" s="321">
        <v>46843</v>
      </c>
      <c r="AC228" s="276" t="s">
        <v>57</v>
      </c>
      <c r="AD228" s="276" t="s">
        <v>68</v>
      </c>
      <c r="AE228" s="277" t="s">
        <v>69</v>
      </c>
      <c r="AF228" s="277" t="s">
        <v>70</v>
      </c>
      <c r="AG228" s="277" t="s">
        <v>71</v>
      </c>
      <c r="AH228" s="277" t="s">
        <v>816</v>
      </c>
      <c r="AI228" s="276" t="s">
        <v>72</v>
      </c>
      <c r="AJ228" s="274" t="s">
        <v>66</v>
      </c>
      <c r="AK228"/>
    </row>
    <row r="229" spans="1:37" ht="15.75" hidden="1" customHeight="1">
      <c r="A229" s="198" t="s">
        <v>773</v>
      </c>
      <c r="B229" s="198" t="s">
        <v>769</v>
      </c>
      <c r="C229" s="214" t="s">
        <v>872</v>
      </c>
      <c r="D229" s="276" t="s">
        <v>67</v>
      </c>
      <c r="E229" s="198" t="s">
        <v>553</v>
      </c>
      <c r="F229" s="198">
        <v>3718</v>
      </c>
      <c r="G229" s="198"/>
      <c r="H229" s="214" t="s">
        <v>325</v>
      </c>
      <c r="I229" s="214" t="s">
        <v>325</v>
      </c>
      <c r="J229" s="271"/>
      <c r="K229" s="198"/>
      <c r="L229" s="198"/>
      <c r="M229" s="198"/>
      <c r="N229" s="198"/>
      <c r="O229" s="198">
        <v>420</v>
      </c>
      <c r="P229" s="198"/>
      <c r="Q229" s="198" t="s">
        <v>329</v>
      </c>
      <c r="R229" s="230">
        <f>DATABASE_Table[[#This Row],[Inicial Asking Price (€) (Total)]]-DATABASE_Table[[#This Row],[Vista membership]]-DATABASE_Table[[#This Row],[FF&amp;E]]</f>
        <v>590000</v>
      </c>
      <c r="S229" s="234">
        <v>590000</v>
      </c>
      <c r="T229" s="235">
        <v>1500000</v>
      </c>
      <c r="U229" s="198"/>
      <c r="V229" s="198"/>
      <c r="W229" s="233">
        <f>DATABASE_Table[[#This Row],[Current Asking price( Total)]]-DATABASE_Table[[#This Row],[Vista membership]]-DATABASE_Table[[#This Row],[FF&amp;E]]</f>
        <v>1500000</v>
      </c>
      <c r="X229" s="236"/>
      <c r="Y229" s="235">
        <v>1500000</v>
      </c>
      <c r="Z229" s="233">
        <f>DATABASE_Table[[#This Row],[Sell price (Total)]]-DATABASE_Table[[#This Row],[FF&amp;E]]-DATABASE_Table[[#This Row],[Vista membership]]</f>
        <v>1500000</v>
      </c>
      <c r="AA229" s="315"/>
      <c r="AB229" s="321">
        <v>46843</v>
      </c>
      <c r="AC229" s="276" t="s">
        <v>57</v>
      </c>
      <c r="AD229" s="276" t="s">
        <v>68</v>
      </c>
      <c r="AE229" s="277" t="s">
        <v>69</v>
      </c>
      <c r="AF229" s="277" t="s">
        <v>70</v>
      </c>
      <c r="AG229" s="277" t="s">
        <v>71</v>
      </c>
      <c r="AH229" s="277" t="s">
        <v>816</v>
      </c>
      <c r="AI229" s="276" t="s">
        <v>72</v>
      </c>
      <c r="AJ229" s="274" t="s">
        <v>66</v>
      </c>
      <c r="AK229"/>
    </row>
    <row r="230" spans="1:37" ht="15.75" hidden="1" customHeight="1">
      <c r="A230" s="198" t="s">
        <v>773</v>
      </c>
      <c r="B230" s="198" t="s">
        <v>769</v>
      </c>
      <c r="C230" s="214" t="s">
        <v>873</v>
      </c>
      <c r="D230" s="276" t="s">
        <v>67</v>
      </c>
      <c r="E230" s="198" t="s">
        <v>553</v>
      </c>
      <c r="F230" s="198">
        <v>4600</v>
      </c>
      <c r="G230" s="198"/>
      <c r="H230" s="214" t="s">
        <v>325</v>
      </c>
      <c r="I230" s="214" t="s">
        <v>325</v>
      </c>
      <c r="J230" s="271"/>
      <c r="K230" s="198"/>
      <c r="L230" s="198"/>
      <c r="M230" s="198"/>
      <c r="N230" s="198"/>
      <c r="O230" s="198">
        <v>420</v>
      </c>
      <c r="P230" s="198"/>
      <c r="Q230" s="198" t="s">
        <v>329</v>
      </c>
      <c r="R230" s="230">
        <f>DATABASE_Table[[#This Row],[Inicial Asking Price (€) (Total)]]-DATABASE_Table[[#This Row],[Vista membership]]-DATABASE_Table[[#This Row],[FF&amp;E]]</f>
        <v>590000</v>
      </c>
      <c r="S230" s="234">
        <v>590000</v>
      </c>
      <c r="T230" s="235">
        <v>1600000</v>
      </c>
      <c r="U230" s="198"/>
      <c r="V230" s="198"/>
      <c r="W230" s="233">
        <f>DATABASE_Table[[#This Row],[Current Asking price( Total)]]-DATABASE_Table[[#This Row],[Vista membership]]-DATABASE_Table[[#This Row],[FF&amp;E]]</f>
        <v>1600000</v>
      </c>
      <c r="X230" s="236"/>
      <c r="Y230" s="235">
        <v>1600000</v>
      </c>
      <c r="Z230" s="233">
        <f>DATABASE_Table[[#This Row],[Sell price (Total)]]-DATABASE_Table[[#This Row],[FF&amp;E]]-DATABASE_Table[[#This Row],[Vista membership]]</f>
        <v>1600000</v>
      </c>
      <c r="AA230" s="315"/>
      <c r="AB230" s="321">
        <v>46843</v>
      </c>
      <c r="AC230" s="276" t="s">
        <v>57</v>
      </c>
      <c r="AD230" s="276" t="s">
        <v>68</v>
      </c>
      <c r="AE230" s="277" t="s">
        <v>69</v>
      </c>
      <c r="AF230" s="277" t="s">
        <v>70</v>
      </c>
      <c r="AG230" s="277" t="s">
        <v>71</v>
      </c>
      <c r="AH230" s="277" t="s">
        <v>816</v>
      </c>
      <c r="AI230" s="276" t="s">
        <v>72</v>
      </c>
      <c r="AJ230" s="274" t="s">
        <v>66</v>
      </c>
      <c r="AK230"/>
    </row>
    <row r="231" spans="1:37" ht="15.75" hidden="1" customHeight="1">
      <c r="A231" s="198" t="s">
        <v>773</v>
      </c>
      <c r="B231" s="198" t="s">
        <v>769</v>
      </c>
      <c r="C231" s="214" t="s">
        <v>874</v>
      </c>
      <c r="D231" s="276" t="s">
        <v>67</v>
      </c>
      <c r="E231" s="198" t="s">
        <v>553</v>
      </c>
      <c r="F231" s="198">
        <v>4356</v>
      </c>
      <c r="G231" s="198"/>
      <c r="H231" s="214" t="s">
        <v>325</v>
      </c>
      <c r="I231" s="214" t="s">
        <v>325</v>
      </c>
      <c r="J231" s="271"/>
      <c r="K231" s="198"/>
      <c r="L231" s="198"/>
      <c r="M231" s="198"/>
      <c r="N231" s="198"/>
      <c r="O231" s="198">
        <v>420</v>
      </c>
      <c r="P231" s="198"/>
      <c r="Q231" s="198" t="s">
        <v>329</v>
      </c>
      <c r="R231" s="230">
        <f>DATABASE_Table[[#This Row],[Inicial Asking Price (€) (Total)]]-DATABASE_Table[[#This Row],[Vista membership]]-DATABASE_Table[[#This Row],[FF&amp;E]]</f>
        <v>590000</v>
      </c>
      <c r="S231" s="234">
        <v>590000</v>
      </c>
      <c r="T231" s="235">
        <v>1600000</v>
      </c>
      <c r="U231" s="198"/>
      <c r="V231" s="198"/>
      <c r="W231" s="233">
        <f>DATABASE_Table[[#This Row],[Current Asking price( Total)]]-DATABASE_Table[[#This Row],[Vista membership]]-DATABASE_Table[[#This Row],[FF&amp;E]]</f>
        <v>1600000</v>
      </c>
      <c r="X231" s="236"/>
      <c r="Y231" s="235">
        <v>1600000</v>
      </c>
      <c r="Z231" s="233">
        <f>DATABASE_Table[[#This Row],[Sell price (Total)]]-DATABASE_Table[[#This Row],[FF&amp;E]]-DATABASE_Table[[#This Row],[Vista membership]]</f>
        <v>1600000</v>
      </c>
      <c r="AA231" s="315"/>
      <c r="AB231" s="321">
        <v>46843</v>
      </c>
      <c r="AC231" s="276" t="s">
        <v>57</v>
      </c>
      <c r="AD231" s="276" t="s">
        <v>68</v>
      </c>
      <c r="AE231" s="277" t="s">
        <v>69</v>
      </c>
      <c r="AF231" s="277" t="s">
        <v>70</v>
      </c>
      <c r="AG231" s="277" t="s">
        <v>71</v>
      </c>
      <c r="AH231" s="277" t="s">
        <v>816</v>
      </c>
      <c r="AI231" s="276" t="s">
        <v>72</v>
      </c>
      <c r="AJ231" s="274" t="s">
        <v>66</v>
      </c>
      <c r="AK231"/>
    </row>
    <row r="232" spans="1:37" ht="15.75" hidden="1" customHeight="1">
      <c r="A232" s="198" t="s">
        <v>565</v>
      </c>
      <c r="B232" s="198" t="s">
        <v>691</v>
      </c>
      <c r="C232" s="214" t="s">
        <v>725</v>
      </c>
      <c r="D232" s="276" t="s">
        <v>9</v>
      </c>
      <c r="E232" s="198" t="s">
        <v>319</v>
      </c>
      <c r="F232" s="198">
        <v>129.4</v>
      </c>
      <c r="G232" s="198"/>
      <c r="H232" s="214" t="s">
        <v>848</v>
      </c>
      <c r="I232" s="214" t="s">
        <v>325</v>
      </c>
      <c r="J232" s="271">
        <v>25.5</v>
      </c>
      <c r="K232" s="198"/>
      <c r="L232" s="198"/>
      <c r="M232" s="198"/>
      <c r="N232" s="198"/>
      <c r="O232" s="198">
        <v>103.9</v>
      </c>
      <c r="P232" s="198"/>
      <c r="Q232" s="198" t="s">
        <v>329</v>
      </c>
      <c r="R232" s="230">
        <f>DATABASE_Table[[#This Row],[Inicial Asking Price (€) (Total)]]-DATABASE_Table[[#This Row],[Vista membership]]-DATABASE_Table[[#This Row],[FF&amp;E]]</f>
        <v>1097000</v>
      </c>
      <c r="S232" s="231">
        <v>1170000</v>
      </c>
      <c r="T232" s="232">
        <v>1240000</v>
      </c>
      <c r="U232" s="198">
        <v>50000</v>
      </c>
      <c r="V232" s="198">
        <v>23000</v>
      </c>
      <c r="W232" s="233">
        <f>DATABASE_Table[[#This Row],[Current Asking price( Total)]]-DATABASE_Table[[#This Row],[Vista membership]]-DATABASE_Table[[#This Row],[FF&amp;E]]</f>
        <v>1167000</v>
      </c>
      <c r="X232" s="216"/>
      <c r="Y232" s="232">
        <v>1240000</v>
      </c>
      <c r="Z232" s="233">
        <f>DATABASE_Table[[#This Row],[Sell price (Total)]]-DATABASE_Table[[#This Row],[FF&amp;E]]-DATABASE_Table[[#This Row],[Vista membership]]</f>
        <v>1167000</v>
      </c>
      <c r="AA232" s="315"/>
      <c r="AB232" s="321"/>
      <c r="AC232" s="276" t="s">
        <v>10</v>
      </c>
      <c r="AD232" s="276" t="s">
        <v>34</v>
      </c>
      <c r="AE232" s="277" t="s">
        <v>32</v>
      </c>
      <c r="AF232" s="277" t="s">
        <v>686</v>
      </c>
      <c r="AG232" s="277" t="s">
        <v>49</v>
      </c>
      <c r="AH232" s="277" t="s">
        <v>50</v>
      </c>
      <c r="AI232" s="276" t="s">
        <v>51</v>
      </c>
      <c r="AJ232" s="274" t="s">
        <v>48</v>
      </c>
      <c r="AK232"/>
    </row>
    <row r="233" spans="1:37" ht="15.75" hidden="1" customHeight="1">
      <c r="A233" s="198" t="s">
        <v>565</v>
      </c>
      <c r="B233" s="198" t="s">
        <v>691</v>
      </c>
      <c r="C233" s="214" t="s">
        <v>726</v>
      </c>
      <c r="D233" s="276" t="s">
        <v>9</v>
      </c>
      <c r="E233" s="198" t="s">
        <v>319</v>
      </c>
      <c r="F233" s="198">
        <v>129.4</v>
      </c>
      <c r="G233" s="198"/>
      <c r="H233" s="214" t="s">
        <v>848</v>
      </c>
      <c r="I233" s="214" t="s">
        <v>325</v>
      </c>
      <c r="J233" s="271">
        <v>25.5</v>
      </c>
      <c r="K233" s="198"/>
      <c r="L233" s="198"/>
      <c r="M233" s="198"/>
      <c r="N233" s="198"/>
      <c r="O233" s="198">
        <v>103.9</v>
      </c>
      <c r="P233" s="198"/>
      <c r="Q233" s="198" t="s">
        <v>329</v>
      </c>
      <c r="R233" s="230">
        <f>DATABASE_Table[[#This Row],[Inicial Asking Price (€) (Total)]]-DATABASE_Table[[#This Row],[Vista membership]]-DATABASE_Table[[#This Row],[FF&amp;E]]</f>
        <v>1177000</v>
      </c>
      <c r="S233" s="231">
        <v>1250000</v>
      </c>
      <c r="T233" s="232">
        <v>1320000</v>
      </c>
      <c r="U233" s="198">
        <v>50000</v>
      </c>
      <c r="V233" s="198">
        <v>23000</v>
      </c>
      <c r="W233" s="233">
        <f>DATABASE_Table[[#This Row],[Current Asking price( Total)]]-DATABASE_Table[[#This Row],[Vista membership]]-DATABASE_Table[[#This Row],[FF&amp;E]]</f>
        <v>1247000</v>
      </c>
      <c r="X233" s="216"/>
      <c r="Y233" s="232">
        <v>1320000</v>
      </c>
      <c r="Z233" s="233">
        <f>DATABASE_Table[[#This Row],[Sell price (Total)]]-DATABASE_Table[[#This Row],[FF&amp;E]]-DATABASE_Table[[#This Row],[Vista membership]]</f>
        <v>1247000</v>
      </c>
      <c r="AA233" s="315"/>
      <c r="AB233" s="321"/>
      <c r="AC233" s="276" t="s">
        <v>10</v>
      </c>
      <c r="AD233" s="276" t="s">
        <v>34</v>
      </c>
      <c r="AE233" s="277" t="s">
        <v>32</v>
      </c>
      <c r="AF233" s="277" t="s">
        <v>686</v>
      </c>
      <c r="AG233" s="277" t="s">
        <v>49</v>
      </c>
      <c r="AH233" s="277" t="s">
        <v>50</v>
      </c>
      <c r="AI233" s="276" t="s">
        <v>51</v>
      </c>
      <c r="AJ233" s="274" t="s">
        <v>48</v>
      </c>
      <c r="AK233"/>
    </row>
    <row r="234" spans="1:37" ht="15.75" hidden="1" customHeight="1">
      <c r="A234" s="198" t="s">
        <v>565</v>
      </c>
      <c r="B234" s="198" t="s">
        <v>691</v>
      </c>
      <c r="C234" s="214" t="s">
        <v>727</v>
      </c>
      <c r="D234" s="276" t="s">
        <v>9</v>
      </c>
      <c r="E234" s="198" t="s">
        <v>319</v>
      </c>
      <c r="F234" s="198">
        <v>129.4</v>
      </c>
      <c r="G234" s="198"/>
      <c r="H234" s="214" t="s">
        <v>848</v>
      </c>
      <c r="I234" s="214" t="s">
        <v>325</v>
      </c>
      <c r="J234" s="271">
        <v>25.5</v>
      </c>
      <c r="K234" s="198"/>
      <c r="L234" s="198"/>
      <c r="M234" s="198"/>
      <c r="N234" s="198"/>
      <c r="O234" s="198">
        <v>103.9</v>
      </c>
      <c r="P234" s="198"/>
      <c r="Q234" s="198" t="s">
        <v>329</v>
      </c>
      <c r="R234" s="230">
        <f>DATABASE_Table[[#This Row],[Inicial Asking Price (€) (Total)]]-DATABASE_Table[[#This Row],[Vista membership]]-DATABASE_Table[[#This Row],[FF&amp;E]]</f>
        <v>1237000</v>
      </c>
      <c r="S234" s="231">
        <v>1310000</v>
      </c>
      <c r="T234" s="232">
        <v>1380000</v>
      </c>
      <c r="U234" s="198">
        <v>50000</v>
      </c>
      <c r="V234" s="198">
        <v>23000</v>
      </c>
      <c r="W234" s="233">
        <f>DATABASE_Table[[#This Row],[Current Asking price( Total)]]-DATABASE_Table[[#This Row],[Vista membership]]-DATABASE_Table[[#This Row],[FF&amp;E]]</f>
        <v>1307000</v>
      </c>
      <c r="X234" s="216"/>
      <c r="Y234" s="232">
        <v>1380000</v>
      </c>
      <c r="Z234" s="233">
        <f>DATABASE_Table[[#This Row],[Sell price (Total)]]-DATABASE_Table[[#This Row],[FF&amp;E]]-DATABASE_Table[[#This Row],[Vista membership]]</f>
        <v>1307000</v>
      </c>
      <c r="AA234" s="315"/>
      <c r="AB234" s="321"/>
      <c r="AC234" s="276" t="s">
        <v>10</v>
      </c>
      <c r="AD234" s="276" t="s">
        <v>34</v>
      </c>
      <c r="AE234" s="277" t="s">
        <v>32</v>
      </c>
      <c r="AF234" s="277" t="s">
        <v>686</v>
      </c>
      <c r="AG234" s="277" t="s">
        <v>49</v>
      </c>
      <c r="AH234" s="277" t="s">
        <v>50</v>
      </c>
      <c r="AI234" s="276" t="s">
        <v>51</v>
      </c>
      <c r="AJ234" s="274" t="s">
        <v>48</v>
      </c>
      <c r="AK234"/>
    </row>
    <row r="235" spans="1:37" ht="15.75" hidden="1" customHeight="1">
      <c r="A235" s="198" t="s">
        <v>565</v>
      </c>
      <c r="B235" s="198" t="s">
        <v>691</v>
      </c>
      <c r="C235" s="214" t="s">
        <v>728</v>
      </c>
      <c r="D235" s="198" t="s">
        <v>9</v>
      </c>
      <c r="E235" s="198" t="s">
        <v>319</v>
      </c>
      <c r="F235" s="198">
        <v>129.4</v>
      </c>
      <c r="G235" s="198"/>
      <c r="H235" s="214" t="s">
        <v>848</v>
      </c>
      <c r="I235" s="214" t="s">
        <v>325</v>
      </c>
      <c r="J235" s="271">
        <v>25.5</v>
      </c>
      <c r="K235" s="198"/>
      <c r="L235" s="198"/>
      <c r="M235" s="198"/>
      <c r="N235" s="198"/>
      <c r="O235" s="198">
        <v>103.9</v>
      </c>
      <c r="P235" s="198"/>
      <c r="Q235" s="198" t="s">
        <v>329</v>
      </c>
      <c r="R235" s="230">
        <f>DATABASE_Table[[#This Row],[Inicial Asking Price (€) (Total)]]-DATABASE_Table[[#This Row],[Vista membership]]-DATABASE_Table[[#This Row],[FF&amp;E]]</f>
        <v>1297000</v>
      </c>
      <c r="S235" s="231">
        <v>1370000</v>
      </c>
      <c r="T235" s="232">
        <v>1440000</v>
      </c>
      <c r="U235" s="198">
        <v>50000</v>
      </c>
      <c r="V235" s="198">
        <v>23000</v>
      </c>
      <c r="W235" s="233">
        <f>DATABASE_Table[[#This Row],[Current Asking price( Total)]]-DATABASE_Table[[#This Row],[Vista membership]]-DATABASE_Table[[#This Row],[FF&amp;E]]</f>
        <v>1367000</v>
      </c>
      <c r="X235" s="216"/>
      <c r="Y235" s="232">
        <v>1440000</v>
      </c>
      <c r="Z235" s="233">
        <f>DATABASE_Table[[#This Row],[Sell price (Total)]]-DATABASE_Table[[#This Row],[FF&amp;E]]-DATABASE_Table[[#This Row],[Vista membership]]</f>
        <v>1367000</v>
      </c>
      <c r="AA235" s="315"/>
      <c r="AB235" s="321"/>
      <c r="AC235" s="198" t="s">
        <v>10</v>
      </c>
      <c r="AD235" s="198" t="s">
        <v>34</v>
      </c>
      <c r="AE235" s="279" t="s">
        <v>32</v>
      </c>
      <c r="AF235" s="279" t="s">
        <v>686</v>
      </c>
      <c r="AG235" s="279" t="s">
        <v>49</v>
      </c>
      <c r="AH235" s="279" t="s">
        <v>50</v>
      </c>
      <c r="AI235" s="198" t="s">
        <v>51</v>
      </c>
      <c r="AJ235" s="274" t="s">
        <v>48</v>
      </c>
      <c r="AK235"/>
    </row>
    <row r="236" spans="1:37" ht="15.75" hidden="1" customHeight="1">
      <c r="A236" s="198" t="s">
        <v>565</v>
      </c>
      <c r="B236" s="198" t="s">
        <v>691</v>
      </c>
      <c r="C236" s="214" t="s">
        <v>729</v>
      </c>
      <c r="D236" s="198" t="s">
        <v>9</v>
      </c>
      <c r="E236" s="198" t="s">
        <v>419</v>
      </c>
      <c r="F236" s="198">
        <v>80.900000000000006</v>
      </c>
      <c r="G236" s="198"/>
      <c r="H236" s="214" t="s">
        <v>848</v>
      </c>
      <c r="I236" s="214" t="s">
        <v>325</v>
      </c>
      <c r="J236" s="271">
        <v>18</v>
      </c>
      <c r="K236" s="198"/>
      <c r="L236" s="198"/>
      <c r="M236" s="198"/>
      <c r="N236" s="198"/>
      <c r="O236" s="198">
        <v>62.9</v>
      </c>
      <c r="P236" s="198"/>
      <c r="Q236" s="198" t="s">
        <v>329</v>
      </c>
      <c r="R236" s="230">
        <f>DATABASE_Table[[#This Row],[Inicial Asking Price (€) (Total)]]-DATABASE_Table[[#This Row],[Vista membership]]-DATABASE_Table[[#This Row],[FF&amp;E]]</f>
        <v>645000</v>
      </c>
      <c r="S236" s="231">
        <v>710000</v>
      </c>
      <c r="T236" s="232">
        <v>770000</v>
      </c>
      <c r="U236" s="198">
        <v>50000</v>
      </c>
      <c r="V236" s="198">
        <v>15000</v>
      </c>
      <c r="W236" s="233">
        <f>DATABASE_Table[[#This Row],[Current Asking price( Total)]]-DATABASE_Table[[#This Row],[Vista membership]]-DATABASE_Table[[#This Row],[FF&amp;E]]</f>
        <v>705000</v>
      </c>
      <c r="X236" s="216"/>
      <c r="Y236" s="232">
        <v>770000</v>
      </c>
      <c r="Z236" s="233">
        <f>DATABASE_Table[[#This Row],[Sell price (Total)]]-DATABASE_Table[[#This Row],[FF&amp;E]]-DATABASE_Table[[#This Row],[Vista membership]]</f>
        <v>705000</v>
      </c>
      <c r="AA236" s="315"/>
      <c r="AB236" s="321"/>
      <c r="AC236" s="198" t="s">
        <v>10</v>
      </c>
      <c r="AD236" s="198" t="s">
        <v>34</v>
      </c>
      <c r="AE236" s="279" t="s">
        <v>32</v>
      </c>
      <c r="AF236" s="279" t="s">
        <v>686</v>
      </c>
      <c r="AG236" s="279" t="s">
        <v>49</v>
      </c>
      <c r="AH236" s="279" t="s">
        <v>50</v>
      </c>
      <c r="AI236" s="198" t="s">
        <v>51</v>
      </c>
      <c r="AJ236" s="274" t="s">
        <v>48</v>
      </c>
      <c r="AK236"/>
    </row>
    <row r="237" spans="1:37" ht="15.75" hidden="1" customHeight="1">
      <c r="A237" s="198" t="s">
        <v>565</v>
      </c>
      <c r="B237" s="198" t="s">
        <v>691</v>
      </c>
      <c r="C237" s="214" t="s">
        <v>730</v>
      </c>
      <c r="D237" s="198" t="s">
        <v>9</v>
      </c>
      <c r="E237" s="198" t="s">
        <v>419</v>
      </c>
      <c r="F237" s="198">
        <v>81.099999999999994</v>
      </c>
      <c r="G237" s="198"/>
      <c r="H237" s="214" t="s">
        <v>848</v>
      </c>
      <c r="I237" s="214" t="s">
        <v>325</v>
      </c>
      <c r="J237" s="271">
        <v>18</v>
      </c>
      <c r="K237" s="198"/>
      <c r="L237" s="198"/>
      <c r="M237" s="198"/>
      <c r="N237" s="198"/>
      <c r="O237" s="198">
        <v>63.1</v>
      </c>
      <c r="P237" s="198"/>
      <c r="Q237" s="198" t="s">
        <v>329</v>
      </c>
      <c r="R237" s="230">
        <f>DATABASE_Table[[#This Row],[Inicial Asking Price (€) (Total)]]-DATABASE_Table[[#This Row],[Vista membership]]-DATABASE_Table[[#This Row],[FF&amp;E]]</f>
        <v>685000</v>
      </c>
      <c r="S237" s="231">
        <v>750000</v>
      </c>
      <c r="T237" s="232">
        <v>810000</v>
      </c>
      <c r="U237" s="198">
        <v>50000</v>
      </c>
      <c r="V237" s="198">
        <v>15000</v>
      </c>
      <c r="W237" s="233">
        <f>DATABASE_Table[[#This Row],[Current Asking price( Total)]]-DATABASE_Table[[#This Row],[Vista membership]]-DATABASE_Table[[#This Row],[FF&amp;E]]</f>
        <v>745000</v>
      </c>
      <c r="X237" s="216"/>
      <c r="Y237" s="232">
        <v>810000</v>
      </c>
      <c r="Z237" s="233">
        <f>DATABASE_Table[[#This Row],[Sell price (Total)]]-DATABASE_Table[[#This Row],[FF&amp;E]]-DATABASE_Table[[#This Row],[Vista membership]]</f>
        <v>745000</v>
      </c>
      <c r="AA237" s="315"/>
      <c r="AB237" s="321"/>
      <c r="AC237" s="198" t="s">
        <v>10</v>
      </c>
      <c r="AD237" s="198" t="s">
        <v>34</v>
      </c>
      <c r="AE237" s="279" t="s">
        <v>32</v>
      </c>
      <c r="AF237" s="279" t="s">
        <v>686</v>
      </c>
      <c r="AG237" s="279" t="s">
        <v>49</v>
      </c>
      <c r="AH237" s="279" t="s">
        <v>50</v>
      </c>
      <c r="AI237" s="198" t="s">
        <v>51</v>
      </c>
      <c r="AJ237" s="274" t="s">
        <v>48</v>
      </c>
      <c r="AK237"/>
    </row>
    <row r="238" spans="1:37" ht="15.75" hidden="1" customHeight="1">
      <c r="A238" s="198" t="s">
        <v>565</v>
      </c>
      <c r="B238" s="198" t="s">
        <v>691</v>
      </c>
      <c r="C238" s="214" t="s">
        <v>731</v>
      </c>
      <c r="D238" s="198" t="s">
        <v>9</v>
      </c>
      <c r="E238" s="198" t="s">
        <v>419</v>
      </c>
      <c r="F238" s="198">
        <v>81.099999999999994</v>
      </c>
      <c r="G238" s="198"/>
      <c r="H238" s="214" t="s">
        <v>848</v>
      </c>
      <c r="I238" s="214" t="s">
        <v>325</v>
      </c>
      <c r="J238" s="271">
        <v>18</v>
      </c>
      <c r="K238" s="198"/>
      <c r="L238" s="198"/>
      <c r="M238" s="198"/>
      <c r="N238" s="198"/>
      <c r="O238" s="198">
        <v>63.1</v>
      </c>
      <c r="P238" s="198"/>
      <c r="Q238" s="198" t="s">
        <v>329</v>
      </c>
      <c r="R238" s="230">
        <f>DATABASE_Table[[#This Row],[Inicial Asking Price (€) (Total)]]-DATABASE_Table[[#This Row],[Vista membership]]-DATABASE_Table[[#This Row],[FF&amp;E]]</f>
        <v>725000</v>
      </c>
      <c r="S238" s="231">
        <v>790000</v>
      </c>
      <c r="T238" s="232">
        <v>850000</v>
      </c>
      <c r="U238" s="198">
        <v>50000</v>
      </c>
      <c r="V238" s="198">
        <v>15000</v>
      </c>
      <c r="W238" s="233">
        <f>DATABASE_Table[[#This Row],[Current Asking price( Total)]]-DATABASE_Table[[#This Row],[Vista membership]]-DATABASE_Table[[#This Row],[FF&amp;E]]</f>
        <v>785000</v>
      </c>
      <c r="X238" s="216"/>
      <c r="Y238" s="232">
        <v>850000</v>
      </c>
      <c r="Z238" s="233">
        <f>DATABASE_Table[[#This Row],[Sell price (Total)]]-DATABASE_Table[[#This Row],[FF&amp;E]]-DATABASE_Table[[#This Row],[Vista membership]]</f>
        <v>785000</v>
      </c>
      <c r="AA238" s="315"/>
      <c r="AB238" s="321"/>
      <c r="AC238" s="198" t="s">
        <v>10</v>
      </c>
      <c r="AD238" s="198" t="s">
        <v>34</v>
      </c>
      <c r="AE238" s="279" t="s">
        <v>32</v>
      </c>
      <c r="AF238" s="279" t="s">
        <v>686</v>
      </c>
      <c r="AG238" s="279" t="s">
        <v>49</v>
      </c>
      <c r="AH238" s="279" t="s">
        <v>50</v>
      </c>
      <c r="AI238" s="198" t="s">
        <v>51</v>
      </c>
      <c r="AJ238" s="274" t="s">
        <v>48</v>
      </c>
      <c r="AK238"/>
    </row>
    <row r="239" spans="1:37" ht="15.75" hidden="1" customHeight="1">
      <c r="A239" s="198" t="s">
        <v>565</v>
      </c>
      <c r="B239" s="198" t="s">
        <v>691</v>
      </c>
      <c r="C239" s="214" t="s">
        <v>732</v>
      </c>
      <c r="D239" s="198" t="s">
        <v>9</v>
      </c>
      <c r="E239" s="198" t="s">
        <v>419</v>
      </c>
      <c r="F239" s="198">
        <v>81.099999999999994</v>
      </c>
      <c r="G239" s="198"/>
      <c r="H239" s="214" t="s">
        <v>848</v>
      </c>
      <c r="I239" s="214" t="s">
        <v>325</v>
      </c>
      <c r="J239" s="271">
        <v>18</v>
      </c>
      <c r="K239" s="198"/>
      <c r="L239" s="198"/>
      <c r="M239" s="198"/>
      <c r="N239" s="198"/>
      <c r="O239" s="198">
        <v>63.1</v>
      </c>
      <c r="P239" s="198"/>
      <c r="Q239" s="198" t="s">
        <v>329</v>
      </c>
      <c r="R239" s="230">
        <f>DATABASE_Table[[#This Row],[Inicial Asking Price (€) (Total)]]-DATABASE_Table[[#This Row],[Vista membership]]-DATABASE_Table[[#This Row],[FF&amp;E]]</f>
        <v>775000</v>
      </c>
      <c r="S239" s="231">
        <v>840000</v>
      </c>
      <c r="T239" s="232">
        <v>900000</v>
      </c>
      <c r="U239" s="198">
        <v>50000</v>
      </c>
      <c r="V239" s="198">
        <v>15000</v>
      </c>
      <c r="W239" s="233">
        <f>DATABASE_Table[[#This Row],[Current Asking price( Total)]]-DATABASE_Table[[#This Row],[Vista membership]]-DATABASE_Table[[#This Row],[FF&amp;E]]</f>
        <v>835000</v>
      </c>
      <c r="X239" s="216"/>
      <c r="Y239" s="232">
        <v>900000</v>
      </c>
      <c r="Z239" s="233">
        <f>DATABASE_Table[[#This Row],[Sell price (Total)]]-DATABASE_Table[[#This Row],[FF&amp;E]]-DATABASE_Table[[#This Row],[Vista membership]]</f>
        <v>835000</v>
      </c>
      <c r="AA239" s="315"/>
      <c r="AB239" s="321"/>
      <c r="AC239" s="198" t="s">
        <v>10</v>
      </c>
      <c r="AD239" s="198" t="s">
        <v>34</v>
      </c>
      <c r="AE239" s="279" t="s">
        <v>32</v>
      </c>
      <c r="AF239" s="279" t="s">
        <v>686</v>
      </c>
      <c r="AG239" s="279" t="s">
        <v>49</v>
      </c>
      <c r="AH239" s="279" t="s">
        <v>50</v>
      </c>
      <c r="AI239" s="198" t="s">
        <v>51</v>
      </c>
      <c r="AJ239" s="274" t="s">
        <v>48</v>
      </c>
      <c r="AK239"/>
    </row>
    <row r="240" spans="1:37" ht="15.75" hidden="1" customHeight="1">
      <c r="A240" s="198" t="s">
        <v>565</v>
      </c>
      <c r="B240" s="198" t="s">
        <v>691</v>
      </c>
      <c r="C240" s="214" t="s">
        <v>733</v>
      </c>
      <c r="D240" s="198" t="s">
        <v>9</v>
      </c>
      <c r="E240" s="198" t="s">
        <v>419</v>
      </c>
      <c r="F240" s="198">
        <v>83</v>
      </c>
      <c r="G240" s="198"/>
      <c r="H240" s="214" t="s">
        <v>848</v>
      </c>
      <c r="I240" s="214" t="s">
        <v>325</v>
      </c>
      <c r="J240" s="271">
        <v>18.7</v>
      </c>
      <c r="K240" s="198"/>
      <c r="L240" s="198"/>
      <c r="M240" s="198"/>
      <c r="N240" s="198"/>
      <c r="O240" s="198">
        <v>64.3</v>
      </c>
      <c r="P240" s="198"/>
      <c r="Q240" s="198" t="s">
        <v>329</v>
      </c>
      <c r="R240" s="230">
        <f>DATABASE_Table[[#This Row],[Inicial Asking Price (€) (Total)]]-DATABASE_Table[[#This Row],[Vista membership]]-DATABASE_Table[[#This Row],[FF&amp;E]]</f>
        <v>835000</v>
      </c>
      <c r="S240" s="231">
        <v>900000</v>
      </c>
      <c r="T240" s="232">
        <v>960000</v>
      </c>
      <c r="U240" s="198">
        <v>50000</v>
      </c>
      <c r="V240" s="198">
        <v>15000</v>
      </c>
      <c r="W240" s="233">
        <f>DATABASE_Table[[#This Row],[Current Asking price( Total)]]-DATABASE_Table[[#This Row],[Vista membership]]-DATABASE_Table[[#This Row],[FF&amp;E]]</f>
        <v>895000</v>
      </c>
      <c r="X240" s="216"/>
      <c r="Y240" s="232">
        <v>960000</v>
      </c>
      <c r="Z240" s="233">
        <f>DATABASE_Table[[#This Row],[Sell price (Total)]]-DATABASE_Table[[#This Row],[FF&amp;E]]-DATABASE_Table[[#This Row],[Vista membership]]</f>
        <v>895000</v>
      </c>
      <c r="AA240" s="315"/>
      <c r="AB240" s="321"/>
      <c r="AC240" s="198" t="s">
        <v>10</v>
      </c>
      <c r="AD240" s="198" t="s">
        <v>34</v>
      </c>
      <c r="AE240" s="279" t="s">
        <v>32</v>
      </c>
      <c r="AF240" s="279" t="s">
        <v>686</v>
      </c>
      <c r="AG240" s="279" t="s">
        <v>49</v>
      </c>
      <c r="AH240" s="279" t="s">
        <v>50</v>
      </c>
      <c r="AI240" s="198" t="s">
        <v>51</v>
      </c>
      <c r="AJ240" s="274" t="s">
        <v>48</v>
      </c>
      <c r="AK240"/>
    </row>
    <row r="241" spans="1:37" ht="15.75" hidden="1" customHeight="1">
      <c r="A241" s="198" t="s">
        <v>629</v>
      </c>
      <c r="B241" s="198" t="s">
        <v>691</v>
      </c>
      <c r="C241" s="214" t="s">
        <v>851</v>
      </c>
      <c r="D241" s="198" t="s">
        <v>9</v>
      </c>
      <c r="E241" s="198" t="s">
        <v>553</v>
      </c>
      <c r="F241" s="198">
        <v>440</v>
      </c>
      <c r="G241" s="198"/>
      <c r="H241" s="214" t="s">
        <v>325</v>
      </c>
      <c r="I241" s="214" t="s">
        <v>325</v>
      </c>
      <c r="J241" s="271"/>
      <c r="K241" s="198"/>
      <c r="L241" s="198"/>
      <c r="M241" s="198"/>
      <c r="N241" s="198"/>
      <c r="O241" s="198">
        <v>440</v>
      </c>
      <c r="P241" s="198"/>
      <c r="Q241" s="198" t="s">
        <v>329</v>
      </c>
      <c r="R241" s="230">
        <f>DATABASE_Table[[#This Row],[Inicial Asking Price (€) (Total)]]-DATABASE_Table[[#This Row],[Vista membership]]-DATABASE_Table[[#This Row],[FF&amp;E]]</f>
        <v>1240000</v>
      </c>
      <c r="S241" s="231">
        <v>1240000</v>
      </c>
      <c r="T241" s="232">
        <v>2280000</v>
      </c>
      <c r="U241" s="198"/>
      <c r="V241" s="198"/>
      <c r="W241" s="233">
        <f>DATABASE_Table[[#This Row],[Current Asking price( Total)]]-DATABASE_Table[[#This Row],[Vista membership]]-DATABASE_Table[[#This Row],[FF&amp;E]]</f>
        <v>2280000</v>
      </c>
      <c r="X241" s="216"/>
      <c r="Y241" s="232">
        <v>2280000</v>
      </c>
      <c r="Z241" s="233">
        <f>DATABASE_Table[[#This Row],[Sell price (Total)]]-DATABASE_Table[[#This Row],[FF&amp;E]]-DATABASE_Table[[#This Row],[Vista membership]]</f>
        <v>2280000</v>
      </c>
      <c r="AA241" s="315"/>
      <c r="AB241" s="321"/>
      <c r="AC241" s="198" t="s">
        <v>10</v>
      </c>
      <c r="AD241" s="198" t="s">
        <v>35</v>
      </c>
      <c r="AE241" s="279" t="s">
        <v>38</v>
      </c>
      <c r="AF241" s="279" t="s">
        <v>39</v>
      </c>
      <c r="AG241" s="279" t="s">
        <v>40</v>
      </c>
      <c r="AH241" s="279" t="s">
        <v>810</v>
      </c>
      <c r="AI241" s="198" t="s">
        <v>41</v>
      </c>
      <c r="AJ241" s="274" t="s">
        <v>37</v>
      </c>
      <c r="AK241"/>
    </row>
    <row r="242" spans="1:37" ht="15.75" hidden="1" customHeight="1">
      <c r="A242" s="198" t="s">
        <v>565</v>
      </c>
      <c r="B242" s="198" t="s">
        <v>691</v>
      </c>
      <c r="C242" s="214" t="s">
        <v>851</v>
      </c>
      <c r="D242" s="198" t="s">
        <v>9</v>
      </c>
      <c r="E242" s="198" t="s">
        <v>319</v>
      </c>
      <c r="F242" s="198">
        <v>160.19999999999999</v>
      </c>
      <c r="G242" s="198"/>
      <c r="H242" s="214" t="s">
        <v>848</v>
      </c>
      <c r="I242" s="214" t="s">
        <v>325</v>
      </c>
      <c r="J242" s="271">
        <v>55.6</v>
      </c>
      <c r="K242" s="198"/>
      <c r="L242" s="198"/>
      <c r="M242" s="198"/>
      <c r="N242" s="198"/>
      <c r="O242" s="198">
        <v>104.6</v>
      </c>
      <c r="P242" s="198"/>
      <c r="Q242" s="198" t="s">
        <v>329</v>
      </c>
      <c r="R242" s="230">
        <f>DATABASE_Table[[#This Row],[Inicial Asking Price (€) (Total)]]-DATABASE_Table[[#This Row],[Vista membership]]-DATABASE_Table[[#This Row],[FF&amp;E]]</f>
        <v>847000</v>
      </c>
      <c r="S242" s="231">
        <v>920000</v>
      </c>
      <c r="T242" s="232">
        <v>980000</v>
      </c>
      <c r="U242" s="198">
        <v>50000</v>
      </c>
      <c r="V242" s="198">
        <v>23000</v>
      </c>
      <c r="W242" s="233">
        <f>DATABASE_Table[[#This Row],[Current Asking price( Total)]]-DATABASE_Table[[#This Row],[Vista membership]]-DATABASE_Table[[#This Row],[FF&amp;E]]</f>
        <v>907000</v>
      </c>
      <c r="X242" s="216"/>
      <c r="Y242" s="232">
        <v>980000</v>
      </c>
      <c r="Z242" s="233">
        <f>DATABASE_Table[[#This Row],[Sell price (Total)]]-DATABASE_Table[[#This Row],[FF&amp;E]]-DATABASE_Table[[#This Row],[Vista membership]]</f>
        <v>907000</v>
      </c>
      <c r="AA242" s="315"/>
      <c r="AB242" s="321"/>
      <c r="AC242" s="198" t="s">
        <v>10</v>
      </c>
      <c r="AD242" s="198" t="s">
        <v>34</v>
      </c>
      <c r="AE242" s="279" t="s">
        <v>32</v>
      </c>
      <c r="AF242" s="279" t="s">
        <v>686</v>
      </c>
      <c r="AG242" s="279" t="s">
        <v>49</v>
      </c>
      <c r="AH242" s="279" t="s">
        <v>50</v>
      </c>
      <c r="AI242" s="198" t="s">
        <v>51</v>
      </c>
      <c r="AJ242" s="274" t="s">
        <v>48</v>
      </c>
      <c r="AK242"/>
    </row>
    <row r="243" spans="1:37" ht="15.75" hidden="1" customHeight="1">
      <c r="A243" s="198" t="s">
        <v>565</v>
      </c>
      <c r="B243" s="198" t="s">
        <v>691</v>
      </c>
      <c r="C243" s="214" t="s">
        <v>734</v>
      </c>
      <c r="D243" s="198" t="s">
        <v>9</v>
      </c>
      <c r="E243" s="198" t="s">
        <v>320</v>
      </c>
      <c r="F243" s="198">
        <v>183.9</v>
      </c>
      <c r="G243" s="198"/>
      <c r="H243" s="214" t="s">
        <v>848</v>
      </c>
      <c r="I243" s="214" t="s">
        <v>325</v>
      </c>
      <c r="J243" s="271">
        <v>34.299999999999997</v>
      </c>
      <c r="K243" s="198"/>
      <c r="L243" s="198"/>
      <c r="M243" s="198"/>
      <c r="N243" s="198"/>
      <c r="O243" s="198">
        <v>149.6</v>
      </c>
      <c r="P243" s="198"/>
      <c r="Q243" s="198" t="s">
        <v>329</v>
      </c>
      <c r="R243" s="230">
        <f>DATABASE_Table[[#This Row],[Inicial Asking Price (€) (Total)]]-DATABASE_Table[[#This Row],[Vista membership]]-DATABASE_Table[[#This Row],[FF&amp;E]]</f>
        <v>2190000</v>
      </c>
      <c r="S243" s="231">
        <v>2270000</v>
      </c>
      <c r="T243" s="232">
        <v>2350000</v>
      </c>
      <c r="U243" s="198">
        <v>50000</v>
      </c>
      <c r="V243" s="198">
        <v>30000</v>
      </c>
      <c r="W243" s="233">
        <f>DATABASE_Table[[#This Row],[Current Asking price( Total)]]-DATABASE_Table[[#This Row],[Vista membership]]-DATABASE_Table[[#This Row],[FF&amp;E]]</f>
        <v>2270000</v>
      </c>
      <c r="X243" s="216"/>
      <c r="Y243" s="232">
        <v>2350000</v>
      </c>
      <c r="Z243" s="233">
        <f>DATABASE_Table[[#This Row],[Sell price (Total)]]-DATABASE_Table[[#This Row],[FF&amp;E]]-DATABASE_Table[[#This Row],[Vista membership]]</f>
        <v>2270000</v>
      </c>
      <c r="AA243" s="315"/>
      <c r="AB243" s="321"/>
      <c r="AC243" s="198" t="s">
        <v>10</v>
      </c>
      <c r="AD243" s="198" t="s">
        <v>34</v>
      </c>
      <c r="AE243" s="279" t="s">
        <v>32</v>
      </c>
      <c r="AF243" s="279" t="s">
        <v>686</v>
      </c>
      <c r="AG243" s="279" t="s">
        <v>49</v>
      </c>
      <c r="AH243" s="279" t="s">
        <v>50</v>
      </c>
      <c r="AI243" s="198" t="s">
        <v>51</v>
      </c>
      <c r="AJ243" s="274" t="s">
        <v>48</v>
      </c>
      <c r="AK243"/>
    </row>
    <row r="244" spans="1:37" ht="15.75" hidden="1" customHeight="1">
      <c r="A244" s="198" t="s">
        <v>565</v>
      </c>
      <c r="B244" s="198" t="s">
        <v>691</v>
      </c>
      <c r="C244" s="214" t="s">
        <v>735</v>
      </c>
      <c r="D244" s="198" t="s">
        <v>9</v>
      </c>
      <c r="E244" s="198" t="s">
        <v>319</v>
      </c>
      <c r="F244" s="198">
        <v>129.4</v>
      </c>
      <c r="G244" s="198"/>
      <c r="H244" s="214" t="s">
        <v>848</v>
      </c>
      <c r="I244" s="214" t="s">
        <v>325</v>
      </c>
      <c r="J244" s="271">
        <v>25.5</v>
      </c>
      <c r="K244" s="198"/>
      <c r="L244" s="198"/>
      <c r="M244" s="198"/>
      <c r="N244" s="198"/>
      <c r="O244" s="198">
        <v>103.9</v>
      </c>
      <c r="P244" s="198"/>
      <c r="Q244" s="198" t="s">
        <v>329</v>
      </c>
      <c r="R244" s="230">
        <f>DATABASE_Table[[#This Row],[Inicial Asking Price (€) (Total)]]-DATABASE_Table[[#This Row],[Vista membership]]-DATABASE_Table[[#This Row],[FF&amp;E]]</f>
        <v>1147000</v>
      </c>
      <c r="S244" s="231">
        <v>1220000</v>
      </c>
      <c r="T244" s="232">
        <v>1290000</v>
      </c>
      <c r="U244" s="198">
        <v>50000</v>
      </c>
      <c r="V244" s="198">
        <v>23000</v>
      </c>
      <c r="W244" s="233">
        <f>DATABASE_Table[[#This Row],[Current Asking price( Total)]]-DATABASE_Table[[#This Row],[Vista membership]]-DATABASE_Table[[#This Row],[FF&amp;E]]</f>
        <v>1217000</v>
      </c>
      <c r="X244" s="216"/>
      <c r="Y244" s="232">
        <v>1290000</v>
      </c>
      <c r="Z244" s="233">
        <f>DATABASE_Table[[#This Row],[Sell price (Total)]]-DATABASE_Table[[#This Row],[FF&amp;E]]-DATABASE_Table[[#This Row],[Vista membership]]</f>
        <v>1217000</v>
      </c>
      <c r="AA244" s="315"/>
      <c r="AB244" s="321"/>
      <c r="AC244" s="198" t="s">
        <v>10</v>
      </c>
      <c r="AD244" s="198" t="s">
        <v>34</v>
      </c>
      <c r="AE244" s="279" t="s">
        <v>32</v>
      </c>
      <c r="AF244" s="279" t="s">
        <v>686</v>
      </c>
      <c r="AG244" s="279" t="s">
        <v>49</v>
      </c>
      <c r="AH244" s="279" t="s">
        <v>50</v>
      </c>
      <c r="AI244" s="198" t="s">
        <v>51</v>
      </c>
      <c r="AJ244" s="274" t="s">
        <v>48</v>
      </c>
      <c r="AK244"/>
    </row>
    <row r="245" spans="1:37" ht="15.75" hidden="1" customHeight="1">
      <c r="A245" s="198" t="s">
        <v>779</v>
      </c>
      <c r="B245" s="198" t="s">
        <v>786</v>
      </c>
      <c r="C245" s="214" t="s">
        <v>99</v>
      </c>
      <c r="D245" s="198" t="s">
        <v>79</v>
      </c>
      <c r="E245" s="198" t="s">
        <v>315</v>
      </c>
      <c r="F245" s="198">
        <v>98.7</v>
      </c>
      <c r="G245" s="198"/>
      <c r="H245" s="214" t="s">
        <v>848</v>
      </c>
      <c r="I245" s="214" t="s">
        <v>325</v>
      </c>
      <c r="J245" s="271">
        <v>13.3</v>
      </c>
      <c r="K245" s="198"/>
      <c r="L245" s="198"/>
      <c r="M245" s="198"/>
      <c r="N245" s="198"/>
      <c r="O245" s="198">
        <v>85.4</v>
      </c>
      <c r="P245" s="198"/>
      <c r="Q245" s="198" t="s">
        <v>329</v>
      </c>
      <c r="R245" s="230">
        <f>DATABASE_Table[[#This Row],[Inicial Asking Price (€) (Total)]]-DATABASE_Table[[#This Row],[Vista membership]]-DATABASE_Table[[#This Row],[FF&amp;E]]</f>
        <v>550000</v>
      </c>
      <c r="S245" s="234">
        <v>595000</v>
      </c>
      <c r="T245" s="235">
        <v>595000</v>
      </c>
      <c r="U245" s="198"/>
      <c r="V245" s="235">
        <v>45000</v>
      </c>
      <c r="W245" s="233">
        <f>DATABASE_Table[[#This Row],[Current Asking price( Total)]]-DATABASE_Table[[#This Row],[Vista membership]]-DATABASE_Table[[#This Row],[FF&amp;E]]</f>
        <v>550000</v>
      </c>
      <c r="X245" s="236"/>
      <c r="Y245" s="235"/>
      <c r="Z245" s="233">
        <f>DATABASE_Table[[#This Row],[Sell price (Total)]]-DATABASE_Table[[#This Row],[FF&amp;E]]-DATABASE_Table[[#This Row],[Vista membership]]</f>
        <v>-45000</v>
      </c>
      <c r="AA245" s="315"/>
      <c r="AB245" s="321">
        <v>47118</v>
      </c>
      <c r="AC245" s="198" t="s">
        <v>80</v>
      </c>
      <c r="AD245" s="198" t="s">
        <v>81</v>
      </c>
      <c r="AE245" s="279" t="s">
        <v>82</v>
      </c>
      <c r="AF245" s="279" t="s">
        <v>83</v>
      </c>
      <c r="AG245" s="279" t="s">
        <v>84</v>
      </c>
      <c r="AH245" s="279" t="s">
        <v>85</v>
      </c>
      <c r="AI245" s="198" t="s">
        <v>86</v>
      </c>
      <c r="AJ245" s="274" t="s">
        <v>78</v>
      </c>
      <c r="AK245"/>
    </row>
    <row r="246" spans="1:37" ht="15.75" hidden="1" customHeight="1">
      <c r="A246" s="198" t="s">
        <v>779</v>
      </c>
      <c r="B246" s="198" t="s">
        <v>786</v>
      </c>
      <c r="C246" s="214" t="s">
        <v>107</v>
      </c>
      <c r="D246" s="198" t="s">
        <v>79</v>
      </c>
      <c r="E246" s="198" t="s">
        <v>315</v>
      </c>
      <c r="F246" s="198">
        <v>98.7</v>
      </c>
      <c r="G246" s="198"/>
      <c r="H246" s="214" t="s">
        <v>848</v>
      </c>
      <c r="I246" s="214" t="s">
        <v>325</v>
      </c>
      <c r="J246" s="271">
        <v>13.3</v>
      </c>
      <c r="K246" s="198"/>
      <c r="L246" s="198"/>
      <c r="M246" s="198"/>
      <c r="N246" s="198"/>
      <c r="O246" s="198">
        <v>85.4</v>
      </c>
      <c r="P246" s="198"/>
      <c r="Q246" s="198" t="s">
        <v>329</v>
      </c>
      <c r="R246" s="230">
        <f>DATABASE_Table[[#This Row],[Inicial Asking Price (€) (Total)]]-DATABASE_Table[[#This Row],[Vista membership]]-DATABASE_Table[[#This Row],[FF&amp;E]]</f>
        <v>550000</v>
      </c>
      <c r="S246" s="234">
        <v>595000</v>
      </c>
      <c r="T246" s="235">
        <v>595000</v>
      </c>
      <c r="U246" s="198"/>
      <c r="V246" s="235">
        <v>45000</v>
      </c>
      <c r="W246" s="233">
        <f>DATABASE_Table[[#This Row],[Current Asking price( Total)]]-DATABASE_Table[[#This Row],[Vista membership]]-DATABASE_Table[[#This Row],[FF&amp;E]]</f>
        <v>550000</v>
      </c>
      <c r="X246" s="236"/>
      <c r="Y246" s="235"/>
      <c r="Z246" s="233">
        <f>DATABASE_Table[[#This Row],[Sell price (Total)]]-DATABASE_Table[[#This Row],[FF&amp;E]]-DATABASE_Table[[#This Row],[Vista membership]]</f>
        <v>-45000</v>
      </c>
      <c r="AA246" s="315"/>
      <c r="AB246" s="321">
        <v>47118</v>
      </c>
      <c r="AC246" s="198" t="s">
        <v>80</v>
      </c>
      <c r="AD246" s="198" t="s">
        <v>81</v>
      </c>
      <c r="AE246" s="279" t="s">
        <v>82</v>
      </c>
      <c r="AF246" s="279" t="s">
        <v>83</v>
      </c>
      <c r="AG246" s="279" t="s">
        <v>84</v>
      </c>
      <c r="AH246" s="279" t="s">
        <v>85</v>
      </c>
      <c r="AI246" s="198" t="s">
        <v>86</v>
      </c>
      <c r="AJ246" s="274" t="s">
        <v>78</v>
      </c>
      <c r="AK246"/>
    </row>
    <row r="247" spans="1:37" ht="15.75" hidden="1" customHeight="1">
      <c r="A247" s="198" t="s">
        <v>565</v>
      </c>
      <c r="B247" s="198" t="s">
        <v>691</v>
      </c>
      <c r="C247" s="214" t="s">
        <v>736</v>
      </c>
      <c r="D247" s="198" t="s">
        <v>9</v>
      </c>
      <c r="E247" s="198" t="s">
        <v>319</v>
      </c>
      <c r="F247" s="198">
        <v>129.4</v>
      </c>
      <c r="G247" s="198"/>
      <c r="H247" s="214" t="s">
        <v>848</v>
      </c>
      <c r="I247" s="214" t="s">
        <v>325</v>
      </c>
      <c r="J247" s="271">
        <v>25.5</v>
      </c>
      <c r="K247" s="198"/>
      <c r="L247" s="198"/>
      <c r="M247" s="198"/>
      <c r="N247" s="198"/>
      <c r="O247" s="198">
        <v>103.9</v>
      </c>
      <c r="P247" s="198"/>
      <c r="Q247" s="198" t="s">
        <v>329</v>
      </c>
      <c r="R247" s="230">
        <f>DATABASE_Table[[#This Row],[Inicial Asking Price (€) (Total)]]-DATABASE_Table[[#This Row],[Vista membership]]-DATABASE_Table[[#This Row],[FF&amp;E]]</f>
        <v>1067000</v>
      </c>
      <c r="S247" s="231">
        <v>1140000</v>
      </c>
      <c r="T247" s="232">
        <v>1210000</v>
      </c>
      <c r="U247" s="198">
        <v>50000</v>
      </c>
      <c r="V247" s="198">
        <v>23000</v>
      </c>
      <c r="W247" s="233">
        <f>DATABASE_Table[[#This Row],[Current Asking price( Total)]]-DATABASE_Table[[#This Row],[Vista membership]]-DATABASE_Table[[#This Row],[FF&amp;E]]</f>
        <v>1137000</v>
      </c>
      <c r="X247" s="216"/>
      <c r="Y247" s="232">
        <v>1210000</v>
      </c>
      <c r="Z247" s="233">
        <f>DATABASE_Table[[#This Row],[Sell price (Total)]]-DATABASE_Table[[#This Row],[FF&amp;E]]-DATABASE_Table[[#This Row],[Vista membership]]</f>
        <v>1137000</v>
      </c>
      <c r="AA247" s="315"/>
      <c r="AB247" s="321"/>
      <c r="AC247" s="198" t="s">
        <v>10</v>
      </c>
      <c r="AD247" s="198" t="s">
        <v>34</v>
      </c>
      <c r="AE247" s="279" t="s">
        <v>32</v>
      </c>
      <c r="AF247" s="279" t="s">
        <v>686</v>
      </c>
      <c r="AG247" s="279" t="s">
        <v>49</v>
      </c>
      <c r="AH247" s="279" t="s">
        <v>50</v>
      </c>
      <c r="AI247" s="198" t="s">
        <v>51</v>
      </c>
      <c r="AJ247" s="274" t="s">
        <v>48</v>
      </c>
      <c r="AK247"/>
    </row>
    <row r="248" spans="1:37" ht="15.75" hidden="1" customHeight="1">
      <c r="A248" s="198" t="s">
        <v>565</v>
      </c>
      <c r="B248" s="198" t="s">
        <v>691</v>
      </c>
      <c r="C248" s="214" t="s">
        <v>737</v>
      </c>
      <c r="D248" s="198" t="s">
        <v>9</v>
      </c>
      <c r="E248" s="198" t="s">
        <v>319</v>
      </c>
      <c r="F248" s="198">
        <v>130</v>
      </c>
      <c r="G248" s="198"/>
      <c r="H248" s="214" t="s">
        <v>848</v>
      </c>
      <c r="I248" s="214" t="s">
        <v>325</v>
      </c>
      <c r="J248" s="271">
        <v>25.4</v>
      </c>
      <c r="K248" s="198"/>
      <c r="L248" s="198"/>
      <c r="M248" s="198"/>
      <c r="N248" s="198"/>
      <c r="O248" s="198">
        <v>104.6</v>
      </c>
      <c r="P248" s="198"/>
      <c r="Q248" s="198" t="s">
        <v>329</v>
      </c>
      <c r="R248" s="230">
        <f>DATABASE_Table[[#This Row],[Inicial Asking Price (€) (Total)]]-DATABASE_Table[[#This Row],[Vista membership]]-DATABASE_Table[[#This Row],[FF&amp;E]]</f>
        <v>977000</v>
      </c>
      <c r="S248" s="231">
        <v>1050000</v>
      </c>
      <c r="T248" s="232">
        <v>1120000</v>
      </c>
      <c r="U248" s="198">
        <v>50000</v>
      </c>
      <c r="V248" s="198">
        <v>23000</v>
      </c>
      <c r="W248" s="233">
        <f>DATABASE_Table[[#This Row],[Current Asking price( Total)]]-DATABASE_Table[[#This Row],[Vista membership]]-DATABASE_Table[[#This Row],[FF&amp;E]]</f>
        <v>1047000</v>
      </c>
      <c r="X248" s="216"/>
      <c r="Y248" s="232">
        <v>1120000</v>
      </c>
      <c r="Z248" s="233">
        <f>DATABASE_Table[[#This Row],[Sell price (Total)]]-DATABASE_Table[[#This Row],[FF&amp;E]]-DATABASE_Table[[#This Row],[Vista membership]]</f>
        <v>1047000</v>
      </c>
      <c r="AA248" s="315"/>
      <c r="AB248" s="321"/>
      <c r="AC248" s="198" t="s">
        <v>10</v>
      </c>
      <c r="AD248" s="198" t="s">
        <v>34</v>
      </c>
      <c r="AE248" s="279" t="s">
        <v>32</v>
      </c>
      <c r="AF248" s="279" t="s">
        <v>686</v>
      </c>
      <c r="AG248" s="279" t="s">
        <v>49</v>
      </c>
      <c r="AH248" s="279" t="s">
        <v>50</v>
      </c>
      <c r="AI248" s="198" t="s">
        <v>51</v>
      </c>
      <c r="AJ248" s="274" t="s">
        <v>48</v>
      </c>
      <c r="AK248"/>
    </row>
    <row r="249" spans="1:37" ht="15.75" hidden="1" customHeight="1">
      <c r="A249" s="198" t="s">
        <v>565</v>
      </c>
      <c r="B249" s="198" t="s">
        <v>691</v>
      </c>
      <c r="C249" s="214" t="s">
        <v>738</v>
      </c>
      <c r="D249" s="198" t="s">
        <v>9</v>
      </c>
      <c r="E249" s="198" t="s">
        <v>319</v>
      </c>
      <c r="F249" s="198">
        <v>130.1</v>
      </c>
      <c r="G249" s="198"/>
      <c r="H249" s="214" t="s">
        <v>848</v>
      </c>
      <c r="I249" s="214" t="s">
        <v>325</v>
      </c>
      <c r="J249" s="271">
        <v>25.5</v>
      </c>
      <c r="K249" s="198"/>
      <c r="L249" s="198"/>
      <c r="M249" s="198"/>
      <c r="N249" s="198"/>
      <c r="O249" s="198">
        <v>104.6</v>
      </c>
      <c r="P249" s="198"/>
      <c r="Q249" s="198" t="s">
        <v>329</v>
      </c>
      <c r="R249" s="230">
        <f>DATABASE_Table[[#This Row],[Inicial Asking Price (€) (Total)]]-DATABASE_Table[[#This Row],[Vista membership]]-DATABASE_Table[[#This Row],[FF&amp;E]]</f>
        <v>1057000</v>
      </c>
      <c r="S249" s="231">
        <v>1130000</v>
      </c>
      <c r="T249" s="232">
        <v>1200000</v>
      </c>
      <c r="U249" s="198">
        <v>50000</v>
      </c>
      <c r="V249" s="198">
        <v>23000</v>
      </c>
      <c r="W249" s="233">
        <f>DATABASE_Table[[#This Row],[Current Asking price( Total)]]-DATABASE_Table[[#This Row],[Vista membership]]-DATABASE_Table[[#This Row],[FF&amp;E]]</f>
        <v>1127000</v>
      </c>
      <c r="X249" s="216"/>
      <c r="Y249" s="232">
        <v>1200000</v>
      </c>
      <c r="Z249" s="233">
        <f>DATABASE_Table[[#This Row],[Sell price (Total)]]-DATABASE_Table[[#This Row],[FF&amp;E]]-DATABASE_Table[[#This Row],[Vista membership]]</f>
        <v>1127000</v>
      </c>
      <c r="AA249" s="315"/>
      <c r="AB249" s="321"/>
      <c r="AC249" s="198" t="s">
        <v>10</v>
      </c>
      <c r="AD249" s="198" t="s">
        <v>34</v>
      </c>
      <c r="AE249" s="279" t="s">
        <v>32</v>
      </c>
      <c r="AF249" s="279" t="s">
        <v>686</v>
      </c>
      <c r="AG249" s="279" t="s">
        <v>49</v>
      </c>
      <c r="AH249" s="279" t="s">
        <v>50</v>
      </c>
      <c r="AI249" s="198" t="s">
        <v>51</v>
      </c>
      <c r="AJ249" s="274" t="s">
        <v>48</v>
      </c>
      <c r="AK249"/>
    </row>
    <row r="250" spans="1:37" ht="15.75" hidden="1" customHeight="1">
      <c r="A250" s="198" t="s">
        <v>565</v>
      </c>
      <c r="B250" s="198" t="s">
        <v>691</v>
      </c>
      <c r="C250" s="214" t="s">
        <v>739</v>
      </c>
      <c r="D250" s="198" t="s">
        <v>9</v>
      </c>
      <c r="E250" s="198" t="s">
        <v>319</v>
      </c>
      <c r="F250" s="198">
        <v>129.4</v>
      </c>
      <c r="G250" s="198"/>
      <c r="H250" s="214" t="s">
        <v>848</v>
      </c>
      <c r="I250" s="214" t="s">
        <v>325</v>
      </c>
      <c r="J250" s="271">
        <v>25.5</v>
      </c>
      <c r="K250" s="198"/>
      <c r="L250" s="198"/>
      <c r="M250" s="198"/>
      <c r="N250" s="198"/>
      <c r="O250" s="198">
        <v>103.9</v>
      </c>
      <c r="P250" s="198"/>
      <c r="Q250" s="198" t="s">
        <v>329</v>
      </c>
      <c r="R250" s="230">
        <f>DATABASE_Table[[#This Row],[Inicial Asking Price (€) (Total)]]-DATABASE_Table[[#This Row],[Vista membership]]-DATABASE_Table[[#This Row],[FF&amp;E]]</f>
        <v>1147000</v>
      </c>
      <c r="S250" s="231">
        <v>1220000</v>
      </c>
      <c r="T250" s="232">
        <v>1290000</v>
      </c>
      <c r="U250" s="198">
        <v>50000</v>
      </c>
      <c r="V250" s="198">
        <v>23000</v>
      </c>
      <c r="W250" s="233">
        <f>DATABASE_Table[[#This Row],[Current Asking price( Total)]]-DATABASE_Table[[#This Row],[Vista membership]]-DATABASE_Table[[#This Row],[FF&amp;E]]</f>
        <v>1217000</v>
      </c>
      <c r="X250" s="216"/>
      <c r="Y250" s="232">
        <v>1290000</v>
      </c>
      <c r="Z250" s="233">
        <f>DATABASE_Table[[#This Row],[Sell price (Total)]]-DATABASE_Table[[#This Row],[FF&amp;E]]-DATABASE_Table[[#This Row],[Vista membership]]</f>
        <v>1217000</v>
      </c>
      <c r="AA250" s="315"/>
      <c r="AB250" s="321"/>
      <c r="AC250" s="198" t="s">
        <v>10</v>
      </c>
      <c r="AD250" s="198" t="s">
        <v>34</v>
      </c>
      <c r="AE250" s="279" t="s">
        <v>32</v>
      </c>
      <c r="AF250" s="279" t="s">
        <v>686</v>
      </c>
      <c r="AG250" s="279" t="s">
        <v>49</v>
      </c>
      <c r="AH250" s="279" t="s">
        <v>50</v>
      </c>
      <c r="AI250" s="198" t="s">
        <v>51</v>
      </c>
      <c r="AJ250" s="274" t="s">
        <v>48</v>
      </c>
      <c r="AK250"/>
    </row>
    <row r="251" spans="1:37" ht="15.75" hidden="1" customHeight="1">
      <c r="A251" s="198" t="s">
        <v>565</v>
      </c>
      <c r="B251" s="198" t="s">
        <v>691</v>
      </c>
      <c r="C251" s="214" t="s">
        <v>740</v>
      </c>
      <c r="D251" s="198" t="s">
        <v>9</v>
      </c>
      <c r="E251" s="198" t="s">
        <v>319</v>
      </c>
      <c r="F251" s="198">
        <v>129.4</v>
      </c>
      <c r="G251" s="198"/>
      <c r="H251" s="214" t="s">
        <v>848</v>
      </c>
      <c r="I251" s="214" t="s">
        <v>325</v>
      </c>
      <c r="J251" s="271">
        <v>25.5</v>
      </c>
      <c r="K251" s="198"/>
      <c r="L251" s="198"/>
      <c r="M251" s="198"/>
      <c r="N251" s="198"/>
      <c r="O251" s="198">
        <v>103.9</v>
      </c>
      <c r="P251" s="198"/>
      <c r="Q251" s="198" t="s">
        <v>329</v>
      </c>
      <c r="R251" s="230">
        <f>DATABASE_Table[[#This Row],[Inicial Asking Price (€) (Total)]]-DATABASE_Table[[#This Row],[Vista membership]]-DATABASE_Table[[#This Row],[FF&amp;E]]</f>
        <v>1227000</v>
      </c>
      <c r="S251" s="231">
        <v>1300000</v>
      </c>
      <c r="T251" s="232">
        <v>1370000</v>
      </c>
      <c r="U251" s="198">
        <v>50000</v>
      </c>
      <c r="V251" s="198">
        <v>23000</v>
      </c>
      <c r="W251" s="233">
        <f>DATABASE_Table[[#This Row],[Current Asking price( Total)]]-DATABASE_Table[[#This Row],[Vista membership]]-DATABASE_Table[[#This Row],[FF&amp;E]]</f>
        <v>1297000</v>
      </c>
      <c r="X251" s="216"/>
      <c r="Y251" s="232">
        <v>1370000</v>
      </c>
      <c r="Z251" s="233">
        <f>DATABASE_Table[[#This Row],[Sell price (Total)]]-DATABASE_Table[[#This Row],[FF&amp;E]]-DATABASE_Table[[#This Row],[Vista membership]]</f>
        <v>1297000</v>
      </c>
      <c r="AA251" s="315"/>
      <c r="AB251" s="321"/>
      <c r="AC251" s="198" t="s">
        <v>10</v>
      </c>
      <c r="AD251" s="198" t="s">
        <v>34</v>
      </c>
      <c r="AE251" s="279" t="s">
        <v>32</v>
      </c>
      <c r="AF251" s="279" t="s">
        <v>686</v>
      </c>
      <c r="AG251" s="279" t="s">
        <v>49</v>
      </c>
      <c r="AH251" s="279" t="s">
        <v>50</v>
      </c>
      <c r="AI251" s="198" t="s">
        <v>51</v>
      </c>
      <c r="AJ251" s="274" t="s">
        <v>48</v>
      </c>
      <c r="AK251"/>
    </row>
    <row r="252" spans="1:37" ht="15.75" hidden="1" customHeight="1">
      <c r="A252" s="198" t="s">
        <v>565</v>
      </c>
      <c r="B252" s="198" t="s">
        <v>691</v>
      </c>
      <c r="C252" s="214" t="s">
        <v>741</v>
      </c>
      <c r="D252" s="198" t="s">
        <v>9</v>
      </c>
      <c r="E252" s="198" t="s">
        <v>319</v>
      </c>
      <c r="F252" s="198">
        <v>129.4</v>
      </c>
      <c r="G252" s="198"/>
      <c r="H252" s="214" t="s">
        <v>848</v>
      </c>
      <c r="I252" s="214" t="s">
        <v>325</v>
      </c>
      <c r="J252" s="271">
        <v>25.5</v>
      </c>
      <c r="K252" s="198"/>
      <c r="L252" s="198"/>
      <c r="M252" s="198"/>
      <c r="N252" s="198"/>
      <c r="O252" s="198">
        <v>103.9</v>
      </c>
      <c r="P252" s="198"/>
      <c r="Q252" s="198" t="s">
        <v>329</v>
      </c>
      <c r="R252" s="230">
        <f>DATABASE_Table[[#This Row],[Inicial Asking Price (€) (Total)]]-DATABASE_Table[[#This Row],[Vista membership]]-DATABASE_Table[[#This Row],[FF&amp;E]]</f>
        <v>1287000</v>
      </c>
      <c r="S252" s="231">
        <v>1360000</v>
      </c>
      <c r="T252" s="232">
        <v>1430000</v>
      </c>
      <c r="U252" s="198">
        <v>50000</v>
      </c>
      <c r="V252" s="198">
        <v>23000</v>
      </c>
      <c r="W252" s="233">
        <f>DATABASE_Table[[#This Row],[Current Asking price( Total)]]-DATABASE_Table[[#This Row],[Vista membership]]-DATABASE_Table[[#This Row],[FF&amp;E]]</f>
        <v>1357000</v>
      </c>
      <c r="X252" s="216"/>
      <c r="Y252" s="232">
        <v>1430000</v>
      </c>
      <c r="Z252" s="233">
        <f>DATABASE_Table[[#This Row],[Sell price (Total)]]-DATABASE_Table[[#This Row],[FF&amp;E]]-DATABASE_Table[[#This Row],[Vista membership]]</f>
        <v>1357000</v>
      </c>
      <c r="AA252" s="315"/>
      <c r="AB252" s="321"/>
      <c r="AC252" s="198" t="s">
        <v>10</v>
      </c>
      <c r="AD252" s="198" t="s">
        <v>34</v>
      </c>
      <c r="AE252" s="279" t="s">
        <v>32</v>
      </c>
      <c r="AF252" s="279" t="s">
        <v>686</v>
      </c>
      <c r="AG252" s="279" t="s">
        <v>49</v>
      </c>
      <c r="AH252" s="279" t="s">
        <v>50</v>
      </c>
      <c r="AI252" s="198" t="s">
        <v>51</v>
      </c>
      <c r="AJ252" s="274" t="s">
        <v>48</v>
      </c>
      <c r="AK252"/>
    </row>
    <row r="253" spans="1:37" ht="15.75" hidden="1" customHeight="1">
      <c r="A253" s="198" t="s">
        <v>773</v>
      </c>
      <c r="B253" s="198" t="s">
        <v>769</v>
      </c>
      <c r="C253" s="214" t="s">
        <v>883</v>
      </c>
      <c r="D253" s="198" t="s">
        <v>67</v>
      </c>
      <c r="E253" s="198" t="s">
        <v>553</v>
      </c>
      <c r="F253" s="198">
        <v>420</v>
      </c>
      <c r="G253" s="198"/>
      <c r="H253" s="214" t="s">
        <v>325</v>
      </c>
      <c r="I253" s="214" t="s">
        <v>325</v>
      </c>
      <c r="J253" s="271"/>
      <c r="K253" s="198"/>
      <c r="L253" s="198"/>
      <c r="M253" s="198"/>
      <c r="N253" s="198"/>
      <c r="O253" s="198">
        <v>420</v>
      </c>
      <c r="P253" s="198"/>
      <c r="Q253" s="198" t="s">
        <v>329</v>
      </c>
      <c r="R253" s="230">
        <f>DATABASE_Table[[#This Row],[Inicial Asking Price (€) (Total)]]-DATABASE_Table[[#This Row],[Vista membership]]-DATABASE_Table[[#This Row],[FF&amp;E]]</f>
        <v>610000</v>
      </c>
      <c r="S253" s="234">
        <v>610000</v>
      </c>
      <c r="T253" s="235">
        <v>1300000</v>
      </c>
      <c r="U253" s="198"/>
      <c r="V253" s="198"/>
      <c r="W253" s="233">
        <f>DATABASE_Table[[#This Row],[Current Asking price( Total)]]-DATABASE_Table[[#This Row],[Vista membership]]-DATABASE_Table[[#This Row],[FF&amp;E]]</f>
        <v>1300000</v>
      </c>
      <c r="X253" s="236"/>
      <c r="Y253" s="235">
        <v>1300000</v>
      </c>
      <c r="Z253" s="233">
        <f>DATABASE_Table[[#This Row],[Sell price (Total)]]-DATABASE_Table[[#This Row],[FF&amp;E]]-DATABASE_Table[[#This Row],[Vista membership]]</f>
        <v>1300000</v>
      </c>
      <c r="AA253" s="315"/>
      <c r="AB253" s="321">
        <v>46843</v>
      </c>
      <c r="AC253" s="198" t="s">
        <v>57</v>
      </c>
      <c r="AD253" s="198" t="s">
        <v>68</v>
      </c>
      <c r="AE253" s="279" t="s">
        <v>69</v>
      </c>
      <c r="AF253" s="279" t="s">
        <v>70</v>
      </c>
      <c r="AG253" s="279" t="s">
        <v>71</v>
      </c>
      <c r="AH253" s="279" t="s">
        <v>816</v>
      </c>
      <c r="AI253" s="198" t="s">
        <v>72</v>
      </c>
      <c r="AJ253" s="274" t="s">
        <v>66</v>
      </c>
      <c r="AK253"/>
    </row>
    <row r="254" spans="1:37" ht="15.75" hidden="1" customHeight="1">
      <c r="A254" s="198" t="s">
        <v>773</v>
      </c>
      <c r="B254" s="198" t="s">
        <v>769</v>
      </c>
      <c r="C254" s="214" t="s">
        <v>884</v>
      </c>
      <c r="D254" s="198" t="s">
        <v>67</v>
      </c>
      <c r="E254" s="198" t="s">
        <v>553</v>
      </c>
      <c r="F254" s="198">
        <v>420</v>
      </c>
      <c r="G254" s="198"/>
      <c r="H254" s="214" t="s">
        <v>325</v>
      </c>
      <c r="I254" s="214" t="s">
        <v>325</v>
      </c>
      <c r="J254" s="271"/>
      <c r="K254" s="198"/>
      <c r="L254" s="198"/>
      <c r="M254" s="198"/>
      <c r="N254" s="198"/>
      <c r="O254" s="198">
        <v>420</v>
      </c>
      <c r="P254" s="198"/>
      <c r="Q254" s="198" t="s">
        <v>329</v>
      </c>
      <c r="R254" s="230">
        <f>DATABASE_Table[[#This Row],[Inicial Asking Price (€) (Total)]]-DATABASE_Table[[#This Row],[Vista membership]]-DATABASE_Table[[#This Row],[FF&amp;E]]</f>
        <v>610000</v>
      </c>
      <c r="S254" s="234">
        <v>610000</v>
      </c>
      <c r="T254" s="235">
        <v>1300000</v>
      </c>
      <c r="U254" s="198"/>
      <c r="V254" s="198"/>
      <c r="W254" s="233">
        <f>DATABASE_Table[[#This Row],[Current Asking price( Total)]]-DATABASE_Table[[#This Row],[Vista membership]]-DATABASE_Table[[#This Row],[FF&amp;E]]</f>
        <v>1300000</v>
      </c>
      <c r="X254" s="236"/>
      <c r="Y254" s="235">
        <v>1300000</v>
      </c>
      <c r="Z254" s="233">
        <f>DATABASE_Table[[#This Row],[Sell price (Total)]]-DATABASE_Table[[#This Row],[FF&amp;E]]-DATABASE_Table[[#This Row],[Vista membership]]</f>
        <v>1300000</v>
      </c>
      <c r="AA254" s="315"/>
      <c r="AB254" s="321">
        <v>46843</v>
      </c>
      <c r="AC254" s="198" t="s">
        <v>57</v>
      </c>
      <c r="AD254" s="198" t="s">
        <v>68</v>
      </c>
      <c r="AE254" s="279" t="s">
        <v>69</v>
      </c>
      <c r="AF254" s="279" t="s">
        <v>70</v>
      </c>
      <c r="AG254" s="279" t="s">
        <v>71</v>
      </c>
      <c r="AH254" s="279" t="s">
        <v>816</v>
      </c>
      <c r="AI254" s="198" t="s">
        <v>72</v>
      </c>
      <c r="AJ254" s="274" t="s">
        <v>66</v>
      </c>
      <c r="AK254"/>
    </row>
    <row r="255" spans="1:37" ht="15.75" hidden="1" customHeight="1">
      <c r="A255" s="198" t="s">
        <v>779</v>
      </c>
      <c r="B255" s="198" t="s">
        <v>786</v>
      </c>
      <c r="C255" s="214" t="s">
        <v>109</v>
      </c>
      <c r="D255" s="198" t="s">
        <v>79</v>
      </c>
      <c r="E255" s="198" t="s">
        <v>315</v>
      </c>
      <c r="F255" s="198">
        <v>98.8</v>
      </c>
      <c r="G255" s="198"/>
      <c r="H255" s="214" t="s">
        <v>848</v>
      </c>
      <c r="I255" s="214" t="s">
        <v>325</v>
      </c>
      <c r="J255" s="271">
        <v>15.2</v>
      </c>
      <c r="K255" s="198"/>
      <c r="L255" s="198"/>
      <c r="M255" s="198"/>
      <c r="N255" s="198"/>
      <c r="O255" s="198">
        <v>83.6</v>
      </c>
      <c r="P255" s="198"/>
      <c r="Q255" s="198" t="s">
        <v>329</v>
      </c>
      <c r="R255" s="230">
        <f>DATABASE_Table[[#This Row],[Inicial Asking Price (€) (Total)]]-DATABASE_Table[[#This Row],[Vista membership]]-DATABASE_Table[[#This Row],[FF&amp;E]]</f>
        <v>575000</v>
      </c>
      <c r="S255" s="234">
        <v>620000</v>
      </c>
      <c r="T255" s="235">
        <v>620000</v>
      </c>
      <c r="U255" s="198"/>
      <c r="V255" s="235">
        <v>45000</v>
      </c>
      <c r="W255" s="233">
        <f>DATABASE_Table[[#This Row],[Current Asking price( Total)]]-DATABASE_Table[[#This Row],[Vista membership]]-DATABASE_Table[[#This Row],[FF&amp;E]]</f>
        <v>575000</v>
      </c>
      <c r="X255" s="236"/>
      <c r="Y255" s="235"/>
      <c r="Z255" s="233">
        <f>DATABASE_Table[[#This Row],[Sell price (Total)]]-DATABASE_Table[[#This Row],[FF&amp;E]]-DATABASE_Table[[#This Row],[Vista membership]]</f>
        <v>-45000</v>
      </c>
      <c r="AA255" s="315"/>
      <c r="AB255" s="321">
        <v>47118</v>
      </c>
      <c r="AC255" s="198" t="s">
        <v>80</v>
      </c>
      <c r="AD255" s="198" t="s">
        <v>81</v>
      </c>
      <c r="AE255" s="279" t="s">
        <v>82</v>
      </c>
      <c r="AF255" s="279" t="s">
        <v>83</v>
      </c>
      <c r="AG255" s="279" t="s">
        <v>84</v>
      </c>
      <c r="AH255" s="279" t="s">
        <v>85</v>
      </c>
      <c r="AI255" s="198" t="s">
        <v>86</v>
      </c>
      <c r="AJ255" s="274" t="s">
        <v>78</v>
      </c>
      <c r="AK255"/>
    </row>
    <row r="256" spans="1:37" ht="15.75" hidden="1" customHeight="1">
      <c r="A256" s="198" t="s">
        <v>779</v>
      </c>
      <c r="B256" s="198" t="s">
        <v>786</v>
      </c>
      <c r="C256" s="214" t="s">
        <v>110</v>
      </c>
      <c r="D256" s="198" t="s">
        <v>79</v>
      </c>
      <c r="E256" s="198" t="s">
        <v>315</v>
      </c>
      <c r="F256" s="198">
        <v>98.8</v>
      </c>
      <c r="G256" s="198"/>
      <c r="H256" s="214" t="s">
        <v>848</v>
      </c>
      <c r="I256" s="214" t="s">
        <v>325</v>
      </c>
      <c r="J256" s="271">
        <v>15.2</v>
      </c>
      <c r="K256" s="198"/>
      <c r="L256" s="198"/>
      <c r="M256" s="198"/>
      <c r="N256" s="198"/>
      <c r="O256" s="198">
        <v>83.6</v>
      </c>
      <c r="P256" s="198"/>
      <c r="Q256" s="198" t="s">
        <v>329</v>
      </c>
      <c r="R256" s="230">
        <f>DATABASE_Table[[#This Row],[Inicial Asking Price (€) (Total)]]-DATABASE_Table[[#This Row],[Vista membership]]-DATABASE_Table[[#This Row],[FF&amp;E]]</f>
        <v>575000</v>
      </c>
      <c r="S256" s="234">
        <v>620000</v>
      </c>
      <c r="T256" s="235">
        <v>620000</v>
      </c>
      <c r="U256" s="198"/>
      <c r="V256" s="235">
        <v>45000</v>
      </c>
      <c r="W256" s="233">
        <f>DATABASE_Table[[#This Row],[Current Asking price( Total)]]-DATABASE_Table[[#This Row],[Vista membership]]-DATABASE_Table[[#This Row],[FF&amp;E]]</f>
        <v>575000</v>
      </c>
      <c r="X256" s="236"/>
      <c r="Y256" s="235"/>
      <c r="Z256" s="233">
        <f>DATABASE_Table[[#This Row],[Sell price (Total)]]-DATABASE_Table[[#This Row],[FF&amp;E]]-DATABASE_Table[[#This Row],[Vista membership]]</f>
        <v>-45000</v>
      </c>
      <c r="AA256" s="315"/>
      <c r="AB256" s="321">
        <v>47118</v>
      </c>
      <c r="AC256" s="198" t="s">
        <v>80</v>
      </c>
      <c r="AD256" s="198" t="s">
        <v>81</v>
      </c>
      <c r="AE256" s="279" t="s">
        <v>82</v>
      </c>
      <c r="AF256" s="279" t="s">
        <v>83</v>
      </c>
      <c r="AG256" s="279" t="s">
        <v>84</v>
      </c>
      <c r="AH256" s="279" t="s">
        <v>85</v>
      </c>
      <c r="AI256" s="198" t="s">
        <v>86</v>
      </c>
      <c r="AJ256" s="274" t="s">
        <v>78</v>
      </c>
      <c r="AK256"/>
    </row>
    <row r="257" spans="1:37" ht="15.75" hidden="1" customHeight="1">
      <c r="A257" s="198" t="s">
        <v>779</v>
      </c>
      <c r="B257" s="198" t="s">
        <v>786</v>
      </c>
      <c r="C257" s="214" t="s">
        <v>111</v>
      </c>
      <c r="D257" s="198" t="s">
        <v>79</v>
      </c>
      <c r="E257" s="198" t="s">
        <v>315</v>
      </c>
      <c r="F257" s="198">
        <v>98.8</v>
      </c>
      <c r="G257" s="198"/>
      <c r="H257" s="214" t="s">
        <v>848</v>
      </c>
      <c r="I257" s="214" t="s">
        <v>325</v>
      </c>
      <c r="J257" s="271">
        <v>15.2</v>
      </c>
      <c r="K257" s="198"/>
      <c r="L257" s="198"/>
      <c r="M257" s="198"/>
      <c r="N257" s="198"/>
      <c r="O257" s="198">
        <v>83.6</v>
      </c>
      <c r="P257" s="198"/>
      <c r="Q257" s="198" t="s">
        <v>329</v>
      </c>
      <c r="R257" s="230">
        <f>DATABASE_Table[[#This Row],[Inicial Asking Price (€) (Total)]]-DATABASE_Table[[#This Row],[Vista membership]]-DATABASE_Table[[#This Row],[FF&amp;E]]</f>
        <v>575000</v>
      </c>
      <c r="S257" s="234">
        <v>620000</v>
      </c>
      <c r="T257" s="235">
        <v>620000</v>
      </c>
      <c r="U257" s="198"/>
      <c r="V257" s="235">
        <v>45000</v>
      </c>
      <c r="W257" s="233">
        <f>DATABASE_Table[[#This Row],[Current Asking price( Total)]]-DATABASE_Table[[#This Row],[Vista membership]]-DATABASE_Table[[#This Row],[FF&amp;E]]</f>
        <v>575000</v>
      </c>
      <c r="X257" s="236"/>
      <c r="Y257" s="235"/>
      <c r="Z257" s="233">
        <f>DATABASE_Table[[#This Row],[Sell price (Total)]]-DATABASE_Table[[#This Row],[FF&amp;E]]-DATABASE_Table[[#This Row],[Vista membership]]</f>
        <v>-45000</v>
      </c>
      <c r="AA257" s="315"/>
      <c r="AB257" s="321">
        <v>47118</v>
      </c>
      <c r="AC257" s="198" t="s">
        <v>80</v>
      </c>
      <c r="AD257" s="198" t="s">
        <v>81</v>
      </c>
      <c r="AE257" s="279" t="s">
        <v>82</v>
      </c>
      <c r="AF257" s="279" t="s">
        <v>83</v>
      </c>
      <c r="AG257" s="279" t="s">
        <v>84</v>
      </c>
      <c r="AH257" s="279" t="s">
        <v>85</v>
      </c>
      <c r="AI257" s="198" t="s">
        <v>86</v>
      </c>
      <c r="AJ257" s="274" t="s">
        <v>78</v>
      </c>
      <c r="AK257"/>
    </row>
    <row r="258" spans="1:37" ht="15.75" hidden="1" customHeight="1">
      <c r="A258" s="198" t="s">
        <v>779</v>
      </c>
      <c r="B258" s="198" t="s">
        <v>786</v>
      </c>
      <c r="C258" s="214" t="s">
        <v>123</v>
      </c>
      <c r="D258" s="198" t="s">
        <v>79</v>
      </c>
      <c r="E258" s="198" t="s">
        <v>315</v>
      </c>
      <c r="F258" s="198">
        <v>98.8</v>
      </c>
      <c r="G258" s="198"/>
      <c r="H258" s="214" t="s">
        <v>848</v>
      </c>
      <c r="I258" s="214" t="s">
        <v>325</v>
      </c>
      <c r="J258" s="271">
        <v>15.2</v>
      </c>
      <c r="K258" s="198"/>
      <c r="L258" s="198"/>
      <c r="M258" s="198"/>
      <c r="N258" s="198"/>
      <c r="O258" s="198">
        <v>83.6</v>
      </c>
      <c r="P258" s="198"/>
      <c r="Q258" s="198" t="s">
        <v>329</v>
      </c>
      <c r="R258" s="230">
        <f>DATABASE_Table[[#This Row],[Inicial Asking Price (€) (Total)]]-DATABASE_Table[[#This Row],[Vista membership]]-DATABASE_Table[[#This Row],[FF&amp;E]]</f>
        <v>575000</v>
      </c>
      <c r="S258" s="234">
        <v>620000</v>
      </c>
      <c r="T258" s="235">
        <v>620000</v>
      </c>
      <c r="U258" s="198"/>
      <c r="V258" s="235">
        <v>45000</v>
      </c>
      <c r="W258" s="233">
        <f>DATABASE_Table[[#This Row],[Current Asking price( Total)]]-DATABASE_Table[[#This Row],[Vista membership]]-DATABASE_Table[[#This Row],[FF&amp;E]]</f>
        <v>575000</v>
      </c>
      <c r="X258" s="236"/>
      <c r="Y258" s="235"/>
      <c r="Z258" s="233">
        <f>DATABASE_Table[[#This Row],[Sell price (Total)]]-DATABASE_Table[[#This Row],[FF&amp;E]]-DATABASE_Table[[#This Row],[Vista membership]]</f>
        <v>-45000</v>
      </c>
      <c r="AA258" s="315"/>
      <c r="AB258" s="321">
        <v>47118</v>
      </c>
      <c r="AC258" s="198" t="s">
        <v>80</v>
      </c>
      <c r="AD258" s="198" t="s">
        <v>81</v>
      </c>
      <c r="AE258" s="279" t="s">
        <v>82</v>
      </c>
      <c r="AF258" s="279" t="s">
        <v>83</v>
      </c>
      <c r="AG258" s="279" t="s">
        <v>84</v>
      </c>
      <c r="AH258" s="279" t="s">
        <v>85</v>
      </c>
      <c r="AI258" s="198" t="s">
        <v>86</v>
      </c>
      <c r="AJ258" s="274" t="s">
        <v>78</v>
      </c>
      <c r="AK258"/>
    </row>
    <row r="259" spans="1:37" ht="15.75" hidden="1" customHeight="1">
      <c r="A259" s="198" t="s">
        <v>779</v>
      </c>
      <c r="B259" s="198" t="s">
        <v>786</v>
      </c>
      <c r="C259" s="214" t="s">
        <v>124</v>
      </c>
      <c r="D259" s="198" t="s">
        <v>79</v>
      </c>
      <c r="E259" s="198" t="s">
        <v>315</v>
      </c>
      <c r="F259" s="198">
        <v>98.8</v>
      </c>
      <c r="G259" s="198"/>
      <c r="H259" s="214" t="s">
        <v>848</v>
      </c>
      <c r="I259" s="214" t="s">
        <v>325</v>
      </c>
      <c r="J259" s="271">
        <v>15.2</v>
      </c>
      <c r="K259" s="198"/>
      <c r="L259" s="198"/>
      <c r="M259" s="198"/>
      <c r="N259" s="198"/>
      <c r="O259" s="198">
        <v>83.6</v>
      </c>
      <c r="P259" s="198"/>
      <c r="Q259" s="198" t="s">
        <v>329</v>
      </c>
      <c r="R259" s="230">
        <f>DATABASE_Table[[#This Row],[Inicial Asking Price (€) (Total)]]-DATABASE_Table[[#This Row],[Vista membership]]-DATABASE_Table[[#This Row],[FF&amp;E]]</f>
        <v>575000</v>
      </c>
      <c r="S259" s="234">
        <v>620000</v>
      </c>
      <c r="T259" s="235">
        <v>620000</v>
      </c>
      <c r="U259" s="198"/>
      <c r="V259" s="235">
        <v>45000</v>
      </c>
      <c r="W259" s="233">
        <f>DATABASE_Table[[#This Row],[Current Asking price( Total)]]-DATABASE_Table[[#This Row],[Vista membership]]-DATABASE_Table[[#This Row],[FF&amp;E]]</f>
        <v>575000</v>
      </c>
      <c r="X259" s="236"/>
      <c r="Y259" s="235"/>
      <c r="Z259" s="233">
        <f>DATABASE_Table[[#This Row],[Sell price (Total)]]-DATABASE_Table[[#This Row],[FF&amp;E]]-DATABASE_Table[[#This Row],[Vista membership]]</f>
        <v>-45000</v>
      </c>
      <c r="AA259" s="315"/>
      <c r="AB259" s="321">
        <v>47118</v>
      </c>
      <c r="AC259" s="198" t="s">
        <v>80</v>
      </c>
      <c r="AD259" s="198" t="s">
        <v>81</v>
      </c>
      <c r="AE259" s="279" t="s">
        <v>82</v>
      </c>
      <c r="AF259" s="279" t="s">
        <v>83</v>
      </c>
      <c r="AG259" s="279" t="s">
        <v>84</v>
      </c>
      <c r="AH259" s="279" t="s">
        <v>85</v>
      </c>
      <c r="AI259" s="198" t="s">
        <v>86</v>
      </c>
      <c r="AJ259" s="274" t="s">
        <v>78</v>
      </c>
      <c r="AK259"/>
    </row>
    <row r="260" spans="1:37" ht="15.75" hidden="1" customHeight="1">
      <c r="A260" s="198" t="s">
        <v>779</v>
      </c>
      <c r="B260" s="198" t="s">
        <v>786</v>
      </c>
      <c r="C260" s="214" t="s">
        <v>125</v>
      </c>
      <c r="D260" s="198" t="s">
        <v>79</v>
      </c>
      <c r="E260" s="198" t="s">
        <v>315</v>
      </c>
      <c r="F260" s="198">
        <v>98.8</v>
      </c>
      <c r="G260" s="198"/>
      <c r="H260" s="214" t="s">
        <v>848</v>
      </c>
      <c r="I260" s="214" t="s">
        <v>325</v>
      </c>
      <c r="J260" s="271">
        <v>15.2</v>
      </c>
      <c r="K260" s="198"/>
      <c r="L260" s="198"/>
      <c r="M260" s="198"/>
      <c r="N260" s="198"/>
      <c r="O260" s="198">
        <v>83.6</v>
      </c>
      <c r="P260" s="198"/>
      <c r="Q260" s="198" t="s">
        <v>329</v>
      </c>
      <c r="R260" s="230">
        <f>DATABASE_Table[[#This Row],[Inicial Asking Price (€) (Total)]]-DATABASE_Table[[#This Row],[Vista membership]]-DATABASE_Table[[#This Row],[FF&amp;E]]</f>
        <v>575000</v>
      </c>
      <c r="S260" s="234">
        <v>620000</v>
      </c>
      <c r="T260" s="235">
        <v>620000</v>
      </c>
      <c r="U260" s="198"/>
      <c r="V260" s="235">
        <v>45000</v>
      </c>
      <c r="W260" s="233">
        <f>DATABASE_Table[[#This Row],[Current Asking price( Total)]]-DATABASE_Table[[#This Row],[Vista membership]]-DATABASE_Table[[#This Row],[FF&amp;E]]</f>
        <v>575000</v>
      </c>
      <c r="X260" s="236"/>
      <c r="Y260" s="235"/>
      <c r="Z260" s="233">
        <f>DATABASE_Table[[#This Row],[Sell price (Total)]]-DATABASE_Table[[#This Row],[FF&amp;E]]-DATABASE_Table[[#This Row],[Vista membership]]</f>
        <v>-45000</v>
      </c>
      <c r="AA260" s="315"/>
      <c r="AB260" s="321">
        <v>47118</v>
      </c>
      <c r="AC260" s="198" t="s">
        <v>80</v>
      </c>
      <c r="AD260" s="198" t="s">
        <v>81</v>
      </c>
      <c r="AE260" s="279" t="s">
        <v>82</v>
      </c>
      <c r="AF260" s="279" t="s">
        <v>83</v>
      </c>
      <c r="AG260" s="279" t="s">
        <v>84</v>
      </c>
      <c r="AH260" s="279" t="s">
        <v>85</v>
      </c>
      <c r="AI260" s="198" t="s">
        <v>86</v>
      </c>
      <c r="AJ260" s="274" t="s">
        <v>78</v>
      </c>
      <c r="AK260"/>
    </row>
    <row r="261" spans="1:37" ht="15.75" hidden="1" customHeight="1">
      <c r="A261" s="198" t="s">
        <v>565</v>
      </c>
      <c r="B261" s="198" t="s">
        <v>691</v>
      </c>
      <c r="C261" s="214" t="s">
        <v>742</v>
      </c>
      <c r="D261" s="198" t="s">
        <v>9</v>
      </c>
      <c r="E261" s="198" t="s">
        <v>319</v>
      </c>
      <c r="F261" s="198">
        <v>129.4</v>
      </c>
      <c r="G261" s="198"/>
      <c r="H261" s="214" t="s">
        <v>848</v>
      </c>
      <c r="I261" s="214" t="s">
        <v>325</v>
      </c>
      <c r="J261" s="271">
        <v>25.5</v>
      </c>
      <c r="K261" s="198"/>
      <c r="L261" s="198"/>
      <c r="M261" s="198"/>
      <c r="N261" s="198"/>
      <c r="O261" s="198">
        <v>103.9</v>
      </c>
      <c r="P261" s="198"/>
      <c r="Q261" s="198" t="s">
        <v>329</v>
      </c>
      <c r="R261" s="230">
        <f>DATABASE_Table[[#This Row],[Inicial Asking Price (€) (Total)]]-DATABASE_Table[[#This Row],[Vista membership]]-DATABASE_Table[[#This Row],[FF&amp;E]]</f>
        <v>1337000</v>
      </c>
      <c r="S261" s="231">
        <v>1410000</v>
      </c>
      <c r="T261" s="232">
        <v>1480000</v>
      </c>
      <c r="U261" s="198">
        <v>50000</v>
      </c>
      <c r="V261" s="198">
        <v>23000</v>
      </c>
      <c r="W261" s="233">
        <f>DATABASE_Table[[#This Row],[Current Asking price( Total)]]-DATABASE_Table[[#This Row],[Vista membership]]-DATABASE_Table[[#This Row],[FF&amp;E]]</f>
        <v>1407000</v>
      </c>
      <c r="X261" s="216"/>
      <c r="Y261" s="232">
        <v>1480000</v>
      </c>
      <c r="Z261" s="233">
        <f>DATABASE_Table[[#This Row],[Sell price (Total)]]-DATABASE_Table[[#This Row],[FF&amp;E]]-DATABASE_Table[[#This Row],[Vista membership]]</f>
        <v>1407000</v>
      </c>
      <c r="AA261" s="315"/>
      <c r="AB261" s="321"/>
      <c r="AC261" s="198" t="s">
        <v>10</v>
      </c>
      <c r="AD261" s="198" t="s">
        <v>34</v>
      </c>
      <c r="AE261" s="279" t="s">
        <v>32</v>
      </c>
      <c r="AF261" s="279" t="s">
        <v>686</v>
      </c>
      <c r="AG261" s="279" t="s">
        <v>49</v>
      </c>
      <c r="AH261" s="279" t="s">
        <v>50</v>
      </c>
      <c r="AI261" s="198" t="s">
        <v>51</v>
      </c>
      <c r="AJ261" s="274" t="s">
        <v>48</v>
      </c>
      <c r="AK261"/>
    </row>
    <row r="262" spans="1:37" ht="15.75" hidden="1" customHeight="1">
      <c r="A262" s="198" t="s">
        <v>565</v>
      </c>
      <c r="B262" s="198" t="s">
        <v>691</v>
      </c>
      <c r="C262" s="214" t="s">
        <v>862</v>
      </c>
      <c r="D262" s="198" t="s">
        <v>9</v>
      </c>
      <c r="E262" s="198" t="s">
        <v>421</v>
      </c>
      <c r="F262" s="198">
        <v>406.3</v>
      </c>
      <c r="G262" s="198"/>
      <c r="H262" s="214" t="s">
        <v>848</v>
      </c>
      <c r="I262" s="214" t="s">
        <v>325</v>
      </c>
      <c r="J262" s="271">
        <v>154.19999999999999</v>
      </c>
      <c r="K262" s="198"/>
      <c r="L262" s="198"/>
      <c r="M262" s="198"/>
      <c r="N262" s="198"/>
      <c r="O262" s="198">
        <v>252.1</v>
      </c>
      <c r="P262" s="198"/>
      <c r="Q262" s="198" t="s">
        <v>329</v>
      </c>
      <c r="R262" s="230">
        <f>DATABASE_Table[[#This Row],[Inicial Asking Price (€) (Total)]]-DATABASE_Table[[#This Row],[Vista membership]]-DATABASE_Table[[#This Row],[FF&amp;E]]</f>
        <v>4508000</v>
      </c>
      <c r="S262" s="231">
        <v>4620000</v>
      </c>
      <c r="T262" s="232">
        <v>4750000</v>
      </c>
      <c r="U262" s="198">
        <v>60000</v>
      </c>
      <c r="V262" s="198">
        <v>52000</v>
      </c>
      <c r="W262" s="233">
        <f>DATABASE_Table[[#This Row],[Current Asking price( Total)]]-DATABASE_Table[[#This Row],[Vista membership]]-DATABASE_Table[[#This Row],[FF&amp;E]]</f>
        <v>4638000</v>
      </c>
      <c r="X262" s="216"/>
      <c r="Y262" s="232">
        <v>4750000</v>
      </c>
      <c r="Z262" s="233">
        <f>DATABASE_Table[[#This Row],[Sell price (Total)]]-DATABASE_Table[[#This Row],[FF&amp;E]]-DATABASE_Table[[#This Row],[Vista membership]]</f>
        <v>4638000</v>
      </c>
      <c r="AA262" s="315"/>
      <c r="AB262" s="321"/>
      <c r="AC262" s="198" t="s">
        <v>10</v>
      </c>
      <c r="AD262" s="198" t="s">
        <v>34</v>
      </c>
      <c r="AE262" s="279" t="s">
        <v>32</v>
      </c>
      <c r="AF262" s="279" t="s">
        <v>686</v>
      </c>
      <c r="AG262" s="279" t="s">
        <v>49</v>
      </c>
      <c r="AH262" s="279" t="s">
        <v>50</v>
      </c>
      <c r="AI262" s="198" t="s">
        <v>51</v>
      </c>
      <c r="AJ262" s="274" t="s">
        <v>48</v>
      </c>
      <c r="AK262"/>
    </row>
    <row r="263" spans="1:37" ht="15.75" hidden="1" customHeight="1">
      <c r="A263" s="198" t="s">
        <v>565</v>
      </c>
      <c r="B263" s="198" t="s">
        <v>691</v>
      </c>
      <c r="C263" s="214" t="s">
        <v>743</v>
      </c>
      <c r="D263" s="198" t="s">
        <v>9</v>
      </c>
      <c r="E263" s="198" t="s">
        <v>419</v>
      </c>
      <c r="F263" s="198">
        <v>80.900000000000006</v>
      </c>
      <c r="G263" s="198"/>
      <c r="H263" s="214" t="s">
        <v>848</v>
      </c>
      <c r="I263" s="214" t="s">
        <v>325</v>
      </c>
      <c r="J263" s="271">
        <v>18</v>
      </c>
      <c r="K263" s="198"/>
      <c r="L263" s="198"/>
      <c r="M263" s="198"/>
      <c r="N263" s="198"/>
      <c r="O263" s="198">
        <v>62.9</v>
      </c>
      <c r="P263" s="198"/>
      <c r="Q263" s="198" t="s">
        <v>329</v>
      </c>
      <c r="R263" s="230">
        <f>DATABASE_Table[[#This Row],[Inicial Asking Price (€) (Total)]]-DATABASE_Table[[#This Row],[Vista membership]]-DATABASE_Table[[#This Row],[FF&amp;E]]</f>
        <v>685000</v>
      </c>
      <c r="S263" s="231">
        <v>750000</v>
      </c>
      <c r="T263" s="232">
        <v>810000</v>
      </c>
      <c r="U263" s="198">
        <v>50000</v>
      </c>
      <c r="V263" s="198">
        <v>15000</v>
      </c>
      <c r="W263" s="233">
        <f>DATABASE_Table[[#This Row],[Current Asking price( Total)]]-DATABASE_Table[[#This Row],[Vista membership]]-DATABASE_Table[[#This Row],[FF&amp;E]]</f>
        <v>745000</v>
      </c>
      <c r="X263" s="216"/>
      <c r="Y263" s="232">
        <v>810000</v>
      </c>
      <c r="Z263" s="233">
        <f>DATABASE_Table[[#This Row],[Sell price (Total)]]-DATABASE_Table[[#This Row],[FF&amp;E]]-DATABASE_Table[[#This Row],[Vista membership]]</f>
        <v>745000</v>
      </c>
      <c r="AA263" s="315"/>
      <c r="AB263" s="321"/>
      <c r="AC263" s="198" t="s">
        <v>10</v>
      </c>
      <c r="AD263" s="198" t="s">
        <v>34</v>
      </c>
      <c r="AE263" s="279" t="s">
        <v>32</v>
      </c>
      <c r="AF263" s="279" t="s">
        <v>686</v>
      </c>
      <c r="AG263" s="279" t="s">
        <v>49</v>
      </c>
      <c r="AH263" s="279" t="s">
        <v>50</v>
      </c>
      <c r="AI263" s="198" t="s">
        <v>51</v>
      </c>
      <c r="AJ263" s="274" t="s">
        <v>48</v>
      </c>
      <c r="AK263"/>
    </row>
    <row r="264" spans="1:37" ht="15.75" hidden="1" customHeight="1">
      <c r="A264" s="198" t="s">
        <v>565</v>
      </c>
      <c r="B264" s="198" t="s">
        <v>691</v>
      </c>
      <c r="C264" s="214" t="s">
        <v>744</v>
      </c>
      <c r="D264" s="198" t="s">
        <v>9</v>
      </c>
      <c r="E264" s="198" t="s">
        <v>419</v>
      </c>
      <c r="F264" s="198">
        <v>81.099999999999994</v>
      </c>
      <c r="G264" s="198"/>
      <c r="H264" s="214" t="s">
        <v>848</v>
      </c>
      <c r="I264" s="214" t="s">
        <v>325</v>
      </c>
      <c r="J264" s="271">
        <v>18</v>
      </c>
      <c r="K264" s="198"/>
      <c r="L264" s="198"/>
      <c r="M264" s="198"/>
      <c r="N264" s="198"/>
      <c r="O264" s="198">
        <v>63.1</v>
      </c>
      <c r="P264" s="198"/>
      <c r="Q264" s="198" t="s">
        <v>329</v>
      </c>
      <c r="R264" s="230">
        <f>DATABASE_Table[[#This Row],[Inicial Asking Price (€) (Total)]]-DATABASE_Table[[#This Row],[Vista membership]]-DATABASE_Table[[#This Row],[FF&amp;E]]</f>
        <v>725000</v>
      </c>
      <c r="S264" s="231">
        <v>790000</v>
      </c>
      <c r="T264" s="232">
        <v>850000</v>
      </c>
      <c r="U264" s="198">
        <v>50000</v>
      </c>
      <c r="V264" s="198">
        <v>15000</v>
      </c>
      <c r="W264" s="233">
        <f>DATABASE_Table[[#This Row],[Current Asking price( Total)]]-DATABASE_Table[[#This Row],[Vista membership]]-DATABASE_Table[[#This Row],[FF&amp;E]]</f>
        <v>785000</v>
      </c>
      <c r="X264" s="216"/>
      <c r="Y264" s="232">
        <v>850000</v>
      </c>
      <c r="Z264" s="233">
        <f>DATABASE_Table[[#This Row],[Sell price (Total)]]-DATABASE_Table[[#This Row],[FF&amp;E]]-DATABASE_Table[[#This Row],[Vista membership]]</f>
        <v>785000</v>
      </c>
      <c r="AA264" s="315"/>
      <c r="AB264" s="321"/>
      <c r="AC264" s="198" t="s">
        <v>10</v>
      </c>
      <c r="AD264" s="198" t="s">
        <v>34</v>
      </c>
      <c r="AE264" s="279" t="s">
        <v>32</v>
      </c>
      <c r="AF264" s="279" t="s">
        <v>686</v>
      </c>
      <c r="AG264" s="279" t="s">
        <v>49</v>
      </c>
      <c r="AH264" s="279" t="s">
        <v>50</v>
      </c>
      <c r="AI264" s="198" t="s">
        <v>51</v>
      </c>
      <c r="AJ264" s="274" t="s">
        <v>48</v>
      </c>
      <c r="AK264"/>
    </row>
    <row r="265" spans="1:37" ht="15.75" hidden="1" customHeight="1">
      <c r="A265" s="198" t="s">
        <v>565</v>
      </c>
      <c r="B265" s="198" t="s">
        <v>691</v>
      </c>
      <c r="C265" s="214" t="s">
        <v>745</v>
      </c>
      <c r="D265" s="198" t="s">
        <v>9</v>
      </c>
      <c r="E265" s="198" t="s">
        <v>419</v>
      </c>
      <c r="F265" s="198">
        <v>81.099999999999994</v>
      </c>
      <c r="G265" s="198"/>
      <c r="H265" s="214" t="s">
        <v>848</v>
      </c>
      <c r="I265" s="214" t="s">
        <v>325</v>
      </c>
      <c r="J265" s="271">
        <v>18</v>
      </c>
      <c r="K265" s="198"/>
      <c r="L265" s="198"/>
      <c r="M265" s="198"/>
      <c r="N265" s="198"/>
      <c r="O265" s="198">
        <v>63.1</v>
      </c>
      <c r="P265" s="198"/>
      <c r="Q265" s="198" t="s">
        <v>329</v>
      </c>
      <c r="R265" s="230">
        <f>DATABASE_Table[[#This Row],[Inicial Asking Price (€) (Total)]]-DATABASE_Table[[#This Row],[Vista membership]]-DATABASE_Table[[#This Row],[FF&amp;E]]</f>
        <v>765000</v>
      </c>
      <c r="S265" s="231">
        <v>830000</v>
      </c>
      <c r="T265" s="232">
        <v>890000</v>
      </c>
      <c r="U265" s="198">
        <v>50000</v>
      </c>
      <c r="V265" s="198">
        <v>15000</v>
      </c>
      <c r="W265" s="233">
        <f>DATABASE_Table[[#This Row],[Current Asking price( Total)]]-DATABASE_Table[[#This Row],[Vista membership]]-DATABASE_Table[[#This Row],[FF&amp;E]]</f>
        <v>825000</v>
      </c>
      <c r="X265" s="216"/>
      <c r="Y265" s="232">
        <v>890000</v>
      </c>
      <c r="Z265" s="233">
        <f>DATABASE_Table[[#This Row],[Sell price (Total)]]-DATABASE_Table[[#This Row],[FF&amp;E]]-DATABASE_Table[[#This Row],[Vista membership]]</f>
        <v>825000</v>
      </c>
      <c r="AA265" s="315"/>
      <c r="AB265" s="321"/>
      <c r="AC265" s="198" t="s">
        <v>10</v>
      </c>
      <c r="AD265" s="198" t="s">
        <v>34</v>
      </c>
      <c r="AE265" s="279" t="s">
        <v>32</v>
      </c>
      <c r="AF265" s="279" t="s">
        <v>686</v>
      </c>
      <c r="AG265" s="279" t="s">
        <v>49</v>
      </c>
      <c r="AH265" s="279" t="s">
        <v>50</v>
      </c>
      <c r="AI265" s="198" t="s">
        <v>51</v>
      </c>
      <c r="AJ265" s="274" t="s">
        <v>48</v>
      </c>
      <c r="AK265"/>
    </row>
    <row r="266" spans="1:37" ht="15.75" hidden="1" customHeight="1">
      <c r="A266" s="198" t="s">
        <v>565</v>
      </c>
      <c r="B266" s="198" t="s">
        <v>691</v>
      </c>
      <c r="C266" s="214" t="s">
        <v>746</v>
      </c>
      <c r="D266" s="198" t="s">
        <v>9</v>
      </c>
      <c r="E266" s="198" t="s">
        <v>419</v>
      </c>
      <c r="F266" s="198">
        <v>81.099999999999994</v>
      </c>
      <c r="G266" s="198"/>
      <c r="H266" s="214" t="s">
        <v>848</v>
      </c>
      <c r="I266" s="214" t="s">
        <v>325</v>
      </c>
      <c r="J266" s="271">
        <v>18</v>
      </c>
      <c r="K266" s="198"/>
      <c r="L266" s="198"/>
      <c r="M266" s="198"/>
      <c r="N266" s="198"/>
      <c r="O266" s="198">
        <v>63.1</v>
      </c>
      <c r="P266" s="198"/>
      <c r="Q266" s="198" t="s">
        <v>329</v>
      </c>
      <c r="R266" s="230">
        <f>DATABASE_Table[[#This Row],[Inicial Asking Price (€) (Total)]]-DATABASE_Table[[#This Row],[Vista membership]]-DATABASE_Table[[#This Row],[FF&amp;E]]</f>
        <v>805000</v>
      </c>
      <c r="S266" s="231">
        <v>870000</v>
      </c>
      <c r="T266" s="232">
        <v>930000</v>
      </c>
      <c r="U266" s="198">
        <v>50000</v>
      </c>
      <c r="V266" s="198">
        <v>15000</v>
      </c>
      <c r="W266" s="233">
        <f>DATABASE_Table[[#This Row],[Current Asking price( Total)]]-DATABASE_Table[[#This Row],[Vista membership]]-DATABASE_Table[[#This Row],[FF&amp;E]]</f>
        <v>865000</v>
      </c>
      <c r="X266" s="216"/>
      <c r="Y266" s="232">
        <v>930000</v>
      </c>
      <c r="Z266" s="233">
        <f>DATABASE_Table[[#This Row],[Sell price (Total)]]-DATABASE_Table[[#This Row],[FF&amp;E]]-DATABASE_Table[[#This Row],[Vista membership]]</f>
        <v>865000</v>
      </c>
      <c r="AA266" s="315"/>
      <c r="AB266" s="321"/>
      <c r="AC266" s="198" t="s">
        <v>10</v>
      </c>
      <c r="AD266" s="198" t="s">
        <v>34</v>
      </c>
      <c r="AE266" s="279" t="s">
        <v>32</v>
      </c>
      <c r="AF266" s="279" t="s">
        <v>686</v>
      </c>
      <c r="AG266" s="279" t="s">
        <v>49</v>
      </c>
      <c r="AH266" s="279" t="s">
        <v>50</v>
      </c>
      <c r="AI266" s="198" t="s">
        <v>51</v>
      </c>
      <c r="AJ266" s="274" t="s">
        <v>48</v>
      </c>
      <c r="AK266"/>
    </row>
    <row r="267" spans="1:37" ht="15.75" hidden="1" customHeight="1">
      <c r="A267" s="198" t="s">
        <v>933</v>
      </c>
      <c r="B267" s="198" t="s">
        <v>769</v>
      </c>
      <c r="C267" s="214" t="s">
        <v>440</v>
      </c>
      <c r="D267" s="198"/>
      <c r="E267" s="198" t="s">
        <v>419</v>
      </c>
      <c r="F267" s="198">
        <v>89.32</v>
      </c>
      <c r="G267" s="198"/>
      <c r="H267" s="214" t="s">
        <v>325</v>
      </c>
      <c r="I267" s="214" t="s">
        <v>911</v>
      </c>
      <c r="J267" s="271"/>
      <c r="K267" s="198"/>
      <c r="L267" s="198"/>
      <c r="M267" s="198">
        <v>19.010000000000002</v>
      </c>
      <c r="N267" s="198"/>
      <c r="O267" s="198">
        <v>63.03</v>
      </c>
      <c r="P267" s="198"/>
      <c r="Q267" s="198" t="s">
        <v>329</v>
      </c>
      <c r="R267" s="230">
        <f>DATABASE_Table[[#This Row],[Inicial Asking Price (€) (Total)]]-DATABASE_Table[[#This Row],[Vista membership]]-DATABASE_Table[[#This Row],[FF&amp;E]]</f>
        <v>630000</v>
      </c>
      <c r="S267" s="234">
        <v>630000</v>
      </c>
      <c r="T267" s="235">
        <v>630000</v>
      </c>
      <c r="U267" s="198"/>
      <c r="V267" s="198"/>
      <c r="W267" s="233">
        <f>DATABASE_Table[[#This Row],[Current Asking price( Total)]]-DATABASE_Table[[#This Row],[Vista membership]]-DATABASE_Table[[#This Row],[FF&amp;E]]</f>
        <v>630000</v>
      </c>
      <c r="X267" s="236"/>
      <c r="Y267" s="235">
        <v>630000</v>
      </c>
      <c r="Z267" s="233">
        <f>DATABASE_Table[[#This Row],[Sell price (Total)]]-DATABASE_Table[[#This Row],[FF&amp;E]]-DATABASE_Table[[#This Row],[Vista membership]]</f>
        <v>630000</v>
      </c>
      <c r="AA267" s="315"/>
      <c r="AB267" s="321">
        <v>46843</v>
      </c>
      <c r="AC267" s="198"/>
      <c r="AD267" s="198"/>
      <c r="AE267" s="279"/>
      <c r="AF267" s="279"/>
      <c r="AG267" s="279"/>
      <c r="AH267" s="279"/>
      <c r="AI267" s="198"/>
      <c r="AJ267" s="274" t="s">
        <v>66</v>
      </c>
      <c r="AK267"/>
    </row>
    <row r="268" spans="1:37" ht="15.75" hidden="1" customHeight="1">
      <c r="A268" s="198" t="s">
        <v>565</v>
      </c>
      <c r="B268" s="198" t="s">
        <v>691</v>
      </c>
      <c r="C268" s="214" t="s">
        <v>863</v>
      </c>
      <c r="D268" s="198" t="s">
        <v>9</v>
      </c>
      <c r="E268" s="198" t="s">
        <v>419</v>
      </c>
      <c r="F268" s="198">
        <v>83</v>
      </c>
      <c r="G268" s="198"/>
      <c r="H268" s="214" t="s">
        <v>848</v>
      </c>
      <c r="I268" s="214" t="s">
        <v>325</v>
      </c>
      <c r="J268" s="271">
        <v>18.7</v>
      </c>
      <c r="K268" s="198"/>
      <c r="L268" s="198"/>
      <c r="M268" s="198"/>
      <c r="N268" s="198"/>
      <c r="O268" s="198">
        <v>64.3</v>
      </c>
      <c r="P268" s="198"/>
      <c r="Q268" s="198" t="s">
        <v>329</v>
      </c>
      <c r="R268" s="230">
        <f>DATABASE_Table[[#This Row],[Inicial Asking Price (€) (Total)]]-DATABASE_Table[[#This Row],[Vista membership]]-DATABASE_Table[[#This Row],[FF&amp;E]]</f>
        <v>875000</v>
      </c>
      <c r="S268" s="231">
        <v>940000</v>
      </c>
      <c r="T268" s="232">
        <v>1000000</v>
      </c>
      <c r="U268" s="198">
        <v>50000</v>
      </c>
      <c r="V268" s="198">
        <v>15000</v>
      </c>
      <c r="W268" s="233">
        <f>DATABASE_Table[[#This Row],[Current Asking price( Total)]]-DATABASE_Table[[#This Row],[Vista membership]]-DATABASE_Table[[#This Row],[FF&amp;E]]</f>
        <v>935000</v>
      </c>
      <c r="X268" s="216"/>
      <c r="Y268" s="232">
        <v>1000000</v>
      </c>
      <c r="Z268" s="233">
        <f>DATABASE_Table[[#This Row],[Sell price (Total)]]-DATABASE_Table[[#This Row],[FF&amp;E]]-DATABASE_Table[[#This Row],[Vista membership]]</f>
        <v>935000</v>
      </c>
      <c r="AA268" s="315"/>
      <c r="AB268" s="321"/>
      <c r="AC268" s="198" t="s">
        <v>10</v>
      </c>
      <c r="AD268" s="198" t="s">
        <v>34</v>
      </c>
      <c r="AE268" s="279" t="s">
        <v>32</v>
      </c>
      <c r="AF268" s="279" t="s">
        <v>686</v>
      </c>
      <c r="AG268" s="279" t="s">
        <v>49</v>
      </c>
      <c r="AH268" s="279" t="s">
        <v>50</v>
      </c>
      <c r="AI268" s="198" t="s">
        <v>51</v>
      </c>
      <c r="AJ268" s="274" t="s">
        <v>48</v>
      </c>
      <c r="AK268"/>
    </row>
    <row r="269" spans="1:37" ht="15.75" hidden="1" customHeight="1">
      <c r="A269" s="198" t="s">
        <v>565</v>
      </c>
      <c r="B269" s="198" t="s">
        <v>691</v>
      </c>
      <c r="C269" s="214" t="s">
        <v>747</v>
      </c>
      <c r="D269" s="198" t="s">
        <v>9</v>
      </c>
      <c r="E269" s="198" t="s">
        <v>421</v>
      </c>
      <c r="F269" s="198">
        <v>396.4</v>
      </c>
      <c r="G269" s="198"/>
      <c r="H269" s="214" t="s">
        <v>848</v>
      </c>
      <c r="I269" s="214" t="s">
        <v>325</v>
      </c>
      <c r="J269" s="271">
        <v>159.5</v>
      </c>
      <c r="K269" s="198"/>
      <c r="L269" s="198"/>
      <c r="M269" s="198"/>
      <c r="N269" s="198"/>
      <c r="O269" s="198">
        <v>236.9</v>
      </c>
      <c r="P269" s="198"/>
      <c r="Q269" s="198" t="s">
        <v>329</v>
      </c>
      <c r="R269" s="230">
        <f>DATABASE_Table[[#This Row],[Inicial Asking Price (€) (Total)]]-DATABASE_Table[[#This Row],[Vista membership]]-DATABASE_Table[[#This Row],[FF&amp;E]]</f>
        <v>4388000</v>
      </c>
      <c r="S269" s="231">
        <v>4500000</v>
      </c>
      <c r="T269" s="232">
        <v>4630000</v>
      </c>
      <c r="U269" s="198">
        <v>60000</v>
      </c>
      <c r="V269" s="198">
        <v>52000</v>
      </c>
      <c r="W269" s="233">
        <f>DATABASE_Table[[#This Row],[Current Asking price( Total)]]-DATABASE_Table[[#This Row],[Vista membership]]-DATABASE_Table[[#This Row],[FF&amp;E]]</f>
        <v>4518000</v>
      </c>
      <c r="X269" s="216"/>
      <c r="Y269" s="232">
        <v>4630000</v>
      </c>
      <c r="Z269" s="233">
        <f>DATABASE_Table[[#This Row],[Sell price (Total)]]-DATABASE_Table[[#This Row],[FF&amp;E]]-DATABASE_Table[[#This Row],[Vista membership]]</f>
        <v>4518000</v>
      </c>
      <c r="AA269" s="315"/>
      <c r="AB269" s="321"/>
      <c r="AC269" s="198" t="s">
        <v>10</v>
      </c>
      <c r="AD269" s="198" t="s">
        <v>34</v>
      </c>
      <c r="AE269" s="279" t="s">
        <v>32</v>
      </c>
      <c r="AF269" s="279" t="s">
        <v>686</v>
      </c>
      <c r="AG269" s="279" t="s">
        <v>49</v>
      </c>
      <c r="AH269" s="279" t="s">
        <v>50</v>
      </c>
      <c r="AI269" s="198" t="s">
        <v>51</v>
      </c>
      <c r="AJ269" s="274" t="s">
        <v>48</v>
      </c>
      <c r="AK269"/>
    </row>
    <row r="270" spans="1:37" ht="15.75" hidden="1" customHeight="1">
      <c r="A270" s="198" t="s">
        <v>629</v>
      </c>
      <c r="B270" s="198" t="s">
        <v>691</v>
      </c>
      <c r="C270" s="214" t="s">
        <v>852</v>
      </c>
      <c r="D270" s="198" t="s">
        <v>9</v>
      </c>
      <c r="E270" s="198" t="s">
        <v>553</v>
      </c>
      <c r="F270" s="198">
        <v>520</v>
      </c>
      <c r="G270" s="198"/>
      <c r="H270" s="214" t="s">
        <v>325</v>
      </c>
      <c r="I270" s="214" t="s">
        <v>325</v>
      </c>
      <c r="J270" s="271"/>
      <c r="K270" s="198"/>
      <c r="L270" s="198"/>
      <c r="M270" s="198"/>
      <c r="N270" s="198"/>
      <c r="O270" s="198">
        <v>520</v>
      </c>
      <c r="P270" s="198"/>
      <c r="Q270" s="198" t="s">
        <v>329</v>
      </c>
      <c r="R270" s="230">
        <f>DATABASE_Table[[#This Row],[Inicial Asking Price (€) (Total)]]-DATABASE_Table[[#This Row],[Vista membership]]-DATABASE_Table[[#This Row],[FF&amp;E]]</f>
        <v>1210000</v>
      </c>
      <c r="S270" s="231">
        <v>1210000</v>
      </c>
      <c r="T270" s="232">
        <v>2540000</v>
      </c>
      <c r="U270" s="198"/>
      <c r="V270" s="198"/>
      <c r="W270" s="233">
        <f>DATABASE_Table[[#This Row],[Current Asking price( Total)]]-DATABASE_Table[[#This Row],[Vista membership]]-DATABASE_Table[[#This Row],[FF&amp;E]]</f>
        <v>2540000</v>
      </c>
      <c r="X270" s="216"/>
      <c r="Y270" s="232">
        <v>2540000</v>
      </c>
      <c r="Z270" s="233">
        <f>DATABASE_Table[[#This Row],[Sell price (Total)]]-DATABASE_Table[[#This Row],[FF&amp;E]]-DATABASE_Table[[#This Row],[Vista membership]]</f>
        <v>2540000</v>
      </c>
      <c r="AA270" s="315"/>
      <c r="AB270" s="321"/>
      <c r="AC270" s="198" t="s">
        <v>10</v>
      </c>
      <c r="AD270" s="198" t="s">
        <v>35</v>
      </c>
      <c r="AE270" s="279" t="s">
        <v>38</v>
      </c>
      <c r="AF270" s="279" t="s">
        <v>39</v>
      </c>
      <c r="AG270" s="279" t="s">
        <v>40</v>
      </c>
      <c r="AH270" s="279" t="s">
        <v>810</v>
      </c>
      <c r="AI270" s="198" t="s">
        <v>41</v>
      </c>
      <c r="AJ270" s="274" t="s">
        <v>37</v>
      </c>
      <c r="AK270"/>
    </row>
    <row r="271" spans="1:37" ht="15.75" hidden="1" customHeight="1">
      <c r="A271" s="198" t="s">
        <v>779</v>
      </c>
      <c r="B271" s="198" t="s">
        <v>786</v>
      </c>
      <c r="C271" s="214" t="s">
        <v>113</v>
      </c>
      <c r="D271" s="198" t="s">
        <v>79</v>
      </c>
      <c r="E271" s="198" t="s">
        <v>315</v>
      </c>
      <c r="F271" s="198">
        <v>98.7</v>
      </c>
      <c r="G271" s="198"/>
      <c r="H271" s="214" t="s">
        <v>848</v>
      </c>
      <c r="I271" s="214" t="s">
        <v>325</v>
      </c>
      <c r="J271" s="271">
        <v>13.3</v>
      </c>
      <c r="K271" s="198"/>
      <c r="L271" s="198"/>
      <c r="M271" s="198"/>
      <c r="N271" s="198"/>
      <c r="O271" s="198">
        <v>85.4</v>
      </c>
      <c r="P271" s="198"/>
      <c r="Q271" s="198" t="s">
        <v>329</v>
      </c>
      <c r="R271" s="230">
        <f>DATABASE_Table[[#This Row],[Inicial Asking Price (€) (Total)]]-DATABASE_Table[[#This Row],[Vista membership]]-DATABASE_Table[[#This Row],[FF&amp;E]]</f>
        <v>590000</v>
      </c>
      <c r="S271" s="234">
        <v>635000</v>
      </c>
      <c r="T271" s="235">
        <v>635000</v>
      </c>
      <c r="U271" s="198"/>
      <c r="V271" s="235">
        <v>45000</v>
      </c>
      <c r="W271" s="233">
        <f>DATABASE_Table[[#This Row],[Current Asking price( Total)]]-DATABASE_Table[[#This Row],[Vista membership]]-DATABASE_Table[[#This Row],[FF&amp;E]]</f>
        <v>590000</v>
      </c>
      <c r="X271" s="236"/>
      <c r="Y271" s="235"/>
      <c r="Z271" s="233">
        <f>DATABASE_Table[[#This Row],[Sell price (Total)]]-DATABASE_Table[[#This Row],[FF&amp;E]]-DATABASE_Table[[#This Row],[Vista membership]]</f>
        <v>-45000</v>
      </c>
      <c r="AA271" s="315"/>
      <c r="AB271" s="321">
        <v>47118</v>
      </c>
      <c r="AC271" s="198" t="s">
        <v>80</v>
      </c>
      <c r="AD271" s="198" t="s">
        <v>81</v>
      </c>
      <c r="AE271" s="279" t="s">
        <v>82</v>
      </c>
      <c r="AF271" s="279" t="s">
        <v>83</v>
      </c>
      <c r="AG271" s="279" t="s">
        <v>84</v>
      </c>
      <c r="AH271" s="279" t="s">
        <v>85</v>
      </c>
      <c r="AI271" s="198" t="s">
        <v>86</v>
      </c>
      <c r="AJ271" s="274" t="s">
        <v>78</v>
      </c>
      <c r="AK271"/>
    </row>
    <row r="272" spans="1:37" ht="15.75" hidden="1" customHeight="1">
      <c r="A272" s="198" t="s">
        <v>779</v>
      </c>
      <c r="B272" s="198" t="s">
        <v>786</v>
      </c>
      <c r="C272" s="214" t="s">
        <v>121</v>
      </c>
      <c r="D272" s="198" t="s">
        <v>79</v>
      </c>
      <c r="E272" s="198" t="s">
        <v>315</v>
      </c>
      <c r="F272" s="198">
        <v>98.7</v>
      </c>
      <c r="G272" s="198"/>
      <c r="H272" s="214" t="s">
        <v>848</v>
      </c>
      <c r="I272" s="214" t="s">
        <v>325</v>
      </c>
      <c r="J272" s="271">
        <v>13.3</v>
      </c>
      <c r="K272" s="198"/>
      <c r="L272" s="198"/>
      <c r="M272" s="198"/>
      <c r="N272" s="198"/>
      <c r="O272" s="198">
        <v>85.4</v>
      </c>
      <c r="P272" s="198"/>
      <c r="Q272" s="198" t="s">
        <v>329</v>
      </c>
      <c r="R272" s="230">
        <f>DATABASE_Table[[#This Row],[Inicial Asking Price (€) (Total)]]-DATABASE_Table[[#This Row],[Vista membership]]-DATABASE_Table[[#This Row],[FF&amp;E]]</f>
        <v>590000</v>
      </c>
      <c r="S272" s="234">
        <v>635000</v>
      </c>
      <c r="T272" s="235">
        <v>635000</v>
      </c>
      <c r="U272" s="198"/>
      <c r="V272" s="235">
        <v>45000</v>
      </c>
      <c r="W272" s="233">
        <f>DATABASE_Table[[#This Row],[Current Asking price( Total)]]-DATABASE_Table[[#This Row],[Vista membership]]-DATABASE_Table[[#This Row],[FF&amp;E]]</f>
        <v>590000</v>
      </c>
      <c r="X272" s="236"/>
      <c r="Y272" s="235"/>
      <c r="Z272" s="233">
        <f>DATABASE_Table[[#This Row],[Sell price (Total)]]-DATABASE_Table[[#This Row],[FF&amp;E]]-DATABASE_Table[[#This Row],[Vista membership]]</f>
        <v>-45000</v>
      </c>
      <c r="AA272" s="315"/>
      <c r="AB272" s="321">
        <v>47118</v>
      </c>
      <c r="AC272" s="198" t="s">
        <v>80</v>
      </c>
      <c r="AD272" s="198" t="s">
        <v>81</v>
      </c>
      <c r="AE272" s="279" t="s">
        <v>82</v>
      </c>
      <c r="AF272" s="279" t="s">
        <v>83</v>
      </c>
      <c r="AG272" s="279" t="s">
        <v>84</v>
      </c>
      <c r="AH272" s="279" t="s">
        <v>85</v>
      </c>
      <c r="AI272" s="198" t="s">
        <v>86</v>
      </c>
      <c r="AJ272" s="274" t="s">
        <v>78</v>
      </c>
      <c r="AK272"/>
    </row>
    <row r="273" spans="1:37" ht="15.75" hidden="1" customHeight="1">
      <c r="A273" s="198" t="s">
        <v>565</v>
      </c>
      <c r="B273" s="198" t="s">
        <v>691</v>
      </c>
      <c r="C273" s="214" t="s">
        <v>852</v>
      </c>
      <c r="D273" s="198" t="s">
        <v>9</v>
      </c>
      <c r="E273" s="198" t="s">
        <v>319</v>
      </c>
      <c r="F273" s="198">
        <v>169.3</v>
      </c>
      <c r="G273" s="198"/>
      <c r="H273" s="214" t="s">
        <v>848</v>
      </c>
      <c r="I273" s="214" t="s">
        <v>325</v>
      </c>
      <c r="J273" s="271">
        <v>64.7</v>
      </c>
      <c r="K273" s="198"/>
      <c r="L273" s="198"/>
      <c r="M273" s="198"/>
      <c r="N273" s="198"/>
      <c r="O273" s="198">
        <v>104.6</v>
      </c>
      <c r="P273" s="198"/>
      <c r="Q273" s="198" t="s">
        <v>329</v>
      </c>
      <c r="R273" s="230">
        <f>DATABASE_Table[[#This Row],[Inicial Asking Price (€) (Total)]]-DATABASE_Table[[#This Row],[Vista membership]]-DATABASE_Table[[#This Row],[FF&amp;E]]</f>
        <v>947000</v>
      </c>
      <c r="S273" s="231">
        <v>1020000</v>
      </c>
      <c r="T273" s="232">
        <v>1080000</v>
      </c>
      <c r="U273" s="198">
        <v>50000</v>
      </c>
      <c r="V273" s="198">
        <v>23000</v>
      </c>
      <c r="W273" s="233">
        <f>DATABASE_Table[[#This Row],[Current Asking price( Total)]]-DATABASE_Table[[#This Row],[Vista membership]]-DATABASE_Table[[#This Row],[FF&amp;E]]</f>
        <v>1007000</v>
      </c>
      <c r="X273" s="216"/>
      <c r="Y273" s="232">
        <v>1080000</v>
      </c>
      <c r="Z273" s="233">
        <f>DATABASE_Table[[#This Row],[Sell price (Total)]]-DATABASE_Table[[#This Row],[FF&amp;E]]-DATABASE_Table[[#This Row],[Vista membership]]</f>
        <v>1007000</v>
      </c>
      <c r="AA273" s="315"/>
      <c r="AB273" s="321"/>
      <c r="AC273" s="198" t="s">
        <v>10</v>
      </c>
      <c r="AD273" s="198" t="s">
        <v>34</v>
      </c>
      <c r="AE273" s="279" t="s">
        <v>32</v>
      </c>
      <c r="AF273" s="279" t="s">
        <v>686</v>
      </c>
      <c r="AG273" s="279" t="s">
        <v>49</v>
      </c>
      <c r="AH273" s="279" t="s">
        <v>50</v>
      </c>
      <c r="AI273" s="198" t="s">
        <v>51</v>
      </c>
      <c r="AJ273" s="274" t="s">
        <v>48</v>
      </c>
      <c r="AK273"/>
    </row>
    <row r="274" spans="1:37" ht="15.75" hidden="1" customHeight="1">
      <c r="A274" s="198" t="s">
        <v>779</v>
      </c>
      <c r="B274" s="198" t="s">
        <v>786</v>
      </c>
      <c r="C274" s="214" t="s">
        <v>153</v>
      </c>
      <c r="D274" s="198" t="s">
        <v>79</v>
      </c>
      <c r="E274" s="198" t="s">
        <v>315</v>
      </c>
      <c r="F274" s="198">
        <v>98.7</v>
      </c>
      <c r="G274" s="198"/>
      <c r="H274" s="214" t="s">
        <v>848</v>
      </c>
      <c r="I274" s="214" t="s">
        <v>325</v>
      </c>
      <c r="J274" s="271">
        <v>13.3</v>
      </c>
      <c r="K274" s="198"/>
      <c r="L274" s="198"/>
      <c r="M274" s="198"/>
      <c r="N274" s="198"/>
      <c r="O274" s="198">
        <v>85.4</v>
      </c>
      <c r="P274" s="198"/>
      <c r="Q274" s="198" t="s">
        <v>326</v>
      </c>
      <c r="R274" s="230">
        <f>DATABASE_Table[[#This Row],[Inicial Asking Price (€) (Total)]]-DATABASE_Table[[#This Row],[Vista membership]]-DATABASE_Table[[#This Row],[FF&amp;E]]</f>
        <v>595000</v>
      </c>
      <c r="S274" s="234">
        <v>640000</v>
      </c>
      <c r="T274" s="235">
        <v>640000</v>
      </c>
      <c r="U274" s="198"/>
      <c r="V274" s="235">
        <v>45000</v>
      </c>
      <c r="W274" s="233">
        <f>DATABASE_Table[[#This Row],[Current Asking price( Total)]]-DATABASE_Table[[#This Row],[Vista membership]]-DATABASE_Table[[#This Row],[FF&amp;E]]</f>
        <v>595000</v>
      </c>
      <c r="X274" s="236">
        <v>0</v>
      </c>
      <c r="Y274" s="235">
        <v>640000</v>
      </c>
      <c r="Z274" s="233">
        <f>DATABASE_Table[[#This Row],[Sell price (Total)]]-DATABASE_Table[[#This Row],[FF&amp;E]]-DATABASE_Table[[#This Row],[Vista membership]]</f>
        <v>595000</v>
      </c>
      <c r="AA274" s="315">
        <v>46112</v>
      </c>
      <c r="AB274" s="321">
        <v>47118</v>
      </c>
      <c r="AC274" s="198" t="s">
        <v>80</v>
      </c>
      <c r="AD274" s="198" t="s">
        <v>81</v>
      </c>
      <c r="AE274" s="279" t="s">
        <v>82</v>
      </c>
      <c r="AF274" s="279" t="s">
        <v>83</v>
      </c>
      <c r="AG274" s="279" t="s">
        <v>84</v>
      </c>
      <c r="AH274" s="279" t="s">
        <v>85</v>
      </c>
      <c r="AI274" s="198" t="s">
        <v>86</v>
      </c>
      <c r="AJ274" s="274" t="s">
        <v>78</v>
      </c>
      <c r="AK274"/>
    </row>
    <row r="275" spans="1:37" ht="15.75" hidden="1" customHeight="1">
      <c r="A275" s="198" t="s">
        <v>779</v>
      </c>
      <c r="B275" s="198" t="s">
        <v>786</v>
      </c>
      <c r="C275" s="214" t="s">
        <v>145</v>
      </c>
      <c r="D275" s="198" t="s">
        <v>79</v>
      </c>
      <c r="E275" s="198" t="s">
        <v>315</v>
      </c>
      <c r="F275" s="198">
        <v>98.7</v>
      </c>
      <c r="G275" s="198"/>
      <c r="H275" s="214" t="s">
        <v>848</v>
      </c>
      <c r="I275" s="214" t="s">
        <v>325</v>
      </c>
      <c r="J275" s="271">
        <v>13.3</v>
      </c>
      <c r="K275" s="198"/>
      <c r="L275" s="198"/>
      <c r="M275" s="198"/>
      <c r="N275" s="198"/>
      <c r="O275" s="198">
        <v>85.4</v>
      </c>
      <c r="P275" s="198"/>
      <c r="Q275" s="198" t="s">
        <v>329</v>
      </c>
      <c r="R275" s="230">
        <f>DATABASE_Table[[#This Row],[Inicial Asking Price (€) (Total)]]-DATABASE_Table[[#This Row],[Vista membership]]-DATABASE_Table[[#This Row],[FF&amp;E]]</f>
        <v>595000</v>
      </c>
      <c r="S275" s="234">
        <v>640000</v>
      </c>
      <c r="T275" s="235">
        <v>640000</v>
      </c>
      <c r="U275" s="198"/>
      <c r="V275" s="235">
        <v>45000</v>
      </c>
      <c r="W275" s="233">
        <f>DATABASE_Table[[#This Row],[Current Asking price( Total)]]-DATABASE_Table[[#This Row],[Vista membership]]-DATABASE_Table[[#This Row],[FF&amp;E]]</f>
        <v>595000</v>
      </c>
      <c r="X275" s="236"/>
      <c r="Y275" s="235"/>
      <c r="Z275" s="233">
        <f>DATABASE_Table[[#This Row],[Sell price (Total)]]-DATABASE_Table[[#This Row],[FF&amp;E]]-DATABASE_Table[[#This Row],[Vista membership]]</f>
        <v>-45000</v>
      </c>
      <c r="AA275" s="315"/>
      <c r="AB275" s="321">
        <v>47118</v>
      </c>
      <c r="AC275" s="198" t="s">
        <v>80</v>
      </c>
      <c r="AD275" s="198" t="s">
        <v>81</v>
      </c>
      <c r="AE275" s="279" t="s">
        <v>82</v>
      </c>
      <c r="AF275" s="279" t="s">
        <v>83</v>
      </c>
      <c r="AG275" s="279" t="s">
        <v>84</v>
      </c>
      <c r="AH275" s="279" t="s">
        <v>85</v>
      </c>
      <c r="AI275" s="198" t="s">
        <v>86</v>
      </c>
      <c r="AJ275" s="274" t="s">
        <v>78</v>
      </c>
      <c r="AK275"/>
    </row>
    <row r="276" spans="1:37" ht="15.75" hidden="1" customHeight="1">
      <c r="A276" s="198" t="s">
        <v>772</v>
      </c>
      <c r="B276" s="198" t="s">
        <v>769</v>
      </c>
      <c r="C276" s="214" t="s">
        <v>482</v>
      </c>
      <c r="D276" s="198"/>
      <c r="E276" s="198" t="s">
        <v>483</v>
      </c>
      <c r="F276" s="198">
        <v>181.7</v>
      </c>
      <c r="G276" s="198"/>
      <c r="H276" s="214" t="s">
        <v>633</v>
      </c>
      <c r="I276" s="214" t="s">
        <v>325</v>
      </c>
      <c r="J276" s="271"/>
      <c r="K276" s="198"/>
      <c r="L276" s="198"/>
      <c r="M276" s="198">
        <v>43.35</v>
      </c>
      <c r="N276" s="198"/>
      <c r="O276" s="198">
        <v>138.35</v>
      </c>
      <c r="P276" s="198"/>
      <c r="Q276" s="198" t="s">
        <v>628</v>
      </c>
      <c r="R276" s="230">
        <f>DATABASE_Table[[#This Row],[Inicial Asking Price (€) (Total)]]-DATABASE_Table[[#This Row],[Vista membership]]-DATABASE_Table[[#This Row],[FF&amp;E]]</f>
        <v>660000</v>
      </c>
      <c r="S276" s="234">
        <v>660000</v>
      </c>
      <c r="T276" s="235">
        <v>725000</v>
      </c>
      <c r="U276" s="198"/>
      <c r="V276" s="198"/>
      <c r="W276" s="233">
        <f>DATABASE_Table[[#This Row],[Current Asking price( Total)]]-DATABASE_Table[[#This Row],[Vista membership]]-DATABASE_Table[[#This Row],[FF&amp;E]]</f>
        <v>725000</v>
      </c>
      <c r="X276" s="236">
        <v>0</v>
      </c>
      <c r="Y276" s="235">
        <v>725000</v>
      </c>
      <c r="Z276" s="233">
        <f>DATABASE_Table[[#This Row],[Sell price (Total)]]-DATABASE_Table[[#This Row],[FF&amp;E]]-DATABASE_Table[[#This Row],[Vista membership]]</f>
        <v>725000</v>
      </c>
      <c r="AA276" s="316">
        <v>44995</v>
      </c>
      <c r="AB276" s="321">
        <v>46843</v>
      </c>
      <c r="AC276" s="198"/>
      <c r="AD276" s="198"/>
      <c r="AE276" s="279"/>
      <c r="AF276" s="279"/>
      <c r="AG276" s="279"/>
      <c r="AH276" s="279"/>
      <c r="AI276" s="198"/>
      <c r="AJ276" s="274" t="s">
        <v>66</v>
      </c>
      <c r="AK276"/>
    </row>
    <row r="277" spans="1:37" ht="15.75" hidden="1" customHeight="1">
      <c r="A277" s="198" t="s">
        <v>772</v>
      </c>
      <c r="B277" s="198" t="s">
        <v>769</v>
      </c>
      <c r="C277" s="214" t="s">
        <v>484</v>
      </c>
      <c r="D277" s="198"/>
      <c r="E277" s="198" t="s">
        <v>483</v>
      </c>
      <c r="F277" s="198">
        <v>173.95</v>
      </c>
      <c r="G277" s="198"/>
      <c r="H277" s="214" t="s">
        <v>634</v>
      </c>
      <c r="I277" s="214" t="s">
        <v>325</v>
      </c>
      <c r="J277" s="271"/>
      <c r="K277" s="198"/>
      <c r="L277" s="198"/>
      <c r="M277" s="198">
        <v>48.4</v>
      </c>
      <c r="N277" s="198"/>
      <c r="O277" s="198">
        <v>125.55</v>
      </c>
      <c r="P277" s="198"/>
      <c r="Q277" s="198" t="s">
        <v>628</v>
      </c>
      <c r="R277" s="230">
        <f>DATABASE_Table[[#This Row],[Inicial Asking Price (€) (Total)]]-DATABASE_Table[[#This Row],[Vista membership]]-DATABASE_Table[[#This Row],[FF&amp;E]]</f>
        <v>650000</v>
      </c>
      <c r="S277" s="234">
        <v>650000</v>
      </c>
      <c r="T277" s="235">
        <v>800000</v>
      </c>
      <c r="U277" s="198"/>
      <c r="V277" s="198"/>
      <c r="W277" s="233">
        <f>DATABASE_Table[[#This Row],[Current Asking price( Total)]]-DATABASE_Table[[#This Row],[Vista membership]]-DATABASE_Table[[#This Row],[FF&amp;E]]</f>
        <v>800000</v>
      </c>
      <c r="X277" s="236">
        <v>0</v>
      </c>
      <c r="Y277" s="235">
        <v>800000</v>
      </c>
      <c r="Z277" s="233">
        <f>DATABASE_Table[[#This Row],[Sell price (Total)]]-DATABASE_Table[[#This Row],[FF&amp;E]]-DATABASE_Table[[#This Row],[Vista membership]]</f>
        <v>800000</v>
      </c>
      <c r="AA277" s="316">
        <v>45044</v>
      </c>
      <c r="AB277" s="321">
        <v>46843</v>
      </c>
      <c r="AC277" s="198"/>
      <c r="AD277" s="198"/>
      <c r="AE277" s="279"/>
      <c r="AF277" s="279"/>
      <c r="AG277" s="279"/>
      <c r="AH277" s="279"/>
      <c r="AI277" s="198"/>
      <c r="AJ277" s="274" t="s">
        <v>66</v>
      </c>
      <c r="AK277"/>
    </row>
    <row r="278" spans="1:37" ht="15.75" hidden="1" customHeight="1">
      <c r="A278" s="198" t="s">
        <v>565</v>
      </c>
      <c r="B278" s="198" t="s">
        <v>691</v>
      </c>
      <c r="C278" s="214" t="s">
        <v>748</v>
      </c>
      <c r="D278" s="198" t="s">
        <v>9</v>
      </c>
      <c r="E278" s="198" t="s">
        <v>320</v>
      </c>
      <c r="F278" s="198">
        <v>230.1</v>
      </c>
      <c r="G278" s="198"/>
      <c r="H278" s="214" t="s">
        <v>848</v>
      </c>
      <c r="I278" s="214" t="s">
        <v>325</v>
      </c>
      <c r="J278" s="271">
        <v>80.5</v>
      </c>
      <c r="K278" s="198"/>
      <c r="L278" s="198"/>
      <c r="M278" s="198"/>
      <c r="N278" s="198"/>
      <c r="O278" s="198">
        <v>149.6</v>
      </c>
      <c r="P278" s="198"/>
      <c r="Q278" s="198" t="s">
        <v>329</v>
      </c>
      <c r="R278" s="230">
        <f>DATABASE_Table[[#This Row],[Inicial Asking Price (€) (Total)]]-DATABASE_Table[[#This Row],[Vista membership]]-DATABASE_Table[[#This Row],[FF&amp;E]]</f>
        <v>2410000</v>
      </c>
      <c r="S278" s="231">
        <v>2490000</v>
      </c>
      <c r="T278" s="232">
        <v>2580000</v>
      </c>
      <c r="U278" s="198">
        <v>50000</v>
      </c>
      <c r="V278" s="198">
        <v>30000</v>
      </c>
      <c r="W278" s="233">
        <f>DATABASE_Table[[#This Row],[Current Asking price( Total)]]-DATABASE_Table[[#This Row],[Vista membership]]-DATABASE_Table[[#This Row],[FF&amp;E]]</f>
        <v>2500000</v>
      </c>
      <c r="X278" s="216"/>
      <c r="Y278" s="232">
        <v>2580000</v>
      </c>
      <c r="Z278" s="233">
        <f>DATABASE_Table[[#This Row],[Sell price (Total)]]-DATABASE_Table[[#This Row],[FF&amp;E]]-DATABASE_Table[[#This Row],[Vista membership]]</f>
        <v>2500000</v>
      </c>
      <c r="AA278" s="315"/>
      <c r="AB278" s="321"/>
      <c r="AC278" s="198" t="s">
        <v>10</v>
      </c>
      <c r="AD278" s="198" t="s">
        <v>34</v>
      </c>
      <c r="AE278" s="279" t="s">
        <v>32</v>
      </c>
      <c r="AF278" s="279" t="s">
        <v>686</v>
      </c>
      <c r="AG278" s="279" t="s">
        <v>49</v>
      </c>
      <c r="AH278" s="279" t="s">
        <v>50</v>
      </c>
      <c r="AI278" s="198" t="s">
        <v>51</v>
      </c>
      <c r="AJ278" s="274" t="s">
        <v>48</v>
      </c>
      <c r="AK278"/>
    </row>
    <row r="279" spans="1:37" ht="15.75" hidden="1" customHeight="1">
      <c r="A279" s="198" t="s">
        <v>779</v>
      </c>
      <c r="B279" s="198" t="s">
        <v>786</v>
      </c>
      <c r="C279" s="214" t="s">
        <v>168</v>
      </c>
      <c r="D279" s="198" t="s">
        <v>79</v>
      </c>
      <c r="E279" s="198" t="s">
        <v>315</v>
      </c>
      <c r="F279" s="198">
        <v>98.8</v>
      </c>
      <c r="G279" s="198"/>
      <c r="H279" s="214" t="s">
        <v>848</v>
      </c>
      <c r="I279" s="214" t="s">
        <v>325</v>
      </c>
      <c r="J279" s="271">
        <v>15.2</v>
      </c>
      <c r="K279" s="198"/>
      <c r="L279" s="198"/>
      <c r="M279" s="198"/>
      <c r="N279" s="198"/>
      <c r="O279" s="198">
        <v>83.6</v>
      </c>
      <c r="P279" s="198"/>
      <c r="Q279" s="198" t="s">
        <v>326</v>
      </c>
      <c r="R279" s="230">
        <f>DATABASE_Table[[#This Row],[Inicial Asking Price (€) (Total)]]-DATABASE_Table[[#This Row],[Vista membership]]-DATABASE_Table[[#This Row],[FF&amp;E]]</f>
        <v>600000</v>
      </c>
      <c r="S279" s="234">
        <v>645000</v>
      </c>
      <c r="T279" s="235">
        <v>645000</v>
      </c>
      <c r="U279" s="198"/>
      <c r="V279" s="235">
        <v>45000</v>
      </c>
      <c r="W279" s="233">
        <f>DATABASE_Table[[#This Row],[Current Asking price( Total)]]-DATABASE_Table[[#This Row],[Vista membership]]-DATABASE_Table[[#This Row],[FF&amp;E]]</f>
        <v>600000</v>
      </c>
      <c r="X279" s="236">
        <v>2.0155038759689901E-2</v>
      </c>
      <c r="Y279" s="235">
        <v>632000</v>
      </c>
      <c r="Z279" s="233">
        <f>DATABASE_Table[[#This Row],[Sell price (Total)]]-DATABASE_Table[[#This Row],[FF&amp;E]]-DATABASE_Table[[#This Row],[Vista membership]]</f>
        <v>587000</v>
      </c>
      <c r="AA279" s="315">
        <v>46114</v>
      </c>
      <c r="AB279" s="321">
        <v>47118</v>
      </c>
      <c r="AC279" s="198" t="s">
        <v>80</v>
      </c>
      <c r="AD279" s="198" t="s">
        <v>81</v>
      </c>
      <c r="AE279" s="279" t="s">
        <v>82</v>
      </c>
      <c r="AF279" s="279" t="s">
        <v>83</v>
      </c>
      <c r="AG279" s="279" t="s">
        <v>84</v>
      </c>
      <c r="AH279" s="279" t="s">
        <v>85</v>
      </c>
      <c r="AI279" s="198" t="s">
        <v>86</v>
      </c>
      <c r="AJ279" s="274" t="s">
        <v>78</v>
      </c>
      <c r="AK279"/>
    </row>
    <row r="280" spans="1:37" ht="15.75" hidden="1" customHeight="1">
      <c r="A280" s="198" t="s">
        <v>779</v>
      </c>
      <c r="B280" s="198" t="s">
        <v>786</v>
      </c>
      <c r="C280" s="214" t="s">
        <v>155</v>
      </c>
      <c r="D280" s="198" t="s">
        <v>79</v>
      </c>
      <c r="E280" s="198" t="s">
        <v>315</v>
      </c>
      <c r="F280" s="198">
        <v>98.8</v>
      </c>
      <c r="G280" s="198"/>
      <c r="H280" s="214" t="s">
        <v>848</v>
      </c>
      <c r="I280" s="214" t="s">
        <v>325</v>
      </c>
      <c r="J280" s="271">
        <v>15.2</v>
      </c>
      <c r="K280" s="198"/>
      <c r="L280" s="198"/>
      <c r="M280" s="198"/>
      <c r="N280" s="198"/>
      <c r="O280" s="198">
        <v>83.6</v>
      </c>
      <c r="P280" s="198"/>
      <c r="Q280" s="198" t="s">
        <v>329</v>
      </c>
      <c r="R280" s="230">
        <f>DATABASE_Table[[#This Row],[Inicial Asking Price (€) (Total)]]-DATABASE_Table[[#This Row],[Vista membership]]-DATABASE_Table[[#This Row],[FF&amp;E]]</f>
        <v>600000</v>
      </c>
      <c r="S280" s="234">
        <v>645000</v>
      </c>
      <c r="T280" s="235">
        <v>645000</v>
      </c>
      <c r="U280" s="198"/>
      <c r="V280" s="235">
        <v>45000</v>
      </c>
      <c r="W280" s="233">
        <f>DATABASE_Table[[#This Row],[Current Asking price( Total)]]-DATABASE_Table[[#This Row],[Vista membership]]-DATABASE_Table[[#This Row],[FF&amp;E]]</f>
        <v>600000</v>
      </c>
      <c r="X280" s="236"/>
      <c r="Y280" s="235"/>
      <c r="Z280" s="233">
        <f>DATABASE_Table[[#This Row],[Sell price (Total)]]-DATABASE_Table[[#This Row],[FF&amp;E]]-DATABASE_Table[[#This Row],[Vista membership]]</f>
        <v>-45000</v>
      </c>
      <c r="AA280" s="315"/>
      <c r="AB280" s="321">
        <v>47118</v>
      </c>
      <c r="AC280" s="198" t="s">
        <v>80</v>
      </c>
      <c r="AD280" s="198" t="s">
        <v>81</v>
      </c>
      <c r="AE280" s="279" t="s">
        <v>82</v>
      </c>
      <c r="AF280" s="279" t="s">
        <v>83</v>
      </c>
      <c r="AG280" s="279" t="s">
        <v>84</v>
      </c>
      <c r="AH280" s="279" t="s">
        <v>85</v>
      </c>
      <c r="AI280" s="198" t="s">
        <v>86</v>
      </c>
      <c r="AJ280" s="274" t="s">
        <v>78</v>
      </c>
      <c r="AK280"/>
    </row>
    <row r="281" spans="1:37" ht="15.75" hidden="1" customHeight="1">
      <c r="A281" s="198" t="s">
        <v>779</v>
      </c>
      <c r="B281" s="198" t="s">
        <v>786</v>
      </c>
      <c r="C281" s="214" t="s">
        <v>156</v>
      </c>
      <c r="D281" s="198" t="s">
        <v>79</v>
      </c>
      <c r="E281" s="198" t="s">
        <v>315</v>
      </c>
      <c r="F281" s="198">
        <v>98.8</v>
      </c>
      <c r="G281" s="198"/>
      <c r="H281" s="214" t="s">
        <v>848</v>
      </c>
      <c r="I281" s="214" t="s">
        <v>325</v>
      </c>
      <c r="J281" s="271">
        <v>15.2</v>
      </c>
      <c r="K281" s="198"/>
      <c r="L281" s="198"/>
      <c r="M281" s="198"/>
      <c r="N281" s="198"/>
      <c r="O281" s="198">
        <v>83.6</v>
      </c>
      <c r="P281" s="198"/>
      <c r="Q281" s="198" t="s">
        <v>329</v>
      </c>
      <c r="R281" s="230">
        <f>DATABASE_Table[[#This Row],[Inicial Asking Price (€) (Total)]]-DATABASE_Table[[#This Row],[Vista membership]]-DATABASE_Table[[#This Row],[FF&amp;E]]</f>
        <v>600000</v>
      </c>
      <c r="S281" s="234">
        <v>645000</v>
      </c>
      <c r="T281" s="235">
        <v>645000</v>
      </c>
      <c r="U281" s="198"/>
      <c r="V281" s="235">
        <v>45000</v>
      </c>
      <c r="W281" s="233">
        <f>DATABASE_Table[[#This Row],[Current Asking price( Total)]]-DATABASE_Table[[#This Row],[Vista membership]]-DATABASE_Table[[#This Row],[FF&amp;E]]</f>
        <v>600000</v>
      </c>
      <c r="X281" s="236"/>
      <c r="Y281" s="235"/>
      <c r="Z281" s="233">
        <f>DATABASE_Table[[#This Row],[Sell price (Total)]]-DATABASE_Table[[#This Row],[FF&amp;E]]-DATABASE_Table[[#This Row],[Vista membership]]</f>
        <v>-45000</v>
      </c>
      <c r="AA281" s="315"/>
      <c r="AB281" s="321">
        <v>47118</v>
      </c>
      <c r="AC281" s="198" t="s">
        <v>80</v>
      </c>
      <c r="AD281" s="198" t="s">
        <v>81</v>
      </c>
      <c r="AE281" s="279" t="s">
        <v>82</v>
      </c>
      <c r="AF281" s="279" t="s">
        <v>83</v>
      </c>
      <c r="AG281" s="279" t="s">
        <v>84</v>
      </c>
      <c r="AH281" s="279" t="s">
        <v>85</v>
      </c>
      <c r="AI281" s="198" t="s">
        <v>86</v>
      </c>
      <c r="AJ281" s="274" t="s">
        <v>78</v>
      </c>
      <c r="AK281"/>
    </row>
    <row r="282" spans="1:37" ht="15.75" hidden="1" customHeight="1">
      <c r="A282" s="198" t="s">
        <v>779</v>
      </c>
      <c r="B282" s="198" t="s">
        <v>786</v>
      </c>
      <c r="C282" s="214" t="s">
        <v>157</v>
      </c>
      <c r="D282" s="198" t="s">
        <v>79</v>
      </c>
      <c r="E282" s="198" t="s">
        <v>315</v>
      </c>
      <c r="F282" s="198">
        <v>98.8</v>
      </c>
      <c r="G282" s="198"/>
      <c r="H282" s="214" t="s">
        <v>848</v>
      </c>
      <c r="I282" s="214" t="s">
        <v>325</v>
      </c>
      <c r="J282" s="271">
        <v>15.2</v>
      </c>
      <c r="K282" s="198"/>
      <c r="L282" s="198"/>
      <c r="M282" s="198"/>
      <c r="N282" s="198"/>
      <c r="O282" s="198">
        <v>83.6</v>
      </c>
      <c r="P282" s="198"/>
      <c r="Q282" s="198" t="s">
        <v>329</v>
      </c>
      <c r="R282" s="230">
        <f>DATABASE_Table[[#This Row],[Inicial Asking Price (€) (Total)]]-DATABASE_Table[[#This Row],[Vista membership]]-DATABASE_Table[[#This Row],[FF&amp;E]]</f>
        <v>600000</v>
      </c>
      <c r="S282" s="234">
        <v>645000</v>
      </c>
      <c r="T282" s="235">
        <v>645000</v>
      </c>
      <c r="U282" s="198"/>
      <c r="V282" s="235">
        <v>45000</v>
      </c>
      <c r="W282" s="233">
        <f>DATABASE_Table[[#This Row],[Current Asking price( Total)]]-DATABASE_Table[[#This Row],[Vista membership]]-DATABASE_Table[[#This Row],[FF&amp;E]]</f>
        <v>600000</v>
      </c>
      <c r="X282" s="236"/>
      <c r="Y282" s="235"/>
      <c r="Z282" s="233">
        <f>DATABASE_Table[[#This Row],[Sell price (Total)]]-DATABASE_Table[[#This Row],[FF&amp;E]]-DATABASE_Table[[#This Row],[Vista membership]]</f>
        <v>-45000</v>
      </c>
      <c r="AA282" s="315"/>
      <c r="AB282" s="321">
        <v>47118</v>
      </c>
      <c r="AC282" s="198" t="s">
        <v>80</v>
      </c>
      <c r="AD282" s="198" t="s">
        <v>81</v>
      </c>
      <c r="AE282" s="279" t="s">
        <v>82</v>
      </c>
      <c r="AF282" s="279" t="s">
        <v>83</v>
      </c>
      <c r="AG282" s="279" t="s">
        <v>84</v>
      </c>
      <c r="AH282" s="279" t="s">
        <v>85</v>
      </c>
      <c r="AI282" s="198" t="s">
        <v>86</v>
      </c>
      <c r="AJ282" s="274" t="s">
        <v>78</v>
      </c>
      <c r="AK282"/>
    </row>
    <row r="283" spans="1:37" ht="15.75" hidden="1" customHeight="1">
      <c r="A283" s="198" t="s">
        <v>779</v>
      </c>
      <c r="B283" s="198" t="s">
        <v>786</v>
      </c>
      <c r="C283" s="214" t="s">
        <v>169</v>
      </c>
      <c r="D283" s="198" t="s">
        <v>79</v>
      </c>
      <c r="E283" s="198" t="s">
        <v>315</v>
      </c>
      <c r="F283" s="198">
        <v>98.8</v>
      </c>
      <c r="G283" s="198"/>
      <c r="H283" s="214" t="s">
        <v>848</v>
      </c>
      <c r="I283" s="214" t="s">
        <v>325</v>
      </c>
      <c r="J283" s="271">
        <v>15.2</v>
      </c>
      <c r="K283" s="198"/>
      <c r="L283" s="198"/>
      <c r="M283" s="198"/>
      <c r="N283" s="198"/>
      <c r="O283" s="198">
        <v>83.6</v>
      </c>
      <c r="P283" s="198"/>
      <c r="Q283" s="198" t="s">
        <v>329</v>
      </c>
      <c r="R283" s="230">
        <f>DATABASE_Table[[#This Row],[Inicial Asking Price (€) (Total)]]-DATABASE_Table[[#This Row],[Vista membership]]-DATABASE_Table[[#This Row],[FF&amp;E]]</f>
        <v>600000</v>
      </c>
      <c r="S283" s="234">
        <v>645000</v>
      </c>
      <c r="T283" s="235">
        <v>645000</v>
      </c>
      <c r="U283" s="198"/>
      <c r="V283" s="235">
        <v>45000</v>
      </c>
      <c r="W283" s="233">
        <f>DATABASE_Table[[#This Row],[Current Asking price( Total)]]-DATABASE_Table[[#This Row],[Vista membership]]-DATABASE_Table[[#This Row],[FF&amp;E]]</f>
        <v>600000</v>
      </c>
      <c r="X283" s="236"/>
      <c r="Y283" s="235"/>
      <c r="Z283" s="233">
        <f>DATABASE_Table[[#This Row],[Sell price (Total)]]-DATABASE_Table[[#This Row],[FF&amp;E]]-DATABASE_Table[[#This Row],[Vista membership]]</f>
        <v>-45000</v>
      </c>
      <c r="AA283" s="315"/>
      <c r="AB283" s="321">
        <v>47118</v>
      </c>
      <c r="AC283" s="198" t="s">
        <v>80</v>
      </c>
      <c r="AD283" s="198" t="s">
        <v>81</v>
      </c>
      <c r="AE283" s="279" t="s">
        <v>82</v>
      </c>
      <c r="AF283" s="279" t="s">
        <v>83</v>
      </c>
      <c r="AG283" s="279" t="s">
        <v>84</v>
      </c>
      <c r="AH283" s="279" t="s">
        <v>85</v>
      </c>
      <c r="AI283" s="198" t="s">
        <v>86</v>
      </c>
      <c r="AJ283" s="274" t="s">
        <v>78</v>
      </c>
      <c r="AK283"/>
    </row>
    <row r="284" spans="1:37" ht="15.75" hidden="1" customHeight="1">
      <c r="A284" s="198" t="s">
        <v>779</v>
      </c>
      <c r="B284" s="198" t="s">
        <v>786</v>
      </c>
      <c r="C284" s="214" t="s">
        <v>170</v>
      </c>
      <c r="D284" s="198" t="s">
        <v>79</v>
      </c>
      <c r="E284" s="198" t="s">
        <v>315</v>
      </c>
      <c r="F284" s="198">
        <v>98.8</v>
      </c>
      <c r="G284" s="198"/>
      <c r="H284" s="214" t="s">
        <v>848</v>
      </c>
      <c r="I284" s="214" t="s">
        <v>325</v>
      </c>
      <c r="J284" s="271">
        <v>15.2</v>
      </c>
      <c r="K284" s="198"/>
      <c r="L284" s="198"/>
      <c r="M284" s="198"/>
      <c r="N284" s="198"/>
      <c r="O284" s="198">
        <v>83.6</v>
      </c>
      <c r="P284" s="198"/>
      <c r="Q284" s="198" t="s">
        <v>329</v>
      </c>
      <c r="R284" s="230">
        <f>DATABASE_Table[[#This Row],[Inicial Asking Price (€) (Total)]]-DATABASE_Table[[#This Row],[Vista membership]]-DATABASE_Table[[#This Row],[FF&amp;E]]</f>
        <v>600000</v>
      </c>
      <c r="S284" s="234">
        <v>645000</v>
      </c>
      <c r="T284" s="235">
        <v>645000</v>
      </c>
      <c r="U284" s="198"/>
      <c r="V284" s="235">
        <v>45000</v>
      </c>
      <c r="W284" s="233">
        <f>DATABASE_Table[[#This Row],[Current Asking price( Total)]]-DATABASE_Table[[#This Row],[Vista membership]]-DATABASE_Table[[#This Row],[FF&amp;E]]</f>
        <v>600000</v>
      </c>
      <c r="X284" s="236"/>
      <c r="Y284" s="235"/>
      <c r="Z284" s="233">
        <f>DATABASE_Table[[#This Row],[Sell price (Total)]]-DATABASE_Table[[#This Row],[FF&amp;E]]-DATABASE_Table[[#This Row],[Vista membership]]</f>
        <v>-45000</v>
      </c>
      <c r="AA284" s="315"/>
      <c r="AB284" s="321">
        <v>47118</v>
      </c>
      <c r="AC284" s="198" t="s">
        <v>80</v>
      </c>
      <c r="AD284" s="198" t="s">
        <v>81</v>
      </c>
      <c r="AE284" s="279" t="s">
        <v>82</v>
      </c>
      <c r="AF284" s="279" t="s">
        <v>83</v>
      </c>
      <c r="AG284" s="279" t="s">
        <v>84</v>
      </c>
      <c r="AH284" s="279" t="s">
        <v>85</v>
      </c>
      <c r="AI284" s="198" t="s">
        <v>86</v>
      </c>
      <c r="AJ284" s="274" t="s">
        <v>78</v>
      </c>
      <c r="AK284"/>
    </row>
    <row r="285" spans="1:37" ht="15.75" hidden="1" customHeight="1">
      <c r="A285" s="198" t="s">
        <v>772</v>
      </c>
      <c r="B285" s="198" t="s">
        <v>769</v>
      </c>
      <c r="C285" s="214" t="s">
        <v>485</v>
      </c>
      <c r="D285" s="198"/>
      <c r="E285" s="198" t="s">
        <v>483</v>
      </c>
      <c r="F285" s="198">
        <v>173.95</v>
      </c>
      <c r="G285" s="198"/>
      <c r="H285" s="214" t="s">
        <v>635</v>
      </c>
      <c r="I285" s="214" t="s">
        <v>325</v>
      </c>
      <c r="J285" s="271"/>
      <c r="K285" s="198"/>
      <c r="L285" s="198"/>
      <c r="M285" s="198">
        <v>48.4</v>
      </c>
      <c r="N285" s="198"/>
      <c r="O285" s="198">
        <v>125.55</v>
      </c>
      <c r="P285" s="198"/>
      <c r="Q285" s="198" t="s">
        <v>329</v>
      </c>
      <c r="R285" s="230">
        <f>DATABASE_Table[[#This Row],[Inicial Asking Price (€) (Total)]]-DATABASE_Table[[#This Row],[Vista membership]]-DATABASE_Table[[#This Row],[FF&amp;E]]</f>
        <v>440000</v>
      </c>
      <c r="S285" s="234">
        <v>440000</v>
      </c>
      <c r="T285" s="235">
        <v>1100000</v>
      </c>
      <c r="U285" s="198"/>
      <c r="V285" s="198"/>
      <c r="W285" s="233">
        <f>DATABASE_Table[[#This Row],[Current Asking price( Total)]]-DATABASE_Table[[#This Row],[Vista membership]]-DATABASE_Table[[#This Row],[FF&amp;E]]</f>
        <v>1100000</v>
      </c>
      <c r="X285" s="236"/>
      <c r="Y285" s="235">
        <v>1100000</v>
      </c>
      <c r="Z285" s="233">
        <f>DATABASE_Table[[#This Row],[Sell price (Total)]]-DATABASE_Table[[#This Row],[FF&amp;E]]-DATABASE_Table[[#This Row],[Vista membership]]</f>
        <v>1100000</v>
      </c>
      <c r="AA285" s="315"/>
      <c r="AB285" s="321">
        <v>46843</v>
      </c>
      <c r="AC285" s="198"/>
      <c r="AD285" s="198"/>
      <c r="AE285" s="279"/>
      <c r="AF285" s="279"/>
      <c r="AG285" s="279"/>
      <c r="AH285" s="279"/>
      <c r="AI285" s="198"/>
      <c r="AJ285" s="274" t="s">
        <v>66</v>
      </c>
      <c r="AK285"/>
    </row>
    <row r="286" spans="1:37" ht="15.75" hidden="1" customHeight="1">
      <c r="A286" s="198" t="s">
        <v>772</v>
      </c>
      <c r="B286" s="198" t="s">
        <v>769</v>
      </c>
      <c r="C286" s="214" t="s">
        <v>486</v>
      </c>
      <c r="D286" s="198"/>
      <c r="E286" s="198" t="s">
        <v>483</v>
      </c>
      <c r="F286" s="198">
        <v>173.95</v>
      </c>
      <c r="G286" s="198"/>
      <c r="H286" s="214" t="s">
        <v>636</v>
      </c>
      <c r="I286" s="214" t="s">
        <v>325</v>
      </c>
      <c r="J286" s="271"/>
      <c r="K286" s="198"/>
      <c r="L286" s="198"/>
      <c r="M286" s="198">
        <v>48.4</v>
      </c>
      <c r="N286" s="198"/>
      <c r="O286" s="198">
        <v>125.55</v>
      </c>
      <c r="P286" s="198"/>
      <c r="Q286" s="198" t="s">
        <v>628</v>
      </c>
      <c r="R286" s="230">
        <f>DATABASE_Table[[#This Row],[Inicial Asking Price (€) (Total)]]-DATABASE_Table[[#This Row],[Vista membership]]-DATABASE_Table[[#This Row],[FF&amp;E]]</f>
        <v>550000</v>
      </c>
      <c r="S286" s="234">
        <v>550000</v>
      </c>
      <c r="T286" s="235">
        <v>745000</v>
      </c>
      <c r="U286" s="198"/>
      <c r="V286" s="198"/>
      <c r="W286" s="233">
        <f>DATABASE_Table[[#This Row],[Current Asking price( Total)]]-DATABASE_Table[[#This Row],[Vista membership]]-DATABASE_Table[[#This Row],[FF&amp;E]]</f>
        <v>745000</v>
      </c>
      <c r="X286" s="236">
        <v>0</v>
      </c>
      <c r="Y286" s="235">
        <v>745000</v>
      </c>
      <c r="Z286" s="233">
        <f>DATABASE_Table[[#This Row],[Sell price (Total)]]-DATABASE_Table[[#This Row],[FF&amp;E]]-DATABASE_Table[[#This Row],[Vista membership]]</f>
        <v>745000</v>
      </c>
      <c r="AA286" s="316">
        <v>45128</v>
      </c>
      <c r="AB286" s="321">
        <v>46843</v>
      </c>
      <c r="AC286" s="198"/>
      <c r="AD286" s="198"/>
      <c r="AE286" s="279"/>
      <c r="AF286" s="279"/>
      <c r="AG286" s="279"/>
      <c r="AH286" s="279"/>
      <c r="AI286" s="198"/>
      <c r="AJ286" s="274" t="s">
        <v>66</v>
      </c>
      <c r="AK286"/>
    </row>
    <row r="287" spans="1:37" ht="15.75" hidden="1" customHeight="1">
      <c r="A287" s="198" t="s">
        <v>772</v>
      </c>
      <c r="B287" s="198" t="s">
        <v>769</v>
      </c>
      <c r="C287" s="214" t="s">
        <v>487</v>
      </c>
      <c r="D287" s="198"/>
      <c r="E287" s="198" t="s">
        <v>483</v>
      </c>
      <c r="F287" s="198">
        <v>173.95</v>
      </c>
      <c r="G287" s="198"/>
      <c r="H287" s="214" t="s">
        <v>637</v>
      </c>
      <c r="I287" s="214" t="s">
        <v>325</v>
      </c>
      <c r="J287" s="271"/>
      <c r="K287" s="198"/>
      <c r="L287" s="198"/>
      <c r="M287" s="198">
        <v>48.4</v>
      </c>
      <c r="N287" s="198"/>
      <c r="O287" s="198">
        <v>125.55</v>
      </c>
      <c r="P287" s="198"/>
      <c r="Q287" s="198" t="s">
        <v>329</v>
      </c>
      <c r="R287" s="230">
        <f>DATABASE_Table[[#This Row],[Inicial Asking Price (€) (Total)]]-DATABASE_Table[[#This Row],[Vista membership]]-DATABASE_Table[[#This Row],[FF&amp;E]]</f>
        <v>660000</v>
      </c>
      <c r="S287" s="234">
        <v>660000</v>
      </c>
      <c r="T287" s="235">
        <v>1100000</v>
      </c>
      <c r="U287" s="198"/>
      <c r="V287" s="198"/>
      <c r="W287" s="233">
        <f>DATABASE_Table[[#This Row],[Current Asking price( Total)]]-DATABASE_Table[[#This Row],[Vista membership]]-DATABASE_Table[[#This Row],[FF&amp;E]]</f>
        <v>1100000</v>
      </c>
      <c r="X287" s="236"/>
      <c r="Y287" s="235">
        <v>1100000</v>
      </c>
      <c r="Z287" s="233">
        <f>DATABASE_Table[[#This Row],[Sell price (Total)]]-DATABASE_Table[[#This Row],[FF&amp;E]]-DATABASE_Table[[#This Row],[Vista membership]]</f>
        <v>1100000</v>
      </c>
      <c r="AA287" s="315"/>
      <c r="AB287" s="321">
        <v>46843</v>
      </c>
      <c r="AC287" s="198"/>
      <c r="AD287" s="198"/>
      <c r="AE287" s="279"/>
      <c r="AF287" s="279"/>
      <c r="AG287" s="279"/>
      <c r="AH287" s="279"/>
      <c r="AI287" s="198"/>
      <c r="AJ287" s="274" t="s">
        <v>66</v>
      </c>
      <c r="AK287"/>
    </row>
    <row r="288" spans="1:37" ht="15.75" hidden="1" customHeight="1">
      <c r="A288" s="198" t="s">
        <v>565</v>
      </c>
      <c r="B288" s="198" t="s">
        <v>691</v>
      </c>
      <c r="C288" s="214" t="s">
        <v>749</v>
      </c>
      <c r="D288" s="198" t="s">
        <v>9</v>
      </c>
      <c r="E288" s="198" t="s">
        <v>319</v>
      </c>
      <c r="F288" s="198">
        <v>161</v>
      </c>
      <c r="G288" s="198"/>
      <c r="H288" s="214" t="s">
        <v>848</v>
      </c>
      <c r="I288" s="214" t="s">
        <v>325</v>
      </c>
      <c r="J288" s="271">
        <v>57.1</v>
      </c>
      <c r="K288" s="198"/>
      <c r="L288" s="198"/>
      <c r="M288" s="198"/>
      <c r="N288" s="198"/>
      <c r="O288" s="198">
        <v>103.9</v>
      </c>
      <c r="P288" s="198"/>
      <c r="Q288" s="198" t="s">
        <v>628</v>
      </c>
      <c r="R288" s="230">
        <f>DATABASE_Table[[#This Row],[Inicial Asking Price (€) (Total)]]-DATABASE_Table[[#This Row],[Vista membership]]-DATABASE_Table[[#This Row],[FF&amp;E]]</f>
        <v>1267000</v>
      </c>
      <c r="S288" s="231">
        <v>1340000</v>
      </c>
      <c r="T288" s="232">
        <v>1440000</v>
      </c>
      <c r="U288" s="198">
        <v>50000</v>
      </c>
      <c r="V288" s="198">
        <v>23000</v>
      </c>
      <c r="W288" s="233">
        <f>DATABASE_Table[[#This Row],[Current Asking price( Total)]]-DATABASE_Table[[#This Row],[Vista membership]]-DATABASE_Table[[#This Row],[FF&amp;E]]</f>
        <v>1367000</v>
      </c>
      <c r="X288" s="216">
        <v>0.202569444444444</v>
      </c>
      <c r="Y288" s="232">
        <v>1148300</v>
      </c>
      <c r="Z288" s="233">
        <f>DATABASE_Table[[#This Row],[Sell price (Total)]]-DATABASE_Table[[#This Row],[FF&amp;E]]-DATABASE_Table[[#This Row],[Vista membership]]</f>
        <v>1075300</v>
      </c>
      <c r="AA288" s="315">
        <v>46057</v>
      </c>
      <c r="AB288" s="321"/>
      <c r="AC288" s="198" t="s">
        <v>10</v>
      </c>
      <c r="AD288" s="198" t="s">
        <v>34</v>
      </c>
      <c r="AE288" s="279" t="s">
        <v>32</v>
      </c>
      <c r="AF288" s="279" t="s">
        <v>686</v>
      </c>
      <c r="AG288" s="279" t="s">
        <v>49</v>
      </c>
      <c r="AH288" s="279" t="s">
        <v>50</v>
      </c>
      <c r="AI288" s="198" t="s">
        <v>51</v>
      </c>
      <c r="AJ288" s="274" t="s">
        <v>48</v>
      </c>
      <c r="AK288"/>
    </row>
    <row r="289" spans="1:37" ht="15.75" hidden="1" customHeight="1">
      <c r="A289" s="198" t="s">
        <v>565</v>
      </c>
      <c r="B289" s="198" t="s">
        <v>691</v>
      </c>
      <c r="C289" s="214" t="s">
        <v>750</v>
      </c>
      <c r="D289" s="198" t="s">
        <v>9</v>
      </c>
      <c r="E289" s="198" t="s">
        <v>319</v>
      </c>
      <c r="F289" s="198">
        <v>161</v>
      </c>
      <c r="G289" s="198"/>
      <c r="H289" s="214" t="s">
        <v>325</v>
      </c>
      <c r="I289" s="214" t="s">
        <v>325</v>
      </c>
      <c r="J289" s="271">
        <v>57.1</v>
      </c>
      <c r="K289" s="198"/>
      <c r="L289" s="198"/>
      <c r="M289" s="198"/>
      <c r="N289" s="198"/>
      <c r="O289" s="198">
        <v>103.9</v>
      </c>
      <c r="P289" s="198"/>
      <c r="Q289" s="198" t="s">
        <v>326</v>
      </c>
      <c r="R289" s="230">
        <f>DATABASE_Table[[#This Row],[Inicial Asking Price (€) (Total)]]-DATABASE_Table[[#This Row],[Vista membership]]-DATABASE_Table[[#This Row],[FF&amp;E]]</f>
        <v>1177000</v>
      </c>
      <c r="S289" s="231">
        <v>1250000</v>
      </c>
      <c r="T289" s="232">
        <v>1350000</v>
      </c>
      <c r="U289" s="198">
        <v>50000</v>
      </c>
      <c r="V289" s="198">
        <v>23000</v>
      </c>
      <c r="W289" s="233">
        <f>DATABASE_Table[[#This Row],[Current Asking price( Total)]]-DATABASE_Table[[#This Row],[Vista membership]]-DATABASE_Table[[#This Row],[FF&amp;E]]</f>
        <v>1277000</v>
      </c>
      <c r="X289" s="216">
        <v>0</v>
      </c>
      <c r="Y289" s="232">
        <v>1350000</v>
      </c>
      <c r="Z289" s="233">
        <f>DATABASE_Table[[#This Row],[Sell price (Total)]]-DATABASE_Table[[#This Row],[FF&amp;E]]-DATABASE_Table[[#This Row],[Vista membership]]</f>
        <v>1277000</v>
      </c>
      <c r="AA289" s="315"/>
      <c r="AB289" s="321"/>
      <c r="AC289" s="198" t="s">
        <v>10</v>
      </c>
      <c r="AD289" s="198" t="s">
        <v>34</v>
      </c>
      <c r="AE289" s="279" t="s">
        <v>32</v>
      </c>
      <c r="AF289" s="279" t="s">
        <v>686</v>
      </c>
      <c r="AG289" s="279" t="s">
        <v>49</v>
      </c>
      <c r="AH289" s="279" t="s">
        <v>50</v>
      </c>
      <c r="AI289" s="198" t="s">
        <v>51</v>
      </c>
      <c r="AJ289" s="274" t="s">
        <v>48</v>
      </c>
      <c r="AK289"/>
    </row>
    <row r="290" spans="1:37" ht="15.75" hidden="1" customHeight="1">
      <c r="A290" s="198" t="s">
        <v>565</v>
      </c>
      <c r="B290" s="198" t="s">
        <v>691</v>
      </c>
      <c r="C290" s="214" t="s">
        <v>751</v>
      </c>
      <c r="D290" s="198" t="s">
        <v>9</v>
      </c>
      <c r="E290" s="198" t="s">
        <v>319</v>
      </c>
      <c r="F290" s="198">
        <v>161.6</v>
      </c>
      <c r="G290" s="198"/>
      <c r="H290" s="214" t="s">
        <v>325</v>
      </c>
      <c r="I290" s="214" t="s">
        <v>325</v>
      </c>
      <c r="J290" s="271">
        <v>57</v>
      </c>
      <c r="K290" s="198"/>
      <c r="L290" s="198"/>
      <c r="M290" s="198"/>
      <c r="N290" s="198"/>
      <c r="O290" s="198">
        <v>104.6</v>
      </c>
      <c r="P290" s="198"/>
      <c r="Q290" s="198" t="s">
        <v>329</v>
      </c>
      <c r="R290" s="230">
        <f>DATABASE_Table[[#This Row],[Inicial Asking Price (€) (Total)]]-DATABASE_Table[[#This Row],[Vista membership]]-DATABASE_Table[[#This Row],[FF&amp;E]]</f>
        <v>1087000</v>
      </c>
      <c r="S290" s="231">
        <v>1160000</v>
      </c>
      <c r="T290" s="232">
        <v>1230000</v>
      </c>
      <c r="U290" s="198">
        <v>50000</v>
      </c>
      <c r="V290" s="198">
        <v>23000</v>
      </c>
      <c r="W290" s="233">
        <f>DATABASE_Table[[#This Row],[Current Asking price( Total)]]-DATABASE_Table[[#This Row],[Vista membership]]-DATABASE_Table[[#This Row],[FF&amp;E]]</f>
        <v>1157000</v>
      </c>
      <c r="X290" s="216"/>
      <c r="Y290" s="232">
        <v>1230000</v>
      </c>
      <c r="Z290" s="233">
        <f>DATABASE_Table[[#This Row],[Sell price (Total)]]-DATABASE_Table[[#This Row],[FF&amp;E]]-DATABASE_Table[[#This Row],[Vista membership]]</f>
        <v>1157000</v>
      </c>
      <c r="AA290" s="315"/>
      <c r="AB290" s="321"/>
      <c r="AC290" s="198" t="s">
        <v>10</v>
      </c>
      <c r="AD290" s="198" t="s">
        <v>34</v>
      </c>
      <c r="AE290" s="279" t="s">
        <v>32</v>
      </c>
      <c r="AF290" s="279" t="s">
        <v>686</v>
      </c>
      <c r="AG290" s="279" t="s">
        <v>49</v>
      </c>
      <c r="AH290" s="279" t="s">
        <v>50</v>
      </c>
      <c r="AI290" s="198" t="s">
        <v>51</v>
      </c>
      <c r="AJ290" s="274" t="s">
        <v>48</v>
      </c>
      <c r="AK290"/>
    </row>
    <row r="291" spans="1:37" ht="15.75" hidden="1" customHeight="1">
      <c r="A291" s="198" t="s">
        <v>565</v>
      </c>
      <c r="B291" s="198" t="s">
        <v>691</v>
      </c>
      <c r="C291" s="214" t="s">
        <v>752</v>
      </c>
      <c r="D291" s="198" t="s">
        <v>9</v>
      </c>
      <c r="E291" s="198" t="s">
        <v>319</v>
      </c>
      <c r="F291" s="198">
        <v>161.69999999999999</v>
      </c>
      <c r="G291" s="198"/>
      <c r="H291" s="214" t="s">
        <v>325</v>
      </c>
      <c r="I291" s="214" t="s">
        <v>325</v>
      </c>
      <c r="J291" s="271">
        <v>57.1</v>
      </c>
      <c r="K291" s="198"/>
      <c r="L291" s="198"/>
      <c r="M291" s="198"/>
      <c r="N291" s="198"/>
      <c r="O291" s="198">
        <v>104.6</v>
      </c>
      <c r="P291" s="198"/>
      <c r="Q291" s="198" t="s">
        <v>329</v>
      </c>
      <c r="R291" s="230">
        <f>DATABASE_Table[[#This Row],[Inicial Asking Price (€) (Total)]]-DATABASE_Table[[#This Row],[Vista membership]]-DATABASE_Table[[#This Row],[FF&amp;E]]</f>
        <v>1177000</v>
      </c>
      <c r="S291" s="231">
        <v>1250000</v>
      </c>
      <c r="T291" s="232">
        <v>1320000</v>
      </c>
      <c r="U291" s="198">
        <v>50000</v>
      </c>
      <c r="V291" s="198">
        <v>23000</v>
      </c>
      <c r="W291" s="233">
        <f>DATABASE_Table[[#This Row],[Current Asking price( Total)]]-DATABASE_Table[[#This Row],[Vista membership]]-DATABASE_Table[[#This Row],[FF&amp;E]]</f>
        <v>1247000</v>
      </c>
      <c r="X291" s="216"/>
      <c r="Y291" s="232">
        <v>1320000</v>
      </c>
      <c r="Z291" s="233">
        <f>DATABASE_Table[[#This Row],[Sell price (Total)]]-DATABASE_Table[[#This Row],[FF&amp;E]]-DATABASE_Table[[#This Row],[Vista membership]]</f>
        <v>1247000</v>
      </c>
      <c r="AA291" s="315"/>
      <c r="AB291" s="321"/>
      <c r="AC291" s="198" t="s">
        <v>10</v>
      </c>
      <c r="AD291" s="198" t="s">
        <v>34</v>
      </c>
      <c r="AE291" s="279" t="s">
        <v>32</v>
      </c>
      <c r="AF291" s="279" t="s">
        <v>686</v>
      </c>
      <c r="AG291" s="279" t="s">
        <v>49</v>
      </c>
      <c r="AH291" s="279" t="s">
        <v>50</v>
      </c>
      <c r="AI291" s="198" t="s">
        <v>51</v>
      </c>
      <c r="AJ291" s="274" t="s">
        <v>48</v>
      </c>
      <c r="AK291"/>
    </row>
    <row r="292" spans="1:37" ht="15.75" hidden="1" customHeight="1">
      <c r="A292" s="198" t="s">
        <v>773</v>
      </c>
      <c r="B292" s="198" t="s">
        <v>769</v>
      </c>
      <c r="C292" s="214" t="s">
        <v>875</v>
      </c>
      <c r="D292" s="198" t="s">
        <v>67</v>
      </c>
      <c r="E292" s="198" t="s">
        <v>553</v>
      </c>
      <c r="F292" s="198">
        <v>4991</v>
      </c>
      <c r="G292" s="198"/>
      <c r="H292" s="214" t="s">
        <v>325</v>
      </c>
      <c r="I292" s="214" t="s">
        <v>325</v>
      </c>
      <c r="J292" s="271"/>
      <c r="K292" s="198"/>
      <c r="L292" s="198"/>
      <c r="M292" s="198"/>
      <c r="N292" s="198"/>
      <c r="O292" s="198">
        <v>420</v>
      </c>
      <c r="P292" s="198"/>
      <c r="Q292" s="198" t="s">
        <v>329</v>
      </c>
      <c r="R292" s="230">
        <f>DATABASE_Table[[#This Row],[Inicial Asking Price (€) (Total)]]-DATABASE_Table[[#This Row],[Vista membership]]-DATABASE_Table[[#This Row],[FF&amp;E]]</f>
        <v>660000</v>
      </c>
      <c r="S292" s="234">
        <v>660000</v>
      </c>
      <c r="T292" s="235">
        <v>1700000</v>
      </c>
      <c r="U292" s="198"/>
      <c r="V292" s="198"/>
      <c r="W292" s="233">
        <f>DATABASE_Table[[#This Row],[Current Asking price( Total)]]-DATABASE_Table[[#This Row],[Vista membership]]-DATABASE_Table[[#This Row],[FF&amp;E]]</f>
        <v>1700000</v>
      </c>
      <c r="X292" s="236"/>
      <c r="Y292" s="235">
        <v>1700000</v>
      </c>
      <c r="Z292" s="233">
        <f>DATABASE_Table[[#This Row],[Sell price (Total)]]-DATABASE_Table[[#This Row],[FF&amp;E]]-DATABASE_Table[[#This Row],[Vista membership]]</f>
        <v>1700000</v>
      </c>
      <c r="AA292" s="315"/>
      <c r="AB292" s="321">
        <v>46843</v>
      </c>
      <c r="AC292" s="198" t="s">
        <v>57</v>
      </c>
      <c r="AD292" s="198" t="s">
        <v>68</v>
      </c>
      <c r="AE292" s="279" t="s">
        <v>69</v>
      </c>
      <c r="AF292" s="279" t="s">
        <v>70</v>
      </c>
      <c r="AG292" s="279" t="s">
        <v>71</v>
      </c>
      <c r="AH292" s="279" t="s">
        <v>816</v>
      </c>
      <c r="AI292" s="198" t="s">
        <v>72</v>
      </c>
      <c r="AJ292" s="274" t="s">
        <v>66</v>
      </c>
      <c r="AK292"/>
    </row>
    <row r="293" spans="1:37" ht="15.75" hidden="1" customHeight="1">
      <c r="A293" s="198" t="s">
        <v>772</v>
      </c>
      <c r="B293" s="198" t="s">
        <v>769</v>
      </c>
      <c r="C293" s="214" t="s">
        <v>488</v>
      </c>
      <c r="D293" s="198"/>
      <c r="E293" s="198" t="s">
        <v>483</v>
      </c>
      <c r="F293" s="198">
        <v>173.95</v>
      </c>
      <c r="G293" s="198"/>
      <c r="H293" s="214" t="s">
        <v>638</v>
      </c>
      <c r="I293" s="214" t="s">
        <v>325</v>
      </c>
      <c r="J293" s="271"/>
      <c r="K293" s="198"/>
      <c r="L293" s="198"/>
      <c r="M293" s="198">
        <v>48.4</v>
      </c>
      <c r="N293" s="198"/>
      <c r="O293" s="198">
        <v>125.55</v>
      </c>
      <c r="P293" s="198"/>
      <c r="Q293" s="198" t="s">
        <v>628</v>
      </c>
      <c r="R293" s="230">
        <f>DATABASE_Table[[#This Row],[Inicial Asking Price (€) (Total)]]-DATABASE_Table[[#This Row],[Vista membership]]-DATABASE_Table[[#This Row],[FF&amp;E]]</f>
        <v>440000</v>
      </c>
      <c r="S293" s="234">
        <v>440000</v>
      </c>
      <c r="T293" s="235">
        <v>770000</v>
      </c>
      <c r="U293" s="198"/>
      <c r="V293" s="198"/>
      <c r="W293" s="233">
        <f>DATABASE_Table[[#This Row],[Current Asking price( Total)]]-DATABASE_Table[[#This Row],[Vista membership]]-DATABASE_Table[[#This Row],[FF&amp;E]]</f>
        <v>770000</v>
      </c>
      <c r="X293" s="236">
        <v>0</v>
      </c>
      <c r="Y293" s="235">
        <v>770000</v>
      </c>
      <c r="Z293" s="233">
        <f>DATABASE_Table[[#This Row],[Sell price (Total)]]-DATABASE_Table[[#This Row],[FF&amp;E]]-DATABASE_Table[[#This Row],[Vista membership]]</f>
        <v>770000</v>
      </c>
      <c r="AA293" s="316">
        <v>44957</v>
      </c>
      <c r="AB293" s="321">
        <v>46843</v>
      </c>
      <c r="AC293" s="198"/>
      <c r="AD293" s="198"/>
      <c r="AE293" s="279"/>
      <c r="AF293" s="279"/>
      <c r="AG293" s="279"/>
      <c r="AH293" s="279"/>
      <c r="AI293" s="198"/>
      <c r="AJ293" s="274" t="s">
        <v>66</v>
      </c>
      <c r="AK293"/>
    </row>
    <row r="294" spans="1:37" ht="15.75" hidden="1" customHeight="1">
      <c r="A294" s="198" t="s">
        <v>772</v>
      </c>
      <c r="B294" s="198" t="s">
        <v>769</v>
      </c>
      <c r="C294" s="214" t="s">
        <v>489</v>
      </c>
      <c r="D294" s="198"/>
      <c r="E294" s="198" t="s">
        <v>483</v>
      </c>
      <c r="F294" s="198">
        <v>173.95</v>
      </c>
      <c r="G294" s="198"/>
      <c r="H294" s="214" t="s">
        <v>639</v>
      </c>
      <c r="I294" s="214" t="s">
        <v>325</v>
      </c>
      <c r="J294" s="271"/>
      <c r="K294" s="198"/>
      <c r="L294" s="198"/>
      <c r="M294" s="198">
        <v>48.4</v>
      </c>
      <c r="N294" s="198"/>
      <c r="O294" s="198">
        <v>125.55</v>
      </c>
      <c r="P294" s="198"/>
      <c r="Q294" s="198" t="s">
        <v>628</v>
      </c>
      <c r="R294" s="230">
        <f>DATABASE_Table[[#This Row],[Inicial Asking Price (€) (Total)]]-DATABASE_Table[[#This Row],[Vista membership]]-DATABASE_Table[[#This Row],[FF&amp;E]]</f>
        <v>575000</v>
      </c>
      <c r="S294" s="234">
        <v>575000</v>
      </c>
      <c r="T294" s="235">
        <v>900000</v>
      </c>
      <c r="U294" s="198"/>
      <c r="V294" s="198"/>
      <c r="W294" s="233">
        <f>DATABASE_Table[[#This Row],[Current Asking price( Total)]]-DATABASE_Table[[#This Row],[Vista membership]]-DATABASE_Table[[#This Row],[FF&amp;E]]</f>
        <v>900000</v>
      </c>
      <c r="X294" s="236">
        <v>0</v>
      </c>
      <c r="Y294" s="235">
        <v>900000</v>
      </c>
      <c r="Z294" s="233">
        <f>DATABASE_Table[[#This Row],[Sell price (Total)]]-DATABASE_Table[[#This Row],[FF&amp;E]]-DATABASE_Table[[#This Row],[Vista membership]]</f>
        <v>900000</v>
      </c>
      <c r="AA294" s="316">
        <v>44988</v>
      </c>
      <c r="AB294" s="321">
        <v>46843</v>
      </c>
      <c r="AC294" s="198"/>
      <c r="AD294" s="198"/>
      <c r="AE294" s="279"/>
      <c r="AF294" s="279"/>
      <c r="AG294" s="279"/>
      <c r="AH294" s="279"/>
      <c r="AI294" s="198"/>
      <c r="AJ294" s="274" t="s">
        <v>66</v>
      </c>
      <c r="AK294"/>
    </row>
    <row r="295" spans="1:37" ht="15.75" hidden="1" customHeight="1">
      <c r="A295" s="198" t="s">
        <v>772</v>
      </c>
      <c r="B295" s="198" t="s">
        <v>769</v>
      </c>
      <c r="C295" s="214" t="s">
        <v>490</v>
      </c>
      <c r="D295" s="198"/>
      <c r="E295" s="198" t="s">
        <v>483</v>
      </c>
      <c r="F295" s="198">
        <v>173.95</v>
      </c>
      <c r="G295" s="198"/>
      <c r="H295" s="214" t="s">
        <v>640</v>
      </c>
      <c r="I295" s="214" t="s">
        <v>325</v>
      </c>
      <c r="J295" s="271"/>
      <c r="K295" s="198"/>
      <c r="L295" s="198"/>
      <c r="M295" s="198">
        <v>48.4</v>
      </c>
      <c r="N295" s="198"/>
      <c r="O295" s="198">
        <v>125.55</v>
      </c>
      <c r="P295" s="198"/>
      <c r="Q295" s="198" t="s">
        <v>628</v>
      </c>
      <c r="R295" s="230">
        <f>DATABASE_Table[[#This Row],[Inicial Asking Price (€) (Total)]]-DATABASE_Table[[#This Row],[Vista membership]]-DATABASE_Table[[#This Row],[FF&amp;E]]</f>
        <v>460000</v>
      </c>
      <c r="S295" s="234">
        <v>460000</v>
      </c>
      <c r="T295" s="235">
        <v>820000</v>
      </c>
      <c r="U295" s="198"/>
      <c r="V295" s="198"/>
      <c r="W295" s="233">
        <f>DATABASE_Table[[#This Row],[Current Asking price( Total)]]-DATABASE_Table[[#This Row],[Vista membership]]-DATABASE_Table[[#This Row],[FF&amp;E]]</f>
        <v>820000</v>
      </c>
      <c r="X295" s="236">
        <v>0</v>
      </c>
      <c r="Y295" s="235">
        <v>820000</v>
      </c>
      <c r="Z295" s="233">
        <f>DATABASE_Table[[#This Row],[Sell price (Total)]]-DATABASE_Table[[#This Row],[FF&amp;E]]-DATABASE_Table[[#This Row],[Vista membership]]</f>
        <v>820000</v>
      </c>
      <c r="AA295" s="316">
        <v>44977</v>
      </c>
      <c r="AB295" s="321">
        <v>46843</v>
      </c>
      <c r="AC295" s="198"/>
      <c r="AD295" s="198"/>
      <c r="AE295" s="279"/>
      <c r="AF295" s="279"/>
      <c r="AG295" s="279"/>
      <c r="AH295" s="279"/>
      <c r="AI295" s="198"/>
      <c r="AJ295" s="274" t="s">
        <v>66</v>
      </c>
      <c r="AK295"/>
    </row>
    <row r="296" spans="1:37" ht="15.75" hidden="1" customHeight="1">
      <c r="A296" s="198" t="s">
        <v>772</v>
      </c>
      <c r="B296" s="198" t="s">
        <v>769</v>
      </c>
      <c r="C296" s="214" t="s">
        <v>491</v>
      </c>
      <c r="D296" s="198"/>
      <c r="E296" s="198" t="s">
        <v>483</v>
      </c>
      <c r="F296" s="198">
        <v>171.55</v>
      </c>
      <c r="G296" s="198"/>
      <c r="H296" s="214" t="s">
        <v>641</v>
      </c>
      <c r="I296" s="214" t="s">
        <v>325</v>
      </c>
      <c r="J296" s="271"/>
      <c r="K296" s="198"/>
      <c r="L296" s="198"/>
      <c r="M296" s="198">
        <v>46</v>
      </c>
      <c r="N296" s="198"/>
      <c r="O296" s="198">
        <v>125.55</v>
      </c>
      <c r="P296" s="198"/>
      <c r="Q296" s="198" t="s">
        <v>329</v>
      </c>
      <c r="R296" s="230">
        <f>DATABASE_Table[[#This Row],[Inicial Asking Price (€) (Total)]]-DATABASE_Table[[#This Row],[Vista membership]]-DATABASE_Table[[#This Row],[FF&amp;E]]</f>
        <v>550000</v>
      </c>
      <c r="S296" s="234">
        <v>550000</v>
      </c>
      <c r="T296" s="235">
        <v>1200000</v>
      </c>
      <c r="U296" s="198"/>
      <c r="V296" s="198"/>
      <c r="W296" s="233">
        <f>DATABASE_Table[[#This Row],[Current Asking price( Total)]]-DATABASE_Table[[#This Row],[Vista membership]]-DATABASE_Table[[#This Row],[FF&amp;E]]</f>
        <v>1200000</v>
      </c>
      <c r="X296" s="236"/>
      <c r="Y296" s="235">
        <v>1200000</v>
      </c>
      <c r="Z296" s="233">
        <f>DATABASE_Table[[#This Row],[Sell price (Total)]]-DATABASE_Table[[#This Row],[FF&amp;E]]-DATABASE_Table[[#This Row],[Vista membership]]</f>
        <v>1200000</v>
      </c>
      <c r="AA296" s="315"/>
      <c r="AB296" s="321">
        <v>46843</v>
      </c>
      <c r="AC296" s="198"/>
      <c r="AD296" s="198"/>
      <c r="AE296" s="279"/>
      <c r="AF296" s="279"/>
      <c r="AG296" s="279"/>
      <c r="AH296" s="279"/>
      <c r="AI296" s="198"/>
      <c r="AJ296" s="274" t="s">
        <v>66</v>
      </c>
      <c r="AK296"/>
    </row>
    <row r="297" spans="1:37" ht="15.75" hidden="1" customHeight="1">
      <c r="A297" s="198" t="s">
        <v>772</v>
      </c>
      <c r="B297" s="198" t="s">
        <v>769</v>
      </c>
      <c r="C297" s="214" t="s">
        <v>492</v>
      </c>
      <c r="D297" s="197"/>
      <c r="E297" s="198" t="s">
        <v>419</v>
      </c>
      <c r="F297" s="198">
        <v>102.95</v>
      </c>
      <c r="G297" s="198"/>
      <c r="H297" s="214" t="s">
        <v>642</v>
      </c>
      <c r="I297" s="214" t="s">
        <v>325</v>
      </c>
      <c r="J297" s="271"/>
      <c r="K297" s="198"/>
      <c r="L297" s="198"/>
      <c r="M297" s="198">
        <v>29.95</v>
      </c>
      <c r="N297" s="198"/>
      <c r="O297" s="198">
        <v>73</v>
      </c>
      <c r="P297" s="198"/>
      <c r="Q297" s="198" t="s">
        <v>329</v>
      </c>
      <c r="R297" s="230">
        <f>DATABASE_Table[[#This Row],[Inicial Asking Price (€) (Total)]]-DATABASE_Table[[#This Row],[Vista membership]]-DATABASE_Table[[#This Row],[FF&amp;E]]</f>
        <v>725000</v>
      </c>
      <c r="S297" s="234">
        <v>725000</v>
      </c>
      <c r="T297" s="235">
        <v>700000</v>
      </c>
      <c r="U297" s="198"/>
      <c r="V297" s="198"/>
      <c r="W297" s="233">
        <f>DATABASE_Table[[#This Row],[Current Asking price( Total)]]-DATABASE_Table[[#This Row],[Vista membership]]-DATABASE_Table[[#This Row],[FF&amp;E]]</f>
        <v>700000</v>
      </c>
      <c r="X297" s="236"/>
      <c r="Y297" s="235">
        <v>700000</v>
      </c>
      <c r="Z297" s="233">
        <f>DATABASE_Table[[#This Row],[Sell price (Total)]]-DATABASE_Table[[#This Row],[FF&amp;E]]-DATABASE_Table[[#This Row],[Vista membership]]</f>
        <v>700000</v>
      </c>
      <c r="AA297" s="315"/>
      <c r="AB297" s="321">
        <v>46843</v>
      </c>
      <c r="AC297" s="197"/>
      <c r="AD297" s="197"/>
      <c r="AE297" s="274"/>
      <c r="AF297" s="274"/>
      <c r="AG297" s="274"/>
      <c r="AH297" s="274"/>
      <c r="AI297" s="197"/>
      <c r="AJ297" s="274" t="s">
        <v>66</v>
      </c>
      <c r="AK297"/>
    </row>
    <row r="298" spans="1:37" ht="15.75" hidden="1" customHeight="1">
      <c r="A298" s="198" t="s">
        <v>772</v>
      </c>
      <c r="B298" s="198" t="s">
        <v>769</v>
      </c>
      <c r="C298" s="214" t="s">
        <v>493</v>
      </c>
      <c r="D298" s="197"/>
      <c r="E298" s="198" t="s">
        <v>419</v>
      </c>
      <c r="F298" s="198">
        <v>93.55</v>
      </c>
      <c r="G298" s="198"/>
      <c r="H298" s="214" t="s">
        <v>643</v>
      </c>
      <c r="I298" s="214" t="s">
        <v>325</v>
      </c>
      <c r="J298" s="271"/>
      <c r="K298" s="198"/>
      <c r="L298" s="198"/>
      <c r="M298" s="198">
        <v>20.95</v>
      </c>
      <c r="N298" s="198"/>
      <c r="O298" s="198">
        <v>72.599999999999994</v>
      </c>
      <c r="P298" s="198"/>
      <c r="Q298" s="198" t="s">
        <v>628</v>
      </c>
      <c r="R298" s="230">
        <f>DATABASE_Table[[#This Row],[Inicial Asking Price (€) (Total)]]-DATABASE_Table[[#This Row],[Vista membership]]-DATABASE_Table[[#This Row],[FF&amp;E]]</f>
        <v>440000</v>
      </c>
      <c r="S298" s="234">
        <v>440000</v>
      </c>
      <c r="T298" s="235">
        <v>550000</v>
      </c>
      <c r="U298" s="198"/>
      <c r="V298" s="198"/>
      <c r="W298" s="233">
        <f>DATABASE_Table[[#This Row],[Current Asking price( Total)]]-DATABASE_Table[[#This Row],[Vista membership]]-DATABASE_Table[[#This Row],[FF&amp;E]]</f>
        <v>550000</v>
      </c>
      <c r="X298" s="236">
        <v>0</v>
      </c>
      <c r="Y298" s="235">
        <v>550000</v>
      </c>
      <c r="Z298" s="233">
        <f>DATABASE_Table[[#This Row],[Sell price (Total)]]-DATABASE_Table[[#This Row],[FF&amp;E]]-DATABASE_Table[[#This Row],[Vista membership]]</f>
        <v>550000</v>
      </c>
      <c r="AA298" s="316">
        <v>44967</v>
      </c>
      <c r="AB298" s="321">
        <v>46843</v>
      </c>
      <c r="AC298" s="197"/>
      <c r="AD298" s="197"/>
      <c r="AE298" s="274"/>
      <c r="AF298" s="274"/>
      <c r="AG298" s="274"/>
      <c r="AH298" s="274"/>
      <c r="AI298" s="197"/>
      <c r="AJ298" s="274" t="s">
        <v>66</v>
      </c>
      <c r="AK298"/>
    </row>
    <row r="299" spans="1:37" ht="15.75" hidden="1" customHeight="1">
      <c r="A299" s="198" t="s">
        <v>772</v>
      </c>
      <c r="B299" s="198" t="s">
        <v>769</v>
      </c>
      <c r="C299" s="214" t="s">
        <v>494</v>
      </c>
      <c r="D299" s="197"/>
      <c r="E299" s="198" t="s">
        <v>419</v>
      </c>
      <c r="F299" s="198">
        <v>92.95</v>
      </c>
      <c r="G299" s="198"/>
      <c r="H299" s="214" t="s">
        <v>644</v>
      </c>
      <c r="I299" s="214" t="s">
        <v>325</v>
      </c>
      <c r="J299" s="271"/>
      <c r="K299" s="198"/>
      <c r="L299" s="198"/>
      <c r="M299" s="198">
        <v>20.95</v>
      </c>
      <c r="N299" s="198"/>
      <c r="O299" s="198">
        <v>72</v>
      </c>
      <c r="P299" s="198"/>
      <c r="Q299" s="198" t="s">
        <v>329</v>
      </c>
      <c r="R299" s="230">
        <f>DATABASE_Table[[#This Row],[Inicial Asking Price (€) (Total)]]-DATABASE_Table[[#This Row],[Vista membership]]-DATABASE_Table[[#This Row],[FF&amp;E]]</f>
        <v>700000</v>
      </c>
      <c r="S299" s="234">
        <v>700000</v>
      </c>
      <c r="T299" s="235">
        <v>700000</v>
      </c>
      <c r="U299" s="198"/>
      <c r="V299" s="198"/>
      <c r="W299" s="233">
        <f>DATABASE_Table[[#This Row],[Current Asking price( Total)]]-DATABASE_Table[[#This Row],[Vista membership]]-DATABASE_Table[[#This Row],[FF&amp;E]]</f>
        <v>700000</v>
      </c>
      <c r="X299" s="236"/>
      <c r="Y299" s="235">
        <v>630000</v>
      </c>
      <c r="Z299" s="233">
        <f>DATABASE_Table[[#This Row],[Sell price (Total)]]-DATABASE_Table[[#This Row],[FF&amp;E]]-DATABASE_Table[[#This Row],[Vista membership]]</f>
        <v>630000</v>
      </c>
      <c r="AA299" s="315"/>
      <c r="AB299" s="321">
        <v>46843</v>
      </c>
      <c r="AC299" s="197"/>
      <c r="AD299" s="197"/>
      <c r="AE299" s="274"/>
      <c r="AF299" s="274"/>
      <c r="AG299" s="274"/>
      <c r="AH299" s="274"/>
      <c r="AI299" s="197"/>
      <c r="AJ299" s="274" t="s">
        <v>66</v>
      </c>
      <c r="AK299"/>
    </row>
    <row r="300" spans="1:37" ht="15.75" hidden="1" customHeight="1">
      <c r="A300" s="198" t="s">
        <v>772</v>
      </c>
      <c r="B300" s="198" t="s">
        <v>769</v>
      </c>
      <c r="C300" s="214" t="s">
        <v>495</v>
      </c>
      <c r="D300" s="197"/>
      <c r="E300" s="198" t="s">
        <v>419</v>
      </c>
      <c r="F300" s="198">
        <v>95.85</v>
      </c>
      <c r="G300" s="198"/>
      <c r="H300" s="214" t="s">
        <v>645</v>
      </c>
      <c r="I300" s="214" t="s">
        <v>325</v>
      </c>
      <c r="J300" s="271"/>
      <c r="K300" s="198"/>
      <c r="L300" s="198"/>
      <c r="M300" s="198">
        <v>21.85</v>
      </c>
      <c r="N300" s="198"/>
      <c r="O300" s="198">
        <v>74</v>
      </c>
      <c r="P300" s="198"/>
      <c r="Q300" s="198" t="s">
        <v>628</v>
      </c>
      <c r="R300" s="230">
        <f>DATABASE_Table[[#This Row],[Inicial Asking Price (€) (Total)]]-DATABASE_Table[[#This Row],[Vista membership]]-DATABASE_Table[[#This Row],[FF&amp;E]]</f>
        <v>760000</v>
      </c>
      <c r="S300" s="232">
        <v>760000</v>
      </c>
      <c r="T300" s="235">
        <v>710000</v>
      </c>
      <c r="U300" s="198"/>
      <c r="V300" s="198"/>
      <c r="W300" s="233">
        <f>DATABASE_Table[[#This Row],[Current Asking price( Total)]]-DATABASE_Table[[#This Row],[Vista membership]]-DATABASE_Table[[#This Row],[FF&amp;E]]</f>
        <v>710000</v>
      </c>
      <c r="X300" s="236">
        <v>0</v>
      </c>
      <c r="Y300" s="235">
        <v>710000</v>
      </c>
      <c r="Z300" s="233">
        <f>DATABASE_Table[[#This Row],[Sell price (Total)]]-DATABASE_Table[[#This Row],[FF&amp;E]]-DATABASE_Table[[#This Row],[Vista membership]]</f>
        <v>710000</v>
      </c>
      <c r="AA300" s="316">
        <v>44988</v>
      </c>
      <c r="AB300" s="321">
        <v>46843</v>
      </c>
      <c r="AC300" s="197"/>
      <c r="AD300" s="197"/>
      <c r="AE300" s="274"/>
      <c r="AF300" s="274"/>
      <c r="AG300" s="274"/>
      <c r="AH300" s="274"/>
      <c r="AI300" s="197"/>
      <c r="AJ300" s="274" t="s">
        <v>66</v>
      </c>
      <c r="AK300"/>
    </row>
    <row r="301" spans="1:37" ht="15.75" hidden="1" customHeight="1">
      <c r="A301" s="198" t="s">
        <v>772</v>
      </c>
      <c r="B301" s="198" t="s">
        <v>769</v>
      </c>
      <c r="C301" s="214" t="s">
        <v>496</v>
      </c>
      <c r="D301" s="197"/>
      <c r="E301" s="198" t="s">
        <v>419</v>
      </c>
      <c r="F301" s="198">
        <v>96.05</v>
      </c>
      <c r="G301" s="198"/>
      <c r="H301" s="214" t="s">
        <v>646</v>
      </c>
      <c r="I301" s="214" t="s">
        <v>325</v>
      </c>
      <c r="J301" s="271"/>
      <c r="K301" s="198"/>
      <c r="L301" s="198"/>
      <c r="M301" s="198">
        <v>21.85</v>
      </c>
      <c r="N301" s="198"/>
      <c r="O301" s="198">
        <v>74.2</v>
      </c>
      <c r="P301" s="198"/>
      <c r="Q301" s="198" t="s">
        <v>628</v>
      </c>
      <c r="R301" s="230">
        <f>DATABASE_Table[[#This Row],[Inicial Asking Price (€) (Total)]]-DATABASE_Table[[#This Row],[Vista membership]]-DATABASE_Table[[#This Row],[FF&amp;E]]</f>
        <v>710000</v>
      </c>
      <c r="S301" s="234">
        <v>710000</v>
      </c>
      <c r="T301" s="235">
        <v>530000</v>
      </c>
      <c r="U301" s="198"/>
      <c r="V301" s="198"/>
      <c r="W301" s="233">
        <f>DATABASE_Table[[#This Row],[Current Asking price( Total)]]-DATABASE_Table[[#This Row],[Vista membership]]-DATABASE_Table[[#This Row],[FF&amp;E]]</f>
        <v>530000</v>
      </c>
      <c r="X301" s="236">
        <v>0</v>
      </c>
      <c r="Y301" s="235">
        <v>530000</v>
      </c>
      <c r="Z301" s="233">
        <f>DATABASE_Table[[#This Row],[Sell price (Total)]]-DATABASE_Table[[#This Row],[FF&amp;E]]-DATABASE_Table[[#This Row],[Vista membership]]</f>
        <v>530000</v>
      </c>
      <c r="AA301" s="316">
        <v>45132</v>
      </c>
      <c r="AB301" s="321">
        <v>46843</v>
      </c>
      <c r="AC301" s="197"/>
      <c r="AD301" s="197"/>
      <c r="AE301" s="274"/>
      <c r="AF301" s="274"/>
      <c r="AG301" s="274"/>
      <c r="AH301" s="274"/>
      <c r="AI301" s="197"/>
      <c r="AJ301" s="274" t="s">
        <v>66</v>
      </c>
      <c r="AK301"/>
    </row>
    <row r="302" spans="1:37" ht="15.75" hidden="1" customHeight="1">
      <c r="A302" s="198" t="s">
        <v>772</v>
      </c>
      <c r="B302" s="198" t="s">
        <v>769</v>
      </c>
      <c r="C302" s="214" t="s">
        <v>497</v>
      </c>
      <c r="D302" s="197"/>
      <c r="E302" s="198" t="s">
        <v>419</v>
      </c>
      <c r="F302" s="198">
        <v>96.05</v>
      </c>
      <c r="G302" s="198"/>
      <c r="H302" s="214" t="s">
        <v>647</v>
      </c>
      <c r="I302" s="214" t="s">
        <v>325</v>
      </c>
      <c r="J302" s="271"/>
      <c r="K302" s="198"/>
      <c r="L302" s="198"/>
      <c r="M302" s="198">
        <v>21.85</v>
      </c>
      <c r="N302" s="198"/>
      <c r="O302" s="198">
        <v>74.2</v>
      </c>
      <c r="P302" s="198"/>
      <c r="Q302" s="198" t="s">
        <v>628</v>
      </c>
      <c r="R302" s="230">
        <f>DATABASE_Table[[#This Row],[Inicial Asking Price (€) (Total)]]-DATABASE_Table[[#This Row],[Vista membership]]-DATABASE_Table[[#This Row],[FF&amp;E]]</f>
        <v>660000</v>
      </c>
      <c r="S302" s="234">
        <v>660000</v>
      </c>
      <c r="T302" s="235">
        <v>680000</v>
      </c>
      <c r="U302" s="198"/>
      <c r="V302" s="198"/>
      <c r="W302" s="233">
        <f>DATABASE_Table[[#This Row],[Current Asking price( Total)]]-DATABASE_Table[[#This Row],[Vista membership]]-DATABASE_Table[[#This Row],[FF&amp;E]]</f>
        <v>680000</v>
      </c>
      <c r="X302" s="236">
        <v>0</v>
      </c>
      <c r="Y302" s="235">
        <v>680000</v>
      </c>
      <c r="Z302" s="233">
        <f>DATABASE_Table[[#This Row],[Sell price (Total)]]-DATABASE_Table[[#This Row],[FF&amp;E]]-DATABASE_Table[[#This Row],[Vista membership]]</f>
        <v>680000</v>
      </c>
      <c r="AA302" s="316">
        <v>44999</v>
      </c>
      <c r="AB302" s="321">
        <v>46843</v>
      </c>
      <c r="AC302" s="197"/>
      <c r="AD302" s="197"/>
      <c r="AE302" s="274"/>
      <c r="AF302" s="274"/>
      <c r="AG302" s="274"/>
      <c r="AH302" s="274"/>
      <c r="AI302" s="197"/>
      <c r="AJ302" s="274" t="s">
        <v>66</v>
      </c>
      <c r="AK302"/>
    </row>
    <row r="303" spans="1:37" ht="15.75" hidden="1" customHeight="1">
      <c r="A303" s="198" t="s">
        <v>772</v>
      </c>
      <c r="B303" s="198" t="s">
        <v>769</v>
      </c>
      <c r="C303" s="214" t="s">
        <v>498</v>
      </c>
      <c r="D303" s="197"/>
      <c r="E303" s="198" t="s">
        <v>419</v>
      </c>
      <c r="F303" s="198">
        <v>96.05</v>
      </c>
      <c r="G303" s="198"/>
      <c r="H303" s="214" t="s">
        <v>648</v>
      </c>
      <c r="I303" s="214" t="s">
        <v>325</v>
      </c>
      <c r="J303" s="271"/>
      <c r="K303" s="198"/>
      <c r="L303" s="198"/>
      <c r="M303" s="198">
        <v>21.85</v>
      </c>
      <c r="N303" s="198"/>
      <c r="O303" s="198">
        <v>74.2</v>
      </c>
      <c r="P303" s="198"/>
      <c r="Q303" s="198" t="s">
        <v>628</v>
      </c>
      <c r="R303" s="230">
        <f>DATABASE_Table[[#This Row],[Inicial Asking Price (€) (Total)]]-DATABASE_Table[[#This Row],[Vista membership]]-DATABASE_Table[[#This Row],[FF&amp;E]]</f>
        <v>650000</v>
      </c>
      <c r="S303" s="234">
        <v>650000</v>
      </c>
      <c r="T303" s="235">
        <v>680000</v>
      </c>
      <c r="U303" s="198"/>
      <c r="V303" s="198"/>
      <c r="W303" s="233">
        <f>DATABASE_Table[[#This Row],[Current Asking price( Total)]]-DATABASE_Table[[#This Row],[Vista membership]]-DATABASE_Table[[#This Row],[FF&amp;E]]</f>
        <v>680000</v>
      </c>
      <c r="X303" s="236">
        <v>0</v>
      </c>
      <c r="Y303" s="235">
        <v>680000</v>
      </c>
      <c r="Z303" s="233">
        <f>DATABASE_Table[[#This Row],[Sell price (Total)]]-DATABASE_Table[[#This Row],[FF&amp;E]]-DATABASE_Table[[#This Row],[Vista membership]]</f>
        <v>680000</v>
      </c>
      <c r="AA303" s="316">
        <v>45069</v>
      </c>
      <c r="AB303" s="321">
        <v>46843</v>
      </c>
      <c r="AC303" s="197"/>
      <c r="AD303" s="197"/>
      <c r="AE303" s="274"/>
      <c r="AF303" s="274"/>
      <c r="AG303" s="274"/>
      <c r="AH303" s="274"/>
      <c r="AI303" s="197"/>
      <c r="AJ303" s="274" t="s">
        <v>66</v>
      </c>
      <c r="AK303"/>
    </row>
    <row r="304" spans="1:37" ht="15.75" hidden="1" customHeight="1">
      <c r="A304" s="198" t="s">
        <v>565</v>
      </c>
      <c r="B304" s="198" t="s">
        <v>691</v>
      </c>
      <c r="C304" s="214" t="s">
        <v>753</v>
      </c>
      <c r="D304" s="197" t="s">
        <v>9</v>
      </c>
      <c r="E304" s="198" t="s">
        <v>319</v>
      </c>
      <c r="F304" s="198">
        <v>161</v>
      </c>
      <c r="G304" s="198"/>
      <c r="H304" s="214" t="s">
        <v>325</v>
      </c>
      <c r="I304" s="214" t="s">
        <v>325</v>
      </c>
      <c r="J304" s="271">
        <v>57.1</v>
      </c>
      <c r="K304" s="198"/>
      <c r="L304" s="198"/>
      <c r="M304" s="198"/>
      <c r="N304" s="198"/>
      <c r="O304" s="198">
        <v>103.9</v>
      </c>
      <c r="P304" s="198"/>
      <c r="Q304" s="198" t="s">
        <v>329</v>
      </c>
      <c r="R304" s="230">
        <f>DATABASE_Table[[#This Row],[Inicial Asking Price (€) (Total)]]-DATABASE_Table[[#This Row],[Vista membership]]-DATABASE_Table[[#This Row],[FF&amp;E]]</f>
        <v>1267000</v>
      </c>
      <c r="S304" s="231">
        <v>1340000</v>
      </c>
      <c r="T304" s="232">
        <v>1410000</v>
      </c>
      <c r="U304" s="198">
        <v>50000</v>
      </c>
      <c r="V304" s="198">
        <v>23000</v>
      </c>
      <c r="W304" s="233">
        <f>DATABASE_Table[[#This Row],[Current Asking price( Total)]]-DATABASE_Table[[#This Row],[Vista membership]]-DATABASE_Table[[#This Row],[FF&amp;E]]</f>
        <v>1337000</v>
      </c>
      <c r="X304" s="216"/>
      <c r="Y304" s="232">
        <v>1410000</v>
      </c>
      <c r="Z304" s="233">
        <f>DATABASE_Table[[#This Row],[Sell price (Total)]]-DATABASE_Table[[#This Row],[FF&amp;E]]-DATABASE_Table[[#This Row],[Vista membership]]</f>
        <v>1337000</v>
      </c>
      <c r="AA304" s="315"/>
      <c r="AB304" s="321"/>
      <c r="AC304" s="197" t="s">
        <v>10</v>
      </c>
      <c r="AD304" s="197" t="s">
        <v>34</v>
      </c>
      <c r="AE304" s="274" t="s">
        <v>32</v>
      </c>
      <c r="AF304" s="274" t="s">
        <v>686</v>
      </c>
      <c r="AG304" s="274" t="s">
        <v>49</v>
      </c>
      <c r="AH304" s="274" t="s">
        <v>50</v>
      </c>
      <c r="AI304" s="197" t="s">
        <v>51</v>
      </c>
      <c r="AJ304" s="274" t="s">
        <v>48</v>
      </c>
      <c r="AK304"/>
    </row>
    <row r="305" spans="1:37" ht="15.75" hidden="1" customHeight="1">
      <c r="A305" s="198" t="s">
        <v>565</v>
      </c>
      <c r="B305" s="198" t="s">
        <v>691</v>
      </c>
      <c r="C305" s="214" t="s">
        <v>754</v>
      </c>
      <c r="D305" s="197" t="s">
        <v>9</v>
      </c>
      <c r="E305" s="198" t="s">
        <v>319</v>
      </c>
      <c r="F305" s="198">
        <v>161</v>
      </c>
      <c r="G305" s="198"/>
      <c r="H305" s="214" t="s">
        <v>325</v>
      </c>
      <c r="I305" s="214" t="s">
        <v>325</v>
      </c>
      <c r="J305" s="271">
        <v>57.1</v>
      </c>
      <c r="K305" s="198"/>
      <c r="L305" s="198"/>
      <c r="M305" s="198"/>
      <c r="N305" s="198"/>
      <c r="O305" s="198">
        <v>103.9</v>
      </c>
      <c r="P305" s="198"/>
      <c r="Q305" s="198" t="s">
        <v>329</v>
      </c>
      <c r="R305" s="230">
        <f>DATABASE_Table[[#This Row],[Inicial Asking Price (€) (Total)]]-DATABASE_Table[[#This Row],[Vista membership]]-DATABASE_Table[[#This Row],[FF&amp;E]]</f>
        <v>1347000</v>
      </c>
      <c r="S305" s="231">
        <v>1420000</v>
      </c>
      <c r="T305" s="232">
        <v>1490000</v>
      </c>
      <c r="U305" s="198">
        <v>50000</v>
      </c>
      <c r="V305" s="198">
        <v>23000</v>
      </c>
      <c r="W305" s="233">
        <f>DATABASE_Table[[#This Row],[Current Asking price( Total)]]-DATABASE_Table[[#This Row],[Vista membership]]-DATABASE_Table[[#This Row],[FF&amp;E]]</f>
        <v>1417000</v>
      </c>
      <c r="X305" s="216"/>
      <c r="Y305" s="232">
        <v>1490000</v>
      </c>
      <c r="Z305" s="233">
        <f>DATABASE_Table[[#This Row],[Sell price (Total)]]-DATABASE_Table[[#This Row],[FF&amp;E]]-DATABASE_Table[[#This Row],[Vista membership]]</f>
        <v>1417000</v>
      </c>
      <c r="AA305" s="315"/>
      <c r="AB305" s="321"/>
      <c r="AC305" s="197" t="s">
        <v>10</v>
      </c>
      <c r="AD305" s="197" t="s">
        <v>34</v>
      </c>
      <c r="AE305" s="274" t="s">
        <v>32</v>
      </c>
      <c r="AF305" s="274" t="s">
        <v>686</v>
      </c>
      <c r="AG305" s="274" t="s">
        <v>49</v>
      </c>
      <c r="AH305" s="274" t="s">
        <v>50</v>
      </c>
      <c r="AI305" s="197" t="s">
        <v>51</v>
      </c>
      <c r="AJ305" s="274" t="s">
        <v>48</v>
      </c>
      <c r="AK305"/>
    </row>
    <row r="306" spans="1:37" ht="15.75" hidden="1" customHeight="1">
      <c r="A306" s="198" t="s">
        <v>565</v>
      </c>
      <c r="B306" s="198" t="s">
        <v>691</v>
      </c>
      <c r="C306" s="214" t="s">
        <v>755</v>
      </c>
      <c r="D306" s="197" t="s">
        <v>9</v>
      </c>
      <c r="E306" s="198" t="s">
        <v>319</v>
      </c>
      <c r="F306" s="198">
        <v>161</v>
      </c>
      <c r="G306" s="198"/>
      <c r="H306" s="214" t="s">
        <v>325</v>
      </c>
      <c r="I306" s="214" t="s">
        <v>325</v>
      </c>
      <c r="J306" s="271">
        <v>57.1</v>
      </c>
      <c r="K306" s="198"/>
      <c r="L306" s="198"/>
      <c r="M306" s="198"/>
      <c r="N306" s="198"/>
      <c r="O306" s="198">
        <v>103.9</v>
      </c>
      <c r="P306" s="198"/>
      <c r="Q306" s="198" t="s">
        <v>329</v>
      </c>
      <c r="R306" s="230">
        <f>DATABASE_Table[[#This Row],[Inicial Asking Price (€) (Total)]]-DATABASE_Table[[#This Row],[Vista membership]]-DATABASE_Table[[#This Row],[FF&amp;E]]</f>
        <v>1407000</v>
      </c>
      <c r="S306" s="231">
        <v>1480000</v>
      </c>
      <c r="T306" s="232">
        <v>1550000</v>
      </c>
      <c r="U306" s="198">
        <v>50000</v>
      </c>
      <c r="V306" s="198">
        <v>23000</v>
      </c>
      <c r="W306" s="233">
        <f>DATABASE_Table[[#This Row],[Current Asking price( Total)]]-DATABASE_Table[[#This Row],[Vista membership]]-DATABASE_Table[[#This Row],[FF&amp;E]]</f>
        <v>1477000</v>
      </c>
      <c r="X306" s="216"/>
      <c r="Y306" s="232">
        <v>1550000</v>
      </c>
      <c r="Z306" s="233">
        <f>DATABASE_Table[[#This Row],[Sell price (Total)]]-DATABASE_Table[[#This Row],[FF&amp;E]]-DATABASE_Table[[#This Row],[Vista membership]]</f>
        <v>1477000</v>
      </c>
      <c r="AA306" s="315"/>
      <c r="AB306" s="321"/>
      <c r="AC306" s="197" t="s">
        <v>10</v>
      </c>
      <c r="AD306" s="197" t="s">
        <v>34</v>
      </c>
      <c r="AE306" s="274" t="s">
        <v>32</v>
      </c>
      <c r="AF306" s="274" t="s">
        <v>686</v>
      </c>
      <c r="AG306" s="274" t="s">
        <v>49</v>
      </c>
      <c r="AH306" s="274" t="s">
        <v>50</v>
      </c>
      <c r="AI306" s="197" t="s">
        <v>51</v>
      </c>
      <c r="AJ306" s="274" t="s">
        <v>48</v>
      </c>
      <c r="AK306"/>
    </row>
    <row r="307" spans="1:37" ht="15.75" hidden="1" customHeight="1">
      <c r="A307" s="198" t="s">
        <v>565</v>
      </c>
      <c r="B307" s="198" t="s">
        <v>691</v>
      </c>
      <c r="C307" s="214" t="s">
        <v>756</v>
      </c>
      <c r="D307" s="197" t="s">
        <v>9</v>
      </c>
      <c r="E307" s="198" t="s">
        <v>319</v>
      </c>
      <c r="F307" s="198">
        <v>161</v>
      </c>
      <c r="G307" s="198"/>
      <c r="H307" s="214" t="s">
        <v>325</v>
      </c>
      <c r="I307" s="214" t="s">
        <v>325</v>
      </c>
      <c r="J307" s="271">
        <v>57.1</v>
      </c>
      <c r="K307" s="198"/>
      <c r="L307" s="198"/>
      <c r="M307" s="198"/>
      <c r="N307" s="198"/>
      <c r="O307" s="198">
        <v>103.9</v>
      </c>
      <c r="P307" s="198"/>
      <c r="Q307" s="198" t="s">
        <v>329</v>
      </c>
      <c r="R307" s="230">
        <f>DATABASE_Table[[#This Row],[Inicial Asking Price (€) (Total)]]-DATABASE_Table[[#This Row],[Vista membership]]-DATABASE_Table[[#This Row],[FF&amp;E]]</f>
        <v>1467000</v>
      </c>
      <c r="S307" s="231">
        <v>1540000</v>
      </c>
      <c r="T307" s="232">
        <v>1610000</v>
      </c>
      <c r="U307" s="198">
        <v>50000</v>
      </c>
      <c r="V307" s="198">
        <v>23000</v>
      </c>
      <c r="W307" s="233">
        <f>DATABASE_Table[[#This Row],[Current Asking price( Total)]]-DATABASE_Table[[#This Row],[Vista membership]]-DATABASE_Table[[#This Row],[FF&amp;E]]</f>
        <v>1537000</v>
      </c>
      <c r="X307" s="216"/>
      <c r="Y307" s="232">
        <v>1610000</v>
      </c>
      <c r="Z307" s="233">
        <f>DATABASE_Table[[#This Row],[Sell price (Total)]]-DATABASE_Table[[#This Row],[FF&amp;E]]-DATABASE_Table[[#This Row],[Vista membership]]</f>
        <v>1537000</v>
      </c>
      <c r="AA307" s="315"/>
      <c r="AB307" s="321"/>
      <c r="AC307" s="197" t="s">
        <v>10</v>
      </c>
      <c r="AD307" s="197" t="s">
        <v>34</v>
      </c>
      <c r="AE307" s="274" t="s">
        <v>32</v>
      </c>
      <c r="AF307" s="274" t="s">
        <v>686</v>
      </c>
      <c r="AG307" s="274" t="s">
        <v>49</v>
      </c>
      <c r="AH307" s="274" t="s">
        <v>50</v>
      </c>
      <c r="AI307" s="197" t="s">
        <v>51</v>
      </c>
      <c r="AJ307" s="274" t="s">
        <v>48</v>
      </c>
      <c r="AK307"/>
    </row>
    <row r="308" spans="1:37" ht="15.75" hidden="1" customHeight="1">
      <c r="A308" s="198" t="s">
        <v>565</v>
      </c>
      <c r="B308" s="198" t="s">
        <v>691</v>
      </c>
      <c r="C308" s="214" t="s">
        <v>757</v>
      </c>
      <c r="D308" s="197" t="s">
        <v>9</v>
      </c>
      <c r="E308" s="198" t="s">
        <v>419</v>
      </c>
      <c r="F308" s="198">
        <v>99.4</v>
      </c>
      <c r="G308" s="198"/>
      <c r="H308" s="214" t="s">
        <v>325</v>
      </c>
      <c r="I308" s="214" t="s">
        <v>325</v>
      </c>
      <c r="J308" s="271">
        <v>36.5</v>
      </c>
      <c r="K308" s="198"/>
      <c r="L308" s="198"/>
      <c r="M308" s="198"/>
      <c r="N308" s="198"/>
      <c r="O308" s="198">
        <v>62.9</v>
      </c>
      <c r="P308" s="198"/>
      <c r="Q308" s="198" t="s">
        <v>329</v>
      </c>
      <c r="R308" s="230">
        <f>DATABASE_Table[[#This Row],[Inicial Asking Price (€) (Total)]]-DATABASE_Table[[#This Row],[Vista membership]]-DATABASE_Table[[#This Row],[FF&amp;E]]</f>
        <v>765000</v>
      </c>
      <c r="S308" s="231">
        <v>830000</v>
      </c>
      <c r="T308" s="232">
        <v>890000</v>
      </c>
      <c r="U308" s="198">
        <v>50000</v>
      </c>
      <c r="V308" s="198">
        <v>15000</v>
      </c>
      <c r="W308" s="233">
        <f>DATABASE_Table[[#This Row],[Current Asking price( Total)]]-DATABASE_Table[[#This Row],[Vista membership]]-DATABASE_Table[[#This Row],[FF&amp;E]]</f>
        <v>825000</v>
      </c>
      <c r="X308" s="216"/>
      <c r="Y308" s="232">
        <v>890000</v>
      </c>
      <c r="Z308" s="233">
        <f>DATABASE_Table[[#This Row],[Sell price (Total)]]-DATABASE_Table[[#This Row],[FF&amp;E]]-DATABASE_Table[[#This Row],[Vista membership]]</f>
        <v>825000</v>
      </c>
      <c r="AA308" s="315"/>
      <c r="AB308" s="321"/>
      <c r="AC308" s="197" t="s">
        <v>10</v>
      </c>
      <c r="AD308" s="197" t="s">
        <v>34</v>
      </c>
      <c r="AE308" s="274" t="s">
        <v>32</v>
      </c>
      <c r="AF308" s="274" t="s">
        <v>686</v>
      </c>
      <c r="AG308" s="274" t="s">
        <v>49</v>
      </c>
      <c r="AH308" s="274" t="s">
        <v>50</v>
      </c>
      <c r="AI308" s="197" t="s">
        <v>51</v>
      </c>
      <c r="AJ308" s="274" t="s">
        <v>48</v>
      </c>
      <c r="AK308"/>
    </row>
    <row r="309" spans="1:37" ht="15.75" hidden="1" customHeight="1">
      <c r="A309" s="198" t="s">
        <v>565</v>
      </c>
      <c r="B309" s="198" t="s">
        <v>691</v>
      </c>
      <c r="C309" s="214" t="s">
        <v>758</v>
      </c>
      <c r="D309" s="197" t="s">
        <v>9</v>
      </c>
      <c r="E309" s="198" t="s">
        <v>419</v>
      </c>
      <c r="F309" s="198">
        <v>99.6</v>
      </c>
      <c r="G309" s="198"/>
      <c r="H309" s="214" t="s">
        <v>325</v>
      </c>
      <c r="I309" s="214" t="s">
        <v>325</v>
      </c>
      <c r="J309" s="271">
        <v>36.5</v>
      </c>
      <c r="K309" s="198"/>
      <c r="L309" s="198"/>
      <c r="M309" s="198"/>
      <c r="N309" s="198"/>
      <c r="O309" s="198">
        <v>63.1</v>
      </c>
      <c r="P309" s="198"/>
      <c r="Q309" s="198" t="s">
        <v>329</v>
      </c>
      <c r="R309" s="230">
        <f>DATABASE_Table[[#This Row],[Inicial Asking Price (€) (Total)]]-DATABASE_Table[[#This Row],[Vista membership]]-DATABASE_Table[[#This Row],[FF&amp;E]]</f>
        <v>805000</v>
      </c>
      <c r="S309" s="231">
        <v>870000</v>
      </c>
      <c r="T309" s="232">
        <v>930000</v>
      </c>
      <c r="U309" s="198">
        <v>50000</v>
      </c>
      <c r="V309" s="198">
        <v>15000</v>
      </c>
      <c r="W309" s="233">
        <f>DATABASE_Table[[#This Row],[Current Asking price( Total)]]-DATABASE_Table[[#This Row],[Vista membership]]-DATABASE_Table[[#This Row],[FF&amp;E]]</f>
        <v>865000</v>
      </c>
      <c r="X309" s="216"/>
      <c r="Y309" s="232">
        <v>930000</v>
      </c>
      <c r="Z309" s="233">
        <f>DATABASE_Table[[#This Row],[Sell price (Total)]]-DATABASE_Table[[#This Row],[FF&amp;E]]-DATABASE_Table[[#This Row],[Vista membership]]</f>
        <v>865000</v>
      </c>
      <c r="AA309" s="315"/>
      <c r="AB309" s="321"/>
      <c r="AC309" s="197" t="s">
        <v>10</v>
      </c>
      <c r="AD309" s="197" t="s">
        <v>34</v>
      </c>
      <c r="AE309" s="274" t="s">
        <v>32</v>
      </c>
      <c r="AF309" s="274" t="s">
        <v>686</v>
      </c>
      <c r="AG309" s="274" t="s">
        <v>49</v>
      </c>
      <c r="AH309" s="274" t="s">
        <v>50</v>
      </c>
      <c r="AI309" s="197" t="s">
        <v>51</v>
      </c>
      <c r="AJ309" s="274" t="s">
        <v>48</v>
      </c>
      <c r="AK309"/>
    </row>
    <row r="310" spans="1:37" ht="15.75" hidden="1" customHeight="1">
      <c r="A310" s="198" t="s">
        <v>565</v>
      </c>
      <c r="B310" s="198" t="s">
        <v>691</v>
      </c>
      <c r="C310" s="214" t="s">
        <v>759</v>
      </c>
      <c r="D310" s="197" t="s">
        <v>9</v>
      </c>
      <c r="E310" s="198" t="s">
        <v>419</v>
      </c>
      <c r="F310" s="198">
        <v>99.6</v>
      </c>
      <c r="G310" s="198"/>
      <c r="H310" s="214" t="s">
        <v>325</v>
      </c>
      <c r="I310" s="214" t="s">
        <v>325</v>
      </c>
      <c r="J310" s="271">
        <v>36.5</v>
      </c>
      <c r="K310" s="198"/>
      <c r="L310" s="198"/>
      <c r="M310" s="198"/>
      <c r="N310" s="198"/>
      <c r="O310" s="198">
        <v>63.1</v>
      </c>
      <c r="P310" s="198"/>
      <c r="Q310" s="198" t="s">
        <v>329</v>
      </c>
      <c r="R310" s="230">
        <f>DATABASE_Table[[#This Row],[Inicial Asking Price (€) (Total)]]-DATABASE_Table[[#This Row],[Vista membership]]-DATABASE_Table[[#This Row],[FF&amp;E]]</f>
        <v>845000</v>
      </c>
      <c r="S310" s="231">
        <v>910000</v>
      </c>
      <c r="T310" s="232">
        <v>970000</v>
      </c>
      <c r="U310" s="198">
        <v>50000</v>
      </c>
      <c r="V310" s="198">
        <v>15000</v>
      </c>
      <c r="W310" s="233">
        <f>DATABASE_Table[[#This Row],[Current Asking price( Total)]]-DATABASE_Table[[#This Row],[Vista membership]]-DATABASE_Table[[#This Row],[FF&amp;E]]</f>
        <v>905000</v>
      </c>
      <c r="X310" s="216"/>
      <c r="Y310" s="232">
        <v>970000</v>
      </c>
      <c r="Z310" s="233">
        <f>DATABASE_Table[[#This Row],[Sell price (Total)]]-DATABASE_Table[[#This Row],[FF&amp;E]]-DATABASE_Table[[#This Row],[Vista membership]]</f>
        <v>905000</v>
      </c>
      <c r="AA310" s="315"/>
      <c r="AB310" s="321"/>
      <c r="AC310" s="197" t="s">
        <v>10</v>
      </c>
      <c r="AD310" s="197" t="s">
        <v>34</v>
      </c>
      <c r="AE310" s="274" t="s">
        <v>32</v>
      </c>
      <c r="AF310" s="274" t="s">
        <v>686</v>
      </c>
      <c r="AG310" s="274" t="s">
        <v>49</v>
      </c>
      <c r="AH310" s="274" t="s">
        <v>50</v>
      </c>
      <c r="AI310" s="197" t="s">
        <v>51</v>
      </c>
      <c r="AJ310" s="274" t="s">
        <v>48</v>
      </c>
      <c r="AK310"/>
    </row>
    <row r="311" spans="1:37" ht="15.75" hidden="1" customHeight="1">
      <c r="A311" s="198" t="s">
        <v>565</v>
      </c>
      <c r="B311" s="198" t="s">
        <v>691</v>
      </c>
      <c r="C311" s="214" t="s">
        <v>760</v>
      </c>
      <c r="D311" s="197" t="s">
        <v>9</v>
      </c>
      <c r="E311" s="198" t="s">
        <v>419</v>
      </c>
      <c r="F311" s="198">
        <v>99.6</v>
      </c>
      <c r="G311" s="198"/>
      <c r="H311" s="214" t="s">
        <v>325</v>
      </c>
      <c r="I311" s="214" t="s">
        <v>325</v>
      </c>
      <c r="J311" s="271">
        <v>36.5</v>
      </c>
      <c r="K311" s="198"/>
      <c r="L311" s="198"/>
      <c r="M311" s="198"/>
      <c r="N311" s="198"/>
      <c r="O311" s="198">
        <v>63.1</v>
      </c>
      <c r="P311" s="198"/>
      <c r="Q311" s="198" t="s">
        <v>329</v>
      </c>
      <c r="R311" s="230">
        <f>DATABASE_Table[[#This Row],[Inicial Asking Price (€) (Total)]]-DATABASE_Table[[#This Row],[Vista membership]]-DATABASE_Table[[#This Row],[FF&amp;E]]</f>
        <v>895000</v>
      </c>
      <c r="S311" s="231">
        <v>960000</v>
      </c>
      <c r="T311" s="232">
        <v>1020000</v>
      </c>
      <c r="U311" s="198">
        <v>50000</v>
      </c>
      <c r="V311" s="198">
        <v>15000</v>
      </c>
      <c r="W311" s="233">
        <f>DATABASE_Table[[#This Row],[Current Asking price( Total)]]-DATABASE_Table[[#This Row],[Vista membership]]-DATABASE_Table[[#This Row],[FF&amp;E]]</f>
        <v>955000</v>
      </c>
      <c r="X311" s="216"/>
      <c r="Y311" s="232">
        <v>1020000</v>
      </c>
      <c r="Z311" s="233">
        <f>DATABASE_Table[[#This Row],[Sell price (Total)]]-DATABASE_Table[[#This Row],[FF&amp;E]]-DATABASE_Table[[#This Row],[Vista membership]]</f>
        <v>955000</v>
      </c>
      <c r="AA311" s="315"/>
      <c r="AB311" s="321"/>
      <c r="AC311" s="197" t="s">
        <v>10</v>
      </c>
      <c r="AD311" s="197" t="s">
        <v>34</v>
      </c>
      <c r="AE311" s="274" t="s">
        <v>32</v>
      </c>
      <c r="AF311" s="274" t="s">
        <v>686</v>
      </c>
      <c r="AG311" s="274" t="s">
        <v>49</v>
      </c>
      <c r="AH311" s="274" t="s">
        <v>50</v>
      </c>
      <c r="AI311" s="197" t="s">
        <v>51</v>
      </c>
      <c r="AJ311" s="274" t="s">
        <v>48</v>
      </c>
      <c r="AK311"/>
    </row>
    <row r="312" spans="1:37" ht="15.75" hidden="1" customHeight="1">
      <c r="A312" s="198" t="s">
        <v>565</v>
      </c>
      <c r="B312" s="198" t="s">
        <v>691</v>
      </c>
      <c r="C312" s="214" t="s">
        <v>761</v>
      </c>
      <c r="D312" s="197" t="s">
        <v>9</v>
      </c>
      <c r="E312" s="198" t="s">
        <v>419</v>
      </c>
      <c r="F312" s="198">
        <v>101.5</v>
      </c>
      <c r="G312" s="198"/>
      <c r="H312" s="214" t="s">
        <v>325</v>
      </c>
      <c r="I312" s="214" t="s">
        <v>325</v>
      </c>
      <c r="J312" s="271">
        <v>37.200000000000003</v>
      </c>
      <c r="K312" s="198"/>
      <c r="L312" s="198"/>
      <c r="M312" s="198"/>
      <c r="N312" s="198"/>
      <c r="O312" s="198">
        <v>64.3</v>
      </c>
      <c r="P312" s="198"/>
      <c r="Q312" s="198" t="s">
        <v>329</v>
      </c>
      <c r="R312" s="230">
        <f>DATABASE_Table[[#This Row],[Inicial Asking Price (€) (Total)]]-DATABASE_Table[[#This Row],[Vista membership]]-DATABASE_Table[[#This Row],[FF&amp;E]]</f>
        <v>965000</v>
      </c>
      <c r="S312" s="231">
        <v>1030000</v>
      </c>
      <c r="T312" s="232">
        <v>1100000</v>
      </c>
      <c r="U312" s="198">
        <v>50000</v>
      </c>
      <c r="V312" s="198">
        <v>15000</v>
      </c>
      <c r="W312" s="233">
        <f>DATABASE_Table[[#This Row],[Current Asking price( Total)]]-DATABASE_Table[[#This Row],[Vista membership]]-DATABASE_Table[[#This Row],[FF&amp;E]]</f>
        <v>1035000</v>
      </c>
      <c r="X312" s="216"/>
      <c r="Y312" s="232">
        <v>1100000</v>
      </c>
      <c r="Z312" s="233">
        <f>DATABASE_Table[[#This Row],[Sell price (Total)]]-DATABASE_Table[[#This Row],[FF&amp;E]]-DATABASE_Table[[#This Row],[Vista membership]]</f>
        <v>1035000</v>
      </c>
      <c r="AA312" s="315"/>
      <c r="AB312" s="321"/>
      <c r="AC312" s="197" t="s">
        <v>10</v>
      </c>
      <c r="AD312" s="197" t="s">
        <v>34</v>
      </c>
      <c r="AE312" s="274" t="s">
        <v>32</v>
      </c>
      <c r="AF312" s="274" t="s">
        <v>686</v>
      </c>
      <c r="AG312" s="274" t="s">
        <v>49</v>
      </c>
      <c r="AH312" s="274" t="s">
        <v>50</v>
      </c>
      <c r="AI312" s="197" t="s">
        <v>51</v>
      </c>
      <c r="AJ312" s="274" t="s">
        <v>48</v>
      </c>
      <c r="AK312"/>
    </row>
    <row r="313" spans="1:37" ht="15.75" hidden="1" customHeight="1">
      <c r="A313" s="198" t="s">
        <v>629</v>
      </c>
      <c r="B313" s="198" t="s">
        <v>691</v>
      </c>
      <c r="C313" s="214" t="s">
        <v>853</v>
      </c>
      <c r="D313" s="197" t="s">
        <v>9</v>
      </c>
      <c r="E313" s="198" t="s">
        <v>553</v>
      </c>
      <c r="F313" s="198">
        <v>520</v>
      </c>
      <c r="G313" s="198"/>
      <c r="H313" s="214" t="s">
        <v>325</v>
      </c>
      <c r="I313" s="214" t="s">
        <v>325</v>
      </c>
      <c r="J313" s="271"/>
      <c r="K313" s="198"/>
      <c r="L313" s="198"/>
      <c r="M313" s="198"/>
      <c r="N313" s="198"/>
      <c r="O313" s="198">
        <v>520</v>
      </c>
      <c r="P313" s="198"/>
      <c r="Q313" s="198" t="s">
        <v>329</v>
      </c>
      <c r="R313" s="230">
        <f>DATABASE_Table[[#This Row],[Inicial Asking Price (€) (Total)]]-DATABASE_Table[[#This Row],[Vista membership]]-DATABASE_Table[[#This Row],[FF&amp;E]]</f>
        <v>1200000</v>
      </c>
      <c r="S313" s="231">
        <v>1200000</v>
      </c>
      <c r="T313" s="232">
        <v>2560000</v>
      </c>
      <c r="U313" s="198"/>
      <c r="V313" s="198"/>
      <c r="W313" s="233">
        <f>DATABASE_Table[[#This Row],[Current Asking price( Total)]]-DATABASE_Table[[#This Row],[Vista membership]]-DATABASE_Table[[#This Row],[FF&amp;E]]</f>
        <v>2560000</v>
      </c>
      <c r="X313" s="216"/>
      <c r="Y313" s="232">
        <v>2560000</v>
      </c>
      <c r="Z313" s="233">
        <f>DATABASE_Table[[#This Row],[Sell price (Total)]]-DATABASE_Table[[#This Row],[FF&amp;E]]-DATABASE_Table[[#This Row],[Vista membership]]</f>
        <v>2560000</v>
      </c>
      <c r="AA313" s="315"/>
      <c r="AB313" s="321"/>
      <c r="AC313" s="197" t="s">
        <v>10</v>
      </c>
      <c r="AD313" s="197" t="s">
        <v>35</v>
      </c>
      <c r="AE313" s="274" t="s">
        <v>38</v>
      </c>
      <c r="AF313" s="274" t="s">
        <v>39</v>
      </c>
      <c r="AG313" s="274" t="s">
        <v>40</v>
      </c>
      <c r="AH313" s="274" t="s">
        <v>810</v>
      </c>
      <c r="AI313" s="197" t="s">
        <v>41</v>
      </c>
      <c r="AJ313" s="274" t="s">
        <v>37</v>
      </c>
      <c r="AK313"/>
    </row>
    <row r="314" spans="1:37" ht="15.75" hidden="1" customHeight="1">
      <c r="A314" s="198" t="s">
        <v>565</v>
      </c>
      <c r="B314" s="198" t="s">
        <v>691</v>
      </c>
      <c r="C314" s="214" t="s">
        <v>853</v>
      </c>
      <c r="D314" s="197" t="s">
        <v>9</v>
      </c>
      <c r="E314" s="198" t="s">
        <v>319</v>
      </c>
      <c r="F314" s="198">
        <v>168.6</v>
      </c>
      <c r="G314" s="198"/>
      <c r="H314" s="214" t="s">
        <v>848</v>
      </c>
      <c r="I314" s="214" t="s">
        <v>325</v>
      </c>
      <c r="J314" s="271">
        <v>64.7</v>
      </c>
      <c r="K314" s="198"/>
      <c r="L314" s="198"/>
      <c r="M314" s="198"/>
      <c r="N314" s="198"/>
      <c r="O314" s="198">
        <v>103.9</v>
      </c>
      <c r="P314" s="198"/>
      <c r="Q314" s="198" t="s">
        <v>329</v>
      </c>
      <c r="R314" s="230">
        <f>DATABASE_Table[[#This Row],[Inicial Asking Price (€) (Total)]]-DATABASE_Table[[#This Row],[Vista membership]]-DATABASE_Table[[#This Row],[FF&amp;E]]</f>
        <v>1037000</v>
      </c>
      <c r="S314" s="231">
        <v>1110000</v>
      </c>
      <c r="T314" s="232">
        <v>1180000</v>
      </c>
      <c r="U314" s="198">
        <v>50000</v>
      </c>
      <c r="V314" s="198">
        <v>23000</v>
      </c>
      <c r="W314" s="233">
        <f>DATABASE_Table[[#This Row],[Current Asking price( Total)]]-DATABASE_Table[[#This Row],[Vista membership]]-DATABASE_Table[[#This Row],[FF&amp;E]]</f>
        <v>1107000</v>
      </c>
      <c r="X314" s="216"/>
      <c r="Y314" s="232">
        <v>1180000</v>
      </c>
      <c r="Z314" s="233">
        <f>DATABASE_Table[[#This Row],[Sell price (Total)]]-DATABASE_Table[[#This Row],[FF&amp;E]]-DATABASE_Table[[#This Row],[Vista membership]]</f>
        <v>1107000</v>
      </c>
      <c r="AA314" s="315"/>
      <c r="AB314" s="321"/>
      <c r="AC314" s="197" t="s">
        <v>10</v>
      </c>
      <c r="AD314" s="197" t="s">
        <v>34</v>
      </c>
      <c r="AE314" s="274" t="s">
        <v>32</v>
      </c>
      <c r="AF314" s="274" t="s">
        <v>686</v>
      </c>
      <c r="AG314" s="274" t="s">
        <v>49</v>
      </c>
      <c r="AH314" s="274" t="s">
        <v>50</v>
      </c>
      <c r="AI314" s="197" t="s">
        <v>51</v>
      </c>
      <c r="AJ314" s="274" t="s">
        <v>48</v>
      </c>
      <c r="AK314"/>
    </row>
    <row r="315" spans="1:37" ht="15.75" hidden="1" customHeight="1">
      <c r="A315" s="198" t="s">
        <v>629</v>
      </c>
      <c r="B315" s="198" t="s">
        <v>691</v>
      </c>
      <c r="C315" s="214" t="s">
        <v>854</v>
      </c>
      <c r="D315" s="197" t="s">
        <v>9</v>
      </c>
      <c r="E315" s="198" t="s">
        <v>553</v>
      </c>
      <c r="F315" s="198">
        <v>520</v>
      </c>
      <c r="G315" s="198"/>
      <c r="H315" s="214" t="s">
        <v>325</v>
      </c>
      <c r="I315" s="214" t="s">
        <v>325</v>
      </c>
      <c r="J315" s="271"/>
      <c r="K315" s="198"/>
      <c r="L315" s="198"/>
      <c r="M315" s="198"/>
      <c r="N315" s="198"/>
      <c r="O315" s="198">
        <v>520</v>
      </c>
      <c r="P315" s="198"/>
      <c r="Q315" s="198" t="s">
        <v>329</v>
      </c>
      <c r="R315" s="230">
        <f>DATABASE_Table[[#This Row],[Inicial Asking Price (€) (Total)]]-DATABASE_Table[[#This Row],[Vista membership]]-DATABASE_Table[[#This Row],[FF&amp;E]]</f>
        <v>1210000</v>
      </c>
      <c r="S315" s="231">
        <v>1210000</v>
      </c>
      <c r="T315" s="232">
        <v>2640000</v>
      </c>
      <c r="U315" s="198"/>
      <c r="V315" s="198"/>
      <c r="W315" s="233">
        <f>DATABASE_Table[[#This Row],[Current Asking price( Total)]]-DATABASE_Table[[#This Row],[Vista membership]]-DATABASE_Table[[#This Row],[FF&amp;E]]</f>
        <v>2640000</v>
      </c>
      <c r="X315" s="216"/>
      <c r="Y315" s="232">
        <v>2640000</v>
      </c>
      <c r="Z315" s="233">
        <f>DATABASE_Table[[#This Row],[Sell price (Total)]]-DATABASE_Table[[#This Row],[FF&amp;E]]-DATABASE_Table[[#This Row],[Vista membership]]</f>
        <v>2640000</v>
      </c>
      <c r="AA315" s="315"/>
      <c r="AB315" s="321"/>
      <c r="AC315" s="197" t="s">
        <v>10</v>
      </c>
      <c r="AD315" s="197" t="s">
        <v>35</v>
      </c>
      <c r="AE315" s="274" t="s">
        <v>38</v>
      </c>
      <c r="AF315" s="274" t="s">
        <v>39</v>
      </c>
      <c r="AG315" s="274" t="s">
        <v>40</v>
      </c>
      <c r="AH315" s="274" t="s">
        <v>810</v>
      </c>
      <c r="AI315" s="197" t="s">
        <v>41</v>
      </c>
      <c r="AJ315" s="274" t="s">
        <v>37</v>
      </c>
      <c r="AK315"/>
    </row>
    <row r="316" spans="1:37" ht="15.75" hidden="1" customHeight="1">
      <c r="A316" s="198" t="s">
        <v>565</v>
      </c>
      <c r="B316" s="198" t="s">
        <v>691</v>
      </c>
      <c r="C316" s="214" t="s">
        <v>854</v>
      </c>
      <c r="D316" s="197" t="s">
        <v>9</v>
      </c>
      <c r="E316" s="198" t="s">
        <v>319</v>
      </c>
      <c r="F316" s="198">
        <v>168.6</v>
      </c>
      <c r="G316" s="198"/>
      <c r="H316" s="214" t="s">
        <v>848</v>
      </c>
      <c r="I316" s="214" t="s">
        <v>325</v>
      </c>
      <c r="J316" s="271">
        <v>64.7</v>
      </c>
      <c r="K316" s="198"/>
      <c r="L316" s="198"/>
      <c r="M316" s="198"/>
      <c r="N316" s="198"/>
      <c r="O316" s="198">
        <v>103.9</v>
      </c>
      <c r="P316" s="198"/>
      <c r="Q316" s="198" t="s">
        <v>329</v>
      </c>
      <c r="R316" s="230">
        <f>DATABASE_Table[[#This Row],[Inicial Asking Price (€) (Total)]]-DATABASE_Table[[#This Row],[Vista membership]]-DATABASE_Table[[#This Row],[FF&amp;E]]</f>
        <v>1127000</v>
      </c>
      <c r="S316" s="231">
        <v>1200000</v>
      </c>
      <c r="T316" s="232">
        <v>1270000</v>
      </c>
      <c r="U316" s="198">
        <v>50000</v>
      </c>
      <c r="V316" s="198">
        <v>23000</v>
      </c>
      <c r="W316" s="233">
        <f>DATABASE_Table[[#This Row],[Current Asking price( Total)]]-DATABASE_Table[[#This Row],[Vista membership]]-DATABASE_Table[[#This Row],[FF&amp;E]]</f>
        <v>1197000</v>
      </c>
      <c r="X316" s="216"/>
      <c r="Y316" s="232">
        <v>1270000</v>
      </c>
      <c r="Z316" s="233">
        <f>DATABASE_Table[[#This Row],[Sell price (Total)]]-DATABASE_Table[[#This Row],[FF&amp;E]]-DATABASE_Table[[#This Row],[Vista membership]]</f>
        <v>1197000</v>
      </c>
      <c r="AA316" s="315"/>
      <c r="AB316" s="321"/>
      <c r="AC316" s="197" t="s">
        <v>10</v>
      </c>
      <c r="AD316" s="197" t="s">
        <v>34</v>
      </c>
      <c r="AE316" s="274" t="s">
        <v>32</v>
      </c>
      <c r="AF316" s="274" t="s">
        <v>686</v>
      </c>
      <c r="AG316" s="274" t="s">
        <v>49</v>
      </c>
      <c r="AH316" s="274" t="s">
        <v>50</v>
      </c>
      <c r="AI316" s="197" t="s">
        <v>51</v>
      </c>
      <c r="AJ316" s="274" t="s">
        <v>48</v>
      </c>
      <c r="AK316"/>
    </row>
    <row r="317" spans="1:37" ht="15.75" hidden="1" customHeight="1">
      <c r="A317" s="198" t="s">
        <v>629</v>
      </c>
      <c r="B317" s="198" t="s">
        <v>691</v>
      </c>
      <c r="C317" s="214" t="s">
        <v>855</v>
      </c>
      <c r="D317" s="197" t="s">
        <v>9</v>
      </c>
      <c r="E317" s="198" t="s">
        <v>553</v>
      </c>
      <c r="F317" s="198">
        <v>520</v>
      </c>
      <c r="G317" s="198"/>
      <c r="H317" s="214" t="s">
        <v>325</v>
      </c>
      <c r="I317" s="214" t="s">
        <v>325</v>
      </c>
      <c r="J317" s="271"/>
      <c r="K317" s="198"/>
      <c r="L317" s="198"/>
      <c r="M317" s="198"/>
      <c r="N317" s="198"/>
      <c r="O317" s="198">
        <v>520</v>
      </c>
      <c r="P317" s="198"/>
      <c r="Q317" s="198" t="s">
        <v>329</v>
      </c>
      <c r="R317" s="230">
        <f>DATABASE_Table[[#This Row],[Inicial Asking Price (€) (Total)]]-DATABASE_Table[[#This Row],[Vista membership]]-DATABASE_Table[[#This Row],[FF&amp;E]]</f>
        <v>1230000</v>
      </c>
      <c r="S317" s="231">
        <v>1230000</v>
      </c>
      <c r="T317" s="232">
        <v>2640000</v>
      </c>
      <c r="U317" s="198"/>
      <c r="V317" s="198"/>
      <c r="W317" s="233">
        <f>DATABASE_Table[[#This Row],[Current Asking price( Total)]]-DATABASE_Table[[#This Row],[Vista membership]]-DATABASE_Table[[#This Row],[FF&amp;E]]</f>
        <v>2640000</v>
      </c>
      <c r="X317" s="216"/>
      <c r="Y317" s="232">
        <v>2640000</v>
      </c>
      <c r="Z317" s="233">
        <f>DATABASE_Table[[#This Row],[Sell price (Total)]]-DATABASE_Table[[#This Row],[FF&amp;E]]-DATABASE_Table[[#This Row],[Vista membership]]</f>
        <v>2640000</v>
      </c>
      <c r="AA317" s="315"/>
      <c r="AB317" s="321"/>
      <c r="AC317" s="197" t="s">
        <v>10</v>
      </c>
      <c r="AD317" s="197" t="s">
        <v>35</v>
      </c>
      <c r="AE317" s="274" t="s">
        <v>38</v>
      </c>
      <c r="AF317" s="274" t="s">
        <v>39</v>
      </c>
      <c r="AG317" s="274" t="s">
        <v>40</v>
      </c>
      <c r="AH317" s="274" t="s">
        <v>810</v>
      </c>
      <c r="AI317" s="197" t="s">
        <v>41</v>
      </c>
      <c r="AJ317" s="274" t="s">
        <v>37</v>
      </c>
      <c r="AK317"/>
    </row>
    <row r="318" spans="1:37" ht="15.75" hidden="1" customHeight="1">
      <c r="A318" s="198" t="s">
        <v>565</v>
      </c>
      <c r="B318" s="198" t="s">
        <v>691</v>
      </c>
      <c r="C318" s="214" t="s">
        <v>855</v>
      </c>
      <c r="D318" s="197" t="s">
        <v>9</v>
      </c>
      <c r="E318" s="198" t="s">
        <v>319</v>
      </c>
      <c r="F318" s="198">
        <v>168.6</v>
      </c>
      <c r="G318" s="198"/>
      <c r="H318" s="214" t="s">
        <v>848</v>
      </c>
      <c r="I318" s="214" t="s">
        <v>325</v>
      </c>
      <c r="J318" s="271">
        <v>64.7</v>
      </c>
      <c r="K318" s="198"/>
      <c r="L318" s="198"/>
      <c r="M318" s="198"/>
      <c r="N318" s="198"/>
      <c r="O318" s="198">
        <v>103.9</v>
      </c>
      <c r="P318" s="198"/>
      <c r="Q318" s="198" t="s">
        <v>329</v>
      </c>
      <c r="R318" s="230">
        <f>DATABASE_Table[[#This Row],[Inicial Asking Price (€) (Total)]]-DATABASE_Table[[#This Row],[Vista membership]]-DATABASE_Table[[#This Row],[FF&amp;E]]</f>
        <v>1187000</v>
      </c>
      <c r="S318" s="231">
        <v>1260000</v>
      </c>
      <c r="T318" s="232">
        <v>1330000</v>
      </c>
      <c r="U318" s="198">
        <v>50000</v>
      </c>
      <c r="V318" s="198">
        <v>23000</v>
      </c>
      <c r="W318" s="233">
        <f>DATABASE_Table[[#This Row],[Current Asking price( Total)]]-DATABASE_Table[[#This Row],[Vista membership]]-DATABASE_Table[[#This Row],[FF&amp;E]]</f>
        <v>1257000</v>
      </c>
      <c r="X318" s="216"/>
      <c r="Y318" s="232">
        <v>1330000</v>
      </c>
      <c r="Z318" s="233">
        <f>DATABASE_Table[[#This Row],[Sell price (Total)]]-DATABASE_Table[[#This Row],[FF&amp;E]]-DATABASE_Table[[#This Row],[Vista membership]]</f>
        <v>1257000</v>
      </c>
      <c r="AA318" s="315"/>
      <c r="AB318" s="321"/>
      <c r="AC318" s="197" t="s">
        <v>10</v>
      </c>
      <c r="AD318" s="197" t="s">
        <v>34</v>
      </c>
      <c r="AE318" s="274" t="s">
        <v>32</v>
      </c>
      <c r="AF318" s="274" t="s">
        <v>686</v>
      </c>
      <c r="AG318" s="274" t="s">
        <v>49</v>
      </c>
      <c r="AH318" s="274" t="s">
        <v>50</v>
      </c>
      <c r="AI318" s="197" t="s">
        <v>51</v>
      </c>
      <c r="AJ318" s="274" t="s">
        <v>48</v>
      </c>
      <c r="AK318"/>
    </row>
    <row r="319" spans="1:37" ht="15.75" hidden="1" customHeight="1">
      <c r="A319" s="198" t="s">
        <v>629</v>
      </c>
      <c r="B319" s="198" t="s">
        <v>691</v>
      </c>
      <c r="C319" s="214" t="s">
        <v>856</v>
      </c>
      <c r="D319" s="197" t="s">
        <v>9</v>
      </c>
      <c r="E319" s="198" t="s">
        <v>553</v>
      </c>
      <c r="F319" s="198">
        <v>260</v>
      </c>
      <c r="G319" s="198"/>
      <c r="H319" s="214" t="s">
        <v>325</v>
      </c>
      <c r="I319" s="214" t="s">
        <v>325</v>
      </c>
      <c r="J319" s="271"/>
      <c r="K319" s="198"/>
      <c r="L319" s="198"/>
      <c r="M319" s="198"/>
      <c r="N319" s="198"/>
      <c r="O319" s="198">
        <v>260</v>
      </c>
      <c r="P319" s="198"/>
      <c r="Q319" s="198" t="s">
        <v>329</v>
      </c>
      <c r="R319" s="230">
        <f>DATABASE_Table[[#This Row],[Inicial Asking Price (€) (Total)]]-DATABASE_Table[[#This Row],[Vista membership]]-DATABASE_Table[[#This Row],[FF&amp;E]]</f>
        <v>1430000</v>
      </c>
      <c r="S319" s="231">
        <v>1430000</v>
      </c>
      <c r="T319" s="232">
        <v>1160000</v>
      </c>
      <c r="U319" s="198"/>
      <c r="V319" s="198"/>
      <c r="W319" s="233">
        <f>DATABASE_Table[[#This Row],[Current Asking price( Total)]]-DATABASE_Table[[#This Row],[Vista membership]]-DATABASE_Table[[#This Row],[FF&amp;E]]</f>
        <v>1160000</v>
      </c>
      <c r="X319" s="216"/>
      <c r="Y319" s="232">
        <v>1160000</v>
      </c>
      <c r="Z319" s="233">
        <f>DATABASE_Table[[#This Row],[Sell price (Total)]]-DATABASE_Table[[#This Row],[FF&amp;E]]-DATABASE_Table[[#This Row],[Vista membership]]</f>
        <v>1160000</v>
      </c>
      <c r="AA319" s="315"/>
      <c r="AB319" s="321"/>
      <c r="AC319" s="197" t="s">
        <v>10</v>
      </c>
      <c r="AD319" s="197" t="s">
        <v>35</v>
      </c>
      <c r="AE319" s="274" t="s">
        <v>38</v>
      </c>
      <c r="AF319" s="274" t="s">
        <v>39</v>
      </c>
      <c r="AG319" s="274" t="s">
        <v>40</v>
      </c>
      <c r="AH319" s="274" t="s">
        <v>810</v>
      </c>
      <c r="AI319" s="197" t="s">
        <v>41</v>
      </c>
      <c r="AJ319" s="274" t="s">
        <v>37</v>
      </c>
      <c r="AK319"/>
    </row>
    <row r="320" spans="1:37" ht="15.75" hidden="1" customHeight="1">
      <c r="A320" s="198" t="s">
        <v>779</v>
      </c>
      <c r="B320" s="198" t="s">
        <v>786</v>
      </c>
      <c r="C320" s="214" t="s">
        <v>783</v>
      </c>
      <c r="D320" s="197" t="s">
        <v>79</v>
      </c>
      <c r="E320" s="198" t="s">
        <v>315</v>
      </c>
      <c r="F320" s="198">
        <v>98.7</v>
      </c>
      <c r="G320" s="198"/>
      <c r="H320" s="214" t="s">
        <v>848</v>
      </c>
      <c r="I320" s="214" t="s">
        <v>325</v>
      </c>
      <c r="J320" s="271">
        <v>13.3</v>
      </c>
      <c r="K320" s="198"/>
      <c r="L320" s="198"/>
      <c r="M320" s="198"/>
      <c r="N320" s="198"/>
      <c r="O320" s="198">
        <v>85.4</v>
      </c>
      <c r="P320" s="198"/>
      <c r="Q320" s="198" t="s">
        <v>326</v>
      </c>
      <c r="R320" s="230">
        <f>DATABASE_Table[[#This Row],[Inicial Asking Price (€) (Total)]]-DATABASE_Table[[#This Row],[Vista membership]]-DATABASE_Table[[#This Row],[FF&amp;E]]</f>
        <v>620000</v>
      </c>
      <c r="S320" s="234">
        <v>665000</v>
      </c>
      <c r="T320" s="235">
        <v>665000</v>
      </c>
      <c r="U320" s="198"/>
      <c r="V320" s="235">
        <v>45000</v>
      </c>
      <c r="W320" s="233">
        <f>DATABASE_Table[[#This Row],[Current Asking price( Total)]]-DATABASE_Table[[#This Row],[Vista membership]]-DATABASE_Table[[#This Row],[FF&amp;E]]</f>
        <v>620000</v>
      </c>
      <c r="X320" s="236">
        <v>0</v>
      </c>
      <c r="Y320" s="235">
        <v>665000</v>
      </c>
      <c r="Z320" s="233">
        <f>DATABASE_Table[[#This Row],[Sell price (Total)]]-DATABASE_Table[[#This Row],[FF&amp;E]]-DATABASE_Table[[#This Row],[Vista membership]]</f>
        <v>620000</v>
      </c>
      <c r="AA320" s="315">
        <v>46112</v>
      </c>
      <c r="AB320" s="321">
        <v>47118</v>
      </c>
      <c r="AC320" s="197" t="s">
        <v>80</v>
      </c>
      <c r="AD320" s="197" t="s">
        <v>81</v>
      </c>
      <c r="AE320" s="274" t="s">
        <v>82</v>
      </c>
      <c r="AF320" s="274" t="s">
        <v>83</v>
      </c>
      <c r="AG320" s="274" t="s">
        <v>84</v>
      </c>
      <c r="AH320" s="274" t="s">
        <v>85</v>
      </c>
      <c r="AI320" s="197" t="s">
        <v>86</v>
      </c>
      <c r="AJ320" s="274" t="s">
        <v>78</v>
      </c>
      <c r="AK320"/>
    </row>
    <row r="321" spans="1:37" ht="15.75" hidden="1" customHeight="1">
      <c r="A321" s="198" t="s">
        <v>779</v>
      </c>
      <c r="B321" s="198" t="s">
        <v>786</v>
      </c>
      <c r="C321" s="214" t="s">
        <v>166</v>
      </c>
      <c r="D321" s="197" t="s">
        <v>79</v>
      </c>
      <c r="E321" s="198" t="s">
        <v>315</v>
      </c>
      <c r="F321" s="198">
        <v>98.7</v>
      </c>
      <c r="G321" s="198"/>
      <c r="H321" s="214" t="s">
        <v>848</v>
      </c>
      <c r="I321" s="214" t="s">
        <v>325</v>
      </c>
      <c r="J321" s="271">
        <v>13.3</v>
      </c>
      <c r="K321" s="198"/>
      <c r="L321" s="198"/>
      <c r="M321" s="198"/>
      <c r="N321" s="198"/>
      <c r="O321" s="198">
        <v>85.4</v>
      </c>
      <c r="P321" s="198"/>
      <c r="Q321" s="198" t="s">
        <v>329</v>
      </c>
      <c r="R321" s="230">
        <f>DATABASE_Table[[#This Row],[Inicial Asking Price (€) (Total)]]-DATABASE_Table[[#This Row],[Vista membership]]-DATABASE_Table[[#This Row],[FF&amp;E]]</f>
        <v>620000</v>
      </c>
      <c r="S321" s="234">
        <v>665000</v>
      </c>
      <c r="T321" s="235">
        <v>665000</v>
      </c>
      <c r="U321" s="198"/>
      <c r="V321" s="235">
        <v>45000</v>
      </c>
      <c r="W321" s="233">
        <f>DATABASE_Table[[#This Row],[Current Asking price( Total)]]-DATABASE_Table[[#This Row],[Vista membership]]-DATABASE_Table[[#This Row],[FF&amp;E]]</f>
        <v>620000</v>
      </c>
      <c r="X321" s="236"/>
      <c r="Y321" s="235"/>
      <c r="Z321" s="233">
        <f>DATABASE_Table[[#This Row],[Sell price (Total)]]-DATABASE_Table[[#This Row],[FF&amp;E]]-DATABASE_Table[[#This Row],[Vista membership]]</f>
        <v>-45000</v>
      </c>
      <c r="AA321" s="315"/>
      <c r="AB321" s="321">
        <v>47118</v>
      </c>
      <c r="AC321" s="197" t="s">
        <v>80</v>
      </c>
      <c r="AD321" s="197" t="s">
        <v>81</v>
      </c>
      <c r="AE321" s="274" t="s">
        <v>82</v>
      </c>
      <c r="AF321" s="274" t="s">
        <v>83</v>
      </c>
      <c r="AG321" s="274" t="s">
        <v>84</v>
      </c>
      <c r="AH321" s="274" t="s">
        <v>85</v>
      </c>
      <c r="AI321" s="197" t="s">
        <v>86</v>
      </c>
      <c r="AJ321" s="274" t="s">
        <v>78</v>
      </c>
      <c r="AK321"/>
    </row>
    <row r="322" spans="1:37" ht="15.75" hidden="1" customHeight="1">
      <c r="A322" s="198" t="s">
        <v>565</v>
      </c>
      <c r="B322" s="198" t="s">
        <v>691</v>
      </c>
      <c r="C322" s="214" t="s">
        <v>856</v>
      </c>
      <c r="D322" s="197" t="s">
        <v>9</v>
      </c>
      <c r="E322" s="198" t="s">
        <v>319</v>
      </c>
      <c r="F322" s="198">
        <v>167.8</v>
      </c>
      <c r="G322" s="198"/>
      <c r="H322" s="214" t="s">
        <v>848</v>
      </c>
      <c r="I322" s="214" t="s">
        <v>325</v>
      </c>
      <c r="J322" s="271">
        <v>63.9</v>
      </c>
      <c r="K322" s="198"/>
      <c r="L322" s="198"/>
      <c r="M322" s="198"/>
      <c r="N322" s="198"/>
      <c r="O322" s="198">
        <v>103.9</v>
      </c>
      <c r="P322" s="198"/>
      <c r="Q322" s="198" t="s">
        <v>329</v>
      </c>
      <c r="R322" s="230">
        <f>DATABASE_Table[[#This Row],[Inicial Asking Price (€) (Total)]]-DATABASE_Table[[#This Row],[Vista membership]]-DATABASE_Table[[#This Row],[FF&amp;E]]</f>
        <v>1247000</v>
      </c>
      <c r="S322" s="231">
        <v>1320000</v>
      </c>
      <c r="T322" s="232">
        <v>1390000</v>
      </c>
      <c r="U322" s="198">
        <v>50000</v>
      </c>
      <c r="V322" s="198">
        <v>23000</v>
      </c>
      <c r="W322" s="233">
        <f>DATABASE_Table[[#This Row],[Current Asking price( Total)]]-DATABASE_Table[[#This Row],[Vista membership]]-DATABASE_Table[[#This Row],[FF&amp;E]]</f>
        <v>1317000</v>
      </c>
      <c r="X322" s="216"/>
      <c r="Y322" s="232">
        <v>1390000</v>
      </c>
      <c r="Z322" s="233">
        <f>DATABASE_Table[[#This Row],[Sell price (Total)]]-DATABASE_Table[[#This Row],[FF&amp;E]]-DATABASE_Table[[#This Row],[Vista membership]]</f>
        <v>1317000</v>
      </c>
      <c r="AA322" s="315"/>
      <c r="AB322" s="321"/>
      <c r="AC322" s="197" t="s">
        <v>10</v>
      </c>
      <c r="AD322" s="197" t="s">
        <v>34</v>
      </c>
      <c r="AE322" s="274" t="s">
        <v>32</v>
      </c>
      <c r="AF322" s="274" t="s">
        <v>686</v>
      </c>
      <c r="AG322" s="274" t="s">
        <v>49</v>
      </c>
      <c r="AH322" s="274" t="s">
        <v>50</v>
      </c>
      <c r="AI322" s="197" t="s">
        <v>51</v>
      </c>
      <c r="AJ322" s="274" t="s">
        <v>48</v>
      </c>
      <c r="AK322"/>
    </row>
    <row r="323" spans="1:37" ht="15.75" hidden="1" customHeight="1">
      <c r="A323" s="198" t="s">
        <v>780</v>
      </c>
      <c r="B323" s="198" t="s">
        <v>786</v>
      </c>
      <c r="C323" s="214" t="s">
        <v>107</v>
      </c>
      <c r="D323" s="313" t="s">
        <v>79</v>
      </c>
      <c r="E323" s="198" t="s">
        <v>317</v>
      </c>
      <c r="F323" s="198">
        <v>194.02</v>
      </c>
      <c r="G323" s="198"/>
      <c r="H323" s="214" t="s">
        <v>848</v>
      </c>
      <c r="I323" s="214" t="s">
        <v>325</v>
      </c>
      <c r="J323" s="271">
        <v>23.12</v>
      </c>
      <c r="K323" s="198">
        <v>80.91</v>
      </c>
      <c r="L323" s="198"/>
      <c r="M323" s="198"/>
      <c r="N323" s="198"/>
      <c r="O323" s="198">
        <v>89.99</v>
      </c>
      <c r="P323" s="198"/>
      <c r="Q323" s="198" t="s">
        <v>628</v>
      </c>
      <c r="R323" s="230">
        <f>DATABASE_Table[[#This Row],[Inicial Asking Price (€) (Total)]]-DATABASE_Table[[#This Row],[Vista membership]]-DATABASE_Table[[#This Row],[FF&amp;E]]</f>
        <v>735000</v>
      </c>
      <c r="S323" s="234">
        <v>780000</v>
      </c>
      <c r="T323" s="235">
        <v>770000</v>
      </c>
      <c r="U323" s="198"/>
      <c r="V323" s="235">
        <v>45000</v>
      </c>
      <c r="W323" s="233">
        <f>DATABASE_Table[[#This Row],[Current Asking price( Total)]]-DATABASE_Table[[#This Row],[Vista membership]]-DATABASE_Table[[#This Row],[FF&amp;E]]</f>
        <v>725000</v>
      </c>
      <c r="X323" s="236">
        <v>-1.2987012987012899E-2</v>
      </c>
      <c r="Y323" s="235">
        <v>780000</v>
      </c>
      <c r="Z323" s="233">
        <f>DATABASE_Table[[#This Row],[Sell price (Total)]]-DATABASE_Table[[#This Row],[FF&amp;E]]-DATABASE_Table[[#This Row],[Vista membership]]</f>
        <v>735000</v>
      </c>
      <c r="AA323" s="316">
        <v>45986</v>
      </c>
      <c r="AB323" s="321">
        <v>47118</v>
      </c>
      <c r="AC323" s="313" t="s">
        <v>80</v>
      </c>
      <c r="AD323" s="313" t="s">
        <v>81</v>
      </c>
      <c r="AE323" s="314" t="s">
        <v>82</v>
      </c>
      <c r="AF323" s="314" t="s">
        <v>83</v>
      </c>
      <c r="AG323" s="314" t="s">
        <v>84</v>
      </c>
      <c r="AH323" s="314" t="s">
        <v>85</v>
      </c>
      <c r="AI323" s="313" t="s">
        <v>86</v>
      </c>
      <c r="AJ323" s="274" t="s">
        <v>78</v>
      </c>
      <c r="AK323"/>
    </row>
    <row r="324" spans="1:37" ht="15.75" hidden="1" customHeight="1">
      <c r="A324" s="198" t="s">
        <v>779</v>
      </c>
      <c r="B324" s="198" t="s">
        <v>786</v>
      </c>
      <c r="C324" s="214" t="s">
        <v>198</v>
      </c>
      <c r="D324" s="197" t="s">
        <v>79</v>
      </c>
      <c r="E324" s="198" t="s">
        <v>315</v>
      </c>
      <c r="F324" s="198">
        <v>98.7</v>
      </c>
      <c r="G324" s="198"/>
      <c r="H324" s="214" t="s">
        <v>848</v>
      </c>
      <c r="I324" s="214" t="s">
        <v>325</v>
      </c>
      <c r="J324" s="271">
        <v>13.3</v>
      </c>
      <c r="K324" s="198"/>
      <c r="L324" s="198"/>
      <c r="M324" s="198"/>
      <c r="N324" s="198"/>
      <c r="O324" s="198">
        <v>85.4</v>
      </c>
      <c r="P324" s="198"/>
      <c r="Q324" s="198" t="s">
        <v>329</v>
      </c>
      <c r="R324" s="230">
        <f>DATABASE_Table[[#This Row],[Inicial Asking Price (€) (Total)]]-DATABASE_Table[[#This Row],[Vista membership]]-DATABASE_Table[[#This Row],[FF&amp;E]]</f>
        <v>625000</v>
      </c>
      <c r="S324" s="234">
        <v>670000</v>
      </c>
      <c r="T324" s="235">
        <v>670000</v>
      </c>
      <c r="U324" s="198"/>
      <c r="V324" s="235">
        <v>45000</v>
      </c>
      <c r="W324" s="233">
        <f>DATABASE_Table[[#This Row],[Current Asking price( Total)]]-DATABASE_Table[[#This Row],[Vista membership]]-DATABASE_Table[[#This Row],[FF&amp;E]]</f>
        <v>625000</v>
      </c>
      <c r="X324" s="236"/>
      <c r="Y324" s="235"/>
      <c r="Z324" s="233">
        <f>DATABASE_Table[[#This Row],[Sell price (Total)]]-DATABASE_Table[[#This Row],[FF&amp;E]]-DATABASE_Table[[#This Row],[Vista membership]]</f>
        <v>-45000</v>
      </c>
      <c r="AA324" s="315"/>
      <c r="AB324" s="321">
        <v>47118</v>
      </c>
      <c r="AC324" s="197" t="s">
        <v>80</v>
      </c>
      <c r="AD324" s="197" t="s">
        <v>81</v>
      </c>
      <c r="AE324" s="274" t="s">
        <v>82</v>
      </c>
      <c r="AF324" s="274" t="s">
        <v>83</v>
      </c>
      <c r="AG324" s="274" t="s">
        <v>84</v>
      </c>
      <c r="AH324" s="274" t="s">
        <v>85</v>
      </c>
      <c r="AI324" s="197" t="s">
        <v>86</v>
      </c>
      <c r="AJ324" s="274" t="s">
        <v>78</v>
      </c>
      <c r="AK324"/>
    </row>
    <row r="325" spans="1:37" ht="15.75" hidden="1" customHeight="1">
      <c r="A325" s="198" t="s">
        <v>778</v>
      </c>
      <c r="B325" s="198" t="s">
        <v>769</v>
      </c>
      <c r="C325" s="214" t="s">
        <v>892</v>
      </c>
      <c r="D325" s="197" t="s">
        <v>74</v>
      </c>
      <c r="E325" s="198" t="s">
        <v>553</v>
      </c>
      <c r="F325" s="198">
        <v>396.9</v>
      </c>
      <c r="G325" s="198"/>
      <c r="H325" s="214" t="s">
        <v>325</v>
      </c>
      <c r="I325" s="214" t="s">
        <v>325</v>
      </c>
      <c r="J325" s="271"/>
      <c r="K325" s="198"/>
      <c r="L325" s="198"/>
      <c r="M325" s="198"/>
      <c r="N325" s="198"/>
      <c r="O325" s="198">
        <v>396.9</v>
      </c>
      <c r="P325" s="198"/>
      <c r="Q325" s="198" t="s">
        <v>329</v>
      </c>
      <c r="R325" s="230">
        <f>DATABASE_Table[[#This Row],[Inicial Asking Price (€) (Total)]]-DATABASE_Table[[#This Row],[Vista membership]]-DATABASE_Table[[#This Row],[FF&amp;E]]</f>
        <v>670000</v>
      </c>
      <c r="S325" s="234">
        <v>670000</v>
      </c>
      <c r="T325" s="235">
        <v>550000</v>
      </c>
      <c r="U325" s="198"/>
      <c r="V325" s="198"/>
      <c r="W325" s="233">
        <f>DATABASE_Table[[#This Row],[Current Asking price( Total)]]-DATABASE_Table[[#This Row],[Vista membership]]-DATABASE_Table[[#This Row],[FF&amp;E]]</f>
        <v>550000</v>
      </c>
      <c r="X325" s="236"/>
      <c r="Y325" s="235"/>
      <c r="Z325" s="233">
        <f>DATABASE_Table[[#This Row],[Sell price (Total)]]-DATABASE_Table[[#This Row],[FF&amp;E]]-DATABASE_Table[[#This Row],[Vista membership]]</f>
        <v>0</v>
      </c>
      <c r="AA325" s="315"/>
      <c r="AB325" s="321" t="s">
        <v>32</v>
      </c>
      <c r="AC325" s="197" t="s">
        <v>57</v>
      </c>
      <c r="AD325" s="197"/>
      <c r="AE325" s="274" t="s">
        <v>75</v>
      </c>
      <c r="AF325" s="274" t="s">
        <v>554</v>
      </c>
      <c r="AG325" s="274" t="s">
        <v>76</v>
      </c>
      <c r="AH325" s="274" t="s">
        <v>77</v>
      </c>
      <c r="AI325" s="197" t="s">
        <v>32</v>
      </c>
      <c r="AJ325" s="274" t="s">
        <v>73</v>
      </c>
      <c r="AK325"/>
    </row>
    <row r="326" spans="1:37" ht="15.75" hidden="1" customHeight="1">
      <c r="A326" s="269" t="s">
        <v>559</v>
      </c>
      <c r="B326" s="198" t="s">
        <v>691</v>
      </c>
      <c r="C326" s="214" t="s">
        <v>336</v>
      </c>
      <c r="D326" s="197" t="s">
        <v>9</v>
      </c>
      <c r="E326" s="198" t="s">
        <v>383</v>
      </c>
      <c r="F326" s="198">
        <v>169.99</v>
      </c>
      <c r="G326" s="198"/>
      <c r="H326" s="214" t="s">
        <v>325</v>
      </c>
      <c r="I326" s="214" t="s">
        <v>325</v>
      </c>
      <c r="J326" s="271"/>
      <c r="K326" s="198"/>
      <c r="L326" s="198"/>
      <c r="M326" s="198"/>
      <c r="N326" s="198"/>
      <c r="O326" s="198">
        <v>169.99</v>
      </c>
      <c r="P326" s="198"/>
      <c r="Q326" s="198" t="s">
        <v>929</v>
      </c>
      <c r="R326" s="230">
        <f>DATABASE_Table[[#This Row],[Inicial Asking Price (€) (Total)]]-DATABASE_Table[[#This Row],[Vista membership]]-DATABASE_Table[[#This Row],[FF&amp;E]]</f>
        <v>950000</v>
      </c>
      <c r="S326" s="231">
        <v>950000</v>
      </c>
      <c r="T326" s="232">
        <v>970000</v>
      </c>
      <c r="U326" s="198"/>
      <c r="V326" s="198"/>
      <c r="W326" s="233">
        <f>DATABASE_Table[[#This Row],[Current Asking price( Total)]]-DATABASE_Table[[#This Row],[Vista membership]]-DATABASE_Table[[#This Row],[FF&amp;E]]</f>
        <v>970000</v>
      </c>
      <c r="X326" s="216">
        <v>0</v>
      </c>
      <c r="Y326" s="232">
        <v>970000</v>
      </c>
      <c r="Z326" s="233">
        <f>DATABASE_Table[[#This Row],[Sell price (Total)]]-DATABASE_Table[[#This Row],[FF&amp;E]]-DATABASE_Table[[#This Row],[Vista membership]]</f>
        <v>970000</v>
      </c>
      <c r="AA326" s="315">
        <v>45846</v>
      </c>
      <c r="AB326" s="321"/>
      <c r="AC326" s="197" t="s">
        <v>10</v>
      </c>
      <c r="AD326" s="197" t="s">
        <v>802</v>
      </c>
      <c r="AE326" s="274" t="s">
        <v>17</v>
      </c>
      <c r="AF326" s="274" t="s">
        <v>18</v>
      </c>
      <c r="AG326" s="274" t="s">
        <v>19</v>
      </c>
      <c r="AH326" s="274" t="s">
        <v>20</v>
      </c>
      <c r="AI326" s="197" t="s">
        <v>21</v>
      </c>
      <c r="AJ326" s="274" t="s">
        <v>16</v>
      </c>
      <c r="AK326"/>
    </row>
    <row r="327" spans="1:37" ht="15.75" hidden="1" customHeight="1">
      <c r="A327" s="198" t="s">
        <v>779</v>
      </c>
      <c r="B327" s="198" t="s">
        <v>786</v>
      </c>
      <c r="C327" s="214" t="s">
        <v>200</v>
      </c>
      <c r="D327" s="197" t="s">
        <v>79</v>
      </c>
      <c r="E327" s="198" t="s">
        <v>315</v>
      </c>
      <c r="F327" s="198">
        <v>98.8</v>
      </c>
      <c r="G327" s="198"/>
      <c r="H327" s="214" t="s">
        <v>848</v>
      </c>
      <c r="I327" s="214" t="s">
        <v>325</v>
      </c>
      <c r="J327" s="271">
        <v>15.2</v>
      </c>
      <c r="K327" s="198"/>
      <c r="L327" s="198"/>
      <c r="M327" s="198"/>
      <c r="N327" s="198"/>
      <c r="O327" s="198">
        <v>83.6</v>
      </c>
      <c r="P327" s="198"/>
      <c r="Q327" s="198" t="s">
        <v>329</v>
      </c>
      <c r="R327" s="230">
        <f>DATABASE_Table[[#This Row],[Inicial Asking Price (€) (Total)]]-DATABASE_Table[[#This Row],[Vista membership]]-DATABASE_Table[[#This Row],[FF&amp;E]]</f>
        <v>630000</v>
      </c>
      <c r="S327" s="234">
        <v>675000</v>
      </c>
      <c r="T327" s="235">
        <v>675000</v>
      </c>
      <c r="U327" s="198"/>
      <c r="V327" s="235">
        <v>45000</v>
      </c>
      <c r="W327" s="233">
        <f>DATABASE_Table[[#This Row],[Current Asking price( Total)]]-DATABASE_Table[[#This Row],[Vista membership]]-DATABASE_Table[[#This Row],[FF&amp;E]]</f>
        <v>630000</v>
      </c>
      <c r="X327" s="236"/>
      <c r="Y327" s="235"/>
      <c r="Z327" s="233">
        <f>DATABASE_Table[[#This Row],[Sell price (Total)]]-DATABASE_Table[[#This Row],[FF&amp;E]]-DATABASE_Table[[#This Row],[Vista membership]]</f>
        <v>-45000</v>
      </c>
      <c r="AA327" s="315"/>
      <c r="AB327" s="321">
        <v>47118</v>
      </c>
      <c r="AC327" s="197" t="s">
        <v>80</v>
      </c>
      <c r="AD327" s="197" t="s">
        <v>81</v>
      </c>
      <c r="AE327" s="274" t="s">
        <v>82</v>
      </c>
      <c r="AF327" s="274" t="s">
        <v>83</v>
      </c>
      <c r="AG327" s="274" t="s">
        <v>84</v>
      </c>
      <c r="AH327" s="274" t="s">
        <v>85</v>
      </c>
      <c r="AI327" s="197" t="s">
        <v>86</v>
      </c>
      <c r="AJ327" s="274" t="s">
        <v>78</v>
      </c>
      <c r="AK327"/>
    </row>
    <row r="328" spans="1:37" ht="15.75" hidden="1" customHeight="1">
      <c r="A328" s="198" t="s">
        <v>779</v>
      </c>
      <c r="B328" s="198" t="s">
        <v>786</v>
      </c>
      <c r="C328" s="214" t="s">
        <v>201</v>
      </c>
      <c r="D328" s="197" t="s">
        <v>79</v>
      </c>
      <c r="E328" s="198" t="s">
        <v>315</v>
      </c>
      <c r="F328" s="198">
        <v>98.8</v>
      </c>
      <c r="G328" s="198"/>
      <c r="H328" s="214" t="s">
        <v>848</v>
      </c>
      <c r="I328" s="214" t="s">
        <v>325</v>
      </c>
      <c r="J328" s="271">
        <v>15.2</v>
      </c>
      <c r="K328" s="198"/>
      <c r="L328" s="198"/>
      <c r="M328" s="198"/>
      <c r="N328" s="198"/>
      <c r="O328" s="198">
        <v>83.6</v>
      </c>
      <c r="P328" s="198"/>
      <c r="Q328" s="198" t="s">
        <v>329</v>
      </c>
      <c r="R328" s="230">
        <f>DATABASE_Table[[#This Row],[Inicial Asking Price (€) (Total)]]-DATABASE_Table[[#This Row],[Vista membership]]-DATABASE_Table[[#This Row],[FF&amp;E]]</f>
        <v>630000</v>
      </c>
      <c r="S328" s="234">
        <v>675000</v>
      </c>
      <c r="T328" s="235">
        <v>675000</v>
      </c>
      <c r="U328" s="198"/>
      <c r="V328" s="235">
        <v>45000</v>
      </c>
      <c r="W328" s="233">
        <f>DATABASE_Table[[#This Row],[Current Asking price( Total)]]-DATABASE_Table[[#This Row],[Vista membership]]-DATABASE_Table[[#This Row],[FF&amp;E]]</f>
        <v>630000</v>
      </c>
      <c r="X328" s="236"/>
      <c r="Y328" s="235"/>
      <c r="Z328" s="233">
        <f>DATABASE_Table[[#This Row],[Sell price (Total)]]-DATABASE_Table[[#This Row],[FF&amp;E]]-DATABASE_Table[[#This Row],[Vista membership]]</f>
        <v>-45000</v>
      </c>
      <c r="AA328" s="315"/>
      <c r="AB328" s="321">
        <v>47118</v>
      </c>
      <c r="AC328" s="197" t="s">
        <v>80</v>
      </c>
      <c r="AD328" s="197" t="s">
        <v>81</v>
      </c>
      <c r="AE328" s="274" t="s">
        <v>82</v>
      </c>
      <c r="AF328" s="274" t="s">
        <v>83</v>
      </c>
      <c r="AG328" s="274" t="s">
        <v>84</v>
      </c>
      <c r="AH328" s="274" t="s">
        <v>85</v>
      </c>
      <c r="AI328" s="197" t="s">
        <v>86</v>
      </c>
      <c r="AJ328" s="274" t="s">
        <v>78</v>
      </c>
      <c r="AK328"/>
    </row>
    <row r="329" spans="1:37" ht="15.75" hidden="1" customHeight="1">
      <c r="A329" s="198" t="s">
        <v>779</v>
      </c>
      <c r="B329" s="198" t="s">
        <v>786</v>
      </c>
      <c r="C329" s="214" t="s">
        <v>202</v>
      </c>
      <c r="D329" s="197" t="s">
        <v>79</v>
      </c>
      <c r="E329" s="198" t="s">
        <v>315</v>
      </c>
      <c r="F329" s="198">
        <v>98.8</v>
      </c>
      <c r="G329" s="198"/>
      <c r="H329" s="214" t="s">
        <v>848</v>
      </c>
      <c r="I329" s="214" t="s">
        <v>325</v>
      </c>
      <c r="J329" s="271">
        <v>15.2</v>
      </c>
      <c r="K329" s="198"/>
      <c r="L329" s="198"/>
      <c r="M329" s="198"/>
      <c r="N329" s="198"/>
      <c r="O329" s="198">
        <v>83.6</v>
      </c>
      <c r="P329" s="198"/>
      <c r="Q329" s="198" t="s">
        <v>329</v>
      </c>
      <c r="R329" s="230">
        <f>DATABASE_Table[[#This Row],[Inicial Asking Price (€) (Total)]]-DATABASE_Table[[#This Row],[Vista membership]]-DATABASE_Table[[#This Row],[FF&amp;E]]</f>
        <v>630000</v>
      </c>
      <c r="S329" s="234">
        <v>675000</v>
      </c>
      <c r="T329" s="235">
        <v>675000</v>
      </c>
      <c r="U329" s="198"/>
      <c r="V329" s="235">
        <v>45000</v>
      </c>
      <c r="W329" s="233">
        <f>DATABASE_Table[[#This Row],[Current Asking price( Total)]]-DATABASE_Table[[#This Row],[Vista membership]]-DATABASE_Table[[#This Row],[FF&amp;E]]</f>
        <v>630000</v>
      </c>
      <c r="X329" s="236"/>
      <c r="Y329" s="235"/>
      <c r="Z329" s="233">
        <f>DATABASE_Table[[#This Row],[Sell price (Total)]]-DATABASE_Table[[#This Row],[FF&amp;E]]-DATABASE_Table[[#This Row],[Vista membership]]</f>
        <v>-45000</v>
      </c>
      <c r="AA329" s="315"/>
      <c r="AB329" s="321">
        <v>47118</v>
      </c>
      <c r="AC329" s="197" t="s">
        <v>80</v>
      </c>
      <c r="AD329" s="197" t="s">
        <v>81</v>
      </c>
      <c r="AE329" s="274" t="s">
        <v>82</v>
      </c>
      <c r="AF329" s="274" t="s">
        <v>83</v>
      </c>
      <c r="AG329" s="274" t="s">
        <v>84</v>
      </c>
      <c r="AH329" s="274" t="s">
        <v>85</v>
      </c>
      <c r="AI329" s="197" t="s">
        <v>86</v>
      </c>
      <c r="AJ329" s="274" t="s">
        <v>78</v>
      </c>
      <c r="AK329"/>
    </row>
    <row r="330" spans="1:37" ht="15.75" hidden="1" customHeight="1">
      <c r="A330" s="198" t="s">
        <v>779</v>
      </c>
      <c r="B330" s="198" t="s">
        <v>786</v>
      </c>
      <c r="C330" s="214" t="s">
        <v>214</v>
      </c>
      <c r="D330" s="197" t="s">
        <v>79</v>
      </c>
      <c r="E330" s="198" t="s">
        <v>315</v>
      </c>
      <c r="F330" s="198">
        <v>98.8</v>
      </c>
      <c r="G330" s="198"/>
      <c r="H330" s="214" t="s">
        <v>848</v>
      </c>
      <c r="I330" s="214" t="s">
        <v>325</v>
      </c>
      <c r="J330" s="271">
        <v>15.2</v>
      </c>
      <c r="K330" s="198"/>
      <c r="L330" s="198"/>
      <c r="M330" s="198"/>
      <c r="N330" s="198"/>
      <c r="O330" s="198">
        <v>83.6</v>
      </c>
      <c r="P330" s="198"/>
      <c r="Q330" s="198" t="s">
        <v>329</v>
      </c>
      <c r="R330" s="230">
        <f>DATABASE_Table[[#This Row],[Inicial Asking Price (€) (Total)]]-DATABASE_Table[[#This Row],[Vista membership]]-DATABASE_Table[[#This Row],[FF&amp;E]]</f>
        <v>630000</v>
      </c>
      <c r="S330" s="234">
        <v>675000</v>
      </c>
      <c r="T330" s="235">
        <v>675000</v>
      </c>
      <c r="U330" s="198"/>
      <c r="V330" s="235">
        <v>45000</v>
      </c>
      <c r="W330" s="233">
        <f>DATABASE_Table[[#This Row],[Current Asking price( Total)]]-DATABASE_Table[[#This Row],[Vista membership]]-DATABASE_Table[[#This Row],[FF&amp;E]]</f>
        <v>630000</v>
      </c>
      <c r="X330" s="236"/>
      <c r="Y330" s="235"/>
      <c r="Z330" s="233">
        <f>DATABASE_Table[[#This Row],[Sell price (Total)]]-DATABASE_Table[[#This Row],[FF&amp;E]]-DATABASE_Table[[#This Row],[Vista membership]]</f>
        <v>-45000</v>
      </c>
      <c r="AA330" s="315"/>
      <c r="AB330" s="321">
        <v>47118</v>
      </c>
      <c r="AC330" s="197" t="s">
        <v>80</v>
      </c>
      <c r="AD330" s="197" t="s">
        <v>81</v>
      </c>
      <c r="AE330" s="274" t="s">
        <v>82</v>
      </c>
      <c r="AF330" s="274" t="s">
        <v>83</v>
      </c>
      <c r="AG330" s="274" t="s">
        <v>84</v>
      </c>
      <c r="AH330" s="274" t="s">
        <v>85</v>
      </c>
      <c r="AI330" s="197" t="s">
        <v>86</v>
      </c>
      <c r="AJ330" s="274" t="s">
        <v>78</v>
      </c>
      <c r="AK330"/>
    </row>
    <row r="331" spans="1:37" ht="15.75" hidden="1" customHeight="1">
      <c r="A331" s="198" t="s">
        <v>779</v>
      </c>
      <c r="B331" s="198" t="s">
        <v>786</v>
      </c>
      <c r="C331" s="214" t="s">
        <v>215</v>
      </c>
      <c r="D331" s="197" t="s">
        <v>79</v>
      </c>
      <c r="E331" s="198" t="s">
        <v>315</v>
      </c>
      <c r="F331" s="198">
        <v>98.8</v>
      </c>
      <c r="G331" s="198"/>
      <c r="H331" s="214" t="s">
        <v>848</v>
      </c>
      <c r="I331" s="214" t="s">
        <v>325</v>
      </c>
      <c r="J331" s="271">
        <v>15.2</v>
      </c>
      <c r="K331" s="198"/>
      <c r="L331" s="198"/>
      <c r="M331" s="198"/>
      <c r="N331" s="198"/>
      <c r="O331" s="198">
        <v>83.6</v>
      </c>
      <c r="P331" s="198"/>
      <c r="Q331" s="198" t="s">
        <v>329</v>
      </c>
      <c r="R331" s="230">
        <f>DATABASE_Table[[#This Row],[Inicial Asking Price (€) (Total)]]-DATABASE_Table[[#This Row],[Vista membership]]-DATABASE_Table[[#This Row],[FF&amp;E]]</f>
        <v>630000</v>
      </c>
      <c r="S331" s="234">
        <v>675000</v>
      </c>
      <c r="T331" s="235">
        <v>675000</v>
      </c>
      <c r="U331" s="198"/>
      <c r="V331" s="235">
        <v>45000</v>
      </c>
      <c r="W331" s="233">
        <f>DATABASE_Table[[#This Row],[Current Asking price( Total)]]-DATABASE_Table[[#This Row],[Vista membership]]-DATABASE_Table[[#This Row],[FF&amp;E]]</f>
        <v>630000</v>
      </c>
      <c r="X331" s="236"/>
      <c r="Y331" s="235"/>
      <c r="Z331" s="233">
        <f>DATABASE_Table[[#This Row],[Sell price (Total)]]-DATABASE_Table[[#This Row],[FF&amp;E]]-DATABASE_Table[[#This Row],[Vista membership]]</f>
        <v>-45000</v>
      </c>
      <c r="AA331" s="315"/>
      <c r="AB331" s="321">
        <v>47118</v>
      </c>
      <c r="AC331" s="197" t="s">
        <v>80</v>
      </c>
      <c r="AD331" s="197" t="s">
        <v>81</v>
      </c>
      <c r="AE331" s="274" t="s">
        <v>82</v>
      </c>
      <c r="AF331" s="274" t="s">
        <v>83</v>
      </c>
      <c r="AG331" s="274" t="s">
        <v>84</v>
      </c>
      <c r="AH331" s="274" t="s">
        <v>85</v>
      </c>
      <c r="AI331" s="197" t="s">
        <v>86</v>
      </c>
      <c r="AJ331" s="274" t="s">
        <v>78</v>
      </c>
      <c r="AK331"/>
    </row>
    <row r="332" spans="1:37" ht="15.75" hidden="1" customHeight="1">
      <c r="A332" s="198" t="s">
        <v>779</v>
      </c>
      <c r="B332" s="198" t="s">
        <v>786</v>
      </c>
      <c r="C332" s="214" t="s">
        <v>216</v>
      </c>
      <c r="D332" s="197" t="s">
        <v>79</v>
      </c>
      <c r="E332" s="198" t="s">
        <v>315</v>
      </c>
      <c r="F332" s="198">
        <v>98.8</v>
      </c>
      <c r="G332" s="198"/>
      <c r="H332" s="214" t="s">
        <v>848</v>
      </c>
      <c r="I332" s="214" t="s">
        <v>325</v>
      </c>
      <c r="J332" s="271">
        <v>15.2</v>
      </c>
      <c r="K332" s="198"/>
      <c r="L332" s="198"/>
      <c r="M332" s="198"/>
      <c r="N332" s="198"/>
      <c r="O332" s="198">
        <v>83.6</v>
      </c>
      <c r="P332" s="198"/>
      <c r="Q332" s="198" t="s">
        <v>329</v>
      </c>
      <c r="R332" s="230">
        <f>DATABASE_Table[[#This Row],[Inicial Asking Price (€) (Total)]]-DATABASE_Table[[#This Row],[Vista membership]]-DATABASE_Table[[#This Row],[FF&amp;E]]</f>
        <v>630000</v>
      </c>
      <c r="S332" s="234">
        <v>675000</v>
      </c>
      <c r="T332" s="235">
        <v>675000</v>
      </c>
      <c r="U332" s="198"/>
      <c r="V332" s="235">
        <v>45000</v>
      </c>
      <c r="W332" s="233">
        <f>DATABASE_Table[[#This Row],[Current Asking price( Total)]]-DATABASE_Table[[#This Row],[Vista membership]]-DATABASE_Table[[#This Row],[FF&amp;E]]</f>
        <v>630000</v>
      </c>
      <c r="X332" s="236"/>
      <c r="Y332" s="235"/>
      <c r="Z332" s="233">
        <f>DATABASE_Table[[#This Row],[Sell price (Total)]]-DATABASE_Table[[#This Row],[FF&amp;E]]-DATABASE_Table[[#This Row],[Vista membership]]</f>
        <v>-45000</v>
      </c>
      <c r="AA332" s="315"/>
      <c r="AB332" s="321">
        <v>47118</v>
      </c>
      <c r="AC332" s="197" t="s">
        <v>80</v>
      </c>
      <c r="AD332" s="197" t="s">
        <v>81</v>
      </c>
      <c r="AE332" s="274" t="s">
        <v>82</v>
      </c>
      <c r="AF332" s="274" t="s">
        <v>83</v>
      </c>
      <c r="AG332" s="274" t="s">
        <v>84</v>
      </c>
      <c r="AH332" s="274" t="s">
        <v>85</v>
      </c>
      <c r="AI332" s="197" t="s">
        <v>86</v>
      </c>
      <c r="AJ332" s="274" t="s">
        <v>78</v>
      </c>
      <c r="AK332"/>
    </row>
    <row r="333" spans="1:37" ht="15.75" hidden="1" customHeight="1">
      <c r="A333" s="198" t="s">
        <v>560</v>
      </c>
      <c r="B333" s="198" t="s">
        <v>691</v>
      </c>
      <c r="C333" s="214" t="s">
        <v>336</v>
      </c>
      <c r="D333" s="197" t="s">
        <v>9</v>
      </c>
      <c r="E333" s="198" t="s">
        <v>384</v>
      </c>
      <c r="F333" s="198">
        <v>146.33000000000001</v>
      </c>
      <c r="G333" s="198"/>
      <c r="H333" s="214" t="s">
        <v>325</v>
      </c>
      <c r="I333" s="214" t="s">
        <v>325</v>
      </c>
      <c r="J333" s="271"/>
      <c r="K333" s="198"/>
      <c r="L333" s="198"/>
      <c r="M333" s="198"/>
      <c r="N333" s="198"/>
      <c r="O333" s="198">
        <v>146.33000000000001</v>
      </c>
      <c r="P333" s="198"/>
      <c r="Q333" s="198" t="s">
        <v>929</v>
      </c>
      <c r="R333" s="230">
        <f>DATABASE_Table[[#This Row],[Inicial Asking Price (€) (Total)]]-DATABASE_Table[[#This Row],[Vista membership]]-DATABASE_Table[[#This Row],[FF&amp;E]]</f>
        <v>810000</v>
      </c>
      <c r="S333" s="231">
        <v>810000</v>
      </c>
      <c r="T333" s="232">
        <v>830000</v>
      </c>
      <c r="U333" s="198"/>
      <c r="V333" s="198"/>
      <c r="W333" s="233">
        <f>DATABASE_Table[[#This Row],[Current Asking price( Total)]]-DATABASE_Table[[#This Row],[Vista membership]]-DATABASE_Table[[#This Row],[FF&amp;E]]</f>
        <v>830000</v>
      </c>
      <c r="X333" s="216">
        <v>0</v>
      </c>
      <c r="Y333" s="232">
        <v>830000</v>
      </c>
      <c r="Z333" s="233">
        <f>DATABASE_Table[[#This Row],[Sell price (Total)]]-DATABASE_Table[[#This Row],[FF&amp;E]]-DATABASE_Table[[#This Row],[Vista membership]]</f>
        <v>830000</v>
      </c>
      <c r="AA333" s="315">
        <v>45537</v>
      </c>
      <c r="AB333" s="321"/>
      <c r="AC333" s="197" t="s">
        <v>10</v>
      </c>
      <c r="AD333" s="197" t="s">
        <v>802</v>
      </c>
      <c r="AE333" s="274" t="s">
        <v>17</v>
      </c>
      <c r="AF333" s="274" t="s">
        <v>18</v>
      </c>
      <c r="AG333" s="274" t="s">
        <v>19</v>
      </c>
      <c r="AH333" s="274" t="s">
        <v>20</v>
      </c>
      <c r="AI333" s="197" t="s">
        <v>21</v>
      </c>
      <c r="AJ333" s="274" t="s">
        <v>16</v>
      </c>
      <c r="AK333"/>
    </row>
    <row r="334" spans="1:37" ht="15.75" hidden="1" customHeight="1">
      <c r="A334" s="198" t="s">
        <v>561</v>
      </c>
      <c r="B334" s="198" t="s">
        <v>691</v>
      </c>
      <c r="C334" s="214" t="s">
        <v>336</v>
      </c>
      <c r="D334" s="197" t="s">
        <v>9</v>
      </c>
      <c r="E334" s="198" t="s">
        <v>383</v>
      </c>
      <c r="F334" s="198">
        <v>193.26</v>
      </c>
      <c r="G334" s="198"/>
      <c r="H334" s="214" t="s">
        <v>325</v>
      </c>
      <c r="I334" s="214" t="s">
        <v>325</v>
      </c>
      <c r="J334" s="271"/>
      <c r="K334" s="198"/>
      <c r="L334" s="198"/>
      <c r="M334" s="198"/>
      <c r="N334" s="198"/>
      <c r="O334" s="198">
        <v>193.26</v>
      </c>
      <c r="P334" s="198"/>
      <c r="Q334" s="198" t="s">
        <v>329</v>
      </c>
      <c r="R334" s="230">
        <f>DATABASE_Table[[#This Row],[Inicial Asking Price (€) (Total)]]-DATABASE_Table[[#This Row],[Vista membership]]-DATABASE_Table[[#This Row],[FF&amp;E]]</f>
        <v>1230000</v>
      </c>
      <c r="S334" s="231">
        <v>1230000</v>
      </c>
      <c r="T334" s="232">
        <v>1230000</v>
      </c>
      <c r="U334" s="198"/>
      <c r="V334" s="198"/>
      <c r="W334" s="233">
        <f>DATABASE_Table[[#This Row],[Current Asking price( Total)]]-DATABASE_Table[[#This Row],[Vista membership]]-DATABASE_Table[[#This Row],[FF&amp;E]]</f>
        <v>1230000</v>
      </c>
      <c r="X334" s="216"/>
      <c r="Y334" s="232">
        <v>1230000</v>
      </c>
      <c r="Z334" s="233">
        <f>DATABASE_Table[[#This Row],[Sell price (Total)]]-DATABASE_Table[[#This Row],[FF&amp;E]]-DATABASE_Table[[#This Row],[Vista membership]]</f>
        <v>1230000</v>
      </c>
      <c r="AA334" s="315"/>
      <c r="AB334" s="321"/>
      <c r="AC334" s="197" t="s">
        <v>10</v>
      </c>
      <c r="AD334" s="197" t="s">
        <v>802</v>
      </c>
      <c r="AE334" s="274" t="s">
        <v>17</v>
      </c>
      <c r="AF334" s="274" t="s">
        <v>18</v>
      </c>
      <c r="AG334" s="274" t="s">
        <v>19</v>
      </c>
      <c r="AH334" s="274" t="s">
        <v>20</v>
      </c>
      <c r="AI334" s="197" t="s">
        <v>21</v>
      </c>
      <c r="AJ334" s="274" t="s">
        <v>16</v>
      </c>
      <c r="AK334"/>
    </row>
    <row r="335" spans="1:37" ht="15.75" hidden="1" customHeight="1">
      <c r="A335" s="198" t="s">
        <v>772</v>
      </c>
      <c r="B335" s="198" t="s">
        <v>769</v>
      </c>
      <c r="C335" s="214" t="s">
        <v>499</v>
      </c>
      <c r="D335" s="197"/>
      <c r="E335" s="198" t="s">
        <v>419</v>
      </c>
      <c r="F335" s="198">
        <v>96.95</v>
      </c>
      <c r="G335" s="198"/>
      <c r="H335" s="214" t="s">
        <v>649</v>
      </c>
      <c r="I335" s="214" t="s">
        <v>325</v>
      </c>
      <c r="J335" s="271"/>
      <c r="K335" s="198"/>
      <c r="L335" s="198"/>
      <c r="M335" s="198">
        <v>21.85</v>
      </c>
      <c r="N335" s="198"/>
      <c r="O335" s="198">
        <v>75.099999999999994</v>
      </c>
      <c r="P335" s="198"/>
      <c r="Q335" s="198" t="s">
        <v>329</v>
      </c>
      <c r="R335" s="230">
        <f>DATABASE_Table[[#This Row],[Inicial Asking Price (€) (Total)]]-DATABASE_Table[[#This Row],[Vista membership]]-DATABASE_Table[[#This Row],[FF&amp;E]]</f>
        <v>660000</v>
      </c>
      <c r="S335" s="234">
        <v>660000</v>
      </c>
      <c r="T335" s="235">
        <v>690000</v>
      </c>
      <c r="U335" s="198"/>
      <c r="V335" s="198"/>
      <c r="W335" s="233">
        <f>DATABASE_Table[[#This Row],[Current Asking price( Total)]]-DATABASE_Table[[#This Row],[Vista membership]]-DATABASE_Table[[#This Row],[FF&amp;E]]</f>
        <v>690000</v>
      </c>
      <c r="X335" s="236"/>
      <c r="Y335" s="235">
        <v>690000</v>
      </c>
      <c r="Z335" s="233">
        <f>DATABASE_Table[[#This Row],[Sell price (Total)]]-DATABASE_Table[[#This Row],[FF&amp;E]]-DATABASE_Table[[#This Row],[Vista membership]]</f>
        <v>690000</v>
      </c>
      <c r="AA335" s="315"/>
      <c r="AB335" s="321">
        <v>46843</v>
      </c>
      <c r="AC335" s="197"/>
      <c r="AD335" s="197"/>
      <c r="AE335" s="274"/>
      <c r="AF335" s="274"/>
      <c r="AG335" s="274"/>
      <c r="AH335" s="274"/>
      <c r="AI335" s="197"/>
      <c r="AJ335" s="274" t="s">
        <v>66</v>
      </c>
      <c r="AK335"/>
    </row>
    <row r="336" spans="1:37" ht="15.75" hidden="1" customHeight="1">
      <c r="A336" s="198" t="s">
        <v>558</v>
      </c>
      <c r="B336" s="198" t="s">
        <v>691</v>
      </c>
      <c r="C336" s="214" t="s">
        <v>336</v>
      </c>
      <c r="D336" s="197" t="s">
        <v>9</v>
      </c>
      <c r="E336" s="198" t="s">
        <v>319</v>
      </c>
      <c r="F336" s="198">
        <v>112.9</v>
      </c>
      <c r="G336" s="198">
        <v>3.99</v>
      </c>
      <c r="H336" s="214" t="s">
        <v>599</v>
      </c>
      <c r="I336" s="214" t="s">
        <v>325</v>
      </c>
      <c r="J336" s="271"/>
      <c r="K336" s="198"/>
      <c r="L336" s="198"/>
      <c r="M336" s="198"/>
      <c r="N336" s="198"/>
      <c r="O336" s="198">
        <v>112.9</v>
      </c>
      <c r="P336" s="198"/>
      <c r="Q336" s="198" t="s">
        <v>628</v>
      </c>
      <c r="R336" s="230">
        <f>DATABASE_Table[[#This Row],[Inicial Asking Price (€) (Total)]]-DATABASE_Table[[#This Row],[Vista membership]]-DATABASE_Table[[#This Row],[FF&amp;E]]</f>
        <v>725000</v>
      </c>
      <c r="S336" s="231">
        <v>725000</v>
      </c>
      <c r="T336" s="232">
        <v>725000</v>
      </c>
      <c r="U336" s="198"/>
      <c r="V336" s="198"/>
      <c r="W336" s="233">
        <f>DATABASE_Table[[#This Row],[Current Asking price( Total)]]-DATABASE_Table[[#This Row],[Vista membership]]-DATABASE_Table[[#This Row],[FF&amp;E]]</f>
        <v>725000</v>
      </c>
      <c r="X336" s="216">
        <v>0</v>
      </c>
      <c r="Y336" s="232">
        <v>725000</v>
      </c>
      <c r="Z336" s="233">
        <f>DATABASE_Table[[#This Row],[Sell price (Total)]]-DATABASE_Table[[#This Row],[FF&amp;E]]-DATABASE_Table[[#This Row],[Vista membership]]</f>
        <v>725000</v>
      </c>
      <c r="AA336" s="315">
        <v>46013</v>
      </c>
      <c r="AB336" s="321"/>
      <c r="AC336" s="197" t="s">
        <v>10</v>
      </c>
      <c r="AD336" s="197" t="s">
        <v>11</v>
      </c>
      <c r="AE336" s="274" t="s">
        <v>12</v>
      </c>
      <c r="AF336" s="274" t="s">
        <v>801</v>
      </c>
      <c r="AG336" s="274" t="s">
        <v>13</v>
      </c>
      <c r="AH336" s="274" t="s">
        <v>14</v>
      </c>
      <c r="AI336" s="197" t="s">
        <v>15</v>
      </c>
      <c r="AJ336" s="274" t="s">
        <v>8</v>
      </c>
      <c r="AK336"/>
    </row>
    <row r="337" spans="1:37" ht="15.75" hidden="1" customHeight="1">
      <c r="A337" s="198" t="s">
        <v>31</v>
      </c>
      <c r="B337" s="198" t="s">
        <v>691</v>
      </c>
      <c r="C337" s="214" t="s">
        <v>336</v>
      </c>
      <c r="D337" s="198" t="s">
        <v>9</v>
      </c>
      <c r="E337" s="198" t="s">
        <v>319</v>
      </c>
      <c r="F337" s="198"/>
      <c r="G337" s="198"/>
      <c r="H337" s="214" t="s">
        <v>325</v>
      </c>
      <c r="I337" s="214" t="s">
        <v>325</v>
      </c>
      <c r="J337" s="271"/>
      <c r="K337" s="198">
        <v>163</v>
      </c>
      <c r="L337" s="198"/>
      <c r="M337" s="198">
        <v>0</v>
      </c>
      <c r="N337" s="198"/>
      <c r="O337" s="198">
        <v>111</v>
      </c>
      <c r="P337" s="198"/>
      <c r="Q337" s="198" t="s">
        <v>329</v>
      </c>
      <c r="R337" s="230">
        <f>DATABASE_Table[[#This Row],[Inicial Asking Price (€) (Total)]]-DATABASE_Table[[#This Row],[Vista membership]]-DATABASE_Table[[#This Row],[FF&amp;E]]</f>
        <v>840000</v>
      </c>
      <c r="S337" s="232">
        <v>840000</v>
      </c>
      <c r="T337" s="232">
        <v>840000</v>
      </c>
      <c r="U337" s="198"/>
      <c r="V337" s="198"/>
      <c r="W337" s="233">
        <f>DATABASE_Table[[#This Row],[Current Asking price( Total)]]-DATABASE_Table[[#This Row],[Vista membership]]-DATABASE_Table[[#This Row],[FF&amp;E]]</f>
        <v>840000</v>
      </c>
      <c r="X337" s="216"/>
      <c r="Y337" s="232">
        <v>820000</v>
      </c>
      <c r="Z337" s="233">
        <f>DATABASE_Table[[#This Row],[Sell price (Total)]]-DATABASE_Table[[#This Row],[FF&amp;E]]-DATABASE_Table[[#This Row],[Vista membership]]</f>
        <v>820000</v>
      </c>
      <c r="AA337" s="315">
        <v>45630</v>
      </c>
      <c r="AB337" s="321"/>
      <c r="AC337" s="198" t="s">
        <v>10</v>
      </c>
      <c r="AD337" s="198" t="s">
        <v>807</v>
      </c>
      <c r="AE337" s="279" t="s">
        <v>32</v>
      </c>
      <c r="AF337" s="279" t="s">
        <v>808</v>
      </c>
      <c r="AG337" s="279" t="s">
        <v>33</v>
      </c>
      <c r="AH337" s="279" t="s">
        <v>809</v>
      </c>
      <c r="AI337" s="198" t="s">
        <v>15</v>
      </c>
      <c r="AJ337" s="274" t="s">
        <v>31</v>
      </c>
      <c r="AK337"/>
    </row>
    <row r="338" spans="1:37" ht="15.75" hidden="1" customHeight="1">
      <c r="A338" s="198" t="s">
        <v>690</v>
      </c>
      <c r="B338" s="198" t="s">
        <v>691</v>
      </c>
      <c r="C338" s="214" t="s">
        <v>336</v>
      </c>
      <c r="D338" s="198" t="s">
        <v>9</v>
      </c>
      <c r="E338" s="198" t="s">
        <v>383</v>
      </c>
      <c r="F338" s="198">
        <v>323.58999999999997</v>
      </c>
      <c r="G338" s="198">
        <v>165.79</v>
      </c>
      <c r="H338" s="214" t="s">
        <v>325</v>
      </c>
      <c r="I338" s="214" t="s">
        <v>325</v>
      </c>
      <c r="J338" s="271"/>
      <c r="K338" s="198"/>
      <c r="L338" s="198"/>
      <c r="M338" s="198"/>
      <c r="N338" s="198"/>
      <c r="O338" s="198">
        <v>157.80000000000001</v>
      </c>
      <c r="P338" s="198"/>
      <c r="Q338" s="198" t="s">
        <v>628</v>
      </c>
      <c r="R338" s="230">
        <f>DATABASE_Table[[#This Row],[Inicial Asking Price (€) (Total)]]-DATABASE_Table[[#This Row],[Vista membership]]-DATABASE_Table[[#This Row],[FF&amp;E]]</f>
        <v>1852100</v>
      </c>
      <c r="S338" s="231">
        <v>1941050</v>
      </c>
      <c r="T338" s="232">
        <v>2000000</v>
      </c>
      <c r="U338" s="198">
        <v>24600</v>
      </c>
      <c r="V338" s="198">
        <v>64350</v>
      </c>
      <c r="W338" s="233">
        <f>DATABASE_Table[[#This Row],[Current Asking price( Total)]]-DATABASE_Table[[#This Row],[Vista membership]]-DATABASE_Table[[#This Row],[FF&amp;E]]</f>
        <v>1911050</v>
      </c>
      <c r="X338" s="216">
        <v>1.9356499999999999E-2</v>
      </c>
      <c r="Y338" s="232">
        <v>1961287</v>
      </c>
      <c r="Z338" s="233">
        <f>DATABASE_Table[[#This Row],[Sell price (Total)]]-DATABASE_Table[[#This Row],[FF&amp;E]]-DATABASE_Table[[#This Row],[Vista membership]]</f>
        <v>1872337</v>
      </c>
      <c r="AA338" s="316">
        <v>46020</v>
      </c>
      <c r="AB338" s="321"/>
      <c r="AC338" s="198" t="s">
        <v>10</v>
      </c>
      <c r="AD338" s="198" t="s">
        <v>35</v>
      </c>
      <c r="AE338" s="279" t="s">
        <v>38</v>
      </c>
      <c r="AF338" s="279" t="s">
        <v>39</v>
      </c>
      <c r="AG338" s="279" t="s">
        <v>40</v>
      </c>
      <c r="AH338" s="279" t="s">
        <v>810</v>
      </c>
      <c r="AI338" s="198" t="s">
        <v>41</v>
      </c>
      <c r="AJ338" s="274" t="s">
        <v>37</v>
      </c>
      <c r="AK338"/>
    </row>
    <row r="339" spans="1:37" ht="15.75" hidden="1" customHeight="1">
      <c r="A339" s="198" t="s">
        <v>562</v>
      </c>
      <c r="B339" s="198" t="s">
        <v>691</v>
      </c>
      <c r="C339" s="214" t="s">
        <v>336</v>
      </c>
      <c r="D339" s="198" t="s">
        <v>9</v>
      </c>
      <c r="E339" s="198" t="s">
        <v>320</v>
      </c>
      <c r="F339" s="198">
        <v>158</v>
      </c>
      <c r="G339" s="198"/>
      <c r="H339" s="214" t="s">
        <v>325</v>
      </c>
      <c r="I339" s="214" t="s">
        <v>325</v>
      </c>
      <c r="J339" s="271"/>
      <c r="K339" s="198"/>
      <c r="L339" s="198"/>
      <c r="M339" s="198"/>
      <c r="N339" s="198"/>
      <c r="O339" s="198">
        <v>158</v>
      </c>
      <c r="P339" s="198"/>
      <c r="Q339" s="198" t="s">
        <v>929</v>
      </c>
      <c r="R339" s="230">
        <f>DATABASE_Table[[#This Row],[Inicial Asking Price (€) (Total)]]-DATABASE_Table[[#This Row],[Vista membership]]-DATABASE_Table[[#This Row],[FF&amp;E]]</f>
        <v>830000</v>
      </c>
      <c r="S339" s="231">
        <v>830000</v>
      </c>
      <c r="T339" s="232">
        <v>850000</v>
      </c>
      <c r="U339" s="198"/>
      <c r="V339" s="198"/>
      <c r="W339" s="233">
        <f>DATABASE_Table[[#This Row],[Current Asking price( Total)]]-DATABASE_Table[[#This Row],[Vista membership]]-DATABASE_Table[[#This Row],[FF&amp;E]]</f>
        <v>850000</v>
      </c>
      <c r="X339" s="216">
        <v>0</v>
      </c>
      <c r="Y339" s="232">
        <v>850000</v>
      </c>
      <c r="Z339" s="233">
        <f>DATABASE_Table[[#This Row],[Sell price (Total)]]-DATABASE_Table[[#This Row],[FF&amp;E]]-DATABASE_Table[[#This Row],[Vista membership]]</f>
        <v>850000</v>
      </c>
      <c r="AA339" s="315">
        <v>45898</v>
      </c>
      <c r="AB339" s="321"/>
      <c r="AC339" s="198" t="s">
        <v>10</v>
      </c>
      <c r="AD339" s="198" t="s">
        <v>23</v>
      </c>
      <c r="AE339" s="279" t="s">
        <v>24</v>
      </c>
      <c r="AF339" s="279" t="s">
        <v>803</v>
      </c>
      <c r="AG339" s="279" t="s">
        <v>25</v>
      </c>
      <c r="AH339" s="279" t="s">
        <v>804</v>
      </c>
      <c r="AI339" s="198" t="s">
        <v>26</v>
      </c>
      <c r="AJ339" s="274" t="s">
        <v>22</v>
      </c>
      <c r="AK339"/>
    </row>
    <row r="340" spans="1:37" ht="15.75" hidden="1" customHeight="1">
      <c r="A340" s="198" t="s">
        <v>689</v>
      </c>
      <c r="B340" s="198" t="s">
        <v>691</v>
      </c>
      <c r="C340" s="214" t="s">
        <v>336</v>
      </c>
      <c r="D340" s="198"/>
      <c r="E340" s="198" t="s">
        <v>384</v>
      </c>
      <c r="F340" s="198">
        <v>165.44130000000001</v>
      </c>
      <c r="G340" s="198"/>
      <c r="H340" s="214" t="s">
        <v>325</v>
      </c>
      <c r="I340" s="214" t="s">
        <v>325</v>
      </c>
      <c r="J340" s="271"/>
      <c r="K340" s="198"/>
      <c r="L340" s="198"/>
      <c r="M340" s="198"/>
      <c r="N340" s="198"/>
      <c r="O340" s="198">
        <v>165.44130000000001</v>
      </c>
      <c r="P340" s="198"/>
      <c r="Q340" s="198" t="s">
        <v>929</v>
      </c>
      <c r="R340" s="230">
        <f>DATABASE_Table[[#This Row],[Inicial Asking Price (€) (Total)]]-DATABASE_Table[[#This Row],[Vista membership]]-DATABASE_Table[[#This Row],[FF&amp;E]]</f>
        <v>1054782</v>
      </c>
      <c r="S340" s="231">
        <v>1054782</v>
      </c>
      <c r="T340" s="232">
        <v>1200000</v>
      </c>
      <c r="U340" s="198"/>
      <c r="V340" s="198"/>
      <c r="W340" s="233">
        <f>DATABASE_Table[[#This Row],[Current Asking price( Total)]]-DATABASE_Table[[#This Row],[Vista membership]]-DATABASE_Table[[#This Row],[FF&amp;E]]</f>
        <v>1200000</v>
      </c>
      <c r="X340" s="216">
        <v>0</v>
      </c>
      <c r="Y340" s="232">
        <v>1200000</v>
      </c>
      <c r="Z340" s="233">
        <f>DATABASE_Table[[#This Row],[Sell price (Total)]]-DATABASE_Table[[#This Row],[FF&amp;E]]-DATABASE_Table[[#This Row],[Vista membership]]</f>
        <v>1200000</v>
      </c>
      <c r="AA340" s="315">
        <v>45590</v>
      </c>
      <c r="AB340" s="321"/>
      <c r="AC340" s="198"/>
      <c r="AD340" s="198"/>
      <c r="AE340" s="279"/>
      <c r="AF340" s="279"/>
      <c r="AG340" s="279"/>
      <c r="AH340" s="279"/>
      <c r="AI340" s="198"/>
      <c r="AJ340" s="274" t="s">
        <v>689</v>
      </c>
      <c r="AK340"/>
    </row>
    <row r="341" spans="1:37" ht="15.75" hidden="1" customHeight="1">
      <c r="A341" s="198" t="s">
        <v>780</v>
      </c>
      <c r="B341" s="198" t="s">
        <v>786</v>
      </c>
      <c r="C341" s="214" t="s">
        <v>263</v>
      </c>
      <c r="D341" s="198" t="s">
        <v>79</v>
      </c>
      <c r="E341" s="198" t="s">
        <v>317</v>
      </c>
      <c r="F341" s="198">
        <v>115.22</v>
      </c>
      <c r="G341" s="198"/>
      <c r="H341" s="214" t="s">
        <v>848</v>
      </c>
      <c r="I341" s="214" t="s">
        <v>325</v>
      </c>
      <c r="J341" s="271">
        <v>23.35</v>
      </c>
      <c r="K341" s="198"/>
      <c r="L341" s="198"/>
      <c r="M341" s="198"/>
      <c r="N341" s="198"/>
      <c r="O341" s="198">
        <v>91.87</v>
      </c>
      <c r="P341" s="198"/>
      <c r="Q341" s="198" t="s">
        <v>326</v>
      </c>
      <c r="R341" s="230">
        <f>DATABASE_Table[[#This Row],[Inicial Asking Price (€) (Total)]]-DATABASE_Table[[#This Row],[Vista membership]]-DATABASE_Table[[#This Row],[FF&amp;E]]</f>
        <v>650000</v>
      </c>
      <c r="S341" s="234">
        <v>695000</v>
      </c>
      <c r="T341" s="235">
        <v>695000</v>
      </c>
      <c r="U341" s="198"/>
      <c r="V341" s="235">
        <v>45000</v>
      </c>
      <c r="W341" s="233">
        <f>DATABASE_Table[[#This Row],[Current Asking price( Total)]]-DATABASE_Table[[#This Row],[Vista membership]]-DATABASE_Table[[#This Row],[FF&amp;E]]</f>
        <v>650000</v>
      </c>
      <c r="X341" s="236">
        <v>0.02</v>
      </c>
      <c r="Y341" s="235">
        <v>681100</v>
      </c>
      <c r="Z341" s="233">
        <f>DATABASE_Table[[#This Row],[Sell price (Total)]]-DATABASE_Table[[#This Row],[FF&amp;E]]-DATABASE_Table[[#This Row],[Vista membership]]</f>
        <v>636100</v>
      </c>
      <c r="AA341" s="315">
        <v>46093</v>
      </c>
      <c r="AB341" s="321">
        <v>47118</v>
      </c>
      <c r="AC341" s="198" t="s">
        <v>80</v>
      </c>
      <c r="AD341" s="198" t="s">
        <v>81</v>
      </c>
      <c r="AE341" s="279" t="s">
        <v>82</v>
      </c>
      <c r="AF341" s="279" t="s">
        <v>83</v>
      </c>
      <c r="AG341" s="279" t="s">
        <v>84</v>
      </c>
      <c r="AH341" s="279" t="s">
        <v>85</v>
      </c>
      <c r="AI341" s="198" t="s">
        <v>86</v>
      </c>
      <c r="AJ341" s="274" t="s">
        <v>78</v>
      </c>
      <c r="AK341"/>
    </row>
    <row r="342" spans="1:37" ht="15.75" hidden="1" customHeight="1">
      <c r="A342" s="198" t="s">
        <v>780</v>
      </c>
      <c r="B342" s="198" t="s">
        <v>786</v>
      </c>
      <c r="C342" s="214" t="s">
        <v>266</v>
      </c>
      <c r="D342" s="198" t="s">
        <v>79</v>
      </c>
      <c r="E342" s="198" t="s">
        <v>317</v>
      </c>
      <c r="F342" s="198">
        <v>115.3</v>
      </c>
      <c r="G342" s="198"/>
      <c r="H342" s="214" t="s">
        <v>848</v>
      </c>
      <c r="I342" s="214" t="s">
        <v>325</v>
      </c>
      <c r="J342" s="271">
        <v>23.42</v>
      </c>
      <c r="K342" s="198"/>
      <c r="L342" s="198"/>
      <c r="M342" s="198"/>
      <c r="N342" s="198"/>
      <c r="O342" s="198">
        <v>91.88</v>
      </c>
      <c r="P342" s="198"/>
      <c r="Q342" s="198" t="s">
        <v>329</v>
      </c>
      <c r="R342" s="230">
        <f>DATABASE_Table[[#This Row],[Inicial Asking Price (€) (Total)]]-DATABASE_Table[[#This Row],[Vista membership]]-DATABASE_Table[[#This Row],[FF&amp;E]]</f>
        <v>650000</v>
      </c>
      <c r="S342" s="234">
        <v>695000</v>
      </c>
      <c r="T342" s="235">
        <v>695000</v>
      </c>
      <c r="U342" s="198"/>
      <c r="V342" s="235">
        <v>45000</v>
      </c>
      <c r="W342" s="233">
        <f>DATABASE_Table[[#This Row],[Current Asking price( Total)]]-DATABASE_Table[[#This Row],[Vista membership]]-DATABASE_Table[[#This Row],[FF&amp;E]]</f>
        <v>650000</v>
      </c>
      <c r="X342" s="236"/>
      <c r="Y342" s="235"/>
      <c r="Z342" s="233">
        <f>DATABASE_Table[[#This Row],[Sell price (Total)]]-DATABASE_Table[[#This Row],[FF&amp;E]]-DATABASE_Table[[#This Row],[Vista membership]]</f>
        <v>-45000</v>
      </c>
      <c r="AA342" s="315">
        <v>45687</v>
      </c>
      <c r="AB342" s="321">
        <v>47118</v>
      </c>
      <c r="AC342" s="198" t="s">
        <v>80</v>
      </c>
      <c r="AD342" s="198" t="s">
        <v>81</v>
      </c>
      <c r="AE342" s="279" t="s">
        <v>82</v>
      </c>
      <c r="AF342" s="279" t="s">
        <v>83</v>
      </c>
      <c r="AG342" s="279" t="s">
        <v>84</v>
      </c>
      <c r="AH342" s="279" t="s">
        <v>85</v>
      </c>
      <c r="AI342" s="198" t="s">
        <v>86</v>
      </c>
      <c r="AJ342" s="274" t="s">
        <v>78</v>
      </c>
      <c r="AK342"/>
    </row>
    <row r="343" spans="1:37" ht="15.75" hidden="1" customHeight="1">
      <c r="A343" s="198" t="s">
        <v>780</v>
      </c>
      <c r="B343" s="198" t="s">
        <v>786</v>
      </c>
      <c r="C343" s="214" t="s">
        <v>156</v>
      </c>
      <c r="D343" s="198" t="s">
        <v>79</v>
      </c>
      <c r="E343" s="198" t="s">
        <v>317</v>
      </c>
      <c r="F343" s="198">
        <v>115.24</v>
      </c>
      <c r="G343" s="198"/>
      <c r="H343" s="214" t="s">
        <v>848</v>
      </c>
      <c r="I343" s="214" t="s">
        <v>325</v>
      </c>
      <c r="J343" s="271">
        <v>23.36</v>
      </c>
      <c r="K343" s="198"/>
      <c r="L343" s="198"/>
      <c r="M343" s="198"/>
      <c r="N343" s="198"/>
      <c r="O343" s="198">
        <v>91.88</v>
      </c>
      <c r="P343" s="198"/>
      <c r="Q343" s="198" t="s">
        <v>328</v>
      </c>
      <c r="R343" s="230">
        <f>DATABASE_Table[[#This Row],[Inicial Asking Price (€) (Total)]]-DATABASE_Table[[#This Row],[Vista membership]]-DATABASE_Table[[#This Row],[FF&amp;E]]</f>
        <v>650000</v>
      </c>
      <c r="S343" s="234">
        <v>695000</v>
      </c>
      <c r="T343" s="235">
        <v>770000</v>
      </c>
      <c r="U343" s="198"/>
      <c r="V343" s="235">
        <v>45000</v>
      </c>
      <c r="W343" s="233">
        <f>DATABASE_Table[[#This Row],[Current Asking price( Total)]]-DATABASE_Table[[#This Row],[Vista membership]]-DATABASE_Table[[#This Row],[FF&amp;E]]</f>
        <v>725000</v>
      </c>
      <c r="X343" s="236"/>
      <c r="Y343" s="235"/>
      <c r="Z343" s="233">
        <f>DATABASE_Table[[#This Row],[Sell price (Total)]]-DATABASE_Table[[#This Row],[FF&amp;E]]-DATABASE_Table[[#This Row],[Vista membership]]</f>
        <v>-45000</v>
      </c>
      <c r="AA343" s="315">
        <v>46149</v>
      </c>
      <c r="AB343" s="321">
        <v>47118</v>
      </c>
      <c r="AC343" s="198" t="s">
        <v>80</v>
      </c>
      <c r="AD343" s="198" t="s">
        <v>81</v>
      </c>
      <c r="AE343" s="279" t="s">
        <v>82</v>
      </c>
      <c r="AF343" s="279" t="s">
        <v>83</v>
      </c>
      <c r="AG343" s="279" t="s">
        <v>84</v>
      </c>
      <c r="AH343" s="279" t="s">
        <v>85</v>
      </c>
      <c r="AI343" s="198" t="s">
        <v>86</v>
      </c>
      <c r="AJ343" s="274" t="s">
        <v>78</v>
      </c>
      <c r="AK343"/>
    </row>
    <row r="344" spans="1:37" ht="15.75" hidden="1" customHeight="1">
      <c r="A344" s="198" t="s">
        <v>780</v>
      </c>
      <c r="B344" s="198" t="s">
        <v>786</v>
      </c>
      <c r="C344" s="214" t="s">
        <v>261</v>
      </c>
      <c r="D344" s="198" t="s">
        <v>79</v>
      </c>
      <c r="E344" s="198" t="s">
        <v>317</v>
      </c>
      <c r="F344" s="198">
        <v>115.24</v>
      </c>
      <c r="G344" s="198"/>
      <c r="H344" s="214" t="s">
        <v>848</v>
      </c>
      <c r="I344" s="214" t="s">
        <v>325</v>
      </c>
      <c r="J344" s="271">
        <v>23.32</v>
      </c>
      <c r="K344" s="198"/>
      <c r="L344" s="198"/>
      <c r="M344" s="198"/>
      <c r="N344" s="198"/>
      <c r="O344" s="198">
        <v>91.92</v>
      </c>
      <c r="P344" s="198"/>
      <c r="Q344" s="198" t="s">
        <v>328</v>
      </c>
      <c r="R344" s="230">
        <f>DATABASE_Table[[#This Row],[Inicial Asking Price (€) (Total)]]-DATABASE_Table[[#This Row],[Vista membership]]-DATABASE_Table[[#This Row],[FF&amp;E]]</f>
        <v>650000</v>
      </c>
      <c r="S344" s="234">
        <v>695000</v>
      </c>
      <c r="T344" s="235">
        <v>770000</v>
      </c>
      <c r="U344" s="198"/>
      <c r="V344" s="235">
        <v>45000</v>
      </c>
      <c r="W344" s="233">
        <f>DATABASE_Table[[#This Row],[Current Asking price( Total)]]-DATABASE_Table[[#This Row],[Vista membership]]-DATABASE_Table[[#This Row],[FF&amp;E]]</f>
        <v>725000</v>
      </c>
      <c r="X344" s="236"/>
      <c r="Y344" s="235"/>
      <c r="Z344" s="233">
        <f>DATABASE_Table[[#This Row],[Sell price (Total)]]-DATABASE_Table[[#This Row],[FF&amp;E]]-DATABASE_Table[[#This Row],[Vista membership]]</f>
        <v>-45000</v>
      </c>
      <c r="AA344" s="315">
        <v>45988</v>
      </c>
      <c r="AB344" s="321">
        <v>47118</v>
      </c>
      <c r="AC344" s="198" t="s">
        <v>80</v>
      </c>
      <c r="AD344" s="198" t="s">
        <v>81</v>
      </c>
      <c r="AE344" s="279" t="s">
        <v>82</v>
      </c>
      <c r="AF344" s="279" t="s">
        <v>83</v>
      </c>
      <c r="AG344" s="279" t="s">
        <v>84</v>
      </c>
      <c r="AH344" s="279" t="s">
        <v>85</v>
      </c>
      <c r="AI344" s="198" t="s">
        <v>86</v>
      </c>
      <c r="AJ344" s="274" t="s">
        <v>78</v>
      </c>
      <c r="AK344"/>
    </row>
    <row r="345" spans="1:37" ht="15.75" hidden="1" customHeight="1">
      <c r="A345" s="198" t="s">
        <v>779</v>
      </c>
      <c r="B345" s="198" t="s">
        <v>786</v>
      </c>
      <c r="C345" s="214" t="s">
        <v>204</v>
      </c>
      <c r="D345" s="198" t="s">
        <v>79</v>
      </c>
      <c r="E345" s="198" t="s">
        <v>315</v>
      </c>
      <c r="F345" s="198">
        <v>98.7</v>
      </c>
      <c r="G345" s="198"/>
      <c r="H345" s="214" t="s">
        <v>848</v>
      </c>
      <c r="I345" s="214" t="s">
        <v>325</v>
      </c>
      <c r="J345" s="271">
        <v>13.3</v>
      </c>
      <c r="K345" s="198"/>
      <c r="L345" s="198"/>
      <c r="M345" s="198"/>
      <c r="N345" s="198"/>
      <c r="O345" s="198">
        <v>85.4</v>
      </c>
      <c r="P345" s="198"/>
      <c r="Q345" s="198" t="s">
        <v>329</v>
      </c>
      <c r="R345" s="230">
        <f>DATABASE_Table[[#This Row],[Inicial Asking Price (€) (Total)]]-DATABASE_Table[[#This Row],[Vista membership]]-DATABASE_Table[[#This Row],[FF&amp;E]]</f>
        <v>650000</v>
      </c>
      <c r="S345" s="234">
        <v>695000</v>
      </c>
      <c r="T345" s="235">
        <v>695000</v>
      </c>
      <c r="U345" s="198"/>
      <c r="V345" s="235">
        <v>45000</v>
      </c>
      <c r="W345" s="233">
        <f>DATABASE_Table[[#This Row],[Current Asking price( Total)]]-DATABASE_Table[[#This Row],[Vista membership]]-DATABASE_Table[[#This Row],[FF&amp;E]]</f>
        <v>650000</v>
      </c>
      <c r="X345" s="236"/>
      <c r="Y345" s="235"/>
      <c r="Z345" s="233">
        <f>DATABASE_Table[[#This Row],[Sell price (Total)]]-DATABASE_Table[[#This Row],[FF&amp;E]]-DATABASE_Table[[#This Row],[Vista membership]]</f>
        <v>-45000</v>
      </c>
      <c r="AA345" s="315">
        <v>45936</v>
      </c>
      <c r="AB345" s="321">
        <v>47118</v>
      </c>
      <c r="AC345" s="198" t="s">
        <v>80</v>
      </c>
      <c r="AD345" s="198" t="s">
        <v>81</v>
      </c>
      <c r="AE345" s="279" t="s">
        <v>82</v>
      </c>
      <c r="AF345" s="279" t="s">
        <v>83</v>
      </c>
      <c r="AG345" s="279" t="s">
        <v>84</v>
      </c>
      <c r="AH345" s="279" t="s">
        <v>85</v>
      </c>
      <c r="AI345" s="198" t="s">
        <v>86</v>
      </c>
      <c r="AJ345" s="274" t="s">
        <v>78</v>
      </c>
      <c r="AK345"/>
    </row>
    <row r="346" spans="1:37" ht="15.75" hidden="1" customHeight="1">
      <c r="A346" s="198" t="s">
        <v>779</v>
      </c>
      <c r="B346" s="198" t="s">
        <v>786</v>
      </c>
      <c r="C346" s="214" t="s">
        <v>212</v>
      </c>
      <c r="D346" s="198" t="s">
        <v>79</v>
      </c>
      <c r="E346" s="198" t="s">
        <v>315</v>
      </c>
      <c r="F346" s="198">
        <v>98.7</v>
      </c>
      <c r="G346" s="198"/>
      <c r="H346" s="214" t="s">
        <v>848</v>
      </c>
      <c r="I346" s="214" t="s">
        <v>325</v>
      </c>
      <c r="J346" s="271">
        <v>13.3</v>
      </c>
      <c r="K346" s="198"/>
      <c r="L346" s="198"/>
      <c r="M346" s="198"/>
      <c r="N346" s="198"/>
      <c r="O346" s="198">
        <v>85.4</v>
      </c>
      <c r="P346" s="198"/>
      <c r="Q346" s="198" t="s">
        <v>329</v>
      </c>
      <c r="R346" s="230">
        <f>DATABASE_Table[[#This Row],[Inicial Asking Price (€) (Total)]]-DATABASE_Table[[#This Row],[Vista membership]]-DATABASE_Table[[#This Row],[FF&amp;E]]</f>
        <v>650000</v>
      </c>
      <c r="S346" s="234">
        <v>695000</v>
      </c>
      <c r="T346" s="235">
        <v>695000</v>
      </c>
      <c r="U346" s="198"/>
      <c r="V346" s="235">
        <v>45000</v>
      </c>
      <c r="W346" s="233">
        <f>DATABASE_Table[[#This Row],[Current Asking price( Total)]]-DATABASE_Table[[#This Row],[Vista membership]]-DATABASE_Table[[#This Row],[FF&amp;E]]</f>
        <v>650000</v>
      </c>
      <c r="X346" s="236"/>
      <c r="Y346" s="235"/>
      <c r="Z346" s="233">
        <f>DATABASE_Table[[#This Row],[Sell price (Total)]]-DATABASE_Table[[#This Row],[FF&amp;E]]-DATABASE_Table[[#This Row],[Vista membership]]</f>
        <v>-45000</v>
      </c>
      <c r="AA346" s="315">
        <v>45985</v>
      </c>
      <c r="AB346" s="321">
        <v>47118</v>
      </c>
      <c r="AC346" s="198" t="s">
        <v>80</v>
      </c>
      <c r="AD346" s="198" t="s">
        <v>81</v>
      </c>
      <c r="AE346" s="279" t="s">
        <v>82</v>
      </c>
      <c r="AF346" s="279" t="s">
        <v>83</v>
      </c>
      <c r="AG346" s="279" t="s">
        <v>84</v>
      </c>
      <c r="AH346" s="279" t="s">
        <v>85</v>
      </c>
      <c r="AI346" s="198" t="s">
        <v>86</v>
      </c>
      <c r="AJ346" s="274" t="s">
        <v>78</v>
      </c>
      <c r="AK346"/>
    </row>
    <row r="347" spans="1:37" ht="15.75" hidden="1" customHeight="1">
      <c r="A347" s="198" t="s">
        <v>564</v>
      </c>
      <c r="B347" s="198" t="s">
        <v>691</v>
      </c>
      <c r="C347" s="214" t="s">
        <v>336</v>
      </c>
      <c r="D347" s="198" t="s">
        <v>9</v>
      </c>
      <c r="E347" s="198" t="s">
        <v>319</v>
      </c>
      <c r="F347" s="198">
        <v>118.78</v>
      </c>
      <c r="G347" s="198"/>
      <c r="H347" s="214" t="s">
        <v>325</v>
      </c>
      <c r="I347" s="214" t="s">
        <v>325</v>
      </c>
      <c r="J347" s="271">
        <v>28.9</v>
      </c>
      <c r="K347" s="198"/>
      <c r="L347" s="198"/>
      <c r="M347" s="198"/>
      <c r="N347" s="198"/>
      <c r="O347" s="198">
        <v>89.88</v>
      </c>
      <c r="P347" s="198"/>
      <c r="Q347" s="198" t="s">
        <v>329</v>
      </c>
      <c r="R347" s="230">
        <f>DATABASE_Table[[#This Row],[Inicial Asking Price (€) (Total)]]-DATABASE_Table[[#This Row],[Vista membership]]-DATABASE_Table[[#This Row],[FF&amp;E]]</f>
        <v>676586.24</v>
      </c>
      <c r="S347" s="231">
        <v>741186.24</v>
      </c>
      <c r="T347" s="232">
        <v>790000</v>
      </c>
      <c r="U347" s="198">
        <v>24600</v>
      </c>
      <c r="V347" s="198">
        <v>40000</v>
      </c>
      <c r="W347" s="233">
        <f>DATABASE_Table[[#This Row],[Current Asking price( Total)]]-DATABASE_Table[[#This Row],[Vista membership]]-DATABASE_Table[[#This Row],[FF&amp;E]]</f>
        <v>725400</v>
      </c>
      <c r="X347" s="216"/>
      <c r="Y347" s="232">
        <v>790000</v>
      </c>
      <c r="Z347" s="233">
        <f>DATABASE_Table[[#This Row],[Sell price (Total)]]-DATABASE_Table[[#This Row],[FF&amp;E]]-DATABASE_Table[[#This Row],[Vista membership]]</f>
        <v>725400</v>
      </c>
      <c r="AA347" s="315">
        <v>46090</v>
      </c>
      <c r="AB347" s="321"/>
      <c r="AC347" s="198" t="s">
        <v>10</v>
      </c>
      <c r="AD347" s="198" t="s">
        <v>35</v>
      </c>
      <c r="AE347" s="279" t="s">
        <v>43</v>
      </c>
      <c r="AF347" s="279" t="s">
        <v>44</v>
      </c>
      <c r="AG347" s="279" t="s">
        <v>45</v>
      </c>
      <c r="AH347" s="279" t="s">
        <v>46</v>
      </c>
      <c r="AI347" s="198" t="s">
        <v>47</v>
      </c>
      <c r="AJ347" s="274" t="s">
        <v>42</v>
      </c>
      <c r="AK347"/>
    </row>
    <row r="348" spans="1:37" ht="15.75" hidden="1" customHeight="1">
      <c r="A348" s="198" t="s">
        <v>630</v>
      </c>
      <c r="B348" s="198" t="s">
        <v>691</v>
      </c>
      <c r="C348" s="214" t="s">
        <v>362</v>
      </c>
      <c r="D348" s="198" t="s">
        <v>9</v>
      </c>
      <c r="E348" s="198" t="s">
        <v>319</v>
      </c>
      <c r="F348" s="198">
        <v>151.47999999999999</v>
      </c>
      <c r="G348" s="198"/>
      <c r="H348" s="214" t="s">
        <v>849</v>
      </c>
      <c r="I348" s="214" t="s">
        <v>325</v>
      </c>
      <c r="J348" s="271">
        <v>27.61</v>
      </c>
      <c r="K348" s="198"/>
      <c r="L348" s="198"/>
      <c r="M348" s="198">
        <v>0</v>
      </c>
      <c r="N348" s="198"/>
      <c r="O348" s="198">
        <v>123.87</v>
      </c>
      <c r="P348" s="198"/>
      <c r="Q348" s="198" t="s">
        <v>326</v>
      </c>
      <c r="R348" s="230">
        <f>DATABASE_Table[[#This Row],[Inicial Asking Price (€) (Total)]]-DATABASE_Table[[#This Row],[Vista membership]]-DATABASE_Table[[#This Row],[FF&amp;E]]</f>
        <v>1064095.956</v>
      </c>
      <c r="S348" s="231">
        <v>1064095.956</v>
      </c>
      <c r="T348" s="232">
        <v>1070000</v>
      </c>
      <c r="U348" s="198"/>
      <c r="V348" s="198"/>
      <c r="W348" s="233">
        <f>DATABASE_Table[[#This Row],[Current Asking price( Total)]]-DATABASE_Table[[#This Row],[Vista membership]]-DATABASE_Table[[#This Row],[FF&amp;E]]</f>
        <v>1070000</v>
      </c>
      <c r="X348" s="216">
        <v>0.08</v>
      </c>
      <c r="Y348" s="232">
        <v>984400</v>
      </c>
      <c r="Z348" s="233">
        <f>DATABASE_Table[[#This Row],[Sell price (Total)]]-DATABASE_Table[[#This Row],[FF&amp;E]]-DATABASE_Table[[#This Row],[Vista membership]]</f>
        <v>984400</v>
      </c>
      <c r="AA348" s="315">
        <v>46013</v>
      </c>
      <c r="AB348" s="321"/>
      <c r="AC348" s="198" t="s">
        <v>10</v>
      </c>
      <c r="AD348" s="198" t="s">
        <v>11</v>
      </c>
      <c r="AE348" s="279" t="s">
        <v>53</v>
      </c>
      <c r="AF348" s="279" t="s">
        <v>54</v>
      </c>
      <c r="AG348" s="279" t="s">
        <v>811</v>
      </c>
      <c r="AH348" s="279" t="s">
        <v>812</v>
      </c>
      <c r="AI348" s="198" t="s">
        <v>36</v>
      </c>
      <c r="AJ348" s="274" t="s">
        <v>52</v>
      </c>
      <c r="AK348"/>
    </row>
    <row r="349" spans="1:37" ht="15.75" hidden="1" customHeight="1">
      <c r="A349" s="198" t="s">
        <v>772</v>
      </c>
      <c r="B349" s="198" t="s">
        <v>769</v>
      </c>
      <c r="C349" s="214" t="s">
        <v>500</v>
      </c>
      <c r="D349" s="198"/>
      <c r="E349" s="198" t="s">
        <v>419</v>
      </c>
      <c r="F349" s="198">
        <v>117.1</v>
      </c>
      <c r="G349" s="198"/>
      <c r="H349" s="214" t="s">
        <v>650</v>
      </c>
      <c r="I349" s="214" t="s">
        <v>325</v>
      </c>
      <c r="J349" s="271"/>
      <c r="K349" s="198"/>
      <c r="L349" s="198"/>
      <c r="M349" s="198">
        <v>48.05</v>
      </c>
      <c r="N349" s="198"/>
      <c r="O349" s="198">
        <v>69.05</v>
      </c>
      <c r="P349" s="198"/>
      <c r="Q349" s="198" t="s">
        <v>628</v>
      </c>
      <c r="R349" s="230">
        <f>DATABASE_Table[[#This Row],[Inicial Asking Price (€) (Total)]]-DATABASE_Table[[#This Row],[Vista membership]]-DATABASE_Table[[#This Row],[FF&amp;E]]</f>
        <v>440000</v>
      </c>
      <c r="S349" s="234">
        <v>440000</v>
      </c>
      <c r="T349" s="235">
        <v>450000</v>
      </c>
      <c r="U349" s="198"/>
      <c r="V349" s="198"/>
      <c r="W349" s="233">
        <f>DATABASE_Table[[#This Row],[Current Asking price( Total)]]-DATABASE_Table[[#This Row],[Vista membership]]-DATABASE_Table[[#This Row],[FF&amp;E]]</f>
        <v>450000</v>
      </c>
      <c r="X349" s="236">
        <v>0</v>
      </c>
      <c r="Y349" s="235">
        <v>450000</v>
      </c>
      <c r="Z349" s="233">
        <f>DATABASE_Table[[#This Row],[Sell price (Total)]]-DATABASE_Table[[#This Row],[FF&amp;E]]-DATABASE_Table[[#This Row],[Vista membership]]</f>
        <v>450000</v>
      </c>
      <c r="AA349" s="316">
        <v>44974</v>
      </c>
      <c r="AB349" s="321">
        <v>46843</v>
      </c>
      <c r="AC349" s="198"/>
      <c r="AD349" s="198"/>
      <c r="AE349" s="279"/>
      <c r="AF349" s="279"/>
      <c r="AG349" s="279"/>
      <c r="AH349" s="279"/>
      <c r="AI349" s="198"/>
      <c r="AJ349" s="274" t="s">
        <v>66</v>
      </c>
      <c r="AK349"/>
    </row>
    <row r="350" spans="1:37" ht="15.75" hidden="1" customHeight="1">
      <c r="A350" s="198" t="s">
        <v>558</v>
      </c>
      <c r="B350" s="198" t="s">
        <v>691</v>
      </c>
      <c r="C350" s="214" t="s">
        <v>362</v>
      </c>
      <c r="D350" s="198" t="s">
        <v>9</v>
      </c>
      <c r="E350" s="198" t="s">
        <v>319</v>
      </c>
      <c r="F350" s="198">
        <v>106.14</v>
      </c>
      <c r="G350" s="198"/>
      <c r="H350" s="214" t="s">
        <v>905</v>
      </c>
      <c r="I350" s="214" t="s">
        <v>325</v>
      </c>
      <c r="J350" s="271"/>
      <c r="K350" s="198"/>
      <c r="L350" s="198"/>
      <c r="M350" s="198"/>
      <c r="N350" s="198"/>
      <c r="O350" s="198">
        <v>106.14</v>
      </c>
      <c r="P350" s="198"/>
      <c r="Q350" s="198" t="s">
        <v>329</v>
      </c>
      <c r="R350" s="230">
        <f>DATABASE_Table[[#This Row],[Inicial Asking Price (€) (Total)]]-DATABASE_Table[[#This Row],[Vista membership]]-DATABASE_Table[[#This Row],[FF&amp;E]]</f>
        <v>710000</v>
      </c>
      <c r="S350" s="231">
        <v>710000</v>
      </c>
      <c r="T350" s="232">
        <v>710000</v>
      </c>
      <c r="U350" s="198"/>
      <c r="V350" s="198"/>
      <c r="W350" s="233">
        <f>DATABASE_Table[[#This Row],[Current Asking price( Total)]]-DATABASE_Table[[#This Row],[Vista membership]]-DATABASE_Table[[#This Row],[FF&amp;E]]</f>
        <v>710000</v>
      </c>
      <c r="X350" s="216"/>
      <c r="Y350" s="232">
        <v>710000</v>
      </c>
      <c r="Z350" s="233">
        <f>DATABASE_Table[[#This Row],[Sell price (Total)]]-DATABASE_Table[[#This Row],[FF&amp;E]]-DATABASE_Table[[#This Row],[Vista membership]]</f>
        <v>710000</v>
      </c>
      <c r="AA350" s="315"/>
      <c r="AB350" s="321"/>
      <c r="AC350" s="198" t="s">
        <v>10</v>
      </c>
      <c r="AD350" s="198" t="s">
        <v>11</v>
      </c>
      <c r="AE350" s="279" t="s">
        <v>12</v>
      </c>
      <c r="AF350" s="279" t="s">
        <v>801</v>
      </c>
      <c r="AG350" s="279" t="s">
        <v>13</v>
      </c>
      <c r="AH350" s="279" t="s">
        <v>14</v>
      </c>
      <c r="AI350" s="198" t="s">
        <v>15</v>
      </c>
      <c r="AJ350" s="274" t="s">
        <v>8</v>
      </c>
      <c r="AK350"/>
    </row>
    <row r="351" spans="1:37" ht="15.75" hidden="1" customHeight="1">
      <c r="A351" s="198" t="s">
        <v>31</v>
      </c>
      <c r="B351" s="198" t="s">
        <v>691</v>
      </c>
      <c r="C351" s="214" t="s">
        <v>362</v>
      </c>
      <c r="D351" s="198" t="s">
        <v>9</v>
      </c>
      <c r="E351" s="198" t="s">
        <v>319</v>
      </c>
      <c r="F351" s="198"/>
      <c r="G351" s="198"/>
      <c r="H351" s="214" t="s">
        <v>325</v>
      </c>
      <c r="I351" s="214" t="s">
        <v>325</v>
      </c>
      <c r="J351" s="271"/>
      <c r="K351" s="198">
        <v>0</v>
      </c>
      <c r="L351" s="198"/>
      <c r="M351" s="198">
        <v>21</v>
      </c>
      <c r="N351" s="198"/>
      <c r="O351" s="198">
        <v>108</v>
      </c>
      <c r="P351" s="198"/>
      <c r="Q351" s="198" t="s">
        <v>329</v>
      </c>
      <c r="R351" s="230">
        <f>DATABASE_Table[[#This Row],[Inicial Asking Price (€) (Total)]]-DATABASE_Table[[#This Row],[Vista membership]]-DATABASE_Table[[#This Row],[FF&amp;E]]</f>
        <v>840000</v>
      </c>
      <c r="S351" s="232">
        <v>840000</v>
      </c>
      <c r="T351" s="232">
        <v>840000</v>
      </c>
      <c r="U351" s="198"/>
      <c r="V351" s="198"/>
      <c r="W351" s="233">
        <f>DATABASE_Table[[#This Row],[Current Asking price( Total)]]-DATABASE_Table[[#This Row],[Vista membership]]-DATABASE_Table[[#This Row],[FF&amp;E]]</f>
        <v>840000</v>
      </c>
      <c r="X351" s="216"/>
      <c r="Y351" s="232">
        <v>820000</v>
      </c>
      <c r="Z351" s="233">
        <f>DATABASE_Table[[#This Row],[Sell price (Total)]]-DATABASE_Table[[#This Row],[FF&amp;E]]-DATABASE_Table[[#This Row],[Vista membership]]</f>
        <v>820000</v>
      </c>
      <c r="AA351" s="315"/>
      <c r="AB351" s="321"/>
      <c r="AC351" s="198" t="s">
        <v>10</v>
      </c>
      <c r="AD351" s="198" t="s">
        <v>807</v>
      </c>
      <c r="AE351" s="279" t="s">
        <v>32</v>
      </c>
      <c r="AF351" s="279" t="s">
        <v>808</v>
      </c>
      <c r="AG351" s="279" t="s">
        <v>33</v>
      </c>
      <c r="AH351" s="279" t="s">
        <v>809</v>
      </c>
      <c r="AI351" s="198" t="s">
        <v>15</v>
      </c>
      <c r="AJ351" s="274" t="s">
        <v>31</v>
      </c>
      <c r="AK351"/>
    </row>
    <row r="352" spans="1:37" ht="15.75" hidden="1" customHeight="1">
      <c r="A352" s="198" t="s">
        <v>690</v>
      </c>
      <c r="B352" s="198" t="s">
        <v>691</v>
      </c>
      <c r="C352" s="214" t="s">
        <v>362</v>
      </c>
      <c r="D352" s="198" t="s">
        <v>9</v>
      </c>
      <c r="E352" s="198" t="s">
        <v>762</v>
      </c>
      <c r="F352" s="198">
        <v>404.86</v>
      </c>
      <c r="G352" s="198">
        <v>163.77000000000001</v>
      </c>
      <c r="H352" s="214" t="s">
        <v>325</v>
      </c>
      <c r="I352" s="214" t="s">
        <v>325</v>
      </c>
      <c r="J352" s="271">
        <v>19.649999999999999</v>
      </c>
      <c r="K352" s="198"/>
      <c r="L352" s="198"/>
      <c r="M352" s="198"/>
      <c r="N352" s="198"/>
      <c r="O352" s="198">
        <v>221.44</v>
      </c>
      <c r="P352" s="198"/>
      <c r="Q352" s="198" t="s">
        <v>329</v>
      </c>
      <c r="R352" s="230">
        <f>DATABASE_Table[[#This Row],[Inicial Asking Price (€) (Total)]]-DATABASE_Table[[#This Row],[Vista membership]]-DATABASE_Table[[#This Row],[FF&amp;E]]</f>
        <v>2614600</v>
      </c>
      <c r="S352" s="231">
        <v>2722300</v>
      </c>
      <c r="T352" s="232">
        <v>2830000</v>
      </c>
      <c r="U352" s="198">
        <v>24600</v>
      </c>
      <c r="V352" s="198">
        <v>83100</v>
      </c>
      <c r="W352" s="233">
        <f>DATABASE_Table[[#This Row],[Current Asking price( Total)]]-DATABASE_Table[[#This Row],[Vista membership]]-DATABASE_Table[[#This Row],[FF&amp;E]]</f>
        <v>2722300</v>
      </c>
      <c r="X352" s="216"/>
      <c r="Y352" s="232">
        <v>2830000</v>
      </c>
      <c r="Z352" s="233">
        <f>DATABASE_Table[[#This Row],[Sell price (Total)]]-DATABASE_Table[[#This Row],[FF&amp;E]]-DATABASE_Table[[#This Row],[Vista membership]]</f>
        <v>2722300</v>
      </c>
      <c r="AA352" s="315"/>
      <c r="AB352" s="321"/>
      <c r="AC352" s="198" t="s">
        <v>10</v>
      </c>
      <c r="AD352" s="198" t="s">
        <v>35</v>
      </c>
      <c r="AE352" s="279" t="s">
        <v>38</v>
      </c>
      <c r="AF352" s="279" t="s">
        <v>39</v>
      </c>
      <c r="AG352" s="279" t="s">
        <v>40</v>
      </c>
      <c r="AH352" s="279" t="s">
        <v>810</v>
      </c>
      <c r="AI352" s="198" t="s">
        <v>41</v>
      </c>
      <c r="AJ352" s="274" t="s">
        <v>37</v>
      </c>
      <c r="AK352"/>
    </row>
    <row r="353" spans="1:37" ht="15.75" hidden="1" customHeight="1">
      <c r="A353" s="198" t="s">
        <v>563</v>
      </c>
      <c r="B353" s="198" t="s">
        <v>691</v>
      </c>
      <c r="C353" s="214" t="s">
        <v>362</v>
      </c>
      <c r="D353" s="198" t="s">
        <v>9</v>
      </c>
      <c r="E353" s="198" t="s">
        <v>320</v>
      </c>
      <c r="F353" s="198">
        <v>130.91999999999999</v>
      </c>
      <c r="G353" s="198"/>
      <c r="H353" s="214" t="s">
        <v>325</v>
      </c>
      <c r="I353" s="214" t="s">
        <v>325</v>
      </c>
      <c r="J353" s="271"/>
      <c r="K353" s="198"/>
      <c r="L353" s="198"/>
      <c r="M353" s="198"/>
      <c r="N353" s="198"/>
      <c r="O353" s="198">
        <v>130.91999999999999</v>
      </c>
      <c r="P353" s="198"/>
      <c r="Q353" s="198" t="s">
        <v>628</v>
      </c>
      <c r="R353" s="230">
        <f>DATABASE_Table[[#This Row],[Inicial Asking Price (€) (Total)]]-DATABASE_Table[[#This Row],[Vista membership]]-DATABASE_Table[[#This Row],[FF&amp;E]]</f>
        <v>660000</v>
      </c>
      <c r="S353" s="231">
        <v>660000</v>
      </c>
      <c r="T353" s="232">
        <v>660000</v>
      </c>
      <c r="U353" s="198"/>
      <c r="V353" s="198"/>
      <c r="W353" s="233">
        <f>DATABASE_Table[[#This Row],[Current Asking price( Total)]]-DATABASE_Table[[#This Row],[Vista membership]]-DATABASE_Table[[#This Row],[FF&amp;E]]</f>
        <v>660000</v>
      </c>
      <c r="X353" s="216">
        <v>0</v>
      </c>
      <c r="Y353" s="232">
        <v>660000</v>
      </c>
      <c r="Z353" s="233">
        <f>DATABASE_Table[[#This Row],[Sell price (Total)]]-DATABASE_Table[[#This Row],[FF&amp;E]]-DATABASE_Table[[#This Row],[Vista membership]]</f>
        <v>660000</v>
      </c>
      <c r="AA353" s="316">
        <v>45849</v>
      </c>
      <c r="AB353" s="321"/>
      <c r="AC353" s="198" t="s">
        <v>10</v>
      </c>
      <c r="AD353" s="198" t="s">
        <v>11</v>
      </c>
      <c r="AE353" s="279" t="s">
        <v>28</v>
      </c>
      <c r="AF353" s="279" t="s">
        <v>29</v>
      </c>
      <c r="AG353" s="279" t="s">
        <v>805</v>
      </c>
      <c r="AH353" s="279" t="s">
        <v>806</v>
      </c>
      <c r="AI353" s="198" t="s">
        <v>30</v>
      </c>
      <c r="AJ353" s="274" t="s">
        <v>27</v>
      </c>
      <c r="AK353"/>
    </row>
    <row r="354" spans="1:37" ht="15.75" hidden="1" customHeight="1">
      <c r="A354" s="198" t="s">
        <v>562</v>
      </c>
      <c r="B354" s="198" t="s">
        <v>691</v>
      </c>
      <c r="C354" s="214" t="s">
        <v>362</v>
      </c>
      <c r="D354" s="198" t="s">
        <v>9</v>
      </c>
      <c r="E354" s="198" t="s">
        <v>319</v>
      </c>
      <c r="F354" s="198">
        <v>117</v>
      </c>
      <c r="G354" s="198"/>
      <c r="H354" s="214" t="s">
        <v>325</v>
      </c>
      <c r="I354" s="214" t="s">
        <v>325</v>
      </c>
      <c r="J354" s="271"/>
      <c r="K354" s="198"/>
      <c r="L354" s="198"/>
      <c r="M354" s="198"/>
      <c r="N354" s="198"/>
      <c r="O354" s="198">
        <v>117</v>
      </c>
      <c r="P354" s="198"/>
      <c r="Q354" s="198" t="s">
        <v>929</v>
      </c>
      <c r="R354" s="230">
        <f>DATABASE_Table[[#This Row],[Inicial Asking Price (€) (Total)]]-DATABASE_Table[[#This Row],[Vista membership]]-DATABASE_Table[[#This Row],[FF&amp;E]]</f>
        <v>490000</v>
      </c>
      <c r="S354" s="231">
        <v>490000</v>
      </c>
      <c r="T354" s="232">
        <v>490000</v>
      </c>
      <c r="U354" s="198"/>
      <c r="V354" s="198"/>
      <c r="W354" s="233">
        <f>DATABASE_Table[[#This Row],[Current Asking price( Total)]]-DATABASE_Table[[#This Row],[Vista membership]]-DATABASE_Table[[#This Row],[FF&amp;E]]</f>
        <v>490000</v>
      </c>
      <c r="X354" s="216">
        <v>0</v>
      </c>
      <c r="Y354" s="232">
        <v>490000</v>
      </c>
      <c r="Z354" s="233">
        <f>DATABASE_Table[[#This Row],[Sell price (Total)]]-DATABASE_Table[[#This Row],[FF&amp;E]]-DATABASE_Table[[#This Row],[Vista membership]]</f>
        <v>490000</v>
      </c>
      <c r="AA354" s="315">
        <v>46125</v>
      </c>
      <c r="AB354" s="321"/>
      <c r="AC354" s="198" t="s">
        <v>10</v>
      </c>
      <c r="AD354" s="198" t="s">
        <v>23</v>
      </c>
      <c r="AE354" s="279" t="s">
        <v>24</v>
      </c>
      <c r="AF354" s="279" t="s">
        <v>803</v>
      </c>
      <c r="AG354" s="279" t="s">
        <v>25</v>
      </c>
      <c r="AH354" s="279" t="s">
        <v>804</v>
      </c>
      <c r="AI354" s="198" t="s">
        <v>26</v>
      </c>
      <c r="AJ354" s="274" t="s">
        <v>22</v>
      </c>
      <c r="AK354"/>
    </row>
    <row r="355" spans="1:37" ht="15.75" hidden="1" customHeight="1">
      <c r="A355" s="198" t="s">
        <v>780</v>
      </c>
      <c r="B355" s="198" t="s">
        <v>786</v>
      </c>
      <c r="C355" s="214" t="s">
        <v>155</v>
      </c>
      <c r="D355" s="198" t="s">
        <v>79</v>
      </c>
      <c r="E355" s="198" t="s">
        <v>317</v>
      </c>
      <c r="F355" s="198">
        <v>116.52</v>
      </c>
      <c r="G355" s="198"/>
      <c r="H355" s="214" t="s">
        <v>848</v>
      </c>
      <c r="I355" s="214" t="s">
        <v>325</v>
      </c>
      <c r="J355" s="271">
        <v>23.67</v>
      </c>
      <c r="K355" s="198"/>
      <c r="L355" s="198"/>
      <c r="M355" s="198"/>
      <c r="N355" s="198"/>
      <c r="O355" s="198">
        <v>92.85</v>
      </c>
      <c r="P355" s="198"/>
      <c r="Q355" s="198" t="s">
        <v>328</v>
      </c>
      <c r="R355" s="230">
        <f>DATABASE_Table[[#This Row],[Inicial Asking Price (€) (Total)]]-DATABASE_Table[[#This Row],[Vista membership]]-DATABASE_Table[[#This Row],[FF&amp;E]]</f>
        <v>660000</v>
      </c>
      <c r="S355" s="234">
        <v>705000</v>
      </c>
      <c r="T355" s="235">
        <v>780000</v>
      </c>
      <c r="U355" s="198"/>
      <c r="V355" s="235">
        <v>45000</v>
      </c>
      <c r="W355" s="233">
        <f>DATABASE_Table[[#This Row],[Current Asking price( Total)]]-DATABASE_Table[[#This Row],[Vista membership]]-DATABASE_Table[[#This Row],[FF&amp;E]]</f>
        <v>735000</v>
      </c>
      <c r="X355" s="236"/>
      <c r="Y355" s="235"/>
      <c r="Z355" s="233">
        <f>DATABASE_Table[[#This Row],[Sell price (Total)]]-DATABASE_Table[[#This Row],[FF&amp;E]]-DATABASE_Table[[#This Row],[Vista membership]]</f>
        <v>-45000</v>
      </c>
      <c r="AA355" s="315"/>
      <c r="AB355" s="321">
        <v>47118</v>
      </c>
      <c r="AC355" s="198" t="s">
        <v>80</v>
      </c>
      <c r="AD355" s="198" t="s">
        <v>81</v>
      </c>
      <c r="AE355" s="279" t="s">
        <v>82</v>
      </c>
      <c r="AF355" s="279" t="s">
        <v>83</v>
      </c>
      <c r="AG355" s="279" t="s">
        <v>84</v>
      </c>
      <c r="AH355" s="279" t="s">
        <v>85</v>
      </c>
      <c r="AI355" s="198" t="s">
        <v>86</v>
      </c>
      <c r="AJ355" s="274" t="s">
        <v>78</v>
      </c>
      <c r="AK355"/>
    </row>
    <row r="356" spans="1:37" ht="15.75" hidden="1" customHeight="1">
      <c r="A356" s="198" t="s">
        <v>780</v>
      </c>
      <c r="B356" s="198" t="s">
        <v>786</v>
      </c>
      <c r="C356" s="214" t="s">
        <v>265</v>
      </c>
      <c r="D356" s="198" t="s">
        <v>79</v>
      </c>
      <c r="E356" s="198" t="s">
        <v>317</v>
      </c>
      <c r="F356" s="198">
        <v>116.58</v>
      </c>
      <c r="G356" s="198"/>
      <c r="H356" s="214" t="s">
        <v>848</v>
      </c>
      <c r="I356" s="214" t="s">
        <v>325</v>
      </c>
      <c r="J356" s="271">
        <v>23.68</v>
      </c>
      <c r="K356" s="198"/>
      <c r="L356" s="198"/>
      <c r="M356" s="198"/>
      <c r="N356" s="198"/>
      <c r="O356" s="198">
        <v>92.9</v>
      </c>
      <c r="P356" s="198"/>
      <c r="Q356" s="198" t="s">
        <v>328</v>
      </c>
      <c r="R356" s="230">
        <f>DATABASE_Table[[#This Row],[Inicial Asking Price (€) (Total)]]-DATABASE_Table[[#This Row],[Vista membership]]-DATABASE_Table[[#This Row],[FF&amp;E]]</f>
        <v>660000</v>
      </c>
      <c r="S356" s="234">
        <v>705000</v>
      </c>
      <c r="T356" s="235">
        <v>780000</v>
      </c>
      <c r="U356" s="198"/>
      <c r="V356" s="235">
        <v>45000</v>
      </c>
      <c r="W356" s="233">
        <f>DATABASE_Table[[#This Row],[Current Asking price( Total)]]-DATABASE_Table[[#This Row],[Vista membership]]-DATABASE_Table[[#This Row],[FF&amp;E]]</f>
        <v>735000</v>
      </c>
      <c r="X356" s="236"/>
      <c r="Y356" s="235"/>
      <c r="Z356" s="233">
        <f>DATABASE_Table[[#This Row],[Sell price (Total)]]-DATABASE_Table[[#This Row],[FF&amp;E]]-DATABASE_Table[[#This Row],[Vista membership]]</f>
        <v>-45000</v>
      </c>
      <c r="AA356" s="315"/>
      <c r="AB356" s="321">
        <v>47118</v>
      </c>
      <c r="AC356" s="198" t="s">
        <v>80</v>
      </c>
      <c r="AD356" s="198" t="s">
        <v>81</v>
      </c>
      <c r="AE356" s="279" t="s">
        <v>82</v>
      </c>
      <c r="AF356" s="279" t="s">
        <v>83</v>
      </c>
      <c r="AG356" s="279" t="s">
        <v>84</v>
      </c>
      <c r="AH356" s="279" t="s">
        <v>85</v>
      </c>
      <c r="AI356" s="198" t="s">
        <v>86</v>
      </c>
      <c r="AJ356" s="274" t="s">
        <v>78</v>
      </c>
      <c r="AK356"/>
    </row>
    <row r="357" spans="1:37" ht="15.75" hidden="1" customHeight="1">
      <c r="A357" s="198" t="s">
        <v>780</v>
      </c>
      <c r="B357" s="198" t="s">
        <v>786</v>
      </c>
      <c r="C357" s="214" t="s">
        <v>267</v>
      </c>
      <c r="D357" s="198" t="s">
        <v>79</v>
      </c>
      <c r="E357" s="198" t="s">
        <v>317</v>
      </c>
      <c r="F357" s="198">
        <v>116.58</v>
      </c>
      <c r="G357" s="198"/>
      <c r="H357" s="214" t="s">
        <v>848</v>
      </c>
      <c r="I357" s="214" t="s">
        <v>325</v>
      </c>
      <c r="J357" s="271">
        <v>23.68</v>
      </c>
      <c r="K357" s="198"/>
      <c r="L357" s="198"/>
      <c r="M357" s="198"/>
      <c r="N357" s="198"/>
      <c r="O357" s="198">
        <v>92.9</v>
      </c>
      <c r="P357" s="198"/>
      <c r="Q357" s="198" t="s">
        <v>328</v>
      </c>
      <c r="R357" s="230">
        <f>DATABASE_Table[[#This Row],[Inicial Asking Price (€) (Total)]]-DATABASE_Table[[#This Row],[Vista membership]]-DATABASE_Table[[#This Row],[FF&amp;E]]</f>
        <v>660000</v>
      </c>
      <c r="S357" s="234">
        <v>705000</v>
      </c>
      <c r="T357" s="235">
        <v>705000</v>
      </c>
      <c r="U357" s="198"/>
      <c r="V357" s="235">
        <v>45000</v>
      </c>
      <c r="W357" s="233">
        <f>DATABASE_Table[[#This Row],[Current Asking price( Total)]]-DATABASE_Table[[#This Row],[Vista membership]]-DATABASE_Table[[#This Row],[FF&amp;E]]</f>
        <v>660000</v>
      </c>
      <c r="X357" s="236"/>
      <c r="Y357" s="235"/>
      <c r="Z357" s="233">
        <f>DATABASE_Table[[#This Row],[Sell price (Total)]]-DATABASE_Table[[#This Row],[FF&amp;E]]-DATABASE_Table[[#This Row],[Vista membership]]</f>
        <v>-45000</v>
      </c>
      <c r="AA357" s="315"/>
      <c r="AB357" s="321">
        <v>47118</v>
      </c>
      <c r="AC357" s="198" t="s">
        <v>80</v>
      </c>
      <c r="AD357" s="198" t="s">
        <v>81</v>
      </c>
      <c r="AE357" s="279" t="s">
        <v>82</v>
      </c>
      <c r="AF357" s="279" t="s">
        <v>83</v>
      </c>
      <c r="AG357" s="279" t="s">
        <v>84</v>
      </c>
      <c r="AH357" s="279" t="s">
        <v>85</v>
      </c>
      <c r="AI357" s="198" t="s">
        <v>86</v>
      </c>
      <c r="AJ357" s="274" t="s">
        <v>78</v>
      </c>
      <c r="AK357"/>
    </row>
    <row r="358" spans="1:37" ht="15.75" hidden="1" customHeight="1">
      <c r="A358" s="198" t="s">
        <v>689</v>
      </c>
      <c r="B358" s="198" t="s">
        <v>691</v>
      </c>
      <c r="C358" s="214" t="s">
        <v>362</v>
      </c>
      <c r="D358" s="198"/>
      <c r="E358" s="198" t="s">
        <v>384</v>
      </c>
      <c r="F358" s="198">
        <v>158.05609999999999</v>
      </c>
      <c r="G358" s="198"/>
      <c r="H358" s="214" t="s">
        <v>325</v>
      </c>
      <c r="I358" s="214" t="s">
        <v>325</v>
      </c>
      <c r="J358" s="271"/>
      <c r="K358" s="198"/>
      <c r="L358" s="198"/>
      <c r="M358" s="198"/>
      <c r="N358" s="198"/>
      <c r="O358" s="198">
        <v>158.05609999999999</v>
      </c>
      <c r="P358" s="198"/>
      <c r="Q358" s="198" t="s">
        <v>929</v>
      </c>
      <c r="R358" s="230">
        <f>DATABASE_Table[[#This Row],[Inicial Asking Price (€) (Total)]]-DATABASE_Table[[#This Row],[Vista membership]]-DATABASE_Table[[#This Row],[FF&amp;E]]</f>
        <v>956900</v>
      </c>
      <c r="S358" s="231">
        <v>956900</v>
      </c>
      <c r="T358" s="232">
        <v>991999.99818600004</v>
      </c>
      <c r="U358" s="198"/>
      <c r="V358" s="198"/>
      <c r="W358" s="233">
        <f>DATABASE_Table[[#This Row],[Current Asking price( Total)]]-DATABASE_Table[[#This Row],[Vista membership]]-DATABASE_Table[[#This Row],[FF&amp;E]]</f>
        <v>991999.99818600004</v>
      </c>
      <c r="X358" s="216">
        <v>-1.82862902597947E-9</v>
      </c>
      <c r="Y358" s="232">
        <v>992000</v>
      </c>
      <c r="Z358" s="233">
        <f>DATABASE_Table[[#This Row],[Sell price (Total)]]-DATABASE_Table[[#This Row],[FF&amp;E]]-DATABASE_Table[[#This Row],[Vista membership]]</f>
        <v>992000</v>
      </c>
      <c r="AA358" s="315"/>
      <c r="AB358" s="321"/>
      <c r="AC358" s="198"/>
      <c r="AD358" s="198"/>
      <c r="AE358" s="279"/>
      <c r="AF358" s="279"/>
      <c r="AG358" s="279"/>
      <c r="AH358" s="279"/>
      <c r="AI358" s="198"/>
      <c r="AJ358" s="274" t="s">
        <v>689</v>
      </c>
      <c r="AK358"/>
    </row>
    <row r="359" spans="1:37" ht="15.75" hidden="1" customHeight="1">
      <c r="A359" s="198" t="s">
        <v>564</v>
      </c>
      <c r="B359" s="198" t="s">
        <v>691</v>
      </c>
      <c r="C359" s="214" t="s">
        <v>362</v>
      </c>
      <c r="D359" s="198" t="s">
        <v>9</v>
      </c>
      <c r="E359" s="198" t="s">
        <v>419</v>
      </c>
      <c r="F359" s="198">
        <v>89.44</v>
      </c>
      <c r="G359" s="198"/>
      <c r="H359" s="214" t="s">
        <v>325</v>
      </c>
      <c r="I359" s="214" t="s">
        <v>325</v>
      </c>
      <c r="J359" s="271">
        <v>26.52</v>
      </c>
      <c r="K359" s="198"/>
      <c r="L359" s="198"/>
      <c r="M359" s="198"/>
      <c r="N359" s="198"/>
      <c r="O359" s="198">
        <v>62.92</v>
      </c>
      <c r="P359" s="198"/>
      <c r="Q359" s="198" t="s">
        <v>329</v>
      </c>
      <c r="R359" s="230">
        <f>DATABASE_Table[[#This Row],[Inicial Asking Price (€) (Total)]]-DATABASE_Table[[#This Row],[Vista membership]]-DATABASE_Table[[#This Row],[FF&amp;E]]</f>
        <v>541064.86640000006</v>
      </c>
      <c r="S359" s="231">
        <v>595664.86640000006</v>
      </c>
      <c r="T359" s="232">
        <v>650000</v>
      </c>
      <c r="U359" s="198">
        <v>24600</v>
      </c>
      <c r="V359" s="198">
        <v>30000</v>
      </c>
      <c r="W359" s="233">
        <f>DATABASE_Table[[#This Row],[Current Asking price( Total)]]-DATABASE_Table[[#This Row],[Vista membership]]-DATABASE_Table[[#This Row],[FF&amp;E]]</f>
        <v>595400</v>
      </c>
      <c r="X359" s="216"/>
      <c r="Y359" s="232">
        <v>650000</v>
      </c>
      <c r="Z359" s="233">
        <f>DATABASE_Table[[#This Row],[Sell price (Total)]]-DATABASE_Table[[#This Row],[FF&amp;E]]-DATABASE_Table[[#This Row],[Vista membership]]</f>
        <v>595400</v>
      </c>
      <c r="AA359" s="315"/>
      <c r="AB359" s="321"/>
      <c r="AC359" s="198" t="s">
        <v>10</v>
      </c>
      <c r="AD359" s="198" t="s">
        <v>35</v>
      </c>
      <c r="AE359" s="279" t="s">
        <v>43</v>
      </c>
      <c r="AF359" s="279" t="s">
        <v>44</v>
      </c>
      <c r="AG359" s="279" t="s">
        <v>45</v>
      </c>
      <c r="AH359" s="279" t="s">
        <v>46</v>
      </c>
      <c r="AI359" s="198" t="s">
        <v>47</v>
      </c>
      <c r="AJ359" s="274" t="s">
        <v>42</v>
      </c>
      <c r="AK359"/>
    </row>
    <row r="360" spans="1:37" ht="15.75" hidden="1" customHeight="1">
      <c r="A360" s="198" t="s">
        <v>630</v>
      </c>
      <c r="B360" s="198" t="s">
        <v>691</v>
      </c>
      <c r="C360" s="214" t="s">
        <v>363</v>
      </c>
      <c r="D360" s="198" t="s">
        <v>9</v>
      </c>
      <c r="E360" s="198" t="s">
        <v>320</v>
      </c>
      <c r="F360" s="198">
        <v>195.81</v>
      </c>
      <c r="G360" s="198"/>
      <c r="H360" s="214" t="s">
        <v>850</v>
      </c>
      <c r="I360" s="214" t="s">
        <v>325</v>
      </c>
      <c r="J360" s="271">
        <v>32.97</v>
      </c>
      <c r="K360" s="198"/>
      <c r="L360" s="198"/>
      <c r="M360" s="198">
        <v>0</v>
      </c>
      <c r="N360" s="198"/>
      <c r="O360" s="198">
        <v>162.84</v>
      </c>
      <c r="P360" s="198"/>
      <c r="Q360" s="198" t="s">
        <v>329</v>
      </c>
      <c r="R360" s="230">
        <f>DATABASE_Table[[#This Row],[Inicial Asking Price (€) (Total)]]-DATABASE_Table[[#This Row],[Vista membership]]-DATABASE_Table[[#This Row],[FF&amp;E]]</f>
        <v>1369756.83</v>
      </c>
      <c r="S360" s="231">
        <v>1369756.83</v>
      </c>
      <c r="T360" s="232">
        <v>1425000</v>
      </c>
      <c r="U360" s="198"/>
      <c r="V360" s="198"/>
      <c r="W360" s="233">
        <f>DATABASE_Table[[#This Row],[Current Asking price( Total)]]-DATABASE_Table[[#This Row],[Vista membership]]-DATABASE_Table[[#This Row],[FF&amp;E]]</f>
        <v>1425000</v>
      </c>
      <c r="X360" s="216"/>
      <c r="Y360" s="232">
        <v>1411100</v>
      </c>
      <c r="Z360" s="233">
        <f>DATABASE_Table[[#This Row],[Sell price (Total)]]-DATABASE_Table[[#This Row],[FF&amp;E]]-DATABASE_Table[[#This Row],[Vista membership]]</f>
        <v>1411100</v>
      </c>
      <c r="AA360" s="315"/>
      <c r="AB360" s="321"/>
      <c r="AC360" s="198" t="s">
        <v>10</v>
      </c>
      <c r="AD360" s="198" t="s">
        <v>11</v>
      </c>
      <c r="AE360" s="279" t="s">
        <v>53</v>
      </c>
      <c r="AF360" s="279" t="s">
        <v>54</v>
      </c>
      <c r="AG360" s="279" t="s">
        <v>811</v>
      </c>
      <c r="AH360" s="279" t="s">
        <v>812</v>
      </c>
      <c r="AI360" s="198" t="s">
        <v>36</v>
      </c>
      <c r="AJ360" s="274" t="s">
        <v>52</v>
      </c>
      <c r="AK360"/>
    </row>
    <row r="361" spans="1:37" ht="15.75" hidden="1" customHeight="1">
      <c r="A361" s="198" t="s">
        <v>558</v>
      </c>
      <c r="B361" s="198" t="s">
        <v>691</v>
      </c>
      <c r="C361" s="214" t="s">
        <v>363</v>
      </c>
      <c r="D361" s="198" t="s">
        <v>9</v>
      </c>
      <c r="E361" s="198" t="s">
        <v>320</v>
      </c>
      <c r="F361" s="198">
        <v>153.46</v>
      </c>
      <c r="G361" s="198">
        <v>3.99</v>
      </c>
      <c r="H361" s="214" t="s">
        <v>871</v>
      </c>
      <c r="I361" s="214" t="s">
        <v>590</v>
      </c>
      <c r="J361" s="271"/>
      <c r="K361" s="198"/>
      <c r="L361" s="198"/>
      <c r="M361" s="198"/>
      <c r="N361" s="198"/>
      <c r="O361" s="198">
        <v>153.46</v>
      </c>
      <c r="P361" s="198"/>
      <c r="Q361" s="198" t="s">
        <v>628</v>
      </c>
      <c r="R361" s="230">
        <f>DATABASE_Table[[#This Row],[Inicial Asking Price (€) (Total)]]-DATABASE_Table[[#This Row],[Vista membership]]-DATABASE_Table[[#This Row],[FF&amp;E]]</f>
        <v>1040000</v>
      </c>
      <c r="S361" s="231">
        <v>1040000</v>
      </c>
      <c r="T361" s="232">
        <v>988000</v>
      </c>
      <c r="U361" s="198"/>
      <c r="V361" s="198"/>
      <c r="W361" s="233">
        <f>DATABASE_Table[[#This Row],[Current Asking price( Total)]]-DATABASE_Table[[#This Row],[Vista membership]]-DATABASE_Table[[#This Row],[FF&amp;E]]</f>
        <v>988000</v>
      </c>
      <c r="X361" s="216">
        <v>0</v>
      </c>
      <c r="Y361" s="232">
        <v>988000</v>
      </c>
      <c r="Z361" s="233">
        <f>DATABASE_Table[[#This Row],[Sell price (Total)]]-DATABASE_Table[[#This Row],[FF&amp;E]]-DATABASE_Table[[#This Row],[Vista membership]]</f>
        <v>988000</v>
      </c>
      <c r="AA361" s="315">
        <v>45630</v>
      </c>
      <c r="AB361" s="321"/>
      <c r="AC361" s="198" t="s">
        <v>10</v>
      </c>
      <c r="AD361" s="198" t="s">
        <v>11</v>
      </c>
      <c r="AE361" s="279" t="s">
        <v>12</v>
      </c>
      <c r="AF361" s="279" t="s">
        <v>801</v>
      </c>
      <c r="AG361" s="279" t="s">
        <v>13</v>
      </c>
      <c r="AH361" s="279" t="s">
        <v>14</v>
      </c>
      <c r="AI361" s="198" t="s">
        <v>15</v>
      </c>
      <c r="AJ361" s="274" t="s">
        <v>8</v>
      </c>
      <c r="AK361"/>
    </row>
    <row r="362" spans="1:37" ht="15.75" hidden="1" customHeight="1">
      <c r="A362" s="198" t="s">
        <v>31</v>
      </c>
      <c r="B362" s="198" t="s">
        <v>691</v>
      </c>
      <c r="C362" s="214" t="s">
        <v>363</v>
      </c>
      <c r="D362" s="198" t="s">
        <v>9</v>
      </c>
      <c r="E362" s="198" t="s">
        <v>320</v>
      </c>
      <c r="F362" s="198"/>
      <c r="G362" s="198"/>
      <c r="H362" s="214" t="s">
        <v>325</v>
      </c>
      <c r="I362" s="214" t="s">
        <v>325</v>
      </c>
      <c r="J362" s="271"/>
      <c r="K362" s="198">
        <v>0</v>
      </c>
      <c r="L362" s="198"/>
      <c r="M362" s="198">
        <v>16</v>
      </c>
      <c r="N362" s="198"/>
      <c r="O362" s="198">
        <v>137</v>
      </c>
      <c r="P362" s="198"/>
      <c r="Q362" s="198" t="s">
        <v>628</v>
      </c>
      <c r="R362" s="230">
        <f>DATABASE_Table[[#This Row],[Inicial Asking Price (€) (Total)]]-DATABASE_Table[[#This Row],[Vista membership]]-DATABASE_Table[[#This Row],[FF&amp;E]]</f>
        <v>860000</v>
      </c>
      <c r="S362" s="232">
        <v>860000</v>
      </c>
      <c r="T362" s="232">
        <v>860000</v>
      </c>
      <c r="U362" s="198"/>
      <c r="V362" s="198"/>
      <c r="W362" s="233">
        <f>DATABASE_Table[[#This Row],[Current Asking price( Total)]]-DATABASE_Table[[#This Row],[Vista membership]]-DATABASE_Table[[#This Row],[FF&amp;E]]</f>
        <v>860000</v>
      </c>
      <c r="X362" s="216">
        <v>0</v>
      </c>
      <c r="Y362" s="232">
        <v>860000</v>
      </c>
      <c r="Z362" s="233">
        <f>DATABASE_Table[[#This Row],[Sell price (Total)]]-DATABASE_Table[[#This Row],[FF&amp;E]]-DATABASE_Table[[#This Row],[Vista membership]]</f>
        <v>860000</v>
      </c>
      <c r="AA362" s="316">
        <v>46171</v>
      </c>
      <c r="AB362" s="321"/>
      <c r="AC362" s="198" t="s">
        <v>10</v>
      </c>
      <c r="AD362" s="198" t="s">
        <v>807</v>
      </c>
      <c r="AE362" s="279" t="s">
        <v>32</v>
      </c>
      <c r="AF362" s="279" t="s">
        <v>808</v>
      </c>
      <c r="AG362" s="279" t="s">
        <v>33</v>
      </c>
      <c r="AH362" s="279" t="s">
        <v>809</v>
      </c>
      <c r="AI362" s="198" t="s">
        <v>15</v>
      </c>
      <c r="AJ362" s="274" t="s">
        <v>31</v>
      </c>
      <c r="AK362"/>
    </row>
    <row r="363" spans="1:37" ht="15.75" hidden="1" customHeight="1">
      <c r="A363" s="198" t="s">
        <v>772</v>
      </c>
      <c r="B363" s="198" t="s">
        <v>769</v>
      </c>
      <c r="C363" s="214" t="s">
        <v>501</v>
      </c>
      <c r="D363" s="198"/>
      <c r="E363" s="198" t="s">
        <v>419</v>
      </c>
      <c r="F363" s="198">
        <v>81.349999999999994</v>
      </c>
      <c r="G363" s="198"/>
      <c r="H363" s="214" t="s">
        <v>651</v>
      </c>
      <c r="I363" s="214" t="s">
        <v>325</v>
      </c>
      <c r="J363" s="271"/>
      <c r="K363" s="198"/>
      <c r="L363" s="198"/>
      <c r="M363" s="198">
        <v>16.95</v>
      </c>
      <c r="N363" s="198"/>
      <c r="O363" s="198">
        <v>64.400000000000006</v>
      </c>
      <c r="P363" s="198"/>
      <c r="Q363" s="198" t="s">
        <v>628</v>
      </c>
      <c r="R363" s="230">
        <f>DATABASE_Table[[#This Row],[Inicial Asking Price (€) (Total)]]-DATABASE_Table[[#This Row],[Vista membership]]-DATABASE_Table[[#This Row],[FF&amp;E]]</f>
        <v>550000</v>
      </c>
      <c r="S363" s="234">
        <v>550000</v>
      </c>
      <c r="T363" s="235">
        <v>425000</v>
      </c>
      <c r="U363" s="198"/>
      <c r="V363" s="198"/>
      <c r="W363" s="233">
        <f>DATABASE_Table[[#This Row],[Current Asking price( Total)]]-DATABASE_Table[[#This Row],[Vista membership]]-DATABASE_Table[[#This Row],[FF&amp;E]]</f>
        <v>425000</v>
      </c>
      <c r="X363" s="236">
        <v>0</v>
      </c>
      <c r="Y363" s="235">
        <v>425000</v>
      </c>
      <c r="Z363" s="233">
        <f>DATABASE_Table[[#This Row],[Sell price (Total)]]-DATABASE_Table[[#This Row],[FF&amp;E]]-DATABASE_Table[[#This Row],[Vista membership]]</f>
        <v>425000</v>
      </c>
      <c r="AA363" s="316">
        <v>45110</v>
      </c>
      <c r="AB363" s="321">
        <v>46843</v>
      </c>
      <c r="AC363" s="198"/>
      <c r="AD363" s="198"/>
      <c r="AE363" s="279"/>
      <c r="AF363" s="279"/>
      <c r="AG363" s="279"/>
      <c r="AH363" s="279"/>
      <c r="AI363" s="198"/>
      <c r="AJ363" s="274" t="s">
        <v>66</v>
      </c>
      <c r="AK363"/>
    </row>
    <row r="364" spans="1:37" ht="15.75" hidden="1" customHeight="1">
      <c r="A364" s="198" t="s">
        <v>772</v>
      </c>
      <c r="B364" s="198" t="s">
        <v>769</v>
      </c>
      <c r="C364" s="214" t="s">
        <v>502</v>
      </c>
      <c r="D364" s="198"/>
      <c r="E364" s="198" t="s">
        <v>419</v>
      </c>
      <c r="F364" s="198">
        <v>99.7</v>
      </c>
      <c r="G364" s="198"/>
      <c r="H364" s="214" t="s">
        <v>652</v>
      </c>
      <c r="I364" s="214" t="s">
        <v>325</v>
      </c>
      <c r="J364" s="271"/>
      <c r="K364" s="198"/>
      <c r="L364" s="198"/>
      <c r="M364" s="198">
        <v>28.6</v>
      </c>
      <c r="N364" s="198"/>
      <c r="O364" s="198">
        <v>71.099999999999994</v>
      </c>
      <c r="P364" s="198"/>
      <c r="Q364" s="198" t="s">
        <v>628</v>
      </c>
      <c r="R364" s="230">
        <f>DATABASE_Table[[#This Row],[Inicial Asking Price (€) (Total)]]-DATABASE_Table[[#This Row],[Vista membership]]-DATABASE_Table[[#This Row],[FF&amp;E]]</f>
        <v>550000</v>
      </c>
      <c r="S364" s="234">
        <v>550000</v>
      </c>
      <c r="T364" s="235">
        <v>455000</v>
      </c>
      <c r="U364" s="198"/>
      <c r="V364" s="198"/>
      <c r="W364" s="233">
        <f>DATABASE_Table[[#This Row],[Current Asking price( Total)]]-DATABASE_Table[[#This Row],[Vista membership]]-DATABASE_Table[[#This Row],[FF&amp;E]]</f>
        <v>455000</v>
      </c>
      <c r="X364" s="236">
        <v>0</v>
      </c>
      <c r="Y364" s="235">
        <v>455000</v>
      </c>
      <c r="Z364" s="233">
        <f>DATABASE_Table[[#This Row],[Sell price (Total)]]-DATABASE_Table[[#This Row],[FF&amp;E]]-DATABASE_Table[[#This Row],[Vista membership]]</f>
        <v>455000</v>
      </c>
      <c r="AA364" s="316">
        <v>45079</v>
      </c>
      <c r="AB364" s="321">
        <v>46843</v>
      </c>
      <c r="AC364" s="198"/>
      <c r="AD364" s="198"/>
      <c r="AE364" s="279"/>
      <c r="AF364" s="279"/>
      <c r="AG364" s="279"/>
      <c r="AH364" s="279"/>
      <c r="AI364" s="198"/>
      <c r="AJ364" s="274" t="s">
        <v>66</v>
      </c>
      <c r="AK364"/>
    </row>
    <row r="365" spans="1:37" ht="15.75" hidden="1" customHeight="1">
      <c r="A365" s="198" t="s">
        <v>772</v>
      </c>
      <c r="B365" s="198" t="s">
        <v>769</v>
      </c>
      <c r="C365" s="214" t="s">
        <v>503</v>
      </c>
      <c r="D365" s="198"/>
      <c r="E365" s="198" t="s">
        <v>504</v>
      </c>
      <c r="F365" s="198">
        <v>245.6</v>
      </c>
      <c r="G365" s="198"/>
      <c r="H365" s="214" t="s">
        <v>653</v>
      </c>
      <c r="I365" s="214" t="s">
        <v>325</v>
      </c>
      <c r="J365" s="271"/>
      <c r="K365" s="198"/>
      <c r="L365" s="198"/>
      <c r="M365" s="198">
        <v>95.75</v>
      </c>
      <c r="N365" s="198"/>
      <c r="O365" s="198">
        <v>149.85</v>
      </c>
      <c r="P365" s="198"/>
      <c r="Q365" s="198" t="s">
        <v>628</v>
      </c>
      <c r="R365" s="230">
        <f>DATABASE_Table[[#This Row],[Inicial Asking Price (€) (Total)]]-DATABASE_Table[[#This Row],[Vista membership]]-DATABASE_Table[[#This Row],[FF&amp;E]]</f>
        <v>680000</v>
      </c>
      <c r="S365" s="234">
        <v>680000</v>
      </c>
      <c r="T365" s="235">
        <v>1700000</v>
      </c>
      <c r="U365" s="198"/>
      <c r="V365" s="198"/>
      <c r="W365" s="233">
        <f>DATABASE_Table[[#This Row],[Current Asking price( Total)]]-DATABASE_Table[[#This Row],[Vista membership]]-DATABASE_Table[[#This Row],[FF&amp;E]]</f>
        <v>1700000</v>
      </c>
      <c r="X365" s="236">
        <v>0</v>
      </c>
      <c r="Y365" s="235">
        <v>1700000</v>
      </c>
      <c r="Z365" s="233">
        <f>DATABASE_Table[[#This Row],[Sell price (Total)]]-DATABASE_Table[[#This Row],[FF&amp;E]]-DATABASE_Table[[#This Row],[Vista membership]]</f>
        <v>1700000</v>
      </c>
      <c r="AA365" s="316">
        <v>45989</v>
      </c>
      <c r="AB365" s="321">
        <v>46843</v>
      </c>
      <c r="AC365" s="198"/>
      <c r="AD365" s="198"/>
      <c r="AE365" s="279"/>
      <c r="AF365" s="279"/>
      <c r="AG365" s="279"/>
      <c r="AH365" s="279"/>
      <c r="AI365" s="198"/>
      <c r="AJ365" s="274" t="s">
        <v>66</v>
      </c>
      <c r="AK365"/>
    </row>
    <row r="366" spans="1:37" ht="15.75" hidden="1" customHeight="1">
      <c r="A366" s="198" t="s">
        <v>772</v>
      </c>
      <c r="B366" s="198" t="s">
        <v>769</v>
      </c>
      <c r="C366" s="214" t="s">
        <v>505</v>
      </c>
      <c r="D366" s="198"/>
      <c r="E366" s="198" t="s">
        <v>506</v>
      </c>
      <c r="F366" s="198">
        <v>223.65</v>
      </c>
      <c r="G366" s="198"/>
      <c r="H366" s="214" t="s">
        <v>654</v>
      </c>
      <c r="I366" s="214" t="s">
        <v>325</v>
      </c>
      <c r="J366" s="271"/>
      <c r="K366" s="198"/>
      <c r="L366" s="198"/>
      <c r="M366" s="198">
        <v>73.95</v>
      </c>
      <c r="N366" s="198"/>
      <c r="O366" s="198">
        <v>149.69999999999999</v>
      </c>
      <c r="P366" s="198"/>
      <c r="Q366" s="198" t="s">
        <v>628</v>
      </c>
      <c r="R366" s="230">
        <f>DATABASE_Table[[#This Row],[Inicial Asking Price (€) (Total)]]-DATABASE_Table[[#This Row],[Vista membership]]-DATABASE_Table[[#This Row],[FF&amp;E]]</f>
        <v>570000</v>
      </c>
      <c r="S366" s="234">
        <v>570000</v>
      </c>
      <c r="T366" s="235">
        <v>1550000</v>
      </c>
      <c r="U366" s="198"/>
      <c r="V366" s="198"/>
      <c r="W366" s="233">
        <f>DATABASE_Table[[#This Row],[Current Asking price( Total)]]-DATABASE_Table[[#This Row],[Vista membership]]-DATABASE_Table[[#This Row],[FF&amp;E]]</f>
        <v>1550000</v>
      </c>
      <c r="X366" s="236">
        <v>0</v>
      </c>
      <c r="Y366" s="235">
        <v>1550000</v>
      </c>
      <c r="Z366" s="233">
        <f>DATABASE_Table[[#This Row],[Sell price (Total)]]-DATABASE_Table[[#This Row],[FF&amp;E]]-DATABASE_Table[[#This Row],[Vista membership]]</f>
        <v>1550000</v>
      </c>
      <c r="AA366" s="316">
        <v>45002</v>
      </c>
      <c r="AB366" s="321">
        <v>46843</v>
      </c>
      <c r="AC366" s="198"/>
      <c r="AD366" s="198"/>
      <c r="AE366" s="279"/>
      <c r="AF366" s="279"/>
      <c r="AG366" s="279"/>
      <c r="AH366" s="279"/>
      <c r="AI366" s="198"/>
      <c r="AJ366" s="274" t="s">
        <v>66</v>
      </c>
      <c r="AK366"/>
    </row>
    <row r="367" spans="1:37" ht="15.75" hidden="1" customHeight="1">
      <c r="A367" s="198" t="s">
        <v>772</v>
      </c>
      <c r="B367" s="198" t="s">
        <v>769</v>
      </c>
      <c r="C367" s="214" t="s">
        <v>507</v>
      </c>
      <c r="D367" s="198"/>
      <c r="E367" s="198" t="s">
        <v>319</v>
      </c>
      <c r="F367" s="198">
        <v>156.55000000000001</v>
      </c>
      <c r="G367" s="198"/>
      <c r="H367" s="214" t="s">
        <v>655</v>
      </c>
      <c r="I367" s="214" t="s">
        <v>325</v>
      </c>
      <c r="J367" s="271"/>
      <c r="K367" s="198"/>
      <c r="L367" s="198"/>
      <c r="M367" s="198">
        <v>35.950000000000003</v>
      </c>
      <c r="N367" s="198"/>
      <c r="O367" s="198">
        <v>120.6</v>
      </c>
      <c r="P367" s="198"/>
      <c r="Q367" s="198" t="s">
        <v>628</v>
      </c>
      <c r="R367" s="230">
        <f>DATABASE_Table[[#This Row],[Inicial Asking Price (€) (Total)]]-DATABASE_Table[[#This Row],[Vista membership]]-DATABASE_Table[[#This Row],[FF&amp;E]]</f>
        <v>660000</v>
      </c>
      <c r="S367" s="234">
        <v>660000</v>
      </c>
      <c r="T367" s="235">
        <v>1200000</v>
      </c>
      <c r="U367" s="198"/>
      <c r="V367" s="198"/>
      <c r="W367" s="233">
        <f>DATABASE_Table[[#This Row],[Current Asking price( Total)]]-DATABASE_Table[[#This Row],[Vista membership]]-DATABASE_Table[[#This Row],[FF&amp;E]]</f>
        <v>1200000</v>
      </c>
      <c r="X367" s="236">
        <v>0</v>
      </c>
      <c r="Y367" s="235">
        <v>1200000</v>
      </c>
      <c r="Z367" s="233">
        <f>DATABASE_Table[[#This Row],[Sell price (Total)]]-DATABASE_Table[[#This Row],[FF&amp;E]]-DATABASE_Table[[#This Row],[Vista membership]]</f>
        <v>1200000</v>
      </c>
      <c r="AA367" s="316">
        <v>45037</v>
      </c>
      <c r="AB367" s="321">
        <v>46843</v>
      </c>
      <c r="AC367" s="198"/>
      <c r="AD367" s="198"/>
      <c r="AE367" s="279"/>
      <c r="AF367" s="279"/>
      <c r="AG367" s="279"/>
      <c r="AH367" s="279"/>
      <c r="AI367" s="198"/>
      <c r="AJ367" s="274" t="s">
        <v>66</v>
      </c>
      <c r="AK367"/>
    </row>
    <row r="368" spans="1:37" ht="15.75" hidden="1" customHeight="1">
      <c r="A368" s="198" t="s">
        <v>690</v>
      </c>
      <c r="B368" s="198" t="s">
        <v>691</v>
      </c>
      <c r="C368" s="214" t="s">
        <v>363</v>
      </c>
      <c r="D368" s="198" t="s">
        <v>9</v>
      </c>
      <c r="E368" s="198" t="s">
        <v>762</v>
      </c>
      <c r="F368" s="198">
        <v>404.86</v>
      </c>
      <c r="G368" s="198">
        <v>163.77000000000001</v>
      </c>
      <c r="H368" s="214" t="s">
        <v>325</v>
      </c>
      <c r="I368" s="214" t="s">
        <v>325</v>
      </c>
      <c r="J368" s="271">
        <v>19.649999999999999</v>
      </c>
      <c r="K368" s="198"/>
      <c r="L368" s="198"/>
      <c r="M368" s="198"/>
      <c r="N368" s="198"/>
      <c r="O368" s="198">
        <v>221.44</v>
      </c>
      <c r="P368" s="198"/>
      <c r="Q368" s="198" t="s">
        <v>329</v>
      </c>
      <c r="R368" s="230">
        <f>DATABASE_Table[[#This Row],[Inicial Asking Price (€) (Total)]]-DATABASE_Table[[#This Row],[Vista membership]]-DATABASE_Table[[#This Row],[FF&amp;E]]</f>
        <v>2614600</v>
      </c>
      <c r="S368" s="231">
        <v>2722300</v>
      </c>
      <c r="T368" s="232">
        <v>2830000</v>
      </c>
      <c r="U368" s="198">
        <v>24600</v>
      </c>
      <c r="V368" s="198">
        <v>83100</v>
      </c>
      <c r="W368" s="233">
        <f>DATABASE_Table[[#This Row],[Current Asking price( Total)]]-DATABASE_Table[[#This Row],[Vista membership]]-DATABASE_Table[[#This Row],[FF&amp;E]]</f>
        <v>2722300</v>
      </c>
      <c r="X368" s="216"/>
      <c r="Y368" s="232">
        <v>2830000</v>
      </c>
      <c r="Z368" s="233">
        <f>DATABASE_Table[[#This Row],[Sell price (Total)]]-DATABASE_Table[[#This Row],[FF&amp;E]]-DATABASE_Table[[#This Row],[Vista membership]]</f>
        <v>2722300</v>
      </c>
      <c r="AA368" s="315"/>
      <c r="AB368" s="321"/>
      <c r="AC368" s="198" t="s">
        <v>10</v>
      </c>
      <c r="AD368" s="198" t="s">
        <v>35</v>
      </c>
      <c r="AE368" s="279" t="s">
        <v>38</v>
      </c>
      <c r="AF368" s="279" t="s">
        <v>39</v>
      </c>
      <c r="AG368" s="279" t="s">
        <v>40</v>
      </c>
      <c r="AH368" s="279" t="s">
        <v>810</v>
      </c>
      <c r="AI368" s="198" t="s">
        <v>41</v>
      </c>
      <c r="AJ368" s="274" t="s">
        <v>37</v>
      </c>
      <c r="AK368"/>
    </row>
    <row r="369" spans="1:37" ht="15.75" hidden="1" customHeight="1">
      <c r="A369" s="198" t="s">
        <v>563</v>
      </c>
      <c r="B369" s="198" t="s">
        <v>691</v>
      </c>
      <c r="C369" s="214" t="s">
        <v>363</v>
      </c>
      <c r="D369" s="198" t="s">
        <v>9</v>
      </c>
      <c r="E369" s="198" t="s">
        <v>320</v>
      </c>
      <c r="F369" s="198">
        <v>130.91999999999999</v>
      </c>
      <c r="G369" s="198"/>
      <c r="H369" s="214" t="s">
        <v>325</v>
      </c>
      <c r="I369" s="214" t="s">
        <v>325</v>
      </c>
      <c r="J369" s="271"/>
      <c r="K369" s="198"/>
      <c r="L369" s="198"/>
      <c r="M369" s="198"/>
      <c r="N369" s="198"/>
      <c r="O369" s="198">
        <v>130.91999999999999</v>
      </c>
      <c r="P369" s="198"/>
      <c r="Q369" s="198" t="s">
        <v>628</v>
      </c>
      <c r="R369" s="230">
        <f>DATABASE_Table[[#This Row],[Inicial Asking Price (€) (Total)]]-DATABASE_Table[[#This Row],[Vista membership]]-DATABASE_Table[[#This Row],[FF&amp;E]]</f>
        <v>680000</v>
      </c>
      <c r="S369" s="231">
        <v>680000</v>
      </c>
      <c r="T369" s="232">
        <v>680000</v>
      </c>
      <c r="U369" s="198"/>
      <c r="V369" s="198"/>
      <c r="W369" s="233">
        <f>DATABASE_Table[[#This Row],[Current Asking price( Total)]]-DATABASE_Table[[#This Row],[Vista membership]]-DATABASE_Table[[#This Row],[FF&amp;E]]</f>
        <v>680000</v>
      </c>
      <c r="X369" s="216">
        <v>0</v>
      </c>
      <c r="Y369" s="232">
        <v>680000</v>
      </c>
      <c r="Z369" s="233">
        <f>DATABASE_Table[[#This Row],[Sell price (Total)]]-DATABASE_Table[[#This Row],[FF&amp;E]]-DATABASE_Table[[#This Row],[Vista membership]]</f>
        <v>680000</v>
      </c>
      <c r="AA369" s="316">
        <v>45664</v>
      </c>
      <c r="AB369" s="321"/>
      <c r="AC369" s="198" t="s">
        <v>10</v>
      </c>
      <c r="AD369" s="198" t="s">
        <v>11</v>
      </c>
      <c r="AE369" s="279" t="s">
        <v>28</v>
      </c>
      <c r="AF369" s="279" t="s">
        <v>29</v>
      </c>
      <c r="AG369" s="279" t="s">
        <v>805</v>
      </c>
      <c r="AH369" s="279" t="s">
        <v>806</v>
      </c>
      <c r="AI369" s="198" t="s">
        <v>30</v>
      </c>
      <c r="AJ369" s="274" t="s">
        <v>27</v>
      </c>
      <c r="AK369"/>
    </row>
    <row r="370" spans="1:37" ht="15.75" hidden="1" customHeight="1">
      <c r="A370" s="198" t="s">
        <v>562</v>
      </c>
      <c r="B370" s="198" t="s">
        <v>691</v>
      </c>
      <c r="C370" s="214" t="s">
        <v>363</v>
      </c>
      <c r="D370" s="198" t="s">
        <v>9</v>
      </c>
      <c r="E370" s="198" t="s">
        <v>320</v>
      </c>
      <c r="F370" s="198">
        <v>157</v>
      </c>
      <c r="G370" s="198"/>
      <c r="H370" s="214" t="s">
        <v>325</v>
      </c>
      <c r="I370" s="214" t="s">
        <v>325</v>
      </c>
      <c r="J370" s="271"/>
      <c r="K370" s="198"/>
      <c r="L370" s="198"/>
      <c r="M370" s="198"/>
      <c r="N370" s="198"/>
      <c r="O370" s="198">
        <v>157</v>
      </c>
      <c r="P370" s="198"/>
      <c r="Q370" s="198" t="s">
        <v>929</v>
      </c>
      <c r="R370" s="230">
        <f>DATABASE_Table[[#This Row],[Inicial Asking Price (€) (Total)]]-DATABASE_Table[[#This Row],[Vista membership]]-DATABASE_Table[[#This Row],[FF&amp;E]]</f>
        <v>740000</v>
      </c>
      <c r="S370" s="231">
        <v>740000</v>
      </c>
      <c r="T370" s="232">
        <v>830000</v>
      </c>
      <c r="U370" s="198"/>
      <c r="V370" s="198"/>
      <c r="W370" s="233">
        <f>DATABASE_Table[[#This Row],[Current Asking price( Total)]]-DATABASE_Table[[#This Row],[Vista membership]]-DATABASE_Table[[#This Row],[FF&amp;E]]</f>
        <v>830000</v>
      </c>
      <c r="X370" s="216">
        <v>0</v>
      </c>
      <c r="Y370" s="232">
        <v>830000</v>
      </c>
      <c r="Z370" s="233">
        <f>DATABASE_Table[[#This Row],[Sell price (Total)]]-DATABASE_Table[[#This Row],[FF&amp;E]]-DATABASE_Table[[#This Row],[Vista membership]]</f>
        <v>830000</v>
      </c>
      <c r="AA370" s="315"/>
      <c r="AB370" s="321"/>
      <c r="AC370" s="198" t="s">
        <v>10</v>
      </c>
      <c r="AD370" s="198" t="s">
        <v>23</v>
      </c>
      <c r="AE370" s="279" t="s">
        <v>24</v>
      </c>
      <c r="AF370" s="279" t="s">
        <v>803</v>
      </c>
      <c r="AG370" s="279" t="s">
        <v>25</v>
      </c>
      <c r="AH370" s="279" t="s">
        <v>804</v>
      </c>
      <c r="AI370" s="198" t="s">
        <v>26</v>
      </c>
      <c r="AJ370" s="274" t="s">
        <v>22</v>
      </c>
      <c r="AK370"/>
    </row>
    <row r="371" spans="1:37" ht="15.75" hidden="1" customHeight="1">
      <c r="A371" s="198" t="s">
        <v>689</v>
      </c>
      <c r="B371" s="198" t="s">
        <v>691</v>
      </c>
      <c r="C371" s="214" t="s">
        <v>363</v>
      </c>
      <c r="D371" s="198"/>
      <c r="E371" s="198" t="s">
        <v>384</v>
      </c>
      <c r="F371" s="198">
        <v>152.87280000000001</v>
      </c>
      <c r="G371" s="198"/>
      <c r="H371" s="214" t="s">
        <v>325</v>
      </c>
      <c r="I371" s="214" t="s">
        <v>325</v>
      </c>
      <c r="J371" s="271"/>
      <c r="K371" s="198"/>
      <c r="L371" s="198"/>
      <c r="M371" s="198"/>
      <c r="N371" s="198"/>
      <c r="O371" s="198">
        <v>152.87280000000001</v>
      </c>
      <c r="P371" s="198"/>
      <c r="Q371" s="198" t="s">
        <v>929</v>
      </c>
      <c r="R371" s="230">
        <f>DATABASE_Table[[#This Row],[Inicial Asking Price (€) (Total)]]-DATABASE_Table[[#This Row],[Vista membership]]-DATABASE_Table[[#This Row],[FF&amp;E]]</f>
        <v>942100</v>
      </c>
      <c r="S371" s="231">
        <v>942100</v>
      </c>
      <c r="T371" s="232">
        <v>959999.99834399996</v>
      </c>
      <c r="U371" s="198"/>
      <c r="V371" s="198"/>
      <c r="W371" s="233">
        <f>DATABASE_Table[[#This Row],[Current Asking price( Total)]]-DATABASE_Table[[#This Row],[Vista membership]]-DATABASE_Table[[#This Row],[FF&amp;E]]</f>
        <v>959999.99834399996</v>
      </c>
      <c r="X371" s="216">
        <v>-1.72500014272714E-9</v>
      </c>
      <c r="Y371" s="232">
        <v>960000</v>
      </c>
      <c r="Z371" s="233">
        <f>DATABASE_Table[[#This Row],[Sell price (Total)]]-DATABASE_Table[[#This Row],[FF&amp;E]]-DATABASE_Table[[#This Row],[Vista membership]]</f>
        <v>960000</v>
      </c>
      <c r="AA371" s="315"/>
      <c r="AB371" s="321"/>
      <c r="AC371" s="198"/>
      <c r="AD371" s="198"/>
      <c r="AE371" s="279"/>
      <c r="AF371" s="279"/>
      <c r="AG371" s="279"/>
      <c r="AH371" s="279"/>
      <c r="AI371" s="198"/>
      <c r="AJ371" s="274" t="s">
        <v>689</v>
      </c>
      <c r="AK371"/>
    </row>
    <row r="372" spans="1:37" ht="15.75" hidden="1" customHeight="1">
      <c r="A372" s="198" t="s">
        <v>564</v>
      </c>
      <c r="B372" s="198" t="s">
        <v>691</v>
      </c>
      <c r="C372" s="214" t="s">
        <v>363</v>
      </c>
      <c r="D372" s="198" t="s">
        <v>9</v>
      </c>
      <c r="E372" s="198" t="s">
        <v>419</v>
      </c>
      <c r="F372" s="198">
        <v>77.790000000000006</v>
      </c>
      <c r="G372" s="198"/>
      <c r="H372" s="214" t="s">
        <v>325</v>
      </c>
      <c r="I372" s="214" t="s">
        <v>325</v>
      </c>
      <c r="J372" s="271">
        <v>19.8</v>
      </c>
      <c r="K372" s="198"/>
      <c r="L372" s="198"/>
      <c r="M372" s="198"/>
      <c r="N372" s="198"/>
      <c r="O372" s="198">
        <v>57.99</v>
      </c>
      <c r="P372" s="198"/>
      <c r="Q372" s="198" t="s">
        <v>628</v>
      </c>
      <c r="R372" s="230">
        <f>DATABASE_Table[[#This Row],[Inicial Asking Price (€) (Total)]]-DATABASE_Table[[#This Row],[Vista membership]]-DATABASE_Table[[#This Row],[FF&amp;E]]</f>
        <v>488671.48580000002</v>
      </c>
      <c r="S372" s="231">
        <v>543271.48580000002</v>
      </c>
      <c r="T372" s="232">
        <v>570000</v>
      </c>
      <c r="U372" s="198">
        <v>24600</v>
      </c>
      <c r="V372" s="198">
        <v>30000</v>
      </c>
      <c r="W372" s="233">
        <f>DATABASE_Table[[#This Row],[Current Asking price( Total)]]-DATABASE_Table[[#This Row],[Vista membership]]-DATABASE_Table[[#This Row],[FF&amp;E]]</f>
        <v>515400</v>
      </c>
      <c r="X372" s="216">
        <v>0.05</v>
      </c>
      <c r="Y372" s="232">
        <v>541500</v>
      </c>
      <c r="Z372" s="233">
        <f>DATABASE_Table[[#This Row],[Sell price (Total)]]-DATABASE_Table[[#This Row],[FF&amp;E]]-DATABASE_Table[[#This Row],[Vista membership]]</f>
        <v>486900</v>
      </c>
      <c r="AA372" s="316">
        <v>46051</v>
      </c>
      <c r="AB372" s="321"/>
      <c r="AC372" s="198" t="s">
        <v>10</v>
      </c>
      <c r="AD372" s="198" t="s">
        <v>35</v>
      </c>
      <c r="AE372" s="279" t="s">
        <v>43</v>
      </c>
      <c r="AF372" s="279" t="s">
        <v>44</v>
      </c>
      <c r="AG372" s="279" t="s">
        <v>45</v>
      </c>
      <c r="AH372" s="279" t="s">
        <v>46</v>
      </c>
      <c r="AI372" s="198" t="s">
        <v>47</v>
      </c>
      <c r="AJ372" s="274" t="s">
        <v>42</v>
      </c>
      <c r="AK372"/>
    </row>
    <row r="373" spans="1:37" ht="15.75" hidden="1" customHeight="1">
      <c r="A373" s="198" t="s">
        <v>630</v>
      </c>
      <c r="B373" s="198" t="s">
        <v>691</v>
      </c>
      <c r="C373" s="214" t="s">
        <v>364</v>
      </c>
      <c r="D373" s="198" t="s">
        <v>9</v>
      </c>
      <c r="E373" s="198" t="s">
        <v>319</v>
      </c>
      <c r="F373" s="198">
        <v>151.4</v>
      </c>
      <c r="G373" s="198"/>
      <c r="H373" s="214" t="s">
        <v>849</v>
      </c>
      <c r="I373" s="214" t="s">
        <v>325</v>
      </c>
      <c r="J373" s="271">
        <v>27.6</v>
      </c>
      <c r="K373" s="198"/>
      <c r="L373" s="198"/>
      <c r="M373" s="198">
        <v>0</v>
      </c>
      <c r="N373" s="198"/>
      <c r="O373" s="198">
        <v>123.8</v>
      </c>
      <c r="P373" s="198"/>
      <c r="Q373" s="198" t="s">
        <v>326</v>
      </c>
      <c r="R373" s="230">
        <f>DATABASE_Table[[#This Row],[Inicial Asking Price (€) (Total)]]-DATABASE_Table[[#This Row],[Vista membership]]-DATABASE_Table[[#This Row],[FF&amp;E]]</f>
        <v>1063508.1599999999</v>
      </c>
      <c r="S373" s="231">
        <v>1063508.1599999999</v>
      </c>
      <c r="T373" s="232">
        <v>1070000</v>
      </c>
      <c r="U373" s="198"/>
      <c r="V373" s="198"/>
      <c r="W373" s="233">
        <f>DATABASE_Table[[#This Row],[Current Asking price( Total)]]-DATABASE_Table[[#This Row],[Vista membership]]-DATABASE_Table[[#This Row],[FF&amp;E]]</f>
        <v>1070000</v>
      </c>
      <c r="X373" s="216">
        <v>0.01</v>
      </c>
      <c r="Y373" s="232">
        <v>1059300</v>
      </c>
      <c r="Z373" s="233">
        <f>DATABASE_Table[[#This Row],[Sell price (Total)]]-DATABASE_Table[[#This Row],[FF&amp;E]]-DATABASE_Table[[#This Row],[Vista membership]]</f>
        <v>1059300</v>
      </c>
      <c r="AA373" s="315"/>
      <c r="AB373" s="321"/>
      <c r="AC373" s="198" t="s">
        <v>10</v>
      </c>
      <c r="AD373" s="198" t="s">
        <v>11</v>
      </c>
      <c r="AE373" s="279" t="s">
        <v>53</v>
      </c>
      <c r="AF373" s="279" t="s">
        <v>54</v>
      </c>
      <c r="AG373" s="279" t="s">
        <v>811</v>
      </c>
      <c r="AH373" s="279" t="s">
        <v>812</v>
      </c>
      <c r="AI373" s="198" t="s">
        <v>36</v>
      </c>
      <c r="AJ373" s="274" t="s">
        <v>52</v>
      </c>
      <c r="AK373"/>
    </row>
    <row r="374" spans="1:37" ht="15.75" hidden="1" customHeight="1">
      <c r="A374" s="198" t="s">
        <v>558</v>
      </c>
      <c r="B374" s="198" t="s">
        <v>691</v>
      </c>
      <c r="C374" s="214" t="s">
        <v>364</v>
      </c>
      <c r="D374" s="198" t="s">
        <v>9</v>
      </c>
      <c r="E374" s="198" t="s">
        <v>320</v>
      </c>
      <c r="F374" s="198">
        <v>164.42</v>
      </c>
      <c r="G374" s="198">
        <v>4.45</v>
      </c>
      <c r="H374" s="214" t="s">
        <v>620</v>
      </c>
      <c r="I374" s="214" t="s">
        <v>590</v>
      </c>
      <c r="J374" s="271"/>
      <c r="K374" s="198"/>
      <c r="L374" s="198"/>
      <c r="M374" s="198"/>
      <c r="N374" s="198"/>
      <c r="O374" s="198">
        <v>164.42</v>
      </c>
      <c r="P374" s="198"/>
      <c r="Q374" s="198" t="s">
        <v>329</v>
      </c>
      <c r="R374" s="230">
        <f>DATABASE_Table[[#This Row],[Inicial Asking Price (€) (Total)]]-DATABASE_Table[[#This Row],[Vista membership]]-DATABASE_Table[[#This Row],[FF&amp;E]]</f>
        <v>1150000</v>
      </c>
      <c r="S374" s="231">
        <v>1150000</v>
      </c>
      <c r="T374" s="232">
        <v>1150000</v>
      </c>
      <c r="U374" s="198"/>
      <c r="V374" s="198"/>
      <c r="W374" s="233">
        <f>DATABASE_Table[[#This Row],[Current Asking price( Total)]]-DATABASE_Table[[#This Row],[Vista membership]]-DATABASE_Table[[#This Row],[FF&amp;E]]</f>
        <v>1150000</v>
      </c>
      <c r="X374" s="216"/>
      <c r="Y374" s="232">
        <v>1150000</v>
      </c>
      <c r="Z374" s="233">
        <f>DATABASE_Table[[#This Row],[Sell price (Total)]]-DATABASE_Table[[#This Row],[FF&amp;E]]-DATABASE_Table[[#This Row],[Vista membership]]</f>
        <v>1150000</v>
      </c>
      <c r="AA374" s="315"/>
      <c r="AB374" s="321"/>
      <c r="AC374" s="198" t="s">
        <v>10</v>
      </c>
      <c r="AD374" s="198" t="s">
        <v>11</v>
      </c>
      <c r="AE374" s="279" t="s">
        <v>12</v>
      </c>
      <c r="AF374" s="279" t="s">
        <v>801</v>
      </c>
      <c r="AG374" s="279" t="s">
        <v>13</v>
      </c>
      <c r="AH374" s="279" t="s">
        <v>14</v>
      </c>
      <c r="AI374" s="198" t="s">
        <v>15</v>
      </c>
      <c r="AJ374" s="274" t="s">
        <v>8</v>
      </c>
      <c r="AK374"/>
    </row>
    <row r="375" spans="1:37" ht="15.75" hidden="1" customHeight="1">
      <c r="A375" s="198" t="s">
        <v>31</v>
      </c>
      <c r="B375" s="198" t="s">
        <v>691</v>
      </c>
      <c r="C375" s="214" t="s">
        <v>364</v>
      </c>
      <c r="D375" s="198" t="s">
        <v>9</v>
      </c>
      <c r="E375" s="198" t="s">
        <v>319</v>
      </c>
      <c r="F375" s="198"/>
      <c r="G375" s="198"/>
      <c r="H375" s="214" t="s">
        <v>325</v>
      </c>
      <c r="I375" s="214" t="s">
        <v>325</v>
      </c>
      <c r="J375" s="271"/>
      <c r="K375" s="198">
        <v>0</v>
      </c>
      <c r="L375" s="198"/>
      <c r="M375" s="198">
        <v>20</v>
      </c>
      <c r="N375" s="198"/>
      <c r="O375" s="198">
        <v>105</v>
      </c>
      <c r="P375" s="198"/>
      <c r="Q375" s="198" t="s">
        <v>326</v>
      </c>
      <c r="R375" s="230">
        <f>DATABASE_Table[[#This Row],[Inicial Asking Price (€) (Total)]]-DATABASE_Table[[#This Row],[Vista membership]]-DATABASE_Table[[#This Row],[FF&amp;E]]</f>
        <v>750000</v>
      </c>
      <c r="S375" s="232">
        <v>750000</v>
      </c>
      <c r="T375" s="232">
        <v>750000</v>
      </c>
      <c r="U375" s="198"/>
      <c r="V375" s="198"/>
      <c r="W375" s="233">
        <f>DATABASE_Table[[#This Row],[Current Asking price( Total)]]-DATABASE_Table[[#This Row],[Vista membership]]-DATABASE_Table[[#This Row],[FF&amp;E]]</f>
        <v>750000</v>
      </c>
      <c r="X375" s="216">
        <v>2.6666666666666599E-2</v>
      </c>
      <c r="Y375" s="232">
        <v>730000</v>
      </c>
      <c r="Z375" s="233">
        <f>DATABASE_Table[[#This Row],[Sell price (Total)]]-DATABASE_Table[[#This Row],[FF&amp;E]]-DATABASE_Table[[#This Row],[Vista membership]]</f>
        <v>730000</v>
      </c>
      <c r="AA375" s="315"/>
      <c r="AB375" s="321"/>
      <c r="AC375" s="198" t="s">
        <v>10</v>
      </c>
      <c r="AD375" s="198" t="s">
        <v>807</v>
      </c>
      <c r="AE375" s="279" t="s">
        <v>32</v>
      </c>
      <c r="AF375" s="279" t="s">
        <v>808</v>
      </c>
      <c r="AG375" s="279" t="s">
        <v>33</v>
      </c>
      <c r="AH375" s="279" t="s">
        <v>809</v>
      </c>
      <c r="AI375" s="198" t="s">
        <v>15</v>
      </c>
      <c r="AJ375" s="274" t="s">
        <v>31</v>
      </c>
      <c r="AK375"/>
    </row>
    <row r="376" spans="1:37" ht="15.75" hidden="1" customHeight="1">
      <c r="A376" s="198" t="s">
        <v>690</v>
      </c>
      <c r="B376" s="198" t="s">
        <v>691</v>
      </c>
      <c r="C376" s="214" t="s">
        <v>364</v>
      </c>
      <c r="D376" s="198" t="s">
        <v>9</v>
      </c>
      <c r="E376" s="198" t="s">
        <v>762</v>
      </c>
      <c r="F376" s="198">
        <v>404.86</v>
      </c>
      <c r="G376" s="198">
        <v>163.77000000000001</v>
      </c>
      <c r="H376" s="214" t="s">
        <v>325</v>
      </c>
      <c r="I376" s="214" t="s">
        <v>325</v>
      </c>
      <c r="J376" s="271">
        <v>19.649999999999999</v>
      </c>
      <c r="K376" s="198"/>
      <c r="L376" s="198"/>
      <c r="M376" s="198"/>
      <c r="N376" s="198"/>
      <c r="O376" s="198">
        <v>221.44</v>
      </c>
      <c r="P376" s="198"/>
      <c r="Q376" s="198" t="s">
        <v>329</v>
      </c>
      <c r="R376" s="230">
        <f>DATABASE_Table[[#This Row],[Inicial Asking Price (€) (Total)]]-DATABASE_Table[[#This Row],[Vista membership]]-DATABASE_Table[[#This Row],[FF&amp;E]]</f>
        <v>2464600</v>
      </c>
      <c r="S376" s="231">
        <v>2572300</v>
      </c>
      <c r="T376" s="232">
        <v>2680000</v>
      </c>
      <c r="U376" s="198">
        <v>24600</v>
      </c>
      <c r="V376" s="198">
        <v>83100</v>
      </c>
      <c r="W376" s="233">
        <f>DATABASE_Table[[#This Row],[Current Asking price( Total)]]-DATABASE_Table[[#This Row],[Vista membership]]-DATABASE_Table[[#This Row],[FF&amp;E]]</f>
        <v>2572300</v>
      </c>
      <c r="X376" s="216"/>
      <c r="Y376" s="232">
        <v>2680000</v>
      </c>
      <c r="Z376" s="233">
        <f>DATABASE_Table[[#This Row],[Sell price (Total)]]-DATABASE_Table[[#This Row],[FF&amp;E]]-DATABASE_Table[[#This Row],[Vista membership]]</f>
        <v>2572300</v>
      </c>
      <c r="AA376" s="315"/>
      <c r="AB376" s="321"/>
      <c r="AC376" s="198" t="s">
        <v>10</v>
      </c>
      <c r="AD376" s="198" t="s">
        <v>35</v>
      </c>
      <c r="AE376" s="279" t="s">
        <v>38</v>
      </c>
      <c r="AF376" s="279" t="s">
        <v>39</v>
      </c>
      <c r="AG376" s="279" t="s">
        <v>40</v>
      </c>
      <c r="AH376" s="279" t="s">
        <v>810</v>
      </c>
      <c r="AI376" s="198" t="s">
        <v>41</v>
      </c>
      <c r="AJ376" s="274" t="s">
        <v>37</v>
      </c>
      <c r="AK376"/>
    </row>
    <row r="377" spans="1:37" ht="15.75" hidden="1" customHeight="1">
      <c r="A377" s="198" t="s">
        <v>563</v>
      </c>
      <c r="B377" s="198" t="s">
        <v>691</v>
      </c>
      <c r="C377" s="214" t="s">
        <v>364</v>
      </c>
      <c r="D377" s="198" t="s">
        <v>9</v>
      </c>
      <c r="E377" s="198" t="s">
        <v>320</v>
      </c>
      <c r="F377" s="198">
        <v>130.91999999999999</v>
      </c>
      <c r="G377" s="198"/>
      <c r="H377" s="214" t="s">
        <v>325</v>
      </c>
      <c r="I377" s="214" t="s">
        <v>325</v>
      </c>
      <c r="J377" s="271"/>
      <c r="K377" s="198"/>
      <c r="L377" s="198"/>
      <c r="M377" s="198"/>
      <c r="N377" s="198"/>
      <c r="O377" s="198">
        <v>130.91999999999999</v>
      </c>
      <c r="P377" s="198"/>
      <c r="Q377" s="198" t="s">
        <v>628</v>
      </c>
      <c r="R377" s="230">
        <f>DATABASE_Table[[#This Row],[Inicial Asking Price (€) (Total)]]-DATABASE_Table[[#This Row],[Vista membership]]-DATABASE_Table[[#This Row],[FF&amp;E]]</f>
        <v>660000</v>
      </c>
      <c r="S377" s="231">
        <v>660000</v>
      </c>
      <c r="T377" s="232">
        <v>660000</v>
      </c>
      <c r="U377" s="198"/>
      <c r="V377" s="198"/>
      <c r="W377" s="233">
        <f>DATABASE_Table[[#This Row],[Current Asking price( Total)]]-DATABASE_Table[[#This Row],[Vista membership]]-DATABASE_Table[[#This Row],[FF&amp;E]]</f>
        <v>660000</v>
      </c>
      <c r="X377" s="216">
        <v>0</v>
      </c>
      <c r="Y377" s="232">
        <v>660000</v>
      </c>
      <c r="Z377" s="233">
        <f>DATABASE_Table[[#This Row],[Sell price (Total)]]-DATABASE_Table[[#This Row],[FF&amp;E]]-DATABASE_Table[[#This Row],[Vista membership]]</f>
        <v>660000</v>
      </c>
      <c r="AA377" s="316">
        <v>45849</v>
      </c>
      <c r="AB377" s="321"/>
      <c r="AC377" s="198" t="s">
        <v>10</v>
      </c>
      <c r="AD377" s="198" t="s">
        <v>11</v>
      </c>
      <c r="AE377" s="279" t="s">
        <v>28</v>
      </c>
      <c r="AF377" s="279" t="s">
        <v>29</v>
      </c>
      <c r="AG377" s="279" t="s">
        <v>805</v>
      </c>
      <c r="AH377" s="279" t="s">
        <v>806</v>
      </c>
      <c r="AI377" s="198" t="s">
        <v>30</v>
      </c>
      <c r="AJ377" s="274" t="s">
        <v>27</v>
      </c>
      <c r="AK377"/>
    </row>
    <row r="378" spans="1:37" ht="15.75" hidden="1" customHeight="1">
      <c r="A378" s="198" t="s">
        <v>562</v>
      </c>
      <c r="B378" s="198" t="s">
        <v>691</v>
      </c>
      <c r="C378" s="214" t="s">
        <v>364</v>
      </c>
      <c r="D378" s="198" t="s">
        <v>9</v>
      </c>
      <c r="E378" s="198" t="s">
        <v>319</v>
      </c>
      <c r="F378" s="198">
        <v>124</v>
      </c>
      <c r="G378" s="198"/>
      <c r="H378" s="214" t="s">
        <v>325</v>
      </c>
      <c r="I378" s="214" t="s">
        <v>325</v>
      </c>
      <c r="J378" s="271"/>
      <c r="K378" s="198"/>
      <c r="L378" s="198"/>
      <c r="M378" s="198"/>
      <c r="N378" s="198"/>
      <c r="O378" s="198">
        <v>124</v>
      </c>
      <c r="P378" s="198"/>
      <c r="Q378" s="198" t="s">
        <v>929</v>
      </c>
      <c r="R378" s="230">
        <f>DATABASE_Table[[#This Row],[Inicial Asking Price (€) (Total)]]-DATABASE_Table[[#This Row],[Vista membership]]-DATABASE_Table[[#This Row],[FF&amp;E]]</f>
        <v>630000</v>
      </c>
      <c r="S378" s="231">
        <v>630000</v>
      </c>
      <c r="T378" s="232">
        <v>680000</v>
      </c>
      <c r="U378" s="198"/>
      <c r="V378" s="198"/>
      <c r="W378" s="233">
        <f>DATABASE_Table[[#This Row],[Current Asking price( Total)]]-DATABASE_Table[[#This Row],[Vista membership]]-DATABASE_Table[[#This Row],[FF&amp;E]]</f>
        <v>680000</v>
      </c>
      <c r="X378" s="216">
        <v>0</v>
      </c>
      <c r="Y378" s="232">
        <v>680000</v>
      </c>
      <c r="Z378" s="233">
        <f>DATABASE_Table[[#This Row],[Sell price (Total)]]-DATABASE_Table[[#This Row],[FF&amp;E]]-DATABASE_Table[[#This Row],[Vista membership]]</f>
        <v>680000</v>
      </c>
      <c r="AA378" s="315"/>
      <c r="AB378" s="321"/>
      <c r="AC378" s="198" t="s">
        <v>10</v>
      </c>
      <c r="AD378" s="198" t="s">
        <v>23</v>
      </c>
      <c r="AE378" s="279" t="s">
        <v>24</v>
      </c>
      <c r="AF378" s="279" t="s">
        <v>803</v>
      </c>
      <c r="AG378" s="279" t="s">
        <v>25</v>
      </c>
      <c r="AH378" s="279" t="s">
        <v>804</v>
      </c>
      <c r="AI378" s="198" t="s">
        <v>26</v>
      </c>
      <c r="AJ378" s="274" t="s">
        <v>22</v>
      </c>
      <c r="AK378"/>
    </row>
    <row r="379" spans="1:37" ht="15.75" hidden="1" customHeight="1">
      <c r="A379" s="198" t="s">
        <v>689</v>
      </c>
      <c r="B379" s="198" t="s">
        <v>691</v>
      </c>
      <c r="C379" s="214" t="s">
        <v>364</v>
      </c>
      <c r="D379" s="198"/>
      <c r="E379" s="198" t="s">
        <v>384</v>
      </c>
      <c r="F379" s="198">
        <v>152.87280000000001</v>
      </c>
      <c r="G379" s="198"/>
      <c r="H379" s="214" t="s">
        <v>325</v>
      </c>
      <c r="I379" s="214" t="s">
        <v>325</v>
      </c>
      <c r="J379" s="271"/>
      <c r="K379" s="198"/>
      <c r="L379" s="198"/>
      <c r="M379" s="198"/>
      <c r="N379" s="198"/>
      <c r="O379" s="198">
        <v>152.87280000000001</v>
      </c>
      <c r="P379" s="198"/>
      <c r="Q379" s="198" t="s">
        <v>929</v>
      </c>
      <c r="R379" s="230">
        <f>DATABASE_Table[[#This Row],[Inicial Asking Price (€) (Total)]]-DATABASE_Table[[#This Row],[Vista membership]]-DATABASE_Table[[#This Row],[FF&amp;E]]</f>
        <v>942100</v>
      </c>
      <c r="S379" s="231">
        <v>942100</v>
      </c>
      <c r="T379" s="232">
        <v>990000</v>
      </c>
      <c r="U379" s="198"/>
      <c r="V379" s="198"/>
      <c r="W379" s="233">
        <f>DATABASE_Table[[#This Row],[Current Asking price( Total)]]-DATABASE_Table[[#This Row],[Vista membership]]-DATABASE_Table[[#This Row],[FF&amp;E]]</f>
        <v>990000</v>
      </c>
      <c r="X379" s="216">
        <v>0</v>
      </c>
      <c r="Y379" s="232">
        <v>990000</v>
      </c>
      <c r="Z379" s="233">
        <f>DATABASE_Table[[#This Row],[Sell price (Total)]]-DATABASE_Table[[#This Row],[FF&amp;E]]-DATABASE_Table[[#This Row],[Vista membership]]</f>
        <v>990000</v>
      </c>
      <c r="AA379" s="315"/>
      <c r="AB379" s="321"/>
      <c r="AC379" s="198"/>
      <c r="AD379" s="198"/>
      <c r="AE379" s="279"/>
      <c r="AF379" s="279"/>
      <c r="AG379" s="279"/>
      <c r="AH379" s="279"/>
      <c r="AI379" s="198"/>
      <c r="AJ379" s="274" t="s">
        <v>689</v>
      </c>
      <c r="AK379"/>
    </row>
    <row r="380" spans="1:37" ht="15.75" hidden="1" customHeight="1">
      <c r="A380" s="198" t="s">
        <v>564</v>
      </c>
      <c r="B380" s="198" t="s">
        <v>691</v>
      </c>
      <c r="C380" s="214" t="s">
        <v>364</v>
      </c>
      <c r="D380" s="198" t="s">
        <v>9</v>
      </c>
      <c r="E380" s="198" t="s">
        <v>319</v>
      </c>
      <c r="F380" s="198">
        <v>138.82</v>
      </c>
      <c r="G380" s="198"/>
      <c r="H380" s="214" t="s">
        <v>325</v>
      </c>
      <c r="I380" s="214" t="s">
        <v>325</v>
      </c>
      <c r="J380" s="271">
        <v>48.14</v>
      </c>
      <c r="K380" s="198"/>
      <c r="L380" s="198"/>
      <c r="M380" s="198"/>
      <c r="N380" s="198"/>
      <c r="O380" s="198">
        <v>90.68</v>
      </c>
      <c r="P380" s="198"/>
      <c r="Q380" s="198" t="s">
        <v>329</v>
      </c>
      <c r="R380" s="230">
        <f>DATABASE_Table[[#This Row],[Inicial Asking Price (€) (Total)]]-DATABASE_Table[[#This Row],[Vista membership]]-DATABASE_Table[[#This Row],[FF&amp;E]]</f>
        <v>766794.01599999995</v>
      </c>
      <c r="S380" s="231">
        <v>831394.01599999995</v>
      </c>
      <c r="T380" s="232">
        <v>900000</v>
      </c>
      <c r="U380" s="198">
        <v>24600</v>
      </c>
      <c r="V380" s="198">
        <v>40000</v>
      </c>
      <c r="W380" s="233">
        <f>DATABASE_Table[[#This Row],[Current Asking price( Total)]]-DATABASE_Table[[#This Row],[Vista membership]]-DATABASE_Table[[#This Row],[FF&amp;E]]</f>
        <v>835400</v>
      </c>
      <c r="X380" s="216"/>
      <c r="Y380" s="232">
        <v>900000</v>
      </c>
      <c r="Z380" s="233">
        <f>DATABASE_Table[[#This Row],[Sell price (Total)]]-DATABASE_Table[[#This Row],[FF&amp;E]]-DATABASE_Table[[#This Row],[Vista membership]]</f>
        <v>835400</v>
      </c>
      <c r="AA380" s="315">
        <v>46139</v>
      </c>
      <c r="AB380" s="321"/>
      <c r="AC380" s="198" t="s">
        <v>10</v>
      </c>
      <c r="AD380" s="198" t="s">
        <v>35</v>
      </c>
      <c r="AE380" s="279" t="s">
        <v>43</v>
      </c>
      <c r="AF380" s="279" t="s">
        <v>44</v>
      </c>
      <c r="AG380" s="279" t="s">
        <v>45</v>
      </c>
      <c r="AH380" s="279" t="s">
        <v>46</v>
      </c>
      <c r="AI380" s="198" t="s">
        <v>47</v>
      </c>
      <c r="AJ380" s="274" t="s">
        <v>42</v>
      </c>
      <c r="AK380"/>
    </row>
    <row r="381" spans="1:37" ht="15.75" hidden="1" customHeight="1">
      <c r="A381" s="198" t="s">
        <v>630</v>
      </c>
      <c r="B381" s="198" t="s">
        <v>691</v>
      </c>
      <c r="C381" s="214" t="s">
        <v>365</v>
      </c>
      <c r="D381" s="198" t="s">
        <v>9</v>
      </c>
      <c r="E381" s="198" t="s">
        <v>319</v>
      </c>
      <c r="F381" s="198">
        <v>151.53</v>
      </c>
      <c r="G381" s="198"/>
      <c r="H381" s="214" t="s">
        <v>849</v>
      </c>
      <c r="I381" s="214" t="s">
        <v>325</v>
      </c>
      <c r="J381" s="271">
        <v>27.61</v>
      </c>
      <c r="K381" s="198"/>
      <c r="L381" s="198"/>
      <c r="M381" s="198">
        <v>0</v>
      </c>
      <c r="N381" s="198"/>
      <c r="O381" s="198">
        <v>123.92</v>
      </c>
      <c r="P381" s="198"/>
      <c r="Q381" s="198" t="s">
        <v>326</v>
      </c>
      <c r="R381" s="230">
        <f>DATABASE_Table[[#This Row],[Inicial Asking Price (€) (Total)]]-DATABASE_Table[[#This Row],[Vista membership]]-DATABASE_Table[[#This Row],[FF&amp;E]]</f>
        <v>1064498.5560000001</v>
      </c>
      <c r="S381" s="231">
        <v>1064498.5560000001</v>
      </c>
      <c r="T381" s="232">
        <v>1070000</v>
      </c>
      <c r="U381" s="198"/>
      <c r="V381" s="198"/>
      <c r="W381" s="233">
        <f>DATABASE_Table[[#This Row],[Current Asking price( Total)]]-DATABASE_Table[[#This Row],[Vista membership]]-DATABASE_Table[[#This Row],[FF&amp;E]]</f>
        <v>1070000</v>
      </c>
      <c r="X381" s="216">
        <v>0.01</v>
      </c>
      <c r="Y381" s="232">
        <v>1059300</v>
      </c>
      <c r="Z381" s="233">
        <f>DATABASE_Table[[#This Row],[Sell price (Total)]]-DATABASE_Table[[#This Row],[FF&amp;E]]-DATABASE_Table[[#This Row],[Vista membership]]</f>
        <v>1059300</v>
      </c>
      <c r="AA381" s="315"/>
      <c r="AB381" s="321"/>
      <c r="AC381" s="198" t="s">
        <v>10</v>
      </c>
      <c r="AD381" s="198" t="s">
        <v>11</v>
      </c>
      <c r="AE381" s="279" t="s">
        <v>53</v>
      </c>
      <c r="AF381" s="279" t="s">
        <v>54</v>
      </c>
      <c r="AG381" s="279" t="s">
        <v>811</v>
      </c>
      <c r="AH381" s="279" t="s">
        <v>812</v>
      </c>
      <c r="AI381" s="198" t="s">
        <v>36</v>
      </c>
      <c r="AJ381" s="274" t="s">
        <v>52</v>
      </c>
      <c r="AK381"/>
    </row>
    <row r="382" spans="1:37" ht="15.75" hidden="1" customHeight="1">
      <c r="A382" s="198" t="s">
        <v>558</v>
      </c>
      <c r="B382" s="198" t="s">
        <v>691</v>
      </c>
      <c r="C382" s="214" t="s">
        <v>365</v>
      </c>
      <c r="D382" s="198" t="s">
        <v>9</v>
      </c>
      <c r="E382" s="198" t="s">
        <v>320</v>
      </c>
      <c r="F382" s="198">
        <v>164.4</v>
      </c>
      <c r="G382" s="198">
        <v>4.4800000000000004</v>
      </c>
      <c r="H382" s="214" t="s">
        <v>621</v>
      </c>
      <c r="I382" s="214" t="s">
        <v>590</v>
      </c>
      <c r="J382" s="271">
        <v>5.75</v>
      </c>
      <c r="K382" s="198"/>
      <c r="L382" s="198"/>
      <c r="M382" s="198"/>
      <c r="N382" s="198"/>
      <c r="O382" s="198">
        <v>164.4</v>
      </c>
      <c r="P382" s="198"/>
      <c r="Q382" s="198" t="s">
        <v>329</v>
      </c>
      <c r="R382" s="230">
        <f>DATABASE_Table[[#This Row],[Inicial Asking Price (€) (Total)]]-DATABASE_Table[[#This Row],[Vista membership]]-DATABASE_Table[[#This Row],[FF&amp;E]]</f>
        <v>1140000</v>
      </c>
      <c r="S382" s="231">
        <v>1140000</v>
      </c>
      <c r="T382" s="232">
        <v>1140000</v>
      </c>
      <c r="U382" s="198"/>
      <c r="V382" s="198"/>
      <c r="W382" s="233">
        <f>DATABASE_Table[[#This Row],[Current Asking price( Total)]]-DATABASE_Table[[#This Row],[Vista membership]]-DATABASE_Table[[#This Row],[FF&amp;E]]</f>
        <v>1140000</v>
      </c>
      <c r="X382" s="216"/>
      <c r="Y382" s="232">
        <v>1140000</v>
      </c>
      <c r="Z382" s="233">
        <f>DATABASE_Table[[#This Row],[Sell price (Total)]]-DATABASE_Table[[#This Row],[FF&amp;E]]-DATABASE_Table[[#This Row],[Vista membership]]</f>
        <v>1140000</v>
      </c>
      <c r="AA382" s="315">
        <v>46167</v>
      </c>
      <c r="AB382" s="321"/>
      <c r="AC382" s="198" t="s">
        <v>10</v>
      </c>
      <c r="AD382" s="198" t="s">
        <v>11</v>
      </c>
      <c r="AE382" s="279" t="s">
        <v>12</v>
      </c>
      <c r="AF382" s="279" t="s">
        <v>801</v>
      </c>
      <c r="AG382" s="279" t="s">
        <v>13</v>
      </c>
      <c r="AH382" s="279" t="s">
        <v>14</v>
      </c>
      <c r="AI382" s="198" t="s">
        <v>15</v>
      </c>
      <c r="AJ382" s="274" t="s">
        <v>8</v>
      </c>
      <c r="AK382"/>
    </row>
    <row r="383" spans="1:37" ht="15.75" hidden="1" customHeight="1">
      <c r="A383" s="198" t="s">
        <v>772</v>
      </c>
      <c r="B383" s="198" t="s">
        <v>769</v>
      </c>
      <c r="C383" s="214" t="s">
        <v>508</v>
      </c>
      <c r="D383" s="198"/>
      <c r="E383" s="198" t="s">
        <v>319</v>
      </c>
      <c r="F383" s="198">
        <v>160.5</v>
      </c>
      <c r="G383" s="198"/>
      <c r="H383" s="214" t="s">
        <v>656</v>
      </c>
      <c r="I383" s="214" t="s">
        <v>325</v>
      </c>
      <c r="J383" s="271"/>
      <c r="K383" s="198"/>
      <c r="L383" s="198"/>
      <c r="M383" s="198">
        <v>38.700000000000003</v>
      </c>
      <c r="N383" s="198"/>
      <c r="O383" s="198">
        <v>121.8</v>
      </c>
      <c r="P383" s="198"/>
      <c r="Q383" s="198" t="s">
        <v>628</v>
      </c>
      <c r="R383" s="230">
        <f>DATABASE_Table[[#This Row],[Inicial Asking Price (€) (Total)]]-DATABASE_Table[[#This Row],[Vista membership]]-DATABASE_Table[[#This Row],[FF&amp;E]]</f>
        <v>440000</v>
      </c>
      <c r="S383" s="234">
        <v>440000</v>
      </c>
      <c r="T383" s="235">
        <v>840000</v>
      </c>
      <c r="U383" s="198"/>
      <c r="V383" s="198"/>
      <c r="W383" s="233">
        <f>DATABASE_Table[[#This Row],[Current Asking price( Total)]]-DATABASE_Table[[#This Row],[Vista membership]]-DATABASE_Table[[#This Row],[FF&amp;E]]</f>
        <v>840000</v>
      </c>
      <c r="X383" s="236">
        <v>0</v>
      </c>
      <c r="Y383" s="235">
        <v>840000</v>
      </c>
      <c r="Z383" s="233">
        <f>DATABASE_Table[[#This Row],[Sell price (Total)]]-DATABASE_Table[[#This Row],[FF&amp;E]]-DATABASE_Table[[#This Row],[Vista membership]]</f>
        <v>840000</v>
      </c>
      <c r="AA383" s="316">
        <v>44967</v>
      </c>
      <c r="AB383" s="321">
        <v>46843</v>
      </c>
      <c r="AC383" s="198"/>
      <c r="AD383" s="198"/>
      <c r="AE383" s="279"/>
      <c r="AF383" s="279"/>
      <c r="AG383" s="279"/>
      <c r="AH383" s="279"/>
      <c r="AI383" s="198"/>
      <c r="AJ383" s="274" t="s">
        <v>66</v>
      </c>
      <c r="AK383"/>
    </row>
    <row r="384" spans="1:37" ht="15.75" hidden="1" customHeight="1">
      <c r="A384" s="198" t="s">
        <v>31</v>
      </c>
      <c r="B384" s="198" t="s">
        <v>691</v>
      </c>
      <c r="C384" s="214" t="s">
        <v>365</v>
      </c>
      <c r="D384" s="198" t="s">
        <v>9</v>
      </c>
      <c r="E384" s="198" t="s">
        <v>320</v>
      </c>
      <c r="F384" s="198"/>
      <c r="G384" s="198"/>
      <c r="H384" s="214" t="s">
        <v>325</v>
      </c>
      <c r="I384" s="214" t="s">
        <v>590</v>
      </c>
      <c r="J384" s="271"/>
      <c r="K384" s="198">
        <v>0</v>
      </c>
      <c r="L384" s="198"/>
      <c r="M384" s="198">
        <v>174</v>
      </c>
      <c r="N384" s="198"/>
      <c r="O384" s="198">
        <v>136</v>
      </c>
      <c r="P384" s="198"/>
      <c r="Q384" s="198" t="s">
        <v>326</v>
      </c>
      <c r="R384" s="230">
        <f>DATABASE_Table[[#This Row],[Inicial Asking Price (€) (Total)]]-DATABASE_Table[[#This Row],[Vista membership]]-DATABASE_Table[[#This Row],[FF&amp;E]]</f>
        <v>1040000</v>
      </c>
      <c r="S384" s="232">
        <v>1040000</v>
      </c>
      <c r="T384" s="232">
        <v>1040000</v>
      </c>
      <c r="U384" s="198"/>
      <c r="V384" s="198"/>
      <c r="W384" s="233">
        <f>DATABASE_Table[[#This Row],[Current Asking price( Total)]]-DATABASE_Table[[#This Row],[Vista membership]]-DATABASE_Table[[#This Row],[FF&amp;E]]</f>
        <v>1040000</v>
      </c>
      <c r="X384" s="216">
        <v>2.5000000000000001E-2</v>
      </c>
      <c r="Y384" s="232">
        <v>1014000</v>
      </c>
      <c r="Z384" s="233">
        <f>DATABASE_Table[[#This Row],[Sell price (Total)]]-DATABASE_Table[[#This Row],[FF&amp;E]]-DATABASE_Table[[#This Row],[Vista membership]]</f>
        <v>1014000</v>
      </c>
      <c r="AA384" s="315">
        <v>46171</v>
      </c>
      <c r="AB384" s="321"/>
      <c r="AC384" s="198" t="s">
        <v>10</v>
      </c>
      <c r="AD384" s="198" t="s">
        <v>807</v>
      </c>
      <c r="AE384" s="279" t="s">
        <v>32</v>
      </c>
      <c r="AF384" s="279" t="s">
        <v>808</v>
      </c>
      <c r="AG384" s="279" t="s">
        <v>33</v>
      </c>
      <c r="AH384" s="279" t="s">
        <v>809</v>
      </c>
      <c r="AI384" s="198" t="s">
        <v>15</v>
      </c>
      <c r="AJ384" s="274" t="s">
        <v>31</v>
      </c>
      <c r="AK384"/>
    </row>
    <row r="385" spans="1:37" ht="15.75" hidden="1" customHeight="1">
      <c r="A385" s="198" t="s">
        <v>690</v>
      </c>
      <c r="B385" s="198" t="s">
        <v>691</v>
      </c>
      <c r="C385" s="214" t="s">
        <v>365</v>
      </c>
      <c r="D385" s="198" t="s">
        <v>9</v>
      </c>
      <c r="E385" s="198" t="s">
        <v>765</v>
      </c>
      <c r="F385" s="198">
        <v>441.31</v>
      </c>
      <c r="G385" s="198">
        <v>289.7</v>
      </c>
      <c r="H385" s="214" t="s">
        <v>325</v>
      </c>
      <c r="I385" s="214" t="s">
        <v>325</v>
      </c>
      <c r="J385" s="271">
        <v>20</v>
      </c>
      <c r="K385" s="198"/>
      <c r="L385" s="198"/>
      <c r="M385" s="198"/>
      <c r="N385" s="198"/>
      <c r="O385" s="198">
        <v>131.61000000000001</v>
      </c>
      <c r="P385" s="198"/>
      <c r="Q385" s="198" t="s">
        <v>329</v>
      </c>
      <c r="R385" s="230">
        <f>DATABASE_Table[[#This Row],[Inicial Asking Price (€) (Total)]]-DATABASE_Table[[#This Row],[Vista membership]]-DATABASE_Table[[#This Row],[FF&amp;E]]</f>
        <v>1407700</v>
      </c>
      <c r="S385" s="231">
        <v>1478850</v>
      </c>
      <c r="T385" s="232">
        <v>1550000</v>
      </c>
      <c r="U385" s="198">
        <v>24600</v>
      </c>
      <c r="V385" s="198">
        <v>46550</v>
      </c>
      <c r="W385" s="233">
        <f>DATABASE_Table[[#This Row],[Current Asking price( Total)]]-DATABASE_Table[[#This Row],[Vista membership]]-DATABASE_Table[[#This Row],[FF&amp;E]]</f>
        <v>1478850</v>
      </c>
      <c r="X385" s="216"/>
      <c r="Y385" s="232">
        <v>1550000</v>
      </c>
      <c r="Z385" s="233">
        <f>DATABASE_Table[[#This Row],[Sell price (Total)]]-DATABASE_Table[[#This Row],[FF&amp;E]]-DATABASE_Table[[#This Row],[Vista membership]]</f>
        <v>1478850</v>
      </c>
      <c r="AA385" s="315"/>
      <c r="AB385" s="321"/>
      <c r="AC385" s="198" t="s">
        <v>10</v>
      </c>
      <c r="AD385" s="198" t="s">
        <v>35</v>
      </c>
      <c r="AE385" s="279" t="s">
        <v>38</v>
      </c>
      <c r="AF385" s="279" t="s">
        <v>39</v>
      </c>
      <c r="AG385" s="279" t="s">
        <v>40</v>
      </c>
      <c r="AH385" s="279" t="s">
        <v>810</v>
      </c>
      <c r="AI385" s="198" t="s">
        <v>41</v>
      </c>
      <c r="AJ385" s="274" t="s">
        <v>37</v>
      </c>
      <c r="AK385"/>
    </row>
    <row r="386" spans="1:37" ht="15.75" hidden="1" customHeight="1">
      <c r="A386" s="198" t="s">
        <v>563</v>
      </c>
      <c r="B386" s="198" t="s">
        <v>691</v>
      </c>
      <c r="C386" s="214" t="s">
        <v>365</v>
      </c>
      <c r="D386" s="198" t="s">
        <v>9</v>
      </c>
      <c r="E386" s="198" t="s">
        <v>320</v>
      </c>
      <c r="F386" s="198">
        <v>130.91999999999999</v>
      </c>
      <c r="G386" s="198"/>
      <c r="H386" s="214" t="s">
        <v>325</v>
      </c>
      <c r="I386" s="214" t="s">
        <v>325</v>
      </c>
      <c r="J386" s="271"/>
      <c r="K386" s="198"/>
      <c r="L386" s="198"/>
      <c r="M386" s="198"/>
      <c r="N386" s="198"/>
      <c r="O386" s="198">
        <v>130.91999999999999</v>
      </c>
      <c r="P386" s="198"/>
      <c r="Q386" s="198" t="s">
        <v>628</v>
      </c>
      <c r="R386" s="230">
        <f>DATABASE_Table[[#This Row],[Inicial Asking Price (€) (Total)]]-DATABASE_Table[[#This Row],[Vista membership]]-DATABASE_Table[[#This Row],[FF&amp;E]]</f>
        <v>650000</v>
      </c>
      <c r="S386" s="231">
        <v>650000</v>
      </c>
      <c r="T386" s="232">
        <v>650000</v>
      </c>
      <c r="U386" s="198"/>
      <c r="V386" s="198"/>
      <c r="W386" s="233">
        <f>DATABASE_Table[[#This Row],[Current Asking price( Total)]]-DATABASE_Table[[#This Row],[Vista membership]]-DATABASE_Table[[#This Row],[FF&amp;E]]</f>
        <v>650000</v>
      </c>
      <c r="X386" s="216">
        <v>0</v>
      </c>
      <c r="Y386" s="232">
        <v>650000</v>
      </c>
      <c r="Z386" s="233">
        <f>DATABASE_Table[[#This Row],[Sell price (Total)]]-DATABASE_Table[[#This Row],[FF&amp;E]]-DATABASE_Table[[#This Row],[Vista membership]]</f>
        <v>650000</v>
      </c>
      <c r="AA386" s="316">
        <v>46170</v>
      </c>
      <c r="AB386" s="321"/>
      <c r="AC386" s="198" t="s">
        <v>10</v>
      </c>
      <c r="AD386" s="198" t="s">
        <v>11</v>
      </c>
      <c r="AE386" s="279" t="s">
        <v>28</v>
      </c>
      <c r="AF386" s="279" t="s">
        <v>29</v>
      </c>
      <c r="AG386" s="279" t="s">
        <v>805</v>
      </c>
      <c r="AH386" s="279" t="s">
        <v>806</v>
      </c>
      <c r="AI386" s="198" t="s">
        <v>30</v>
      </c>
      <c r="AJ386" s="274" t="s">
        <v>27</v>
      </c>
      <c r="AK386"/>
    </row>
    <row r="387" spans="1:37" ht="15.75" hidden="1" customHeight="1">
      <c r="A387" s="198" t="s">
        <v>562</v>
      </c>
      <c r="B387" s="198" t="s">
        <v>691</v>
      </c>
      <c r="C387" s="214" t="s">
        <v>365</v>
      </c>
      <c r="D387" s="198" t="s">
        <v>9</v>
      </c>
      <c r="E387" s="198" t="s">
        <v>319</v>
      </c>
      <c r="F387" s="198">
        <v>119</v>
      </c>
      <c r="G387" s="198"/>
      <c r="H387" s="214" t="s">
        <v>325</v>
      </c>
      <c r="I387" s="214" t="s">
        <v>325</v>
      </c>
      <c r="J387" s="271"/>
      <c r="K387" s="198"/>
      <c r="L387" s="198"/>
      <c r="M387" s="198"/>
      <c r="N387" s="198"/>
      <c r="O387" s="198">
        <v>119</v>
      </c>
      <c r="P387" s="198"/>
      <c r="Q387" s="198" t="s">
        <v>929</v>
      </c>
      <c r="R387" s="230">
        <f>DATABASE_Table[[#This Row],[Inicial Asking Price (€) (Total)]]-DATABASE_Table[[#This Row],[Vista membership]]-DATABASE_Table[[#This Row],[FF&amp;E]]</f>
        <v>590000</v>
      </c>
      <c r="S387" s="231">
        <v>590000</v>
      </c>
      <c r="T387" s="232">
        <v>630000</v>
      </c>
      <c r="U387" s="198"/>
      <c r="V387" s="198"/>
      <c r="W387" s="233">
        <f>DATABASE_Table[[#This Row],[Current Asking price( Total)]]-DATABASE_Table[[#This Row],[Vista membership]]-DATABASE_Table[[#This Row],[FF&amp;E]]</f>
        <v>630000</v>
      </c>
      <c r="X387" s="216">
        <v>0</v>
      </c>
      <c r="Y387" s="232">
        <v>630000</v>
      </c>
      <c r="Z387" s="233">
        <f>DATABASE_Table[[#This Row],[Sell price (Total)]]-DATABASE_Table[[#This Row],[FF&amp;E]]-DATABASE_Table[[#This Row],[Vista membership]]</f>
        <v>630000</v>
      </c>
      <c r="AA387" s="315"/>
      <c r="AB387" s="321"/>
      <c r="AC387" s="198" t="s">
        <v>10</v>
      </c>
      <c r="AD387" s="198" t="s">
        <v>23</v>
      </c>
      <c r="AE387" s="279" t="s">
        <v>24</v>
      </c>
      <c r="AF387" s="279" t="s">
        <v>803</v>
      </c>
      <c r="AG387" s="279" t="s">
        <v>25</v>
      </c>
      <c r="AH387" s="279" t="s">
        <v>804</v>
      </c>
      <c r="AI387" s="198" t="s">
        <v>26</v>
      </c>
      <c r="AJ387" s="274" t="s">
        <v>22</v>
      </c>
      <c r="AK387"/>
    </row>
    <row r="388" spans="1:37" ht="15.75" hidden="1" customHeight="1">
      <c r="A388" s="198" t="s">
        <v>689</v>
      </c>
      <c r="B388" s="198" t="s">
        <v>691</v>
      </c>
      <c r="C388" s="214" t="s">
        <v>365</v>
      </c>
      <c r="D388" s="198"/>
      <c r="E388" s="198" t="s">
        <v>384</v>
      </c>
      <c r="F388" s="198">
        <v>164.08609999999999</v>
      </c>
      <c r="G388" s="198"/>
      <c r="H388" s="214" t="s">
        <v>325</v>
      </c>
      <c r="I388" s="214" t="s">
        <v>325</v>
      </c>
      <c r="J388" s="271"/>
      <c r="K388" s="198"/>
      <c r="L388" s="198"/>
      <c r="M388" s="198"/>
      <c r="N388" s="198"/>
      <c r="O388" s="198">
        <v>164.08609999999999</v>
      </c>
      <c r="P388" s="198"/>
      <c r="Q388" s="198" t="s">
        <v>929</v>
      </c>
      <c r="R388" s="230">
        <f>DATABASE_Table[[#This Row],[Inicial Asking Price (€) (Total)]]-DATABASE_Table[[#This Row],[Vista membership]]-DATABASE_Table[[#This Row],[FF&amp;E]]</f>
        <v>1035900</v>
      </c>
      <c r="S388" s="231">
        <v>1035900</v>
      </c>
      <c r="T388" s="232">
        <v>1160000</v>
      </c>
      <c r="U388" s="198"/>
      <c r="V388" s="198"/>
      <c r="W388" s="233">
        <f>DATABASE_Table[[#This Row],[Current Asking price( Total)]]-DATABASE_Table[[#This Row],[Vista membership]]-DATABASE_Table[[#This Row],[FF&amp;E]]</f>
        <v>1160000</v>
      </c>
      <c r="X388" s="216">
        <v>0</v>
      </c>
      <c r="Y388" s="232">
        <v>1160000</v>
      </c>
      <c r="Z388" s="233">
        <f>DATABASE_Table[[#This Row],[Sell price (Total)]]-DATABASE_Table[[#This Row],[FF&amp;E]]-DATABASE_Table[[#This Row],[Vista membership]]</f>
        <v>1160000</v>
      </c>
      <c r="AA388" s="315"/>
      <c r="AB388" s="321"/>
      <c r="AC388" s="198"/>
      <c r="AD388" s="198"/>
      <c r="AE388" s="279"/>
      <c r="AF388" s="279"/>
      <c r="AG388" s="279"/>
      <c r="AH388" s="279"/>
      <c r="AI388" s="198"/>
      <c r="AJ388" s="274" t="s">
        <v>689</v>
      </c>
      <c r="AK388"/>
    </row>
    <row r="389" spans="1:37" ht="15.75" hidden="1" customHeight="1">
      <c r="A389" s="198" t="s">
        <v>772</v>
      </c>
      <c r="B389" s="198" t="s">
        <v>769</v>
      </c>
      <c r="C389" s="214" t="s">
        <v>509</v>
      </c>
      <c r="D389" s="198"/>
      <c r="E389" s="198" t="s">
        <v>319</v>
      </c>
      <c r="F389" s="198">
        <v>158.30000000000001</v>
      </c>
      <c r="G389" s="198"/>
      <c r="H389" s="214" t="s">
        <v>657</v>
      </c>
      <c r="I389" s="214" t="s">
        <v>325</v>
      </c>
      <c r="J389" s="271"/>
      <c r="K389" s="198"/>
      <c r="L389" s="198"/>
      <c r="M389" s="198">
        <v>36.799999999999997</v>
      </c>
      <c r="N389" s="198"/>
      <c r="O389" s="198">
        <v>121.5</v>
      </c>
      <c r="P389" s="198"/>
      <c r="Q389" s="198" t="s">
        <v>628</v>
      </c>
      <c r="R389" s="230">
        <f>DATABASE_Table[[#This Row],[Inicial Asking Price (€) (Total)]]-DATABASE_Table[[#This Row],[Vista membership]]-DATABASE_Table[[#This Row],[FF&amp;E]]</f>
        <v>540000</v>
      </c>
      <c r="S389" s="234">
        <v>540000</v>
      </c>
      <c r="T389" s="235">
        <v>1100000</v>
      </c>
      <c r="U389" s="198"/>
      <c r="V389" s="198"/>
      <c r="W389" s="233">
        <f>DATABASE_Table[[#This Row],[Current Asking price( Total)]]-DATABASE_Table[[#This Row],[Vista membership]]-DATABASE_Table[[#This Row],[FF&amp;E]]</f>
        <v>1100000</v>
      </c>
      <c r="X389" s="236">
        <v>0</v>
      </c>
      <c r="Y389" s="235">
        <v>1100000</v>
      </c>
      <c r="Z389" s="233">
        <f>DATABASE_Table[[#This Row],[Sell price (Total)]]-DATABASE_Table[[#This Row],[FF&amp;E]]-DATABASE_Table[[#This Row],[Vista membership]]</f>
        <v>1100000</v>
      </c>
      <c r="AA389" s="316">
        <v>45069</v>
      </c>
      <c r="AB389" s="321">
        <v>46843</v>
      </c>
      <c r="AC389" s="198"/>
      <c r="AD389" s="198"/>
      <c r="AE389" s="279"/>
      <c r="AF389" s="279"/>
      <c r="AG389" s="279"/>
      <c r="AH389" s="279"/>
      <c r="AI389" s="198"/>
      <c r="AJ389" s="274" t="s">
        <v>66</v>
      </c>
      <c r="AK389"/>
    </row>
    <row r="390" spans="1:37" ht="15.75" hidden="1" customHeight="1">
      <c r="A390" s="198" t="s">
        <v>564</v>
      </c>
      <c r="B390" s="198" t="s">
        <v>691</v>
      </c>
      <c r="C390" s="214" t="s">
        <v>365</v>
      </c>
      <c r="D390" s="198" t="s">
        <v>9</v>
      </c>
      <c r="E390" s="198" t="s">
        <v>416</v>
      </c>
      <c r="F390" s="198">
        <v>131.57</v>
      </c>
      <c r="G390" s="198"/>
      <c r="H390" s="214" t="s">
        <v>325</v>
      </c>
      <c r="I390" s="214" t="s">
        <v>325</v>
      </c>
      <c r="J390" s="271">
        <v>34.01</v>
      </c>
      <c r="K390" s="198"/>
      <c r="L390" s="198"/>
      <c r="M390" s="198"/>
      <c r="N390" s="198"/>
      <c r="O390" s="198">
        <v>97.56</v>
      </c>
      <c r="P390" s="198"/>
      <c r="Q390" s="198" t="s">
        <v>329</v>
      </c>
      <c r="R390" s="230">
        <f>DATABASE_Table[[#This Row],[Inicial Asking Price (€) (Total)]]-DATABASE_Table[[#This Row],[Vista membership]]-DATABASE_Table[[#This Row],[FF&amp;E]]</f>
        <v>784816.95279999997</v>
      </c>
      <c r="S390" s="231">
        <v>849416.95279999997</v>
      </c>
      <c r="T390" s="232">
        <v>920000</v>
      </c>
      <c r="U390" s="198">
        <v>24600</v>
      </c>
      <c r="V390" s="198">
        <v>40000</v>
      </c>
      <c r="W390" s="233">
        <f>DATABASE_Table[[#This Row],[Current Asking price( Total)]]-DATABASE_Table[[#This Row],[Vista membership]]-DATABASE_Table[[#This Row],[FF&amp;E]]</f>
        <v>855400</v>
      </c>
      <c r="X390" s="216"/>
      <c r="Y390" s="232">
        <v>920000</v>
      </c>
      <c r="Z390" s="233">
        <f>DATABASE_Table[[#This Row],[Sell price (Total)]]-DATABASE_Table[[#This Row],[FF&amp;E]]-DATABASE_Table[[#This Row],[Vista membership]]</f>
        <v>855400</v>
      </c>
      <c r="AA390" s="315"/>
      <c r="AB390" s="321"/>
      <c r="AC390" s="198" t="s">
        <v>10</v>
      </c>
      <c r="AD390" s="198" t="s">
        <v>35</v>
      </c>
      <c r="AE390" s="279" t="s">
        <v>43</v>
      </c>
      <c r="AF390" s="279" t="s">
        <v>44</v>
      </c>
      <c r="AG390" s="279" t="s">
        <v>45</v>
      </c>
      <c r="AH390" s="279" t="s">
        <v>46</v>
      </c>
      <c r="AI390" s="198" t="s">
        <v>47</v>
      </c>
      <c r="AJ390" s="274" t="s">
        <v>42</v>
      </c>
      <c r="AK390"/>
    </row>
    <row r="391" spans="1:37" ht="15.75" hidden="1" customHeight="1">
      <c r="A391" s="198" t="s">
        <v>630</v>
      </c>
      <c r="B391" s="198" t="s">
        <v>691</v>
      </c>
      <c r="C391" s="214" t="s">
        <v>366</v>
      </c>
      <c r="D391" s="198" t="s">
        <v>9</v>
      </c>
      <c r="E391" s="198" t="s">
        <v>320</v>
      </c>
      <c r="F391" s="198">
        <v>223.94</v>
      </c>
      <c r="G391" s="198"/>
      <c r="H391" s="214" t="s">
        <v>850</v>
      </c>
      <c r="I391" s="214" t="s">
        <v>325</v>
      </c>
      <c r="J391" s="271">
        <v>55.67</v>
      </c>
      <c r="K391" s="198"/>
      <c r="L391" s="198"/>
      <c r="M391" s="198">
        <v>0</v>
      </c>
      <c r="N391" s="198"/>
      <c r="O391" s="198">
        <v>168.27</v>
      </c>
      <c r="P391" s="198"/>
      <c r="Q391" s="198" t="s">
        <v>329</v>
      </c>
      <c r="R391" s="230">
        <f>DATABASE_Table[[#This Row],[Inicial Asking Price (€) (Total)]]-DATABASE_Table[[#This Row],[Vista membership]]-DATABASE_Table[[#This Row],[FF&amp;E]]</f>
        <v>1537842.54</v>
      </c>
      <c r="S391" s="231">
        <v>1537842.54</v>
      </c>
      <c r="T391" s="232">
        <v>1690000</v>
      </c>
      <c r="U391" s="198"/>
      <c r="V391" s="198"/>
      <c r="W391" s="233">
        <f>DATABASE_Table[[#This Row],[Current Asking price( Total)]]-DATABASE_Table[[#This Row],[Vista membership]]-DATABASE_Table[[#This Row],[FF&amp;E]]</f>
        <v>1690000</v>
      </c>
      <c r="X391" s="216"/>
      <c r="Y391" s="232">
        <v>1586200</v>
      </c>
      <c r="Z391" s="233">
        <f>DATABASE_Table[[#This Row],[Sell price (Total)]]-DATABASE_Table[[#This Row],[FF&amp;E]]-DATABASE_Table[[#This Row],[Vista membership]]</f>
        <v>1586200</v>
      </c>
      <c r="AA391" s="315"/>
      <c r="AB391" s="321"/>
      <c r="AC391" s="198" t="s">
        <v>10</v>
      </c>
      <c r="AD391" s="198" t="s">
        <v>11</v>
      </c>
      <c r="AE391" s="279" t="s">
        <v>53</v>
      </c>
      <c r="AF391" s="279" t="s">
        <v>54</v>
      </c>
      <c r="AG391" s="279" t="s">
        <v>811</v>
      </c>
      <c r="AH391" s="279" t="s">
        <v>812</v>
      </c>
      <c r="AI391" s="198" t="s">
        <v>36</v>
      </c>
      <c r="AJ391" s="274" t="s">
        <v>52</v>
      </c>
      <c r="AK391"/>
    </row>
    <row r="392" spans="1:37" ht="15.75" hidden="1" customHeight="1">
      <c r="A392" s="198" t="s">
        <v>558</v>
      </c>
      <c r="B392" s="198" t="s">
        <v>691</v>
      </c>
      <c r="C392" s="214" t="s">
        <v>366</v>
      </c>
      <c r="D392" s="198" t="s">
        <v>9</v>
      </c>
      <c r="E392" s="198" t="s">
        <v>320</v>
      </c>
      <c r="F392" s="198">
        <v>153.4</v>
      </c>
      <c r="G392" s="198">
        <v>3.99</v>
      </c>
      <c r="H392" s="214" t="s">
        <v>622</v>
      </c>
      <c r="I392" s="214" t="s">
        <v>590</v>
      </c>
      <c r="J392" s="271"/>
      <c r="K392" s="198"/>
      <c r="L392" s="198"/>
      <c r="M392" s="198"/>
      <c r="N392" s="198"/>
      <c r="O392" s="198">
        <v>153.4</v>
      </c>
      <c r="P392" s="198"/>
      <c r="Q392" s="198" t="s">
        <v>628</v>
      </c>
      <c r="R392" s="230">
        <f>DATABASE_Table[[#This Row],[Inicial Asking Price (€) (Total)]]-DATABASE_Table[[#This Row],[Vista membership]]-DATABASE_Table[[#This Row],[FF&amp;E]]</f>
        <v>1110000</v>
      </c>
      <c r="S392" s="231">
        <v>1110000</v>
      </c>
      <c r="T392" s="232">
        <v>1054500</v>
      </c>
      <c r="U392" s="198"/>
      <c r="V392" s="198"/>
      <c r="W392" s="233">
        <f>DATABASE_Table[[#This Row],[Current Asking price( Total)]]-DATABASE_Table[[#This Row],[Vista membership]]-DATABASE_Table[[#This Row],[FF&amp;E]]</f>
        <v>1054500</v>
      </c>
      <c r="X392" s="216">
        <v>0</v>
      </c>
      <c r="Y392" s="232">
        <v>1054500</v>
      </c>
      <c r="Z392" s="233">
        <f>DATABASE_Table[[#This Row],[Sell price (Total)]]-DATABASE_Table[[#This Row],[FF&amp;E]]-DATABASE_Table[[#This Row],[Vista membership]]</f>
        <v>1054500</v>
      </c>
      <c r="AA392" s="315">
        <v>45716</v>
      </c>
      <c r="AB392" s="321"/>
      <c r="AC392" s="198" t="s">
        <v>10</v>
      </c>
      <c r="AD392" s="198" t="s">
        <v>11</v>
      </c>
      <c r="AE392" s="279" t="s">
        <v>12</v>
      </c>
      <c r="AF392" s="279" t="s">
        <v>801</v>
      </c>
      <c r="AG392" s="279" t="s">
        <v>13</v>
      </c>
      <c r="AH392" s="279" t="s">
        <v>14</v>
      </c>
      <c r="AI392" s="198" t="s">
        <v>15</v>
      </c>
      <c r="AJ392" s="274" t="s">
        <v>8</v>
      </c>
      <c r="AK392"/>
    </row>
    <row r="393" spans="1:37" ht="15.75" hidden="1" customHeight="1">
      <c r="A393" s="198" t="s">
        <v>31</v>
      </c>
      <c r="B393" s="198" t="s">
        <v>691</v>
      </c>
      <c r="C393" s="214" t="s">
        <v>366</v>
      </c>
      <c r="D393" s="198" t="s">
        <v>9</v>
      </c>
      <c r="E393" s="198" t="s">
        <v>421</v>
      </c>
      <c r="F393" s="198"/>
      <c r="G393" s="198"/>
      <c r="H393" s="214" t="s">
        <v>325</v>
      </c>
      <c r="I393" s="214" t="s">
        <v>590</v>
      </c>
      <c r="J393" s="271"/>
      <c r="K393" s="198">
        <v>0</v>
      </c>
      <c r="L393" s="198"/>
      <c r="M393" s="198">
        <v>145</v>
      </c>
      <c r="N393" s="198"/>
      <c r="O393" s="198">
        <v>208</v>
      </c>
      <c r="P393" s="198"/>
      <c r="Q393" s="198" t="s">
        <v>628</v>
      </c>
      <c r="R393" s="230">
        <f>DATABASE_Table[[#This Row],[Inicial Asking Price (€) (Total)]]-DATABASE_Table[[#This Row],[Vista membership]]-DATABASE_Table[[#This Row],[FF&amp;E]]</f>
        <v>1280000</v>
      </c>
      <c r="S393" s="232">
        <v>1280000</v>
      </c>
      <c r="T393" s="232">
        <v>1280000</v>
      </c>
      <c r="U393" s="198"/>
      <c r="V393" s="198"/>
      <c r="W393" s="233">
        <f>DATABASE_Table[[#This Row],[Current Asking price( Total)]]-DATABASE_Table[[#This Row],[Vista membership]]-DATABASE_Table[[#This Row],[FF&amp;E]]</f>
        <v>1280000</v>
      </c>
      <c r="X393" s="216">
        <v>2.5000000000000001E-2</v>
      </c>
      <c r="Y393" s="232">
        <v>1248000</v>
      </c>
      <c r="Z393" s="233">
        <f>DATABASE_Table[[#This Row],[Sell price (Total)]]-DATABASE_Table[[#This Row],[FF&amp;E]]-DATABASE_Table[[#This Row],[Vista membership]]</f>
        <v>1248000</v>
      </c>
      <c r="AA393" s="316">
        <v>46188</v>
      </c>
      <c r="AB393" s="321"/>
      <c r="AC393" s="198" t="s">
        <v>10</v>
      </c>
      <c r="AD393" s="198" t="s">
        <v>807</v>
      </c>
      <c r="AE393" s="279" t="s">
        <v>32</v>
      </c>
      <c r="AF393" s="279" t="s">
        <v>808</v>
      </c>
      <c r="AG393" s="279" t="s">
        <v>33</v>
      </c>
      <c r="AH393" s="279" t="s">
        <v>809</v>
      </c>
      <c r="AI393" s="198" t="s">
        <v>15</v>
      </c>
      <c r="AJ393" s="274" t="s">
        <v>31</v>
      </c>
      <c r="AK393"/>
    </row>
    <row r="394" spans="1:37" ht="15.75" hidden="1" customHeight="1">
      <c r="A394" s="198" t="s">
        <v>690</v>
      </c>
      <c r="B394" s="198" t="s">
        <v>691</v>
      </c>
      <c r="C394" s="214" t="s">
        <v>366</v>
      </c>
      <c r="D394" s="198" t="s">
        <v>9</v>
      </c>
      <c r="E394" s="198" t="s">
        <v>765</v>
      </c>
      <c r="F394" s="198">
        <v>276.3</v>
      </c>
      <c r="G394" s="198">
        <v>115.09</v>
      </c>
      <c r="H394" s="214" t="s">
        <v>325</v>
      </c>
      <c r="I394" s="214" t="s">
        <v>325</v>
      </c>
      <c r="J394" s="271">
        <v>25.77</v>
      </c>
      <c r="K394" s="198"/>
      <c r="L394" s="198"/>
      <c r="M394" s="198"/>
      <c r="N394" s="198"/>
      <c r="O394" s="198">
        <v>135.44</v>
      </c>
      <c r="P394" s="198"/>
      <c r="Q394" s="198" t="s">
        <v>329</v>
      </c>
      <c r="R394" s="230">
        <f>DATABASE_Table[[#This Row],[Inicial Asking Price (€) (Total)]]-DATABASE_Table[[#This Row],[Vista membership]]-DATABASE_Table[[#This Row],[FF&amp;E]]</f>
        <v>1267700</v>
      </c>
      <c r="S394" s="231">
        <v>1338850</v>
      </c>
      <c r="T394" s="232">
        <v>1410000</v>
      </c>
      <c r="U394" s="198">
        <v>24600</v>
      </c>
      <c r="V394" s="198">
        <v>46550</v>
      </c>
      <c r="W394" s="233">
        <f>DATABASE_Table[[#This Row],[Current Asking price( Total)]]-DATABASE_Table[[#This Row],[Vista membership]]-DATABASE_Table[[#This Row],[FF&amp;E]]</f>
        <v>1338850</v>
      </c>
      <c r="X394" s="216"/>
      <c r="Y394" s="232">
        <v>1410000</v>
      </c>
      <c r="Z394" s="233">
        <f>DATABASE_Table[[#This Row],[Sell price (Total)]]-DATABASE_Table[[#This Row],[FF&amp;E]]-DATABASE_Table[[#This Row],[Vista membership]]</f>
        <v>1338850</v>
      </c>
      <c r="AA394" s="315"/>
      <c r="AB394" s="321"/>
      <c r="AC394" s="198" t="s">
        <v>10</v>
      </c>
      <c r="AD394" s="198" t="s">
        <v>35</v>
      </c>
      <c r="AE394" s="279" t="s">
        <v>38</v>
      </c>
      <c r="AF394" s="279" t="s">
        <v>39</v>
      </c>
      <c r="AG394" s="279" t="s">
        <v>40</v>
      </c>
      <c r="AH394" s="279" t="s">
        <v>810</v>
      </c>
      <c r="AI394" s="198" t="s">
        <v>41</v>
      </c>
      <c r="AJ394" s="274" t="s">
        <v>37</v>
      </c>
      <c r="AK394"/>
    </row>
    <row r="395" spans="1:37" ht="15.75" hidden="1" customHeight="1">
      <c r="A395" s="198" t="s">
        <v>563</v>
      </c>
      <c r="B395" s="198" t="s">
        <v>691</v>
      </c>
      <c r="C395" s="214" t="s">
        <v>366</v>
      </c>
      <c r="D395" s="198" t="s">
        <v>9</v>
      </c>
      <c r="E395" s="198" t="s">
        <v>320</v>
      </c>
      <c r="F395" s="198">
        <v>130.91999999999999</v>
      </c>
      <c r="G395" s="198"/>
      <c r="H395" s="214" t="s">
        <v>325</v>
      </c>
      <c r="I395" s="214" t="s">
        <v>325</v>
      </c>
      <c r="J395" s="271"/>
      <c r="K395" s="198"/>
      <c r="L395" s="198"/>
      <c r="M395" s="198"/>
      <c r="N395" s="198"/>
      <c r="O395" s="198">
        <v>130.91999999999999</v>
      </c>
      <c r="P395" s="198"/>
      <c r="Q395" s="198" t="s">
        <v>628</v>
      </c>
      <c r="R395" s="230">
        <f>DATABASE_Table[[#This Row],[Inicial Asking Price (€) (Total)]]-DATABASE_Table[[#This Row],[Vista membership]]-DATABASE_Table[[#This Row],[FF&amp;E]]</f>
        <v>650000</v>
      </c>
      <c r="S395" s="231">
        <v>650000</v>
      </c>
      <c r="T395" s="232">
        <v>670000</v>
      </c>
      <c r="U395" s="198"/>
      <c r="V395" s="198"/>
      <c r="W395" s="233">
        <f>DATABASE_Table[[#This Row],[Current Asking price( Total)]]-DATABASE_Table[[#This Row],[Vista membership]]-DATABASE_Table[[#This Row],[FF&amp;E]]</f>
        <v>670000</v>
      </c>
      <c r="X395" s="216">
        <v>0</v>
      </c>
      <c r="Y395" s="232">
        <v>670000</v>
      </c>
      <c r="Z395" s="233">
        <f>DATABASE_Table[[#This Row],[Sell price (Total)]]-DATABASE_Table[[#This Row],[FF&amp;E]]-DATABASE_Table[[#This Row],[Vista membership]]</f>
        <v>670000</v>
      </c>
      <c r="AA395" s="316">
        <v>46044</v>
      </c>
      <c r="AB395" s="321"/>
      <c r="AC395" s="198" t="s">
        <v>10</v>
      </c>
      <c r="AD395" s="198" t="s">
        <v>11</v>
      </c>
      <c r="AE395" s="279" t="s">
        <v>28</v>
      </c>
      <c r="AF395" s="279" t="s">
        <v>29</v>
      </c>
      <c r="AG395" s="279" t="s">
        <v>805</v>
      </c>
      <c r="AH395" s="279" t="s">
        <v>806</v>
      </c>
      <c r="AI395" s="198" t="s">
        <v>30</v>
      </c>
      <c r="AJ395" s="274" t="s">
        <v>27</v>
      </c>
      <c r="AK395"/>
    </row>
    <row r="396" spans="1:37" ht="15.75" hidden="1" customHeight="1">
      <c r="A396" s="198" t="s">
        <v>562</v>
      </c>
      <c r="B396" s="198" t="s">
        <v>691</v>
      </c>
      <c r="C396" s="214" t="s">
        <v>366</v>
      </c>
      <c r="D396" s="198" t="s">
        <v>9</v>
      </c>
      <c r="E396" s="198" t="s">
        <v>319</v>
      </c>
      <c r="F396" s="198">
        <v>119</v>
      </c>
      <c r="G396" s="198"/>
      <c r="H396" s="214" t="s">
        <v>325</v>
      </c>
      <c r="I396" s="214" t="s">
        <v>325</v>
      </c>
      <c r="J396" s="271"/>
      <c r="K396" s="198"/>
      <c r="L396" s="198"/>
      <c r="M396" s="198"/>
      <c r="N396" s="198"/>
      <c r="O396" s="198">
        <v>119</v>
      </c>
      <c r="P396" s="198"/>
      <c r="Q396" s="198" t="s">
        <v>929</v>
      </c>
      <c r="R396" s="230">
        <f>DATABASE_Table[[#This Row],[Inicial Asking Price (€) (Total)]]-DATABASE_Table[[#This Row],[Vista membership]]-DATABASE_Table[[#This Row],[FF&amp;E]]</f>
        <v>590000</v>
      </c>
      <c r="S396" s="231">
        <v>590000</v>
      </c>
      <c r="T396" s="232">
        <v>630000</v>
      </c>
      <c r="U396" s="198"/>
      <c r="V396" s="198"/>
      <c r="W396" s="233">
        <f>DATABASE_Table[[#This Row],[Current Asking price( Total)]]-DATABASE_Table[[#This Row],[Vista membership]]-DATABASE_Table[[#This Row],[FF&amp;E]]</f>
        <v>630000</v>
      </c>
      <c r="X396" s="216">
        <v>0.18</v>
      </c>
      <c r="Y396" s="232">
        <v>516600</v>
      </c>
      <c r="Z396" s="233">
        <f>DATABASE_Table[[#This Row],[Sell price (Total)]]-DATABASE_Table[[#This Row],[FF&amp;E]]-DATABASE_Table[[#This Row],[Vista membership]]</f>
        <v>516600</v>
      </c>
      <c r="AA396" s="315"/>
      <c r="AB396" s="321"/>
      <c r="AC396" s="198" t="s">
        <v>10</v>
      </c>
      <c r="AD396" s="198" t="s">
        <v>23</v>
      </c>
      <c r="AE396" s="279" t="s">
        <v>24</v>
      </c>
      <c r="AF396" s="279" t="s">
        <v>803</v>
      </c>
      <c r="AG396" s="279" t="s">
        <v>25</v>
      </c>
      <c r="AH396" s="279" t="s">
        <v>804</v>
      </c>
      <c r="AI396" s="198" t="s">
        <v>26</v>
      </c>
      <c r="AJ396" s="274" t="s">
        <v>22</v>
      </c>
      <c r="AK396"/>
    </row>
    <row r="397" spans="1:37" ht="15.75" hidden="1" customHeight="1">
      <c r="A397" s="198" t="s">
        <v>689</v>
      </c>
      <c r="B397" s="198" t="s">
        <v>691</v>
      </c>
      <c r="C397" s="214" t="s">
        <v>366</v>
      </c>
      <c r="D397" s="198"/>
      <c r="E397" s="198" t="s">
        <v>383</v>
      </c>
      <c r="F397" s="198">
        <v>189.03110000000001</v>
      </c>
      <c r="G397" s="198"/>
      <c r="H397" s="214" t="s">
        <v>325</v>
      </c>
      <c r="I397" s="214" t="s">
        <v>325</v>
      </c>
      <c r="J397" s="271"/>
      <c r="K397" s="198"/>
      <c r="L397" s="198"/>
      <c r="M397" s="198"/>
      <c r="N397" s="198"/>
      <c r="O397" s="198">
        <v>189.03110000000001</v>
      </c>
      <c r="P397" s="198"/>
      <c r="Q397" s="198" t="s">
        <v>929</v>
      </c>
      <c r="R397" s="230">
        <f>DATABASE_Table[[#This Row],[Inicial Asking Price (€) (Total)]]-DATABASE_Table[[#This Row],[Vista membership]]-DATABASE_Table[[#This Row],[FF&amp;E]]</f>
        <v>1216320</v>
      </c>
      <c r="S397" s="231">
        <v>1216320</v>
      </c>
      <c r="T397" s="232">
        <v>1345000.0036530001</v>
      </c>
      <c r="U397" s="198"/>
      <c r="V397" s="198"/>
      <c r="W397" s="233">
        <f>DATABASE_Table[[#This Row],[Current Asking price( Total)]]-DATABASE_Table[[#This Row],[Vista membership]]-DATABASE_Table[[#This Row],[FF&amp;E]]</f>
        <v>1345000.0036530001</v>
      </c>
      <c r="X397" s="216">
        <v>2.7159849924629502E-9</v>
      </c>
      <c r="Y397" s="232">
        <v>1345000</v>
      </c>
      <c r="Z397" s="233">
        <f>DATABASE_Table[[#This Row],[Sell price (Total)]]-DATABASE_Table[[#This Row],[FF&amp;E]]-DATABASE_Table[[#This Row],[Vista membership]]</f>
        <v>1345000</v>
      </c>
      <c r="AA397" s="315"/>
      <c r="AB397" s="321"/>
      <c r="AC397" s="198"/>
      <c r="AD397" s="198"/>
      <c r="AE397" s="279"/>
      <c r="AF397" s="279"/>
      <c r="AG397" s="279"/>
      <c r="AH397" s="279"/>
      <c r="AI397" s="198"/>
      <c r="AJ397" s="274" t="s">
        <v>689</v>
      </c>
      <c r="AK397"/>
    </row>
    <row r="398" spans="1:37" ht="15.75" hidden="1" customHeight="1">
      <c r="A398" s="198" t="s">
        <v>564</v>
      </c>
      <c r="B398" s="198" t="s">
        <v>691</v>
      </c>
      <c r="C398" s="214" t="s">
        <v>366</v>
      </c>
      <c r="D398" s="198" t="s">
        <v>9</v>
      </c>
      <c r="E398" s="198" t="s">
        <v>319</v>
      </c>
      <c r="F398" s="198">
        <v>117.28</v>
      </c>
      <c r="G398" s="198"/>
      <c r="H398" s="214" t="s">
        <v>325</v>
      </c>
      <c r="I398" s="214" t="s">
        <v>325</v>
      </c>
      <c r="J398" s="271">
        <v>28.67</v>
      </c>
      <c r="K398" s="198"/>
      <c r="L398" s="198"/>
      <c r="M398" s="198"/>
      <c r="N398" s="198"/>
      <c r="O398" s="198">
        <v>88.61</v>
      </c>
      <c r="P398" s="198"/>
      <c r="Q398" s="198" t="s">
        <v>329</v>
      </c>
      <c r="R398" s="230">
        <f>DATABASE_Table[[#This Row],[Inicial Asking Price (€) (Total)]]-DATABASE_Table[[#This Row],[Vista membership]]-DATABASE_Table[[#This Row],[FF&amp;E]]</f>
        <v>706789.57680000004</v>
      </c>
      <c r="S398" s="231">
        <v>771389.57680000004</v>
      </c>
      <c r="T398" s="232">
        <v>820000</v>
      </c>
      <c r="U398" s="198">
        <v>24600</v>
      </c>
      <c r="V398" s="198">
        <v>40000</v>
      </c>
      <c r="W398" s="233">
        <f>DATABASE_Table[[#This Row],[Current Asking price( Total)]]-DATABASE_Table[[#This Row],[Vista membership]]-DATABASE_Table[[#This Row],[FF&amp;E]]</f>
        <v>755400</v>
      </c>
      <c r="X398" s="216"/>
      <c r="Y398" s="232">
        <v>795400</v>
      </c>
      <c r="Z398" s="233">
        <f>DATABASE_Table[[#This Row],[Sell price (Total)]]-DATABASE_Table[[#This Row],[FF&amp;E]]-DATABASE_Table[[#This Row],[Vista membership]]</f>
        <v>730800</v>
      </c>
      <c r="AA398" s="315"/>
      <c r="AB398" s="321"/>
      <c r="AC398" s="198" t="s">
        <v>10</v>
      </c>
      <c r="AD398" s="198" t="s">
        <v>35</v>
      </c>
      <c r="AE398" s="279" t="s">
        <v>43</v>
      </c>
      <c r="AF398" s="279" t="s">
        <v>44</v>
      </c>
      <c r="AG398" s="279" t="s">
        <v>45</v>
      </c>
      <c r="AH398" s="279" t="s">
        <v>46</v>
      </c>
      <c r="AI398" s="198" t="s">
        <v>47</v>
      </c>
      <c r="AJ398" s="274" t="s">
        <v>42</v>
      </c>
      <c r="AK398"/>
    </row>
    <row r="399" spans="1:37" ht="15.75" hidden="1" customHeight="1">
      <c r="A399" s="198" t="s">
        <v>630</v>
      </c>
      <c r="B399" s="198" t="s">
        <v>691</v>
      </c>
      <c r="C399" s="214" t="s">
        <v>367</v>
      </c>
      <c r="D399" s="198" t="s">
        <v>9</v>
      </c>
      <c r="E399" s="198" t="s">
        <v>319</v>
      </c>
      <c r="F399" s="198">
        <v>146.43</v>
      </c>
      <c r="G399" s="198"/>
      <c r="H399" s="214" t="s">
        <v>849</v>
      </c>
      <c r="I399" s="214" t="s">
        <v>325</v>
      </c>
      <c r="J399" s="271">
        <v>28.49</v>
      </c>
      <c r="K399" s="198"/>
      <c r="L399" s="198"/>
      <c r="M399" s="198">
        <v>0</v>
      </c>
      <c r="N399" s="198"/>
      <c r="O399" s="198">
        <v>117.94</v>
      </c>
      <c r="P399" s="198"/>
      <c r="Q399" s="198" t="s">
        <v>628</v>
      </c>
      <c r="R399" s="230">
        <f>DATABASE_Table[[#This Row],[Inicial Asking Price (€) (Total)]]-DATABASE_Table[[#This Row],[Vista membership]]-DATABASE_Table[[#This Row],[FF&amp;E]]</f>
        <v>926643.76199999999</v>
      </c>
      <c r="S399" s="231">
        <v>926643.76199999999</v>
      </c>
      <c r="T399" s="232">
        <v>930000</v>
      </c>
      <c r="U399" s="198"/>
      <c r="V399" s="198"/>
      <c r="W399" s="233">
        <f>DATABASE_Table[[#This Row],[Current Asking price( Total)]]-DATABASE_Table[[#This Row],[Vista membership]]-DATABASE_Table[[#This Row],[FF&amp;E]]</f>
        <v>930000</v>
      </c>
      <c r="X399" s="216">
        <v>0.04</v>
      </c>
      <c r="Y399" s="232">
        <v>892800</v>
      </c>
      <c r="Z399" s="233">
        <f>DATABASE_Table[[#This Row],[Sell price (Total)]]-DATABASE_Table[[#This Row],[FF&amp;E]]-DATABASE_Table[[#This Row],[Vista membership]]</f>
        <v>892800</v>
      </c>
      <c r="AA399" s="315">
        <v>46136</v>
      </c>
      <c r="AB399" s="321"/>
      <c r="AC399" s="198" t="s">
        <v>10</v>
      </c>
      <c r="AD399" s="198" t="s">
        <v>11</v>
      </c>
      <c r="AE399" s="279" t="s">
        <v>53</v>
      </c>
      <c r="AF399" s="279" t="s">
        <v>54</v>
      </c>
      <c r="AG399" s="279" t="s">
        <v>811</v>
      </c>
      <c r="AH399" s="279" t="s">
        <v>812</v>
      </c>
      <c r="AI399" s="198" t="s">
        <v>36</v>
      </c>
      <c r="AJ399" s="274" t="s">
        <v>52</v>
      </c>
      <c r="AK399"/>
    </row>
    <row r="400" spans="1:37" ht="15.75" hidden="1" customHeight="1">
      <c r="A400" s="198" t="s">
        <v>558</v>
      </c>
      <c r="B400" s="198" t="s">
        <v>691</v>
      </c>
      <c r="C400" s="214" t="s">
        <v>367</v>
      </c>
      <c r="D400" s="198" t="s">
        <v>9</v>
      </c>
      <c r="E400" s="198" t="s">
        <v>319</v>
      </c>
      <c r="F400" s="198">
        <v>106.03</v>
      </c>
      <c r="G400" s="198">
        <v>3.37</v>
      </c>
      <c r="H400" s="214" t="s">
        <v>623</v>
      </c>
      <c r="I400" s="214" t="s">
        <v>325</v>
      </c>
      <c r="J400" s="271"/>
      <c r="K400" s="198"/>
      <c r="L400" s="198"/>
      <c r="M400" s="198"/>
      <c r="N400" s="198"/>
      <c r="O400" s="198">
        <v>106.03</v>
      </c>
      <c r="P400" s="198"/>
      <c r="Q400" s="198" t="s">
        <v>329</v>
      </c>
      <c r="R400" s="230">
        <f>DATABASE_Table[[#This Row],[Inicial Asking Price (€) (Total)]]-DATABASE_Table[[#This Row],[Vista membership]]-DATABASE_Table[[#This Row],[FF&amp;E]]</f>
        <v>710000</v>
      </c>
      <c r="S400" s="231">
        <v>710000</v>
      </c>
      <c r="T400" s="232">
        <v>710000</v>
      </c>
      <c r="U400" s="198"/>
      <c r="V400" s="198"/>
      <c r="W400" s="233">
        <f>DATABASE_Table[[#This Row],[Current Asking price( Total)]]-DATABASE_Table[[#This Row],[Vista membership]]-DATABASE_Table[[#This Row],[FF&amp;E]]</f>
        <v>710000</v>
      </c>
      <c r="X400" s="216"/>
      <c r="Y400" s="232">
        <v>710000</v>
      </c>
      <c r="Z400" s="233">
        <f>DATABASE_Table[[#This Row],[Sell price (Total)]]-DATABASE_Table[[#This Row],[FF&amp;E]]-DATABASE_Table[[#This Row],[Vista membership]]</f>
        <v>710000</v>
      </c>
      <c r="AA400" s="315">
        <v>46125</v>
      </c>
      <c r="AB400" s="321"/>
      <c r="AC400" s="198" t="s">
        <v>10</v>
      </c>
      <c r="AD400" s="198" t="s">
        <v>11</v>
      </c>
      <c r="AE400" s="279" t="s">
        <v>12</v>
      </c>
      <c r="AF400" s="279" t="s">
        <v>801</v>
      </c>
      <c r="AG400" s="279" t="s">
        <v>13</v>
      </c>
      <c r="AH400" s="279" t="s">
        <v>14</v>
      </c>
      <c r="AI400" s="198" t="s">
        <v>15</v>
      </c>
      <c r="AJ400" s="274" t="s">
        <v>8</v>
      </c>
      <c r="AK400"/>
    </row>
    <row r="401" spans="1:37" ht="15.75" hidden="1" customHeight="1">
      <c r="A401" s="198" t="s">
        <v>31</v>
      </c>
      <c r="B401" s="198" t="s">
        <v>691</v>
      </c>
      <c r="C401" s="214" t="s">
        <v>367</v>
      </c>
      <c r="D401" s="198" t="s">
        <v>9</v>
      </c>
      <c r="E401" s="198" t="s">
        <v>319</v>
      </c>
      <c r="F401" s="198"/>
      <c r="G401" s="198"/>
      <c r="H401" s="214" t="s">
        <v>325</v>
      </c>
      <c r="I401" s="214" t="s">
        <v>325</v>
      </c>
      <c r="J401" s="271"/>
      <c r="K401" s="198">
        <v>0</v>
      </c>
      <c r="L401" s="198"/>
      <c r="M401" s="198">
        <v>18</v>
      </c>
      <c r="N401" s="198"/>
      <c r="O401" s="198">
        <v>108</v>
      </c>
      <c r="P401" s="198"/>
      <c r="Q401" s="198" t="s">
        <v>326</v>
      </c>
      <c r="R401" s="230">
        <f>DATABASE_Table[[#This Row],[Inicial Asking Price (€) (Total)]]-DATABASE_Table[[#This Row],[Vista membership]]-DATABASE_Table[[#This Row],[FF&amp;E]]</f>
        <v>740000</v>
      </c>
      <c r="S401" s="232">
        <v>740000</v>
      </c>
      <c r="T401" s="232">
        <v>740000</v>
      </c>
      <c r="U401" s="198"/>
      <c r="V401" s="198"/>
      <c r="W401" s="233">
        <f>DATABASE_Table[[#This Row],[Current Asking price( Total)]]-DATABASE_Table[[#This Row],[Vista membership]]-DATABASE_Table[[#This Row],[FF&amp;E]]</f>
        <v>740000</v>
      </c>
      <c r="X401" s="216">
        <v>0</v>
      </c>
      <c r="Y401" s="232">
        <v>740000</v>
      </c>
      <c r="Z401" s="233">
        <f>DATABASE_Table[[#This Row],[Sell price (Total)]]-DATABASE_Table[[#This Row],[FF&amp;E]]-DATABASE_Table[[#This Row],[Vista membership]]</f>
        <v>740000</v>
      </c>
      <c r="AA401" s="315">
        <v>46139</v>
      </c>
      <c r="AB401" s="321"/>
      <c r="AC401" s="198" t="s">
        <v>10</v>
      </c>
      <c r="AD401" s="198" t="s">
        <v>807</v>
      </c>
      <c r="AE401" s="279" t="s">
        <v>32</v>
      </c>
      <c r="AF401" s="279" t="s">
        <v>808</v>
      </c>
      <c r="AG401" s="279" t="s">
        <v>33</v>
      </c>
      <c r="AH401" s="279" t="s">
        <v>809</v>
      </c>
      <c r="AI401" s="198" t="s">
        <v>15</v>
      </c>
      <c r="AJ401" s="274" t="s">
        <v>31</v>
      </c>
      <c r="AK401"/>
    </row>
    <row r="402" spans="1:37" ht="15.75" hidden="1" customHeight="1">
      <c r="A402" s="198" t="s">
        <v>690</v>
      </c>
      <c r="B402" s="198" t="s">
        <v>691</v>
      </c>
      <c r="C402" s="214" t="s">
        <v>367</v>
      </c>
      <c r="D402" s="198" t="s">
        <v>9</v>
      </c>
      <c r="E402" s="198" t="s">
        <v>765</v>
      </c>
      <c r="F402" s="198">
        <v>276.3</v>
      </c>
      <c r="G402" s="198">
        <v>115.09</v>
      </c>
      <c r="H402" s="214" t="s">
        <v>325</v>
      </c>
      <c r="I402" s="214" t="s">
        <v>325</v>
      </c>
      <c r="J402" s="271">
        <v>25.77</v>
      </c>
      <c r="K402" s="198"/>
      <c r="L402" s="198"/>
      <c r="M402" s="198"/>
      <c r="N402" s="198"/>
      <c r="O402" s="198">
        <v>135.44</v>
      </c>
      <c r="P402" s="198"/>
      <c r="Q402" s="198" t="s">
        <v>329</v>
      </c>
      <c r="R402" s="230">
        <f>DATABASE_Table[[#This Row],[Inicial Asking Price (€) (Total)]]-DATABASE_Table[[#This Row],[Vista membership]]-DATABASE_Table[[#This Row],[FF&amp;E]]</f>
        <v>1287700</v>
      </c>
      <c r="S402" s="231">
        <v>1358850</v>
      </c>
      <c r="T402" s="232">
        <v>1430000</v>
      </c>
      <c r="U402" s="198">
        <v>24600</v>
      </c>
      <c r="V402" s="198">
        <v>46550</v>
      </c>
      <c r="W402" s="233">
        <f>DATABASE_Table[[#This Row],[Current Asking price( Total)]]-DATABASE_Table[[#This Row],[Vista membership]]-DATABASE_Table[[#This Row],[FF&amp;E]]</f>
        <v>1358850</v>
      </c>
      <c r="X402" s="216"/>
      <c r="Y402" s="232">
        <v>1430000</v>
      </c>
      <c r="Z402" s="233">
        <f>DATABASE_Table[[#This Row],[Sell price (Total)]]-DATABASE_Table[[#This Row],[FF&amp;E]]-DATABASE_Table[[#This Row],[Vista membership]]</f>
        <v>1358850</v>
      </c>
      <c r="AA402" s="315">
        <v>46093</v>
      </c>
      <c r="AB402" s="321"/>
      <c r="AC402" s="198" t="s">
        <v>10</v>
      </c>
      <c r="AD402" s="198" t="s">
        <v>35</v>
      </c>
      <c r="AE402" s="279" t="s">
        <v>38</v>
      </c>
      <c r="AF402" s="279" t="s">
        <v>39</v>
      </c>
      <c r="AG402" s="279" t="s">
        <v>40</v>
      </c>
      <c r="AH402" s="279" t="s">
        <v>810</v>
      </c>
      <c r="AI402" s="198" t="s">
        <v>41</v>
      </c>
      <c r="AJ402" s="274" t="s">
        <v>37</v>
      </c>
      <c r="AK402"/>
    </row>
    <row r="403" spans="1:37" ht="15.75" hidden="1" customHeight="1">
      <c r="A403" s="198" t="s">
        <v>563</v>
      </c>
      <c r="B403" s="198" t="s">
        <v>691</v>
      </c>
      <c r="C403" s="214" t="s">
        <v>367</v>
      </c>
      <c r="D403" s="198" t="s">
        <v>9</v>
      </c>
      <c r="E403" s="198" t="s">
        <v>320</v>
      </c>
      <c r="F403" s="198">
        <v>130.91999999999999</v>
      </c>
      <c r="G403" s="198"/>
      <c r="H403" s="214" t="s">
        <v>325</v>
      </c>
      <c r="I403" s="214" t="s">
        <v>325</v>
      </c>
      <c r="J403" s="271"/>
      <c r="K403" s="198"/>
      <c r="L403" s="198"/>
      <c r="M403" s="198"/>
      <c r="N403" s="198"/>
      <c r="O403" s="198">
        <v>130.91999999999999</v>
      </c>
      <c r="P403" s="198"/>
      <c r="Q403" s="198" t="s">
        <v>628</v>
      </c>
      <c r="R403" s="230">
        <f>DATABASE_Table[[#This Row],[Inicial Asking Price (€) (Total)]]-DATABASE_Table[[#This Row],[Vista membership]]-DATABASE_Table[[#This Row],[FF&amp;E]]</f>
        <v>650000</v>
      </c>
      <c r="S403" s="231">
        <v>650000</v>
      </c>
      <c r="T403" s="232">
        <v>670000</v>
      </c>
      <c r="U403" s="198"/>
      <c r="V403" s="198"/>
      <c r="W403" s="233">
        <f>DATABASE_Table[[#This Row],[Current Asking price( Total)]]-DATABASE_Table[[#This Row],[Vista membership]]-DATABASE_Table[[#This Row],[FF&amp;E]]</f>
        <v>670000</v>
      </c>
      <c r="X403" s="216">
        <v>0</v>
      </c>
      <c r="Y403" s="232">
        <v>670000</v>
      </c>
      <c r="Z403" s="233">
        <f>DATABASE_Table[[#This Row],[Sell price (Total)]]-DATABASE_Table[[#This Row],[FF&amp;E]]-DATABASE_Table[[#This Row],[Vista membership]]</f>
        <v>670000</v>
      </c>
      <c r="AA403" s="316">
        <v>45943</v>
      </c>
      <c r="AB403" s="321"/>
      <c r="AC403" s="198" t="s">
        <v>10</v>
      </c>
      <c r="AD403" s="198" t="s">
        <v>11</v>
      </c>
      <c r="AE403" s="279" t="s">
        <v>28</v>
      </c>
      <c r="AF403" s="279" t="s">
        <v>29</v>
      </c>
      <c r="AG403" s="279" t="s">
        <v>805</v>
      </c>
      <c r="AH403" s="279" t="s">
        <v>806</v>
      </c>
      <c r="AI403" s="198" t="s">
        <v>30</v>
      </c>
      <c r="AJ403" s="274" t="s">
        <v>27</v>
      </c>
      <c r="AK403"/>
    </row>
    <row r="404" spans="1:37" ht="15.75" hidden="1" customHeight="1">
      <c r="A404" s="198" t="s">
        <v>562</v>
      </c>
      <c r="B404" s="198" t="s">
        <v>691</v>
      </c>
      <c r="C404" s="214" t="s">
        <v>367</v>
      </c>
      <c r="D404" s="198" t="s">
        <v>9</v>
      </c>
      <c r="E404" s="198" t="s">
        <v>319</v>
      </c>
      <c r="F404" s="198">
        <v>119</v>
      </c>
      <c r="G404" s="198"/>
      <c r="H404" s="214" t="s">
        <v>325</v>
      </c>
      <c r="I404" s="214" t="s">
        <v>325</v>
      </c>
      <c r="J404" s="271"/>
      <c r="K404" s="198"/>
      <c r="L404" s="198"/>
      <c r="M404" s="198"/>
      <c r="N404" s="198"/>
      <c r="O404" s="198">
        <v>119</v>
      </c>
      <c r="P404" s="198"/>
      <c r="Q404" s="198" t="s">
        <v>929</v>
      </c>
      <c r="R404" s="230">
        <f>DATABASE_Table[[#This Row],[Inicial Asking Price (€) (Total)]]-DATABASE_Table[[#This Row],[Vista membership]]-DATABASE_Table[[#This Row],[FF&amp;E]]</f>
        <v>590000</v>
      </c>
      <c r="S404" s="231">
        <v>590000</v>
      </c>
      <c r="T404" s="232">
        <v>630000</v>
      </c>
      <c r="U404" s="198"/>
      <c r="V404" s="198"/>
      <c r="W404" s="233">
        <f>DATABASE_Table[[#This Row],[Current Asking price( Total)]]-DATABASE_Table[[#This Row],[Vista membership]]-DATABASE_Table[[#This Row],[FF&amp;E]]</f>
        <v>630000</v>
      </c>
      <c r="X404" s="216">
        <v>0.18</v>
      </c>
      <c r="Y404" s="232">
        <v>516600</v>
      </c>
      <c r="Z404" s="233">
        <f>DATABASE_Table[[#This Row],[Sell price (Total)]]-DATABASE_Table[[#This Row],[FF&amp;E]]-DATABASE_Table[[#This Row],[Vista membership]]</f>
        <v>516600</v>
      </c>
      <c r="AA404" s="315">
        <v>46080</v>
      </c>
      <c r="AB404" s="321"/>
      <c r="AC404" s="198" t="s">
        <v>10</v>
      </c>
      <c r="AD404" s="198" t="s">
        <v>23</v>
      </c>
      <c r="AE404" s="279" t="s">
        <v>24</v>
      </c>
      <c r="AF404" s="279" t="s">
        <v>803</v>
      </c>
      <c r="AG404" s="279" t="s">
        <v>25</v>
      </c>
      <c r="AH404" s="279" t="s">
        <v>804</v>
      </c>
      <c r="AI404" s="198" t="s">
        <v>26</v>
      </c>
      <c r="AJ404" s="274" t="s">
        <v>22</v>
      </c>
      <c r="AK404"/>
    </row>
    <row r="405" spans="1:37" ht="15.75" hidden="1" customHeight="1">
      <c r="A405" s="198" t="s">
        <v>689</v>
      </c>
      <c r="B405" s="198" t="s">
        <v>691</v>
      </c>
      <c r="C405" s="214" t="s">
        <v>367</v>
      </c>
      <c r="D405" s="198"/>
      <c r="E405" s="198" t="s">
        <v>383</v>
      </c>
      <c r="F405" s="198">
        <v>188.2499</v>
      </c>
      <c r="G405" s="198"/>
      <c r="H405" s="214" t="s">
        <v>325</v>
      </c>
      <c r="I405" s="214" t="s">
        <v>325</v>
      </c>
      <c r="J405" s="271"/>
      <c r="K405" s="198"/>
      <c r="L405" s="198"/>
      <c r="M405" s="198"/>
      <c r="N405" s="198"/>
      <c r="O405" s="198">
        <v>188.2499</v>
      </c>
      <c r="P405" s="198"/>
      <c r="Q405" s="198" t="s">
        <v>929</v>
      </c>
      <c r="R405" s="230">
        <f>DATABASE_Table[[#This Row],[Inicial Asking Price (€) (Total)]]-DATABASE_Table[[#This Row],[Vista membership]]-DATABASE_Table[[#This Row],[FF&amp;E]]</f>
        <v>1094742</v>
      </c>
      <c r="S405" s="231">
        <v>1094742</v>
      </c>
      <c r="T405" s="232">
        <v>1135000</v>
      </c>
      <c r="U405" s="198"/>
      <c r="V405" s="198"/>
      <c r="W405" s="233">
        <f>DATABASE_Table[[#This Row],[Current Asking price( Total)]]-DATABASE_Table[[#This Row],[Vista membership]]-DATABASE_Table[[#This Row],[FF&amp;E]]</f>
        <v>1135000</v>
      </c>
      <c r="X405" s="216">
        <v>0</v>
      </c>
      <c r="Y405" s="232">
        <v>1135000</v>
      </c>
      <c r="Z405" s="233">
        <f>DATABASE_Table[[#This Row],[Sell price (Total)]]-DATABASE_Table[[#This Row],[FF&amp;E]]-DATABASE_Table[[#This Row],[Vista membership]]</f>
        <v>1135000</v>
      </c>
      <c r="AA405" s="315">
        <v>46171</v>
      </c>
      <c r="AB405" s="321"/>
      <c r="AC405" s="198"/>
      <c r="AD405" s="198"/>
      <c r="AE405" s="279"/>
      <c r="AF405" s="279"/>
      <c r="AG405" s="279"/>
      <c r="AH405" s="279"/>
      <c r="AI405" s="198"/>
      <c r="AJ405" s="274" t="s">
        <v>689</v>
      </c>
      <c r="AK405"/>
    </row>
    <row r="406" spans="1:37" ht="15.75" hidden="1" customHeight="1">
      <c r="A406" s="198" t="s">
        <v>564</v>
      </c>
      <c r="B406" s="198" t="s">
        <v>691</v>
      </c>
      <c r="C406" s="214" t="s">
        <v>367</v>
      </c>
      <c r="D406" s="198" t="s">
        <v>9</v>
      </c>
      <c r="E406" s="198" t="s">
        <v>418</v>
      </c>
      <c r="F406" s="198">
        <v>151.03</v>
      </c>
      <c r="G406" s="198"/>
      <c r="H406" s="214" t="s">
        <v>325</v>
      </c>
      <c r="I406" s="214" t="s">
        <v>325</v>
      </c>
      <c r="J406" s="271">
        <v>37.68</v>
      </c>
      <c r="K406" s="198"/>
      <c r="L406" s="198"/>
      <c r="M406" s="198"/>
      <c r="N406" s="198"/>
      <c r="O406" s="198">
        <v>113.35</v>
      </c>
      <c r="P406" s="198"/>
      <c r="Q406" s="198" t="s">
        <v>329</v>
      </c>
      <c r="R406" s="230">
        <f>DATABASE_Table[[#This Row],[Inicial Asking Price (€) (Total)]]-DATABASE_Table[[#This Row],[Vista membership]]-DATABASE_Table[[#This Row],[FF&amp;E]]</f>
        <v>1021959.966</v>
      </c>
      <c r="S406" s="231">
        <v>1096559.966</v>
      </c>
      <c r="T406" s="232">
        <v>1120000</v>
      </c>
      <c r="U406" s="198">
        <v>24600</v>
      </c>
      <c r="V406" s="198">
        <v>50000</v>
      </c>
      <c r="W406" s="233">
        <f>DATABASE_Table[[#This Row],[Current Asking price( Total)]]-DATABASE_Table[[#This Row],[Vista membership]]-DATABASE_Table[[#This Row],[FF&amp;E]]</f>
        <v>1045400</v>
      </c>
      <c r="X406" s="216"/>
      <c r="Y406" s="232">
        <v>1120000</v>
      </c>
      <c r="Z406" s="233">
        <f>DATABASE_Table[[#This Row],[Sell price (Total)]]-DATABASE_Table[[#This Row],[FF&amp;E]]-DATABASE_Table[[#This Row],[Vista membership]]</f>
        <v>1045400</v>
      </c>
      <c r="AA406" s="315"/>
      <c r="AB406" s="321"/>
      <c r="AC406" s="198" t="s">
        <v>10</v>
      </c>
      <c r="AD406" s="198" t="s">
        <v>35</v>
      </c>
      <c r="AE406" s="279" t="s">
        <v>43</v>
      </c>
      <c r="AF406" s="279" t="s">
        <v>44</v>
      </c>
      <c r="AG406" s="279" t="s">
        <v>45</v>
      </c>
      <c r="AH406" s="279" t="s">
        <v>46</v>
      </c>
      <c r="AI406" s="198" t="s">
        <v>47</v>
      </c>
      <c r="AJ406" s="274" t="s">
        <v>42</v>
      </c>
      <c r="AK406"/>
    </row>
    <row r="407" spans="1:37" ht="15.75" hidden="1" customHeight="1">
      <c r="A407" s="198" t="s">
        <v>630</v>
      </c>
      <c r="B407" s="198" t="s">
        <v>691</v>
      </c>
      <c r="C407" s="214" t="s">
        <v>368</v>
      </c>
      <c r="D407" s="198" t="s">
        <v>9</v>
      </c>
      <c r="E407" s="198" t="s">
        <v>319</v>
      </c>
      <c r="F407" s="198">
        <v>142.88</v>
      </c>
      <c r="G407" s="198"/>
      <c r="H407" s="214" t="s">
        <v>849</v>
      </c>
      <c r="I407" s="214" t="s">
        <v>325</v>
      </c>
      <c r="J407" s="271">
        <v>28.39</v>
      </c>
      <c r="K407" s="198"/>
      <c r="L407" s="198"/>
      <c r="M407" s="198">
        <v>0</v>
      </c>
      <c r="N407" s="198"/>
      <c r="O407" s="198">
        <v>114.49</v>
      </c>
      <c r="P407" s="198"/>
      <c r="Q407" s="198" t="s">
        <v>628</v>
      </c>
      <c r="R407" s="230">
        <f>DATABASE_Table[[#This Row],[Inicial Asking Price (€) (Total)]]-DATABASE_Table[[#This Row],[Vista membership]]-DATABASE_Table[[#This Row],[FF&amp;E]]</f>
        <v>949860.054</v>
      </c>
      <c r="S407" s="231">
        <v>949860.054</v>
      </c>
      <c r="T407" s="232">
        <v>950000</v>
      </c>
      <c r="U407" s="198"/>
      <c r="V407" s="198"/>
      <c r="W407" s="233">
        <f>DATABASE_Table[[#This Row],[Current Asking price( Total)]]-DATABASE_Table[[#This Row],[Vista membership]]-DATABASE_Table[[#This Row],[FF&amp;E]]</f>
        <v>950000</v>
      </c>
      <c r="X407" s="216">
        <v>0</v>
      </c>
      <c r="Y407" s="232">
        <v>950000</v>
      </c>
      <c r="Z407" s="233">
        <f>DATABASE_Table[[#This Row],[Sell price (Total)]]-DATABASE_Table[[#This Row],[FF&amp;E]]-DATABASE_Table[[#This Row],[Vista membership]]</f>
        <v>950000</v>
      </c>
      <c r="AA407" s="315">
        <v>46125</v>
      </c>
      <c r="AB407" s="321"/>
      <c r="AC407" s="198" t="s">
        <v>10</v>
      </c>
      <c r="AD407" s="198" t="s">
        <v>11</v>
      </c>
      <c r="AE407" s="279" t="s">
        <v>53</v>
      </c>
      <c r="AF407" s="279" t="s">
        <v>54</v>
      </c>
      <c r="AG407" s="279" t="s">
        <v>811</v>
      </c>
      <c r="AH407" s="279" t="s">
        <v>812</v>
      </c>
      <c r="AI407" s="198" t="s">
        <v>36</v>
      </c>
      <c r="AJ407" s="274" t="s">
        <v>52</v>
      </c>
      <c r="AK407"/>
    </row>
    <row r="408" spans="1:37" ht="15.75" hidden="1" customHeight="1">
      <c r="A408" s="198" t="s">
        <v>558</v>
      </c>
      <c r="B408" s="198" t="s">
        <v>691</v>
      </c>
      <c r="C408" s="214" t="s">
        <v>368</v>
      </c>
      <c r="D408" s="198" t="s">
        <v>9</v>
      </c>
      <c r="E408" s="198" t="s">
        <v>320</v>
      </c>
      <c r="F408" s="198">
        <v>153.4</v>
      </c>
      <c r="G408" s="198">
        <v>4.46</v>
      </c>
      <c r="H408" s="214" t="s">
        <v>624</v>
      </c>
      <c r="I408" s="214" t="s">
        <v>325</v>
      </c>
      <c r="J408" s="271">
        <v>35.18</v>
      </c>
      <c r="K408" s="198"/>
      <c r="L408" s="198"/>
      <c r="M408" s="198"/>
      <c r="N408" s="198"/>
      <c r="O408" s="198">
        <v>153.4</v>
      </c>
      <c r="P408" s="198"/>
      <c r="Q408" s="198" t="s">
        <v>329</v>
      </c>
      <c r="R408" s="230">
        <f>DATABASE_Table[[#This Row],[Inicial Asking Price (€) (Total)]]-DATABASE_Table[[#This Row],[Vista membership]]-DATABASE_Table[[#This Row],[FF&amp;E]]</f>
        <v>980000</v>
      </c>
      <c r="S408" s="231">
        <v>980000</v>
      </c>
      <c r="T408" s="232">
        <v>980000</v>
      </c>
      <c r="U408" s="198"/>
      <c r="V408" s="198"/>
      <c r="W408" s="233">
        <f>DATABASE_Table[[#This Row],[Current Asking price( Total)]]-DATABASE_Table[[#This Row],[Vista membership]]-DATABASE_Table[[#This Row],[FF&amp;E]]</f>
        <v>980000</v>
      </c>
      <c r="X408" s="216"/>
      <c r="Y408" s="232">
        <v>980000</v>
      </c>
      <c r="Z408" s="233">
        <f>DATABASE_Table[[#This Row],[Sell price (Total)]]-DATABASE_Table[[#This Row],[FF&amp;E]]-DATABASE_Table[[#This Row],[Vista membership]]</f>
        <v>980000</v>
      </c>
      <c r="AA408" s="315"/>
      <c r="AB408" s="321"/>
      <c r="AC408" s="198" t="s">
        <v>10</v>
      </c>
      <c r="AD408" s="198" t="s">
        <v>11</v>
      </c>
      <c r="AE408" s="279" t="s">
        <v>12</v>
      </c>
      <c r="AF408" s="279" t="s">
        <v>801</v>
      </c>
      <c r="AG408" s="279" t="s">
        <v>13</v>
      </c>
      <c r="AH408" s="279" t="s">
        <v>14</v>
      </c>
      <c r="AI408" s="198" t="s">
        <v>15</v>
      </c>
      <c r="AJ408" s="274" t="s">
        <v>8</v>
      </c>
      <c r="AK408"/>
    </row>
    <row r="409" spans="1:37" ht="15.75" hidden="1" customHeight="1">
      <c r="A409" s="198" t="s">
        <v>780</v>
      </c>
      <c r="B409" s="198" t="s">
        <v>786</v>
      </c>
      <c r="C409" s="214" t="s">
        <v>255</v>
      </c>
      <c r="D409" s="198" t="s">
        <v>79</v>
      </c>
      <c r="E409" s="198" t="s">
        <v>317</v>
      </c>
      <c r="F409" s="198">
        <v>113.23</v>
      </c>
      <c r="G409" s="198"/>
      <c r="H409" s="214" t="s">
        <v>848</v>
      </c>
      <c r="I409" s="214" t="s">
        <v>325</v>
      </c>
      <c r="J409" s="271">
        <v>22.01</v>
      </c>
      <c r="K409" s="198"/>
      <c r="L409" s="198"/>
      <c r="M409" s="198"/>
      <c r="N409" s="198"/>
      <c r="O409" s="198">
        <v>91.22</v>
      </c>
      <c r="P409" s="198"/>
      <c r="Q409" s="198" t="s">
        <v>329</v>
      </c>
      <c r="R409" s="230">
        <f>DATABASE_Table[[#This Row],[Inicial Asking Price (€) (Total)]]-DATABASE_Table[[#This Row],[Vista membership]]-DATABASE_Table[[#This Row],[FF&amp;E]]</f>
        <v>710000</v>
      </c>
      <c r="S409" s="234">
        <v>755000</v>
      </c>
      <c r="T409" s="235">
        <v>755000</v>
      </c>
      <c r="U409" s="198"/>
      <c r="V409" s="235">
        <v>45000</v>
      </c>
      <c r="W409" s="233">
        <f>DATABASE_Table[[#This Row],[Current Asking price( Total)]]-DATABASE_Table[[#This Row],[Vista membership]]-DATABASE_Table[[#This Row],[FF&amp;E]]</f>
        <v>710000</v>
      </c>
      <c r="X409" s="236"/>
      <c r="Y409" s="235"/>
      <c r="Z409" s="233">
        <f>DATABASE_Table[[#This Row],[Sell price (Total)]]-DATABASE_Table[[#This Row],[FF&amp;E]]-DATABASE_Table[[#This Row],[Vista membership]]</f>
        <v>-45000</v>
      </c>
      <c r="AA409" s="315"/>
      <c r="AB409" s="321">
        <v>47118</v>
      </c>
      <c r="AC409" s="198" t="s">
        <v>80</v>
      </c>
      <c r="AD409" s="198" t="s">
        <v>81</v>
      </c>
      <c r="AE409" s="279" t="s">
        <v>82</v>
      </c>
      <c r="AF409" s="279" t="s">
        <v>83</v>
      </c>
      <c r="AG409" s="279" t="s">
        <v>84</v>
      </c>
      <c r="AH409" s="279" t="s">
        <v>85</v>
      </c>
      <c r="AI409" s="198" t="s">
        <v>86</v>
      </c>
      <c r="AJ409" s="274" t="s">
        <v>78</v>
      </c>
      <c r="AK409"/>
    </row>
    <row r="410" spans="1:37" ht="15.75" hidden="1" customHeight="1">
      <c r="A410" s="198" t="s">
        <v>780</v>
      </c>
      <c r="B410" s="198" t="s">
        <v>786</v>
      </c>
      <c r="C410" s="214" t="s">
        <v>256</v>
      </c>
      <c r="D410" s="198" t="s">
        <v>79</v>
      </c>
      <c r="E410" s="198" t="s">
        <v>317</v>
      </c>
      <c r="F410" s="198">
        <v>113.16</v>
      </c>
      <c r="G410" s="198"/>
      <c r="H410" s="214" t="s">
        <v>848</v>
      </c>
      <c r="I410" s="214" t="s">
        <v>325</v>
      </c>
      <c r="J410" s="271">
        <v>22.03</v>
      </c>
      <c r="K410" s="198"/>
      <c r="L410" s="198"/>
      <c r="M410" s="198"/>
      <c r="N410" s="198"/>
      <c r="O410" s="198">
        <v>91.13</v>
      </c>
      <c r="P410" s="198"/>
      <c r="Q410" s="198" t="s">
        <v>329</v>
      </c>
      <c r="R410" s="230">
        <f>DATABASE_Table[[#This Row],[Inicial Asking Price (€) (Total)]]-DATABASE_Table[[#This Row],[Vista membership]]-DATABASE_Table[[#This Row],[FF&amp;E]]</f>
        <v>710000</v>
      </c>
      <c r="S410" s="234">
        <v>755000</v>
      </c>
      <c r="T410" s="235">
        <v>755000</v>
      </c>
      <c r="U410" s="198"/>
      <c r="V410" s="235">
        <v>45000</v>
      </c>
      <c r="W410" s="233">
        <f>DATABASE_Table[[#This Row],[Current Asking price( Total)]]-DATABASE_Table[[#This Row],[Vista membership]]-DATABASE_Table[[#This Row],[FF&amp;E]]</f>
        <v>710000</v>
      </c>
      <c r="X410" s="236"/>
      <c r="Y410" s="235"/>
      <c r="Z410" s="233">
        <f>DATABASE_Table[[#This Row],[Sell price (Total)]]-DATABASE_Table[[#This Row],[FF&amp;E]]-DATABASE_Table[[#This Row],[Vista membership]]</f>
        <v>-45000</v>
      </c>
      <c r="AA410" s="315"/>
      <c r="AB410" s="321">
        <v>47118</v>
      </c>
      <c r="AC410" s="198" t="s">
        <v>80</v>
      </c>
      <c r="AD410" s="198" t="s">
        <v>81</v>
      </c>
      <c r="AE410" s="279" t="s">
        <v>82</v>
      </c>
      <c r="AF410" s="279" t="s">
        <v>83</v>
      </c>
      <c r="AG410" s="279" t="s">
        <v>84</v>
      </c>
      <c r="AH410" s="279" t="s">
        <v>85</v>
      </c>
      <c r="AI410" s="198" t="s">
        <v>86</v>
      </c>
      <c r="AJ410" s="274" t="s">
        <v>78</v>
      </c>
      <c r="AK410"/>
    </row>
    <row r="411" spans="1:37" ht="15.75" hidden="1" customHeight="1">
      <c r="A411" s="198" t="s">
        <v>780</v>
      </c>
      <c r="B411" s="198" t="s">
        <v>786</v>
      </c>
      <c r="C411" s="214" t="s">
        <v>258</v>
      </c>
      <c r="D411" s="198" t="s">
        <v>79</v>
      </c>
      <c r="E411" s="198" t="s">
        <v>317</v>
      </c>
      <c r="F411" s="198">
        <v>113.17</v>
      </c>
      <c r="G411" s="198"/>
      <c r="H411" s="214" t="s">
        <v>848</v>
      </c>
      <c r="I411" s="214" t="s">
        <v>325</v>
      </c>
      <c r="J411" s="271">
        <v>22.03</v>
      </c>
      <c r="K411" s="198"/>
      <c r="L411" s="198"/>
      <c r="M411" s="198"/>
      <c r="N411" s="198"/>
      <c r="O411" s="198">
        <v>91.14</v>
      </c>
      <c r="P411" s="198"/>
      <c r="Q411" s="198" t="s">
        <v>329</v>
      </c>
      <c r="R411" s="230">
        <f>DATABASE_Table[[#This Row],[Inicial Asking Price (€) (Total)]]-DATABASE_Table[[#This Row],[Vista membership]]-DATABASE_Table[[#This Row],[FF&amp;E]]</f>
        <v>710000</v>
      </c>
      <c r="S411" s="234">
        <v>755000</v>
      </c>
      <c r="T411" s="235">
        <v>765000</v>
      </c>
      <c r="U411" s="198"/>
      <c r="V411" s="235">
        <v>45000</v>
      </c>
      <c r="W411" s="233">
        <f>DATABASE_Table[[#This Row],[Current Asking price( Total)]]-DATABASE_Table[[#This Row],[Vista membership]]-DATABASE_Table[[#This Row],[FF&amp;E]]</f>
        <v>720000</v>
      </c>
      <c r="X411" s="236"/>
      <c r="Y411" s="235"/>
      <c r="Z411" s="233">
        <f>DATABASE_Table[[#This Row],[Sell price (Total)]]-DATABASE_Table[[#This Row],[FF&amp;E]]-DATABASE_Table[[#This Row],[Vista membership]]</f>
        <v>-45000</v>
      </c>
      <c r="AA411" s="315"/>
      <c r="AB411" s="321">
        <v>47118</v>
      </c>
      <c r="AC411" s="198" t="s">
        <v>80</v>
      </c>
      <c r="AD411" s="198" t="s">
        <v>81</v>
      </c>
      <c r="AE411" s="279" t="s">
        <v>82</v>
      </c>
      <c r="AF411" s="279" t="s">
        <v>83</v>
      </c>
      <c r="AG411" s="279" t="s">
        <v>84</v>
      </c>
      <c r="AH411" s="279" t="s">
        <v>85</v>
      </c>
      <c r="AI411" s="198" t="s">
        <v>86</v>
      </c>
      <c r="AJ411" s="274" t="s">
        <v>78</v>
      </c>
      <c r="AK411"/>
    </row>
    <row r="412" spans="1:37" ht="15.75" hidden="1" customHeight="1">
      <c r="A412" s="198" t="s">
        <v>780</v>
      </c>
      <c r="B412" s="198" t="s">
        <v>786</v>
      </c>
      <c r="C412" s="214" t="s">
        <v>153</v>
      </c>
      <c r="D412" s="198" t="s">
        <v>79</v>
      </c>
      <c r="E412" s="198" t="s">
        <v>317</v>
      </c>
      <c r="F412" s="198">
        <v>113.11</v>
      </c>
      <c r="G412" s="198"/>
      <c r="H412" s="214" t="s">
        <v>848</v>
      </c>
      <c r="I412" s="214" t="s">
        <v>325</v>
      </c>
      <c r="J412" s="271">
        <v>22.04</v>
      </c>
      <c r="K412" s="198"/>
      <c r="L412" s="198"/>
      <c r="M412" s="198"/>
      <c r="N412" s="198"/>
      <c r="O412" s="198">
        <v>91.07</v>
      </c>
      <c r="P412" s="198"/>
      <c r="Q412" s="198" t="s">
        <v>329</v>
      </c>
      <c r="R412" s="230">
        <f>DATABASE_Table[[#This Row],[Inicial Asking Price (€) (Total)]]-DATABASE_Table[[#This Row],[Vista membership]]-DATABASE_Table[[#This Row],[FF&amp;E]]</f>
        <v>710000</v>
      </c>
      <c r="S412" s="234">
        <v>755000</v>
      </c>
      <c r="T412" s="235">
        <v>755000</v>
      </c>
      <c r="U412" s="198"/>
      <c r="V412" s="235">
        <v>45000</v>
      </c>
      <c r="W412" s="233">
        <f>DATABASE_Table[[#This Row],[Current Asking price( Total)]]-DATABASE_Table[[#This Row],[Vista membership]]-DATABASE_Table[[#This Row],[FF&amp;E]]</f>
        <v>710000</v>
      </c>
      <c r="X412" s="236"/>
      <c r="Y412" s="235"/>
      <c r="Z412" s="233">
        <f>DATABASE_Table[[#This Row],[Sell price (Total)]]-DATABASE_Table[[#This Row],[FF&amp;E]]-DATABASE_Table[[#This Row],[Vista membership]]</f>
        <v>-45000</v>
      </c>
      <c r="AA412" s="315"/>
      <c r="AB412" s="321">
        <v>47118</v>
      </c>
      <c r="AC412" s="198" t="s">
        <v>80</v>
      </c>
      <c r="AD412" s="198" t="s">
        <v>81</v>
      </c>
      <c r="AE412" s="279" t="s">
        <v>82</v>
      </c>
      <c r="AF412" s="279" t="s">
        <v>83</v>
      </c>
      <c r="AG412" s="279" t="s">
        <v>84</v>
      </c>
      <c r="AH412" s="279" t="s">
        <v>85</v>
      </c>
      <c r="AI412" s="198" t="s">
        <v>86</v>
      </c>
      <c r="AJ412" s="274" t="s">
        <v>78</v>
      </c>
      <c r="AK412"/>
    </row>
    <row r="413" spans="1:37" ht="15.75" hidden="1" customHeight="1">
      <c r="A413" s="198" t="s">
        <v>780</v>
      </c>
      <c r="B413" s="198" t="s">
        <v>786</v>
      </c>
      <c r="C413" s="214" t="s">
        <v>252</v>
      </c>
      <c r="D413" s="198" t="s">
        <v>79</v>
      </c>
      <c r="E413" s="198" t="s">
        <v>317</v>
      </c>
      <c r="F413" s="198">
        <v>113.12</v>
      </c>
      <c r="G413" s="198"/>
      <c r="H413" s="214" t="s">
        <v>848</v>
      </c>
      <c r="I413" s="214" t="s">
        <v>325</v>
      </c>
      <c r="J413" s="271">
        <v>22.03</v>
      </c>
      <c r="K413" s="198"/>
      <c r="L413" s="198"/>
      <c r="M413" s="198"/>
      <c r="N413" s="198"/>
      <c r="O413" s="198">
        <v>91.09</v>
      </c>
      <c r="P413" s="198"/>
      <c r="Q413" s="198" t="s">
        <v>328</v>
      </c>
      <c r="R413" s="230">
        <f>DATABASE_Table[[#This Row],[Inicial Asking Price (€) (Total)]]-DATABASE_Table[[#This Row],[Vista membership]]-DATABASE_Table[[#This Row],[FF&amp;E]]</f>
        <v>710000</v>
      </c>
      <c r="S413" s="234">
        <v>755000</v>
      </c>
      <c r="T413" s="235">
        <v>755000</v>
      </c>
      <c r="U413" s="198"/>
      <c r="V413" s="235">
        <v>45000</v>
      </c>
      <c r="W413" s="233">
        <f>DATABASE_Table[[#This Row],[Current Asking price( Total)]]-DATABASE_Table[[#This Row],[Vista membership]]-DATABASE_Table[[#This Row],[FF&amp;E]]</f>
        <v>710000</v>
      </c>
      <c r="X413" s="236"/>
      <c r="Y413" s="235"/>
      <c r="Z413" s="233">
        <f>DATABASE_Table[[#This Row],[Sell price (Total)]]-DATABASE_Table[[#This Row],[FF&amp;E]]-DATABASE_Table[[#This Row],[Vista membership]]</f>
        <v>-45000</v>
      </c>
      <c r="AA413" s="315"/>
      <c r="AB413" s="321">
        <v>47118</v>
      </c>
      <c r="AC413" s="198" t="s">
        <v>80</v>
      </c>
      <c r="AD413" s="198" t="s">
        <v>81</v>
      </c>
      <c r="AE413" s="279" t="s">
        <v>82</v>
      </c>
      <c r="AF413" s="279" t="s">
        <v>83</v>
      </c>
      <c r="AG413" s="279" t="s">
        <v>84</v>
      </c>
      <c r="AH413" s="279" t="s">
        <v>85</v>
      </c>
      <c r="AI413" s="198" t="s">
        <v>86</v>
      </c>
      <c r="AJ413" s="274" t="s">
        <v>78</v>
      </c>
      <c r="AK413"/>
    </row>
    <row r="414" spans="1:37" ht="15.75" hidden="1" customHeight="1">
      <c r="A414" s="198" t="s">
        <v>780</v>
      </c>
      <c r="B414" s="198" t="s">
        <v>786</v>
      </c>
      <c r="C414" s="214" t="s">
        <v>257</v>
      </c>
      <c r="D414" s="198" t="s">
        <v>79</v>
      </c>
      <c r="E414" s="198" t="s">
        <v>317</v>
      </c>
      <c r="F414" s="198">
        <v>113.15</v>
      </c>
      <c r="G414" s="198"/>
      <c r="H414" s="214" t="s">
        <v>848</v>
      </c>
      <c r="I414" s="214" t="s">
        <v>325</v>
      </c>
      <c r="J414" s="271">
        <v>22.01</v>
      </c>
      <c r="K414" s="198"/>
      <c r="L414" s="198"/>
      <c r="M414" s="198"/>
      <c r="N414" s="198"/>
      <c r="O414" s="198">
        <v>91.14</v>
      </c>
      <c r="P414" s="198"/>
      <c r="Q414" s="198" t="s">
        <v>328</v>
      </c>
      <c r="R414" s="230">
        <f>DATABASE_Table[[#This Row],[Inicial Asking Price (€) (Total)]]-DATABASE_Table[[#This Row],[Vista membership]]-DATABASE_Table[[#This Row],[FF&amp;E]]</f>
        <v>710000</v>
      </c>
      <c r="S414" s="234">
        <v>755000</v>
      </c>
      <c r="T414" s="235">
        <v>765000</v>
      </c>
      <c r="U414" s="198"/>
      <c r="V414" s="235">
        <v>45000</v>
      </c>
      <c r="W414" s="233">
        <f>DATABASE_Table[[#This Row],[Current Asking price( Total)]]-DATABASE_Table[[#This Row],[Vista membership]]-DATABASE_Table[[#This Row],[FF&amp;E]]</f>
        <v>720000</v>
      </c>
      <c r="X414" s="236"/>
      <c r="Y414" s="235"/>
      <c r="Z414" s="233">
        <f>DATABASE_Table[[#This Row],[Sell price (Total)]]-DATABASE_Table[[#This Row],[FF&amp;E]]-DATABASE_Table[[#This Row],[Vista membership]]</f>
        <v>-45000</v>
      </c>
      <c r="AA414" s="315"/>
      <c r="AB414" s="321">
        <v>47118</v>
      </c>
      <c r="AC414" s="198" t="s">
        <v>80</v>
      </c>
      <c r="AD414" s="198" t="s">
        <v>81</v>
      </c>
      <c r="AE414" s="279" t="s">
        <v>82</v>
      </c>
      <c r="AF414" s="279" t="s">
        <v>83</v>
      </c>
      <c r="AG414" s="279" t="s">
        <v>84</v>
      </c>
      <c r="AH414" s="279" t="s">
        <v>85</v>
      </c>
      <c r="AI414" s="198" t="s">
        <v>86</v>
      </c>
      <c r="AJ414" s="274" t="s">
        <v>78</v>
      </c>
      <c r="AK414"/>
    </row>
    <row r="415" spans="1:37" ht="15.75" hidden="1" customHeight="1">
      <c r="A415" s="198" t="s">
        <v>31</v>
      </c>
      <c r="B415" s="198" t="s">
        <v>691</v>
      </c>
      <c r="C415" s="214" t="s">
        <v>368</v>
      </c>
      <c r="D415" s="198" t="s">
        <v>9</v>
      </c>
      <c r="E415" s="198" t="s">
        <v>319</v>
      </c>
      <c r="F415" s="198"/>
      <c r="G415" s="198"/>
      <c r="H415" s="214" t="s">
        <v>325</v>
      </c>
      <c r="I415" s="214" t="s">
        <v>325</v>
      </c>
      <c r="J415" s="271"/>
      <c r="K415" s="198">
        <v>0</v>
      </c>
      <c r="L415" s="198"/>
      <c r="M415" s="198">
        <v>21</v>
      </c>
      <c r="N415" s="198"/>
      <c r="O415" s="198">
        <v>108</v>
      </c>
      <c r="P415" s="198"/>
      <c r="Q415" s="198" t="s">
        <v>329</v>
      </c>
      <c r="R415" s="230">
        <f>DATABASE_Table[[#This Row],[Inicial Asking Price (€) (Total)]]-DATABASE_Table[[#This Row],[Vista membership]]-DATABASE_Table[[#This Row],[FF&amp;E]]</f>
        <v>860000</v>
      </c>
      <c r="S415" s="232">
        <v>860000</v>
      </c>
      <c r="T415" s="232">
        <v>860000</v>
      </c>
      <c r="U415" s="198"/>
      <c r="V415" s="198"/>
      <c r="W415" s="233">
        <f>DATABASE_Table[[#This Row],[Current Asking price( Total)]]-DATABASE_Table[[#This Row],[Vista membership]]-DATABASE_Table[[#This Row],[FF&amp;E]]</f>
        <v>860000</v>
      </c>
      <c r="X415" s="216"/>
      <c r="Y415" s="232">
        <v>840000</v>
      </c>
      <c r="Z415" s="233">
        <f>DATABASE_Table[[#This Row],[Sell price (Total)]]-DATABASE_Table[[#This Row],[FF&amp;E]]-DATABASE_Table[[#This Row],[Vista membership]]</f>
        <v>840000</v>
      </c>
      <c r="AA415" s="315"/>
      <c r="AB415" s="321"/>
      <c r="AC415" s="198" t="s">
        <v>10</v>
      </c>
      <c r="AD415" s="198" t="s">
        <v>807</v>
      </c>
      <c r="AE415" s="279" t="s">
        <v>32</v>
      </c>
      <c r="AF415" s="279" t="s">
        <v>808</v>
      </c>
      <c r="AG415" s="279" t="s">
        <v>33</v>
      </c>
      <c r="AH415" s="279" t="s">
        <v>809</v>
      </c>
      <c r="AI415" s="198" t="s">
        <v>15</v>
      </c>
      <c r="AJ415" s="274" t="s">
        <v>31</v>
      </c>
      <c r="AK415"/>
    </row>
    <row r="416" spans="1:37" ht="15.75" hidden="1" customHeight="1">
      <c r="A416" s="198" t="s">
        <v>690</v>
      </c>
      <c r="B416" s="198" t="s">
        <v>691</v>
      </c>
      <c r="C416" s="214" t="s">
        <v>368</v>
      </c>
      <c r="D416" s="198" t="s">
        <v>9</v>
      </c>
      <c r="E416" s="198" t="s">
        <v>765</v>
      </c>
      <c r="F416" s="198">
        <v>282.98</v>
      </c>
      <c r="G416" s="198">
        <v>115.68</v>
      </c>
      <c r="H416" s="214" t="s">
        <v>325</v>
      </c>
      <c r="I416" s="214" t="s">
        <v>325</v>
      </c>
      <c r="J416" s="271">
        <v>25.77</v>
      </c>
      <c r="K416" s="198"/>
      <c r="L416" s="198"/>
      <c r="M416" s="198"/>
      <c r="N416" s="198"/>
      <c r="O416" s="198">
        <v>141.53</v>
      </c>
      <c r="P416" s="198"/>
      <c r="Q416" s="198" t="s">
        <v>329</v>
      </c>
      <c r="R416" s="230">
        <f>DATABASE_Table[[#This Row],[Inicial Asking Price (€) (Total)]]-DATABASE_Table[[#This Row],[Vista membership]]-DATABASE_Table[[#This Row],[FF&amp;E]]</f>
        <v>1387700</v>
      </c>
      <c r="S416" s="231">
        <v>1458850</v>
      </c>
      <c r="T416" s="232">
        <v>1530000</v>
      </c>
      <c r="U416" s="198">
        <v>24600</v>
      </c>
      <c r="V416" s="198">
        <v>46550</v>
      </c>
      <c r="W416" s="233">
        <f>DATABASE_Table[[#This Row],[Current Asking price( Total)]]-DATABASE_Table[[#This Row],[Vista membership]]-DATABASE_Table[[#This Row],[FF&amp;E]]</f>
        <v>1458850</v>
      </c>
      <c r="X416" s="216"/>
      <c r="Y416" s="232">
        <v>1530000</v>
      </c>
      <c r="Z416" s="233">
        <f>DATABASE_Table[[#This Row],[Sell price (Total)]]-DATABASE_Table[[#This Row],[FF&amp;E]]-DATABASE_Table[[#This Row],[Vista membership]]</f>
        <v>1458850</v>
      </c>
      <c r="AA416" s="315"/>
      <c r="AB416" s="321"/>
      <c r="AC416" s="198" t="s">
        <v>10</v>
      </c>
      <c r="AD416" s="198" t="s">
        <v>35</v>
      </c>
      <c r="AE416" s="279" t="s">
        <v>38</v>
      </c>
      <c r="AF416" s="279" t="s">
        <v>39</v>
      </c>
      <c r="AG416" s="279" t="s">
        <v>40</v>
      </c>
      <c r="AH416" s="279" t="s">
        <v>810</v>
      </c>
      <c r="AI416" s="198" t="s">
        <v>41</v>
      </c>
      <c r="AJ416" s="274" t="s">
        <v>37</v>
      </c>
      <c r="AK416"/>
    </row>
    <row r="417" spans="1:37" ht="15.75" hidden="1" customHeight="1">
      <c r="A417" s="198" t="s">
        <v>563</v>
      </c>
      <c r="B417" s="198" t="s">
        <v>691</v>
      </c>
      <c r="C417" s="214" t="s">
        <v>368</v>
      </c>
      <c r="D417" s="198" t="s">
        <v>9</v>
      </c>
      <c r="E417" s="198" t="s">
        <v>319</v>
      </c>
      <c r="F417" s="198">
        <v>104.7</v>
      </c>
      <c r="G417" s="198"/>
      <c r="H417" s="214" t="s">
        <v>325</v>
      </c>
      <c r="I417" s="214" t="s">
        <v>325</v>
      </c>
      <c r="J417" s="271"/>
      <c r="K417" s="198"/>
      <c r="L417" s="198"/>
      <c r="M417" s="198"/>
      <c r="N417" s="198"/>
      <c r="O417" s="198">
        <v>104.7</v>
      </c>
      <c r="P417" s="198"/>
      <c r="Q417" s="198" t="s">
        <v>628</v>
      </c>
      <c r="R417" s="230">
        <f>DATABASE_Table[[#This Row],[Inicial Asking Price (€) (Total)]]-DATABASE_Table[[#This Row],[Vista membership]]-DATABASE_Table[[#This Row],[FF&amp;E]]</f>
        <v>540000</v>
      </c>
      <c r="S417" s="231">
        <v>540000</v>
      </c>
      <c r="T417" s="232">
        <v>555000</v>
      </c>
      <c r="U417" s="198"/>
      <c r="V417" s="198"/>
      <c r="W417" s="233">
        <f>DATABASE_Table[[#This Row],[Current Asking price( Total)]]-DATABASE_Table[[#This Row],[Vista membership]]-DATABASE_Table[[#This Row],[FF&amp;E]]</f>
        <v>555000</v>
      </c>
      <c r="X417" s="216">
        <v>0.02</v>
      </c>
      <c r="Y417" s="232">
        <v>543900</v>
      </c>
      <c r="Z417" s="233">
        <f>DATABASE_Table[[#This Row],[Sell price (Total)]]-DATABASE_Table[[#This Row],[FF&amp;E]]-DATABASE_Table[[#This Row],[Vista membership]]</f>
        <v>543900</v>
      </c>
      <c r="AA417" s="316">
        <v>45922</v>
      </c>
      <c r="AB417" s="321"/>
      <c r="AC417" s="198" t="s">
        <v>10</v>
      </c>
      <c r="AD417" s="198" t="s">
        <v>11</v>
      </c>
      <c r="AE417" s="279" t="s">
        <v>28</v>
      </c>
      <c r="AF417" s="279" t="s">
        <v>29</v>
      </c>
      <c r="AG417" s="279" t="s">
        <v>805</v>
      </c>
      <c r="AH417" s="279" t="s">
        <v>806</v>
      </c>
      <c r="AI417" s="198" t="s">
        <v>30</v>
      </c>
      <c r="AJ417" s="274" t="s">
        <v>27</v>
      </c>
      <c r="AK417"/>
    </row>
    <row r="418" spans="1:37" ht="15.75" hidden="1" customHeight="1">
      <c r="A418" s="198" t="s">
        <v>773</v>
      </c>
      <c r="B418" s="198" t="s">
        <v>769</v>
      </c>
      <c r="C418" s="214" t="s">
        <v>842</v>
      </c>
      <c r="D418" s="198" t="s">
        <v>67</v>
      </c>
      <c r="E418" s="198" t="s">
        <v>553</v>
      </c>
      <c r="F418" s="198">
        <v>2760</v>
      </c>
      <c r="G418" s="198"/>
      <c r="H418" s="214" t="s">
        <v>325</v>
      </c>
      <c r="I418" s="214" t="s">
        <v>325</v>
      </c>
      <c r="J418" s="271"/>
      <c r="K418" s="198"/>
      <c r="L418" s="198"/>
      <c r="M418" s="198"/>
      <c r="N418" s="198"/>
      <c r="O418" s="198">
        <v>340</v>
      </c>
      <c r="P418" s="198"/>
      <c r="Q418" s="198" t="s">
        <v>628</v>
      </c>
      <c r="R418" s="230">
        <f>DATABASE_Table[[#This Row],[Inicial Asking Price (€) (Total)]]-DATABASE_Table[[#This Row],[Vista membership]]-DATABASE_Table[[#This Row],[FF&amp;E]]</f>
        <v>760000</v>
      </c>
      <c r="S418" s="234">
        <v>760000</v>
      </c>
      <c r="T418" s="235">
        <v>1200000</v>
      </c>
      <c r="U418" s="198"/>
      <c r="V418" s="198"/>
      <c r="W418" s="233">
        <f>DATABASE_Table[[#This Row],[Current Asking price( Total)]]-DATABASE_Table[[#This Row],[Vista membership]]-DATABASE_Table[[#This Row],[FF&amp;E]]</f>
        <v>1200000</v>
      </c>
      <c r="X418" s="236">
        <v>8.3333333333333398E-2</v>
      </c>
      <c r="Y418" s="235">
        <v>1100000</v>
      </c>
      <c r="Z418" s="233">
        <f>DATABASE_Table[[#This Row],[Sell price (Total)]]-DATABASE_Table[[#This Row],[FF&amp;E]]-DATABASE_Table[[#This Row],[Vista membership]]</f>
        <v>1100000</v>
      </c>
      <c r="AA418" s="315">
        <v>46178</v>
      </c>
      <c r="AB418" s="321">
        <v>46843</v>
      </c>
      <c r="AC418" s="198" t="s">
        <v>57</v>
      </c>
      <c r="AD418" s="198" t="s">
        <v>68</v>
      </c>
      <c r="AE418" s="279" t="s">
        <v>69</v>
      </c>
      <c r="AF418" s="279" t="s">
        <v>70</v>
      </c>
      <c r="AG418" s="279" t="s">
        <v>71</v>
      </c>
      <c r="AH418" s="279" t="s">
        <v>816</v>
      </c>
      <c r="AI418" s="198" t="s">
        <v>72</v>
      </c>
      <c r="AJ418" s="274" t="s">
        <v>66</v>
      </c>
      <c r="AK418"/>
    </row>
    <row r="419" spans="1:37" ht="15.75" hidden="1" customHeight="1">
      <c r="A419" s="198" t="s">
        <v>773</v>
      </c>
      <c r="B419" s="198" t="s">
        <v>769</v>
      </c>
      <c r="C419" s="214" t="s">
        <v>839</v>
      </c>
      <c r="D419" s="198" t="s">
        <v>67</v>
      </c>
      <c r="E419" s="198" t="s">
        <v>553</v>
      </c>
      <c r="F419" s="198">
        <v>2537</v>
      </c>
      <c r="G419" s="198"/>
      <c r="H419" s="214" t="s">
        <v>325</v>
      </c>
      <c r="I419" s="214" t="s">
        <v>325</v>
      </c>
      <c r="J419" s="271"/>
      <c r="K419" s="198"/>
      <c r="L419" s="198"/>
      <c r="M419" s="198"/>
      <c r="N419" s="198"/>
      <c r="O419" s="198">
        <v>340</v>
      </c>
      <c r="P419" s="198"/>
      <c r="Q419" s="198" t="s">
        <v>329</v>
      </c>
      <c r="R419" s="230">
        <f>DATABASE_Table[[#This Row],[Inicial Asking Price (€) (Total)]]-DATABASE_Table[[#This Row],[Vista membership]]-DATABASE_Table[[#This Row],[FF&amp;E]]</f>
        <v>760000</v>
      </c>
      <c r="S419" s="234">
        <v>760000</v>
      </c>
      <c r="T419" s="235">
        <v>1100000</v>
      </c>
      <c r="U419" s="198"/>
      <c r="V419" s="198"/>
      <c r="W419" s="233">
        <f>DATABASE_Table[[#This Row],[Current Asking price( Total)]]-DATABASE_Table[[#This Row],[Vista membership]]-DATABASE_Table[[#This Row],[FF&amp;E]]</f>
        <v>1100000</v>
      </c>
      <c r="X419" s="236"/>
      <c r="Y419" s="235">
        <v>1100000</v>
      </c>
      <c r="Z419" s="233">
        <f>DATABASE_Table[[#This Row],[Sell price (Total)]]-DATABASE_Table[[#This Row],[FF&amp;E]]-DATABASE_Table[[#This Row],[Vista membership]]</f>
        <v>1100000</v>
      </c>
      <c r="AA419" s="315"/>
      <c r="AB419" s="321">
        <v>46843</v>
      </c>
      <c r="AC419" s="198" t="s">
        <v>57</v>
      </c>
      <c r="AD419" s="198" t="s">
        <v>68</v>
      </c>
      <c r="AE419" s="279" t="s">
        <v>69</v>
      </c>
      <c r="AF419" s="279" t="s">
        <v>70</v>
      </c>
      <c r="AG419" s="279" t="s">
        <v>71</v>
      </c>
      <c r="AH419" s="279" t="s">
        <v>816</v>
      </c>
      <c r="AI419" s="198" t="s">
        <v>72</v>
      </c>
      <c r="AJ419" s="274" t="s">
        <v>66</v>
      </c>
      <c r="AK419"/>
    </row>
    <row r="420" spans="1:37" ht="15.75" hidden="1" customHeight="1">
      <c r="A420" s="198" t="s">
        <v>562</v>
      </c>
      <c r="B420" s="198" t="s">
        <v>691</v>
      </c>
      <c r="C420" s="214" t="s">
        <v>368</v>
      </c>
      <c r="D420" s="198" t="s">
        <v>9</v>
      </c>
      <c r="E420" s="198" t="s">
        <v>319</v>
      </c>
      <c r="F420" s="198">
        <v>119</v>
      </c>
      <c r="G420" s="198"/>
      <c r="H420" s="214" t="s">
        <v>325</v>
      </c>
      <c r="I420" s="214" t="s">
        <v>325</v>
      </c>
      <c r="J420" s="271"/>
      <c r="K420" s="198"/>
      <c r="L420" s="198"/>
      <c r="M420" s="198"/>
      <c r="N420" s="198"/>
      <c r="O420" s="198">
        <v>119</v>
      </c>
      <c r="P420" s="198"/>
      <c r="Q420" s="198" t="s">
        <v>929</v>
      </c>
      <c r="R420" s="230">
        <f>DATABASE_Table[[#This Row],[Inicial Asking Price (€) (Total)]]-DATABASE_Table[[#This Row],[Vista membership]]-DATABASE_Table[[#This Row],[FF&amp;E]]</f>
        <v>590000</v>
      </c>
      <c r="S420" s="231">
        <v>590000</v>
      </c>
      <c r="T420" s="232">
        <v>630000</v>
      </c>
      <c r="U420" s="198"/>
      <c r="V420" s="198"/>
      <c r="W420" s="233">
        <f>DATABASE_Table[[#This Row],[Current Asking price( Total)]]-DATABASE_Table[[#This Row],[Vista membership]]-DATABASE_Table[[#This Row],[FF&amp;E]]</f>
        <v>630000</v>
      </c>
      <c r="X420" s="216">
        <v>0</v>
      </c>
      <c r="Y420" s="232">
        <v>630000</v>
      </c>
      <c r="Z420" s="233">
        <f>DATABASE_Table[[#This Row],[Sell price (Total)]]-DATABASE_Table[[#This Row],[FF&amp;E]]-DATABASE_Table[[#This Row],[Vista membership]]</f>
        <v>630000</v>
      </c>
      <c r="AA420" s="315">
        <v>46023</v>
      </c>
      <c r="AB420" s="321"/>
      <c r="AC420" s="198" t="s">
        <v>10</v>
      </c>
      <c r="AD420" s="198" t="s">
        <v>23</v>
      </c>
      <c r="AE420" s="279" t="s">
        <v>24</v>
      </c>
      <c r="AF420" s="279" t="s">
        <v>803</v>
      </c>
      <c r="AG420" s="279" t="s">
        <v>25</v>
      </c>
      <c r="AH420" s="279" t="s">
        <v>804</v>
      </c>
      <c r="AI420" s="198" t="s">
        <v>26</v>
      </c>
      <c r="AJ420" s="274" t="s">
        <v>22</v>
      </c>
      <c r="AK420"/>
    </row>
    <row r="421" spans="1:37" ht="15.75" hidden="1" customHeight="1">
      <c r="A421" s="198" t="s">
        <v>781</v>
      </c>
      <c r="B421" s="198" t="s">
        <v>786</v>
      </c>
      <c r="C421" s="214" t="s">
        <v>277</v>
      </c>
      <c r="D421" s="198" t="s">
        <v>79</v>
      </c>
      <c r="E421" s="198" t="s">
        <v>320</v>
      </c>
      <c r="F421" s="198">
        <v>242.6</v>
      </c>
      <c r="G421" s="198"/>
      <c r="H421" s="214" t="s">
        <v>848</v>
      </c>
      <c r="I421" s="214" t="s">
        <v>325</v>
      </c>
      <c r="J421" s="271"/>
      <c r="K421" s="198"/>
      <c r="L421" s="198"/>
      <c r="M421" s="198">
        <v>32</v>
      </c>
      <c r="N421" s="198">
        <v>37</v>
      </c>
      <c r="O421" s="198">
        <v>173.6</v>
      </c>
      <c r="P421" s="198"/>
      <c r="Q421" s="198" t="s">
        <v>628</v>
      </c>
      <c r="R421" s="230">
        <f>DATABASE_Table[[#This Row],[Inicial Asking Price (€) (Total)]]-DATABASE_Table[[#This Row],[Vista membership]]-DATABASE_Table[[#This Row],[FF&amp;E]]</f>
        <v>1380000</v>
      </c>
      <c r="S421" s="234">
        <v>1380000</v>
      </c>
      <c r="T421" s="235">
        <v>1380000</v>
      </c>
      <c r="U421" s="198"/>
      <c r="V421" s="198"/>
      <c r="W421" s="233">
        <f>DATABASE_Table[[#This Row],[Current Asking price( Total)]]-DATABASE_Table[[#This Row],[Vista membership]]-DATABASE_Table[[#This Row],[FF&amp;E]]</f>
        <v>1380000</v>
      </c>
      <c r="X421" s="236">
        <v>0.02</v>
      </c>
      <c r="Y421" s="235">
        <v>1352400</v>
      </c>
      <c r="Z421" s="233">
        <f>DATABASE_Table[[#This Row],[Sell price (Total)]]-DATABASE_Table[[#This Row],[FF&amp;E]]-DATABASE_Table[[#This Row],[Vista membership]]</f>
        <v>1352400</v>
      </c>
      <c r="AA421" s="316">
        <v>45946</v>
      </c>
      <c r="AB421" s="321">
        <v>47118</v>
      </c>
      <c r="AC421" s="198" t="s">
        <v>80</v>
      </c>
      <c r="AD421" s="198" t="s">
        <v>81</v>
      </c>
      <c r="AE421" s="279" t="s">
        <v>82</v>
      </c>
      <c r="AF421" s="279" t="s">
        <v>83</v>
      </c>
      <c r="AG421" s="279" t="s">
        <v>84</v>
      </c>
      <c r="AH421" s="279" t="s">
        <v>85</v>
      </c>
      <c r="AI421" s="198" t="s">
        <v>86</v>
      </c>
      <c r="AJ421" s="274" t="s">
        <v>78</v>
      </c>
      <c r="AK421"/>
    </row>
    <row r="422" spans="1:37" ht="15.75" hidden="1" customHeight="1">
      <c r="A422" s="198" t="s">
        <v>780</v>
      </c>
      <c r="B422" s="198" t="s">
        <v>786</v>
      </c>
      <c r="C422" s="214" t="s">
        <v>237</v>
      </c>
      <c r="D422" s="198" t="s">
        <v>79</v>
      </c>
      <c r="E422" s="198" t="s">
        <v>317</v>
      </c>
      <c r="F422" s="198">
        <v>161.18</v>
      </c>
      <c r="G422" s="198"/>
      <c r="H422" s="214" t="s">
        <v>848</v>
      </c>
      <c r="I422" s="214" t="s">
        <v>325</v>
      </c>
      <c r="J422" s="271">
        <v>23.37</v>
      </c>
      <c r="K422" s="198">
        <v>46.79</v>
      </c>
      <c r="L422" s="198"/>
      <c r="M422" s="198"/>
      <c r="N422" s="198"/>
      <c r="O422" s="198">
        <v>91.02</v>
      </c>
      <c r="P422" s="198"/>
      <c r="Q422" s="198" t="s">
        <v>328</v>
      </c>
      <c r="R422" s="230">
        <f>DATABASE_Table[[#This Row],[Inicial Asking Price (€) (Total)]]-DATABASE_Table[[#This Row],[Vista membership]]-DATABASE_Table[[#This Row],[FF&amp;E]]</f>
        <v>720000</v>
      </c>
      <c r="S422" s="234">
        <v>765000</v>
      </c>
      <c r="T422" s="235">
        <v>830000</v>
      </c>
      <c r="U422" s="198"/>
      <c r="V422" s="235">
        <v>45000</v>
      </c>
      <c r="W422" s="233">
        <f>DATABASE_Table[[#This Row],[Current Asking price( Total)]]-DATABASE_Table[[#This Row],[Vista membership]]-DATABASE_Table[[#This Row],[FF&amp;E]]</f>
        <v>785000</v>
      </c>
      <c r="X422" s="236"/>
      <c r="Y422" s="235"/>
      <c r="Z422" s="233">
        <f>DATABASE_Table[[#This Row],[Sell price (Total)]]-DATABASE_Table[[#This Row],[FF&amp;E]]-DATABASE_Table[[#This Row],[Vista membership]]</f>
        <v>-45000</v>
      </c>
      <c r="AA422" s="315"/>
      <c r="AB422" s="321">
        <v>47118</v>
      </c>
      <c r="AC422" s="198" t="s">
        <v>80</v>
      </c>
      <c r="AD422" s="198" t="s">
        <v>81</v>
      </c>
      <c r="AE422" s="279" t="s">
        <v>82</v>
      </c>
      <c r="AF422" s="279" t="s">
        <v>83</v>
      </c>
      <c r="AG422" s="279" t="s">
        <v>84</v>
      </c>
      <c r="AH422" s="279" t="s">
        <v>85</v>
      </c>
      <c r="AI422" s="198" t="s">
        <v>86</v>
      </c>
      <c r="AJ422" s="274" t="s">
        <v>78</v>
      </c>
      <c r="AK422"/>
    </row>
    <row r="423" spans="1:37" ht="15.75" hidden="1" customHeight="1">
      <c r="A423" s="198" t="s">
        <v>780</v>
      </c>
      <c r="B423" s="198" t="s">
        <v>786</v>
      </c>
      <c r="C423" s="214" t="s">
        <v>145</v>
      </c>
      <c r="D423" s="198" t="s">
        <v>79</v>
      </c>
      <c r="E423" s="198" t="s">
        <v>317</v>
      </c>
      <c r="F423" s="198">
        <v>114.6</v>
      </c>
      <c r="G423" s="198"/>
      <c r="H423" s="214" t="s">
        <v>848</v>
      </c>
      <c r="I423" s="214" t="s">
        <v>325</v>
      </c>
      <c r="J423" s="271">
        <v>22.32</v>
      </c>
      <c r="K423" s="198"/>
      <c r="L423" s="198"/>
      <c r="M423" s="198"/>
      <c r="N423" s="198"/>
      <c r="O423" s="198">
        <v>92.28</v>
      </c>
      <c r="P423" s="198"/>
      <c r="Q423" s="198" t="s">
        <v>328</v>
      </c>
      <c r="R423" s="230">
        <f>DATABASE_Table[[#This Row],[Inicial Asking Price (€) (Total)]]-DATABASE_Table[[#This Row],[Vista membership]]-DATABASE_Table[[#This Row],[FF&amp;E]]</f>
        <v>720000</v>
      </c>
      <c r="S423" s="234">
        <v>765000</v>
      </c>
      <c r="T423" s="235">
        <v>765000</v>
      </c>
      <c r="U423" s="198"/>
      <c r="V423" s="235">
        <v>45000</v>
      </c>
      <c r="W423" s="233">
        <f>DATABASE_Table[[#This Row],[Current Asking price( Total)]]-DATABASE_Table[[#This Row],[Vista membership]]-DATABASE_Table[[#This Row],[FF&amp;E]]</f>
        <v>720000</v>
      </c>
      <c r="X423" s="236"/>
      <c r="Y423" s="235"/>
      <c r="Z423" s="233">
        <f>DATABASE_Table[[#This Row],[Sell price (Total)]]-DATABASE_Table[[#This Row],[FF&amp;E]]-DATABASE_Table[[#This Row],[Vista membership]]</f>
        <v>-45000</v>
      </c>
      <c r="AA423" s="315"/>
      <c r="AB423" s="321">
        <v>47118</v>
      </c>
      <c r="AC423" s="198" t="s">
        <v>80</v>
      </c>
      <c r="AD423" s="198" t="s">
        <v>81</v>
      </c>
      <c r="AE423" s="279" t="s">
        <v>82</v>
      </c>
      <c r="AF423" s="279" t="s">
        <v>83</v>
      </c>
      <c r="AG423" s="279" t="s">
        <v>84</v>
      </c>
      <c r="AH423" s="279" t="s">
        <v>85</v>
      </c>
      <c r="AI423" s="198" t="s">
        <v>86</v>
      </c>
      <c r="AJ423" s="274" t="s">
        <v>78</v>
      </c>
      <c r="AK423"/>
    </row>
    <row r="424" spans="1:37" ht="15.75" hidden="1" customHeight="1">
      <c r="A424" s="198" t="s">
        <v>780</v>
      </c>
      <c r="B424" s="198" t="s">
        <v>786</v>
      </c>
      <c r="C424" s="214" t="s">
        <v>253</v>
      </c>
      <c r="D424" s="198" t="s">
        <v>79</v>
      </c>
      <c r="E424" s="198" t="s">
        <v>317</v>
      </c>
      <c r="F424" s="198">
        <v>114.55</v>
      </c>
      <c r="G424" s="198"/>
      <c r="H424" s="214" t="s">
        <v>848</v>
      </c>
      <c r="I424" s="214" t="s">
        <v>325</v>
      </c>
      <c r="J424" s="271">
        <v>22.25</v>
      </c>
      <c r="K424" s="198"/>
      <c r="L424" s="198"/>
      <c r="M424" s="198"/>
      <c r="N424" s="198"/>
      <c r="O424" s="198">
        <v>92.3</v>
      </c>
      <c r="P424" s="198"/>
      <c r="Q424" s="198" t="s">
        <v>328</v>
      </c>
      <c r="R424" s="230">
        <f>DATABASE_Table[[#This Row],[Inicial Asking Price (€) (Total)]]-DATABASE_Table[[#This Row],[Vista membership]]-DATABASE_Table[[#This Row],[FF&amp;E]]</f>
        <v>720000</v>
      </c>
      <c r="S424" s="234">
        <v>765000</v>
      </c>
      <c r="T424" s="235">
        <v>755000</v>
      </c>
      <c r="U424" s="198"/>
      <c r="V424" s="235">
        <v>45000</v>
      </c>
      <c r="W424" s="233">
        <f>DATABASE_Table[[#This Row],[Current Asking price( Total)]]-DATABASE_Table[[#This Row],[Vista membership]]-DATABASE_Table[[#This Row],[FF&amp;E]]</f>
        <v>710000</v>
      </c>
      <c r="X424" s="236"/>
      <c r="Y424" s="235"/>
      <c r="Z424" s="233">
        <f>DATABASE_Table[[#This Row],[Sell price (Total)]]-DATABASE_Table[[#This Row],[FF&amp;E]]-DATABASE_Table[[#This Row],[Vista membership]]</f>
        <v>-45000</v>
      </c>
      <c r="AA424" s="315"/>
      <c r="AB424" s="321">
        <v>47118</v>
      </c>
      <c r="AC424" s="198" t="s">
        <v>80</v>
      </c>
      <c r="AD424" s="198" t="s">
        <v>81</v>
      </c>
      <c r="AE424" s="279" t="s">
        <v>82</v>
      </c>
      <c r="AF424" s="279" t="s">
        <v>83</v>
      </c>
      <c r="AG424" s="279" t="s">
        <v>84</v>
      </c>
      <c r="AH424" s="279" t="s">
        <v>85</v>
      </c>
      <c r="AI424" s="198" t="s">
        <v>86</v>
      </c>
      <c r="AJ424" s="274" t="s">
        <v>78</v>
      </c>
      <c r="AK424"/>
    </row>
    <row r="425" spans="1:37" ht="15.75" hidden="1" customHeight="1">
      <c r="A425" s="198" t="s">
        <v>780</v>
      </c>
      <c r="B425" s="198" t="s">
        <v>786</v>
      </c>
      <c r="C425" s="214" t="s">
        <v>259</v>
      </c>
      <c r="D425" s="198" t="s">
        <v>79</v>
      </c>
      <c r="E425" s="198" t="s">
        <v>317</v>
      </c>
      <c r="F425" s="198">
        <v>114.62</v>
      </c>
      <c r="G425" s="198"/>
      <c r="H425" s="214" t="s">
        <v>848</v>
      </c>
      <c r="I425" s="214" t="s">
        <v>325</v>
      </c>
      <c r="J425" s="271">
        <v>22.25</v>
      </c>
      <c r="K425" s="198"/>
      <c r="L425" s="198"/>
      <c r="M425" s="198"/>
      <c r="N425" s="198"/>
      <c r="O425" s="198">
        <v>92.37</v>
      </c>
      <c r="P425" s="198"/>
      <c r="Q425" s="198" t="s">
        <v>328</v>
      </c>
      <c r="R425" s="230">
        <f>DATABASE_Table[[#This Row],[Inicial Asking Price (€) (Total)]]-DATABASE_Table[[#This Row],[Vista membership]]-DATABASE_Table[[#This Row],[FF&amp;E]]</f>
        <v>720000</v>
      </c>
      <c r="S425" s="234">
        <v>765000</v>
      </c>
      <c r="T425" s="235">
        <v>765000</v>
      </c>
      <c r="U425" s="198"/>
      <c r="V425" s="235">
        <v>45000</v>
      </c>
      <c r="W425" s="233">
        <f>DATABASE_Table[[#This Row],[Current Asking price( Total)]]-DATABASE_Table[[#This Row],[Vista membership]]-DATABASE_Table[[#This Row],[FF&amp;E]]</f>
        <v>720000</v>
      </c>
      <c r="X425" s="236"/>
      <c r="Y425" s="235"/>
      <c r="Z425" s="233">
        <f>DATABASE_Table[[#This Row],[Sell price (Total)]]-DATABASE_Table[[#This Row],[FF&amp;E]]-DATABASE_Table[[#This Row],[Vista membership]]</f>
        <v>-45000</v>
      </c>
      <c r="AA425" s="315"/>
      <c r="AB425" s="321">
        <v>47118</v>
      </c>
      <c r="AC425" s="198" t="s">
        <v>80</v>
      </c>
      <c r="AD425" s="198" t="s">
        <v>81</v>
      </c>
      <c r="AE425" s="279" t="s">
        <v>82</v>
      </c>
      <c r="AF425" s="279" t="s">
        <v>83</v>
      </c>
      <c r="AG425" s="279" t="s">
        <v>84</v>
      </c>
      <c r="AH425" s="279" t="s">
        <v>85</v>
      </c>
      <c r="AI425" s="198" t="s">
        <v>86</v>
      </c>
      <c r="AJ425" s="274" t="s">
        <v>78</v>
      </c>
      <c r="AK425"/>
    </row>
    <row r="426" spans="1:37" ht="15.75" hidden="1" customHeight="1">
      <c r="A426" s="198" t="s">
        <v>689</v>
      </c>
      <c r="B426" s="198" t="s">
        <v>691</v>
      </c>
      <c r="C426" s="214" t="s">
        <v>368</v>
      </c>
      <c r="D426" s="198"/>
      <c r="E426" s="198" t="s">
        <v>383</v>
      </c>
      <c r="F426" s="198">
        <v>189.1061</v>
      </c>
      <c r="G426" s="198"/>
      <c r="H426" s="214" t="s">
        <v>325</v>
      </c>
      <c r="I426" s="214" t="s">
        <v>325</v>
      </c>
      <c r="J426" s="271"/>
      <c r="K426" s="198"/>
      <c r="L426" s="198"/>
      <c r="M426" s="198"/>
      <c r="N426" s="198"/>
      <c r="O426" s="198">
        <v>189.1061</v>
      </c>
      <c r="P426" s="198"/>
      <c r="Q426" s="198" t="s">
        <v>929</v>
      </c>
      <c r="R426" s="230">
        <f>DATABASE_Table[[#This Row],[Inicial Asking Price (€) (Total)]]-DATABASE_Table[[#This Row],[Vista membership]]-DATABASE_Table[[#This Row],[FF&amp;E]]</f>
        <v>1133100</v>
      </c>
      <c r="S426" s="231">
        <v>1133100</v>
      </c>
      <c r="T426" s="232">
        <v>1190000</v>
      </c>
      <c r="U426" s="198"/>
      <c r="V426" s="198"/>
      <c r="W426" s="233">
        <f>DATABASE_Table[[#This Row],[Current Asking price( Total)]]-DATABASE_Table[[#This Row],[Vista membership]]-DATABASE_Table[[#This Row],[FF&amp;E]]</f>
        <v>1190000</v>
      </c>
      <c r="X426" s="216">
        <v>0</v>
      </c>
      <c r="Y426" s="232">
        <v>1190000</v>
      </c>
      <c r="Z426" s="233">
        <f>DATABASE_Table[[#This Row],[Sell price (Total)]]-DATABASE_Table[[#This Row],[FF&amp;E]]-DATABASE_Table[[#This Row],[Vista membership]]</f>
        <v>1190000</v>
      </c>
      <c r="AA426" s="315">
        <v>44810</v>
      </c>
      <c r="AB426" s="321"/>
      <c r="AC426" s="198"/>
      <c r="AD426" s="198"/>
      <c r="AE426" s="279"/>
      <c r="AF426" s="279"/>
      <c r="AG426" s="279"/>
      <c r="AH426" s="279"/>
      <c r="AI426" s="198"/>
      <c r="AJ426" s="274" t="s">
        <v>689</v>
      </c>
      <c r="AK426"/>
    </row>
    <row r="427" spans="1:37" ht="15.75" hidden="1" customHeight="1">
      <c r="A427" s="198" t="s">
        <v>564</v>
      </c>
      <c r="B427" s="198" t="s">
        <v>691</v>
      </c>
      <c r="C427" s="214" t="s">
        <v>368</v>
      </c>
      <c r="D427" s="198" t="s">
        <v>9</v>
      </c>
      <c r="E427" s="198" t="s">
        <v>416</v>
      </c>
      <c r="F427" s="198">
        <v>121.16</v>
      </c>
      <c r="G427" s="198"/>
      <c r="H427" s="214" t="s">
        <v>325</v>
      </c>
      <c r="I427" s="214" t="s">
        <v>325</v>
      </c>
      <c r="J427" s="271">
        <v>31.7</v>
      </c>
      <c r="K427" s="198"/>
      <c r="L427" s="198"/>
      <c r="M427" s="198"/>
      <c r="N427" s="198"/>
      <c r="O427" s="198">
        <v>89.46</v>
      </c>
      <c r="P427" s="198"/>
      <c r="Q427" s="198" t="s">
        <v>329</v>
      </c>
      <c r="R427" s="230">
        <f>DATABASE_Table[[#This Row],[Inicial Asking Price (€) (Total)]]-DATABASE_Table[[#This Row],[Vista membership]]-DATABASE_Table[[#This Row],[FF&amp;E]]</f>
        <v>710428.48239999998</v>
      </c>
      <c r="S427" s="231">
        <v>775028.48239999998</v>
      </c>
      <c r="T427" s="232">
        <v>840000</v>
      </c>
      <c r="U427" s="198">
        <v>24600</v>
      </c>
      <c r="V427" s="198">
        <v>40000</v>
      </c>
      <c r="W427" s="233">
        <f>DATABASE_Table[[#This Row],[Current Asking price( Total)]]-DATABASE_Table[[#This Row],[Vista membership]]-DATABASE_Table[[#This Row],[FF&amp;E]]</f>
        <v>775400</v>
      </c>
      <c r="X427" s="216"/>
      <c r="Y427" s="232">
        <v>840000</v>
      </c>
      <c r="Z427" s="233">
        <f>DATABASE_Table[[#This Row],[Sell price (Total)]]-DATABASE_Table[[#This Row],[FF&amp;E]]-DATABASE_Table[[#This Row],[Vista membership]]</f>
        <v>775400</v>
      </c>
      <c r="AA427" s="315"/>
      <c r="AB427" s="321"/>
      <c r="AC427" s="198" t="s">
        <v>10</v>
      </c>
      <c r="AD427" s="198" t="s">
        <v>35</v>
      </c>
      <c r="AE427" s="279" t="s">
        <v>43</v>
      </c>
      <c r="AF427" s="279" t="s">
        <v>44</v>
      </c>
      <c r="AG427" s="279" t="s">
        <v>45</v>
      </c>
      <c r="AH427" s="279" t="s">
        <v>46</v>
      </c>
      <c r="AI427" s="198" t="s">
        <v>47</v>
      </c>
      <c r="AJ427" s="274" t="s">
        <v>42</v>
      </c>
      <c r="AK427"/>
    </row>
    <row r="428" spans="1:37" ht="15.75" hidden="1" customHeight="1">
      <c r="A428" s="198" t="s">
        <v>630</v>
      </c>
      <c r="B428" s="198" t="s">
        <v>691</v>
      </c>
      <c r="C428" s="214" t="s">
        <v>369</v>
      </c>
      <c r="D428" s="198" t="s">
        <v>9</v>
      </c>
      <c r="E428" s="198" t="s">
        <v>319</v>
      </c>
      <c r="F428" s="198">
        <v>151.37</v>
      </c>
      <c r="G428" s="198"/>
      <c r="H428" s="214" t="s">
        <v>849</v>
      </c>
      <c r="I428" s="214" t="s">
        <v>325</v>
      </c>
      <c r="J428" s="271">
        <v>27.61</v>
      </c>
      <c r="K428" s="198"/>
      <c r="L428" s="198"/>
      <c r="M428" s="198">
        <v>0</v>
      </c>
      <c r="N428" s="198"/>
      <c r="O428" s="198">
        <v>123.76</v>
      </c>
      <c r="P428" s="198"/>
      <c r="Q428" s="198" t="s">
        <v>329</v>
      </c>
      <c r="R428" s="230">
        <f>DATABASE_Table[[#This Row],[Inicial Asking Price (€) (Total)]]-DATABASE_Table[[#This Row],[Vista membership]]-DATABASE_Table[[#This Row],[FF&amp;E]]</f>
        <v>949917.34199999995</v>
      </c>
      <c r="S428" s="231">
        <v>949917.34199999995</v>
      </c>
      <c r="T428" s="232">
        <v>950000</v>
      </c>
      <c r="U428" s="198"/>
      <c r="V428" s="198"/>
      <c r="W428" s="233">
        <f>DATABASE_Table[[#This Row],[Current Asking price( Total)]]-DATABASE_Table[[#This Row],[Vista membership]]-DATABASE_Table[[#This Row],[FF&amp;E]]</f>
        <v>950000</v>
      </c>
      <c r="X428" s="216"/>
      <c r="Y428" s="232">
        <v>950000</v>
      </c>
      <c r="Z428" s="233">
        <f>DATABASE_Table[[#This Row],[Sell price (Total)]]-DATABASE_Table[[#This Row],[FF&amp;E]]-DATABASE_Table[[#This Row],[Vista membership]]</f>
        <v>950000</v>
      </c>
      <c r="AA428" s="315"/>
      <c r="AB428" s="321"/>
      <c r="AC428" s="198" t="s">
        <v>10</v>
      </c>
      <c r="AD428" s="198" t="s">
        <v>11</v>
      </c>
      <c r="AE428" s="279" t="s">
        <v>53</v>
      </c>
      <c r="AF428" s="279" t="s">
        <v>54</v>
      </c>
      <c r="AG428" s="279" t="s">
        <v>811</v>
      </c>
      <c r="AH428" s="279" t="s">
        <v>812</v>
      </c>
      <c r="AI428" s="198" t="s">
        <v>36</v>
      </c>
      <c r="AJ428" s="274" t="s">
        <v>52</v>
      </c>
      <c r="AK428"/>
    </row>
    <row r="429" spans="1:37" ht="15.75" hidden="1" customHeight="1">
      <c r="A429" s="198" t="s">
        <v>558</v>
      </c>
      <c r="B429" s="198" t="s">
        <v>691</v>
      </c>
      <c r="C429" s="214" t="s">
        <v>369</v>
      </c>
      <c r="D429" s="198" t="s">
        <v>9</v>
      </c>
      <c r="E429" s="198" t="s">
        <v>320</v>
      </c>
      <c r="F429" s="198">
        <v>154.74</v>
      </c>
      <c r="G429" s="198">
        <v>4.45</v>
      </c>
      <c r="H429" s="214" t="s">
        <v>625</v>
      </c>
      <c r="I429" s="214" t="s">
        <v>325</v>
      </c>
      <c r="J429" s="271">
        <v>21.06</v>
      </c>
      <c r="K429" s="198"/>
      <c r="L429" s="198"/>
      <c r="M429" s="198"/>
      <c r="N429" s="198"/>
      <c r="O429" s="198">
        <v>154.74</v>
      </c>
      <c r="P429" s="198"/>
      <c r="Q429" s="198" t="s">
        <v>329</v>
      </c>
      <c r="R429" s="230">
        <f>DATABASE_Table[[#This Row],[Inicial Asking Price (€) (Total)]]-DATABASE_Table[[#This Row],[Vista membership]]-DATABASE_Table[[#This Row],[FF&amp;E]]</f>
        <v>1005000</v>
      </c>
      <c r="S429" s="231">
        <v>1005000</v>
      </c>
      <c r="T429" s="232">
        <v>1005000</v>
      </c>
      <c r="U429" s="198"/>
      <c r="V429" s="198"/>
      <c r="W429" s="233">
        <f>DATABASE_Table[[#This Row],[Current Asking price( Total)]]-DATABASE_Table[[#This Row],[Vista membership]]-DATABASE_Table[[#This Row],[FF&amp;E]]</f>
        <v>1005000</v>
      </c>
      <c r="X429" s="216"/>
      <c r="Y429" s="232">
        <v>1005000</v>
      </c>
      <c r="Z429" s="233">
        <f>DATABASE_Table[[#This Row],[Sell price (Total)]]-DATABASE_Table[[#This Row],[FF&amp;E]]-DATABASE_Table[[#This Row],[Vista membership]]</f>
        <v>1005000</v>
      </c>
      <c r="AA429" s="315"/>
      <c r="AB429" s="321"/>
      <c r="AC429" s="198" t="s">
        <v>10</v>
      </c>
      <c r="AD429" s="198" t="s">
        <v>11</v>
      </c>
      <c r="AE429" s="279" t="s">
        <v>12</v>
      </c>
      <c r="AF429" s="279" t="s">
        <v>801</v>
      </c>
      <c r="AG429" s="279" t="s">
        <v>13</v>
      </c>
      <c r="AH429" s="279" t="s">
        <v>14</v>
      </c>
      <c r="AI429" s="198" t="s">
        <v>15</v>
      </c>
      <c r="AJ429" s="274" t="s">
        <v>8</v>
      </c>
      <c r="AK429"/>
    </row>
    <row r="430" spans="1:37" ht="15.75" hidden="1" customHeight="1">
      <c r="A430" s="198" t="s">
        <v>31</v>
      </c>
      <c r="B430" s="198" t="s">
        <v>691</v>
      </c>
      <c r="C430" s="214" t="s">
        <v>369</v>
      </c>
      <c r="D430" s="198" t="s">
        <v>9</v>
      </c>
      <c r="E430" s="198" t="s">
        <v>320</v>
      </c>
      <c r="F430" s="198"/>
      <c r="G430" s="198"/>
      <c r="H430" s="214" t="s">
        <v>325</v>
      </c>
      <c r="I430" s="214" t="s">
        <v>325</v>
      </c>
      <c r="J430" s="271"/>
      <c r="K430" s="198">
        <v>0</v>
      </c>
      <c r="L430" s="198"/>
      <c r="M430" s="198">
        <v>13</v>
      </c>
      <c r="N430" s="198"/>
      <c r="O430" s="198">
        <v>137</v>
      </c>
      <c r="P430" s="198"/>
      <c r="Q430" s="198" t="s">
        <v>628</v>
      </c>
      <c r="R430" s="230">
        <f>DATABASE_Table[[#This Row],[Inicial Asking Price (€) (Total)]]-DATABASE_Table[[#This Row],[Vista membership]]-DATABASE_Table[[#This Row],[FF&amp;E]]</f>
        <v>860000</v>
      </c>
      <c r="S430" s="232">
        <v>860000</v>
      </c>
      <c r="T430" s="232">
        <v>860000</v>
      </c>
      <c r="U430" s="198"/>
      <c r="V430" s="198"/>
      <c r="W430" s="233">
        <f>DATABASE_Table[[#This Row],[Current Asking price( Total)]]-DATABASE_Table[[#This Row],[Vista membership]]-DATABASE_Table[[#This Row],[FF&amp;E]]</f>
        <v>860000</v>
      </c>
      <c r="X430" s="216">
        <v>2.5000000000000001E-2</v>
      </c>
      <c r="Y430" s="232">
        <v>838500</v>
      </c>
      <c r="Z430" s="233">
        <f>DATABASE_Table[[#This Row],[Sell price (Total)]]-DATABASE_Table[[#This Row],[FF&amp;E]]-DATABASE_Table[[#This Row],[Vista membership]]</f>
        <v>838500</v>
      </c>
      <c r="AA430" s="316">
        <v>46174</v>
      </c>
      <c r="AB430" s="321"/>
      <c r="AC430" s="198" t="s">
        <v>10</v>
      </c>
      <c r="AD430" s="198" t="s">
        <v>807</v>
      </c>
      <c r="AE430" s="279" t="s">
        <v>32</v>
      </c>
      <c r="AF430" s="279" t="s">
        <v>808</v>
      </c>
      <c r="AG430" s="279" t="s">
        <v>33</v>
      </c>
      <c r="AH430" s="279" t="s">
        <v>809</v>
      </c>
      <c r="AI430" s="198" t="s">
        <v>15</v>
      </c>
      <c r="AJ430" s="274" t="s">
        <v>31</v>
      </c>
      <c r="AK430"/>
    </row>
    <row r="431" spans="1:37" ht="15.75" hidden="1" customHeight="1">
      <c r="A431" s="198" t="s">
        <v>690</v>
      </c>
      <c r="B431" s="198" t="s">
        <v>691</v>
      </c>
      <c r="C431" s="214" t="s">
        <v>369</v>
      </c>
      <c r="D431" s="198" t="s">
        <v>9</v>
      </c>
      <c r="E431" s="198" t="s">
        <v>765</v>
      </c>
      <c r="F431" s="198">
        <v>339.85</v>
      </c>
      <c r="G431" s="198">
        <v>175.75</v>
      </c>
      <c r="H431" s="214" t="s">
        <v>325</v>
      </c>
      <c r="I431" s="214" t="s">
        <v>325</v>
      </c>
      <c r="J431" s="271">
        <v>25.77</v>
      </c>
      <c r="K431" s="198"/>
      <c r="L431" s="198"/>
      <c r="M431" s="198"/>
      <c r="N431" s="198"/>
      <c r="O431" s="198">
        <v>138.33000000000001</v>
      </c>
      <c r="P431" s="198"/>
      <c r="Q431" s="198" t="s">
        <v>329</v>
      </c>
      <c r="R431" s="230">
        <f>DATABASE_Table[[#This Row],[Inicial Asking Price (€) (Total)]]-DATABASE_Table[[#This Row],[Vista membership]]-DATABASE_Table[[#This Row],[FF&amp;E]]</f>
        <v>1587700</v>
      </c>
      <c r="S431" s="231">
        <v>1658850</v>
      </c>
      <c r="T431" s="232">
        <v>1730000</v>
      </c>
      <c r="U431" s="198">
        <v>24600</v>
      </c>
      <c r="V431" s="198">
        <v>46550</v>
      </c>
      <c r="W431" s="233">
        <f>DATABASE_Table[[#This Row],[Current Asking price( Total)]]-DATABASE_Table[[#This Row],[Vista membership]]-DATABASE_Table[[#This Row],[FF&amp;E]]</f>
        <v>1658850</v>
      </c>
      <c r="X431" s="216"/>
      <c r="Y431" s="232">
        <v>1730000</v>
      </c>
      <c r="Z431" s="233">
        <f>DATABASE_Table[[#This Row],[Sell price (Total)]]-DATABASE_Table[[#This Row],[FF&amp;E]]-DATABASE_Table[[#This Row],[Vista membership]]</f>
        <v>1658850</v>
      </c>
      <c r="AA431" s="315"/>
      <c r="AB431" s="321"/>
      <c r="AC431" s="198" t="s">
        <v>10</v>
      </c>
      <c r="AD431" s="198" t="s">
        <v>35</v>
      </c>
      <c r="AE431" s="279" t="s">
        <v>38</v>
      </c>
      <c r="AF431" s="279" t="s">
        <v>39</v>
      </c>
      <c r="AG431" s="279" t="s">
        <v>40</v>
      </c>
      <c r="AH431" s="279" t="s">
        <v>810</v>
      </c>
      <c r="AI431" s="198" t="s">
        <v>41</v>
      </c>
      <c r="AJ431" s="274" t="s">
        <v>37</v>
      </c>
      <c r="AK431"/>
    </row>
    <row r="432" spans="1:37" ht="15.75" hidden="1" customHeight="1">
      <c r="A432" s="198" t="s">
        <v>780</v>
      </c>
      <c r="B432" s="198" t="s">
        <v>786</v>
      </c>
      <c r="C432" s="214" t="s">
        <v>236</v>
      </c>
      <c r="D432" s="198" t="s">
        <v>79</v>
      </c>
      <c r="E432" s="198" t="s">
        <v>317</v>
      </c>
      <c r="F432" s="198">
        <v>178.55</v>
      </c>
      <c r="G432" s="198"/>
      <c r="H432" s="214" t="s">
        <v>848</v>
      </c>
      <c r="I432" s="214" t="s">
        <v>325</v>
      </c>
      <c r="J432" s="271">
        <v>23.07</v>
      </c>
      <c r="K432" s="198">
        <v>65.5</v>
      </c>
      <c r="L432" s="198"/>
      <c r="M432" s="198"/>
      <c r="N432" s="198"/>
      <c r="O432" s="198">
        <v>89.98</v>
      </c>
      <c r="P432" s="198"/>
      <c r="Q432" s="198" t="s">
        <v>329</v>
      </c>
      <c r="R432" s="230">
        <f>DATABASE_Table[[#This Row],[Inicial Asking Price (€) (Total)]]-DATABASE_Table[[#This Row],[Vista membership]]-DATABASE_Table[[#This Row],[FF&amp;E]]</f>
        <v>725000</v>
      </c>
      <c r="S432" s="234">
        <v>770000</v>
      </c>
      <c r="T432" s="235">
        <v>820000</v>
      </c>
      <c r="U432" s="198"/>
      <c r="V432" s="235">
        <v>45000</v>
      </c>
      <c r="W432" s="233">
        <f>DATABASE_Table[[#This Row],[Current Asking price( Total)]]-DATABASE_Table[[#This Row],[Vista membership]]-DATABASE_Table[[#This Row],[FF&amp;E]]</f>
        <v>775000</v>
      </c>
      <c r="X432" s="236"/>
      <c r="Y432" s="235"/>
      <c r="Z432" s="233">
        <f>DATABASE_Table[[#This Row],[Sell price (Total)]]-DATABASE_Table[[#This Row],[FF&amp;E]]-DATABASE_Table[[#This Row],[Vista membership]]</f>
        <v>-45000</v>
      </c>
      <c r="AA432" s="315"/>
      <c r="AB432" s="321">
        <v>47118</v>
      </c>
      <c r="AC432" s="198" t="s">
        <v>80</v>
      </c>
      <c r="AD432" s="198" t="s">
        <v>81</v>
      </c>
      <c r="AE432" s="279" t="s">
        <v>82</v>
      </c>
      <c r="AF432" s="279" t="s">
        <v>83</v>
      </c>
      <c r="AG432" s="279" t="s">
        <v>84</v>
      </c>
      <c r="AH432" s="279" t="s">
        <v>85</v>
      </c>
      <c r="AI432" s="198" t="s">
        <v>86</v>
      </c>
      <c r="AJ432" s="274" t="s">
        <v>78</v>
      </c>
      <c r="AK432"/>
    </row>
    <row r="433" spans="1:37" ht="15.75" hidden="1" customHeight="1">
      <c r="A433" s="198" t="s">
        <v>563</v>
      </c>
      <c r="B433" s="198" t="s">
        <v>691</v>
      </c>
      <c r="C433" s="214" t="s">
        <v>369</v>
      </c>
      <c r="D433" s="198" t="s">
        <v>9</v>
      </c>
      <c r="E433" s="198" t="s">
        <v>319</v>
      </c>
      <c r="F433" s="198">
        <v>104.7</v>
      </c>
      <c r="G433" s="198"/>
      <c r="H433" s="214" t="s">
        <v>325</v>
      </c>
      <c r="I433" s="214" t="s">
        <v>325</v>
      </c>
      <c r="J433" s="271"/>
      <c r="K433" s="198"/>
      <c r="L433" s="198"/>
      <c r="M433" s="198"/>
      <c r="N433" s="198"/>
      <c r="O433" s="198">
        <v>104.7</v>
      </c>
      <c r="P433" s="198"/>
      <c r="Q433" s="198" t="s">
        <v>628</v>
      </c>
      <c r="R433" s="230">
        <f>DATABASE_Table[[#This Row],[Inicial Asking Price (€) (Total)]]-DATABASE_Table[[#This Row],[Vista membership]]-DATABASE_Table[[#This Row],[FF&amp;E]]</f>
        <v>550000</v>
      </c>
      <c r="S433" s="231">
        <v>550000</v>
      </c>
      <c r="T433" s="232">
        <v>550000</v>
      </c>
      <c r="U433" s="198"/>
      <c r="V433" s="198"/>
      <c r="W433" s="233">
        <f>DATABASE_Table[[#This Row],[Current Asking price( Total)]]-DATABASE_Table[[#This Row],[Vista membership]]-DATABASE_Table[[#This Row],[FF&amp;E]]</f>
        <v>550000</v>
      </c>
      <c r="X433" s="216">
        <v>0</v>
      </c>
      <c r="Y433" s="232">
        <v>550000</v>
      </c>
      <c r="Z433" s="233">
        <f>DATABASE_Table[[#This Row],[Sell price (Total)]]-DATABASE_Table[[#This Row],[FF&amp;E]]-DATABASE_Table[[#This Row],[Vista membership]]</f>
        <v>550000</v>
      </c>
      <c r="AA433" s="317">
        <v>45905</v>
      </c>
      <c r="AB433" s="321"/>
      <c r="AC433" s="198" t="s">
        <v>10</v>
      </c>
      <c r="AD433" s="198" t="s">
        <v>11</v>
      </c>
      <c r="AE433" s="279" t="s">
        <v>28</v>
      </c>
      <c r="AF433" s="279" t="s">
        <v>29</v>
      </c>
      <c r="AG433" s="279" t="s">
        <v>805</v>
      </c>
      <c r="AH433" s="279" t="s">
        <v>806</v>
      </c>
      <c r="AI433" s="198" t="s">
        <v>30</v>
      </c>
      <c r="AJ433" s="274" t="s">
        <v>27</v>
      </c>
      <c r="AK433"/>
    </row>
    <row r="434" spans="1:37" ht="15.75" hidden="1" customHeight="1">
      <c r="A434" s="198" t="s">
        <v>562</v>
      </c>
      <c r="B434" s="198" t="s">
        <v>691</v>
      </c>
      <c r="C434" s="214" t="s">
        <v>369</v>
      </c>
      <c r="D434" s="198" t="s">
        <v>9</v>
      </c>
      <c r="E434" s="198" t="s">
        <v>319</v>
      </c>
      <c r="F434" s="198">
        <v>119</v>
      </c>
      <c r="G434" s="198"/>
      <c r="H434" s="214" t="s">
        <v>325</v>
      </c>
      <c r="I434" s="214" t="s">
        <v>325</v>
      </c>
      <c r="J434" s="271"/>
      <c r="K434" s="198"/>
      <c r="L434" s="198"/>
      <c r="M434" s="198"/>
      <c r="N434" s="198"/>
      <c r="O434" s="198">
        <v>119</v>
      </c>
      <c r="P434" s="198"/>
      <c r="Q434" s="198" t="s">
        <v>929</v>
      </c>
      <c r="R434" s="230">
        <f>DATABASE_Table[[#This Row],[Inicial Asking Price (€) (Total)]]-DATABASE_Table[[#This Row],[Vista membership]]-DATABASE_Table[[#This Row],[FF&amp;E]]</f>
        <v>590000</v>
      </c>
      <c r="S434" s="231">
        <v>590000</v>
      </c>
      <c r="T434" s="232">
        <v>630000</v>
      </c>
      <c r="U434" s="198"/>
      <c r="V434" s="198"/>
      <c r="W434" s="233">
        <f>DATABASE_Table[[#This Row],[Current Asking price( Total)]]-DATABASE_Table[[#This Row],[Vista membership]]-DATABASE_Table[[#This Row],[FF&amp;E]]</f>
        <v>630000</v>
      </c>
      <c r="X434" s="216">
        <v>0.18</v>
      </c>
      <c r="Y434" s="232">
        <v>516600</v>
      </c>
      <c r="Z434" s="233">
        <f>DATABASE_Table[[#This Row],[Sell price (Total)]]-DATABASE_Table[[#This Row],[FF&amp;E]]-DATABASE_Table[[#This Row],[Vista membership]]</f>
        <v>516600</v>
      </c>
      <c r="AA434" s="315"/>
      <c r="AB434" s="321"/>
      <c r="AC434" s="198" t="s">
        <v>10</v>
      </c>
      <c r="AD434" s="198" t="s">
        <v>23</v>
      </c>
      <c r="AE434" s="279" t="s">
        <v>24</v>
      </c>
      <c r="AF434" s="279" t="s">
        <v>803</v>
      </c>
      <c r="AG434" s="279" t="s">
        <v>25</v>
      </c>
      <c r="AH434" s="279" t="s">
        <v>804</v>
      </c>
      <c r="AI434" s="198" t="s">
        <v>26</v>
      </c>
      <c r="AJ434" s="274" t="s">
        <v>22</v>
      </c>
      <c r="AK434"/>
    </row>
    <row r="435" spans="1:37" ht="15.75" hidden="1" customHeight="1">
      <c r="A435" s="198" t="s">
        <v>689</v>
      </c>
      <c r="B435" s="198" t="s">
        <v>691</v>
      </c>
      <c r="C435" s="214" t="s">
        <v>369</v>
      </c>
      <c r="D435" s="198"/>
      <c r="E435" s="198" t="s">
        <v>383</v>
      </c>
      <c r="F435" s="198">
        <v>189.1061</v>
      </c>
      <c r="G435" s="198"/>
      <c r="H435" s="214" t="s">
        <v>325</v>
      </c>
      <c r="I435" s="214" t="s">
        <v>325</v>
      </c>
      <c r="J435" s="271"/>
      <c r="K435" s="198"/>
      <c r="L435" s="198"/>
      <c r="M435" s="198"/>
      <c r="N435" s="198"/>
      <c r="O435" s="198">
        <v>189.1061</v>
      </c>
      <c r="P435" s="198"/>
      <c r="Q435" s="198" t="s">
        <v>929</v>
      </c>
      <c r="R435" s="230">
        <f>DATABASE_Table[[#This Row],[Inicial Asking Price (€) (Total)]]-DATABASE_Table[[#This Row],[Vista membership]]-DATABASE_Table[[#This Row],[FF&amp;E]]</f>
        <v>1133100</v>
      </c>
      <c r="S435" s="231">
        <v>1133100</v>
      </c>
      <c r="T435" s="232">
        <v>1234800</v>
      </c>
      <c r="U435" s="198"/>
      <c r="V435" s="198"/>
      <c r="W435" s="233">
        <f>DATABASE_Table[[#This Row],[Current Asking price( Total)]]-DATABASE_Table[[#This Row],[Vista membership]]-DATABASE_Table[[#This Row],[FF&amp;E]]</f>
        <v>1234800</v>
      </c>
      <c r="X435" s="216">
        <v>0</v>
      </c>
      <c r="Y435" s="232">
        <v>1234800</v>
      </c>
      <c r="Z435" s="233">
        <f>DATABASE_Table[[#This Row],[Sell price (Total)]]-DATABASE_Table[[#This Row],[FF&amp;E]]-DATABASE_Table[[#This Row],[Vista membership]]</f>
        <v>1234800</v>
      </c>
      <c r="AA435" s="315">
        <v>44817</v>
      </c>
      <c r="AB435" s="321"/>
      <c r="AC435" s="198"/>
      <c r="AD435" s="198"/>
      <c r="AE435" s="279"/>
      <c r="AF435" s="279"/>
      <c r="AG435" s="279"/>
      <c r="AH435" s="279"/>
      <c r="AI435" s="198"/>
      <c r="AJ435" s="274" t="s">
        <v>689</v>
      </c>
      <c r="AK435"/>
    </row>
    <row r="436" spans="1:37" ht="15.75" hidden="1" customHeight="1">
      <c r="A436" s="198" t="s">
        <v>780</v>
      </c>
      <c r="B436" s="198" t="s">
        <v>786</v>
      </c>
      <c r="C436" s="214" t="s">
        <v>243</v>
      </c>
      <c r="D436" s="198" t="s">
        <v>79</v>
      </c>
      <c r="E436" s="198" t="s">
        <v>317</v>
      </c>
      <c r="F436" s="198">
        <v>176.21</v>
      </c>
      <c r="G436" s="198"/>
      <c r="H436" s="214" t="s">
        <v>848</v>
      </c>
      <c r="I436" s="214" t="s">
        <v>325</v>
      </c>
      <c r="J436" s="271">
        <v>23.35</v>
      </c>
      <c r="K436" s="198">
        <v>61.77</v>
      </c>
      <c r="L436" s="198"/>
      <c r="M436" s="198"/>
      <c r="N436" s="198"/>
      <c r="O436" s="198">
        <v>91.09</v>
      </c>
      <c r="P436" s="198"/>
      <c r="Q436" s="198" t="s">
        <v>628</v>
      </c>
      <c r="R436" s="230">
        <f>DATABASE_Table[[#This Row],[Inicial Asking Price (€) (Total)]]-DATABASE_Table[[#This Row],[Vista membership]]-DATABASE_Table[[#This Row],[FF&amp;E]]</f>
        <v>730000</v>
      </c>
      <c r="S436" s="234">
        <v>775000</v>
      </c>
      <c r="T436" s="235">
        <v>775000</v>
      </c>
      <c r="U436" s="198"/>
      <c r="V436" s="235">
        <v>45000</v>
      </c>
      <c r="W436" s="233">
        <f>DATABASE_Table[[#This Row],[Current Asking price( Total)]]-DATABASE_Table[[#This Row],[Vista membership]]-DATABASE_Table[[#This Row],[FF&amp;E]]</f>
        <v>730000</v>
      </c>
      <c r="X436" s="236">
        <v>0</v>
      </c>
      <c r="Y436" s="235">
        <v>775000</v>
      </c>
      <c r="Z436" s="233">
        <f>DATABASE_Table[[#This Row],[Sell price (Total)]]-DATABASE_Table[[#This Row],[FF&amp;E]]-DATABASE_Table[[#This Row],[Vista membership]]</f>
        <v>730000</v>
      </c>
      <c r="AA436" s="316">
        <v>45979</v>
      </c>
      <c r="AB436" s="321">
        <v>47118</v>
      </c>
      <c r="AC436" s="198" t="s">
        <v>80</v>
      </c>
      <c r="AD436" s="198" t="s">
        <v>81</v>
      </c>
      <c r="AE436" s="279" t="s">
        <v>82</v>
      </c>
      <c r="AF436" s="279" t="s">
        <v>83</v>
      </c>
      <c r="AG436" s="279" t="s">
        <v>84</v>
      </c>
      <c r="AH436" s="279" t="s">
        <v>85</v>
      </c>
      <c r="AI436" s="198" t="s">
        <v>86</v>
      </c>
      <c r="AJ436" s="274" t="s">
        <v>78</v>
      </c>
      <c r="AK436"/>
    </row>
    <row r="437" spans="1:37" ht="15.75" hidden="1" customHeight="1">
      <c r="A437" s="198" t="s">
        <v>780</v>
      </c>
      <c r="B437" s="198" t="s">
        <v>786</v>
      </c>
      <c r="C437" s="214" t="s">
        <v>238</v>
      </c>
      <c r="D437" s="198" t="s">
        <v>79</v>
      </c>
      <c r="E437" s="198" t="s">
        <v>317</v>
      </c>
      <c r="F437" s="198">
        <v>176.52</v>
      </c>
      <c r="G437" s="198"/>
      <c r="H437" s="214" t="s">
        <v>848</v>
      </c>
      <c r="I437" s="214" t="s">
        <v>325</v>
      </c>
      <c r="J437" s="271">
        <v>23.43</v>
      </c>
      <c r="K437" s="198">
        <v>61.92</v>
      </c>
      <c r="L437" s="198"/>
      <c r="M437" s="198"/>
      <c r="N437" s="198"/>
      <c r="O437" s="198">
        <v>91.17</v>
      </c>
      <c r="P437" s="198"/>
      <c r="Q437" s="198" t="s">
        <v>329</v>
      </c>
      <c r="R437" s="230">
        <f>DATABASE_Table[[#This Row],[Inicial Asking Price (€) (Total)]]-DATABASE_Table[[#This Row],[Vista membership]]-DATABASE_Table[[#This Row],[FF&amp;E]]</f>
        <v>730000</v>
      </c>
      <c r="S437" s="234">
        <v>775000</v>
      </c>
      <c r="T437" s="235">
        <v>835000</v>
      </c>
      <c r="U437" s="198"/>
      <c r="V437" s="235">
        <v>45000</v>
      </c>
      <c r="W437" s="233">
        <f>DATABASE_Table[[#This Row],[Current Asking price( Total)]]-DATABASE_Table[[#This Row],[Vista membership]]-DATABASE_Table[[#This Row],[FF&amp;E]]</f>
        <v>790000</v>
      </c>
      <c r="X437" s="236"/>
      <c r="Y437" s="235"/>
      <c r="Z437" s="233">
        <f>DATABASE_Table[[#This Row],[Sell price (Total)]]-DATABASE_Table[[#This Row],[FF&amp;E]]-DATABASE_Table[[#This Row],[Vista membership]]</f>
        <v>-45000</v>
      </c>
      <c r="AA437" s="315"/>
      <c r="AB437" s="321">
        <v>47118</v>
      </c>
      <c r="AC437" s="198" t="s">
        <v>80</v>
      </c>
      <c r="AD437" s="198" t="s">
        <v>81</v>
      </c>
      <c r="AE437" s="279" t="s">
        <v>82</v>
      </c>
      <c r="AF437" s="279" t="s">
        <v>83</v>
      </c>
      <c r="AG437" s="279" t="s">
        <v>84</v>
      </c>
      <c r="AH437" s="279" t="s">
        <v>85</v>
      </c>
      <c r="AI437" s="198" t="s">
        <v>86</v>
      </c>
      <c r="AJ437" s="274" t="s">
        <v>78</v>
      </c>
      <c r="AK437"/>
    </row>
    <row r="438" spans="1:37" ht="15.75" hidden="1" customHeight="1">
      <c r="A438" s="198" t="s">
        <v>780</v>
      </c>
      <c r="B438" s="198" t="s">
        <v>786</v>
      </c>
      <c r="C438" s="214" t="s">
        <v>99</v>
      </c>
      <c r="D438" s="198" t="s">
        <v>79</v>
      </c>
      <c r="E438" s="198" t="s">
        <v>317</v>
      </c>
      <c r="F438" s="198">
        <v>177.33</v>
      </c>
      <c r="G438" s="198"/>
      <c r="H438" s="214" t="s">
        <v>848</v>
      </c>
      <c r="I438" s="214" t="s">
        <v>325</v>
      </c>
      <c r="J438" s="271">
        <v>23.39</v>
      </c>
      <c r="K438" s="198">
        <v>62.81</v>
      </c>
      <c r="L438" s="198"/>
      <c r="M438" s="198"/>
      <c r="N438" s="198"/>
      <c r="O438" s="198">
        <v>91.13</v>
      </c>
      <c r="P438" s="198"/>
      <c r="Q438" s="198" t="s">
        <v>328</v>
      </c>
      <c r="R438" s="230">
        <f>DATABASE_Table[[#This Row],[Inicial Asking Price (€) (Total)]]-DATABASE_Table[[#This Row],[Vista membership]]-DATABASE_Table[[#This Row],[FF&amp;E]]</f>
        <v>730000</v>
      </c>
      <c r="S438" s="234">
        <v>775000</v>
      </c>
      <c r="T438" s="235">
        <v>825000</v>
      </c>
      <c r="U438" s="198"/>
      <c r="V438" s="235">
        <v>45000</v>
      </c>
      <c r="W438" s="233">
        <f>DATABASE_Table[[#This Row],[Current Asking price( Total)]]-DATABASE_Table[[#This Row],[Vista membership]]-DATABASE_Table[[#This Row],[FF&amp;E]]</f>
        <v>780000</v>
      </c>
      <c r="X438" s="236"/>
      <c r="Y438" s="235"/>
      <c r="Z438" s="233">
        <f>DATABASE_Table[[#This Row],[Sell price (Total)]]-DATABASE_Table[[#This Row],[FF&amp;E]]-DATABASE_Table[[#This Row],[Vista membership]]</f>
        <v>-45000</v>
      </c>
      <c r="AA438" s="315"/>
      <c r="AB438" s="321">
        <v>47118</v>
      </c>
      <c r="AC438" s="198" t="s">
        <v>80</v>
      </c>
      <c r="AD438" s="198" t="s">
        <v>81</v>
      </c>
      <c r="AE438" s="279" t="s">
        <v>82</v>
      </c>
      <c r="AF438" s="279" t="s">
        <v>83</v>
      </c>
      <c r="AG438" s="279" t="s">
        <v>84</v>
      </c>
      <c r="AH438" s="279" t="s">
        <v>85</v>
      </c>
      <c r="AI438" s="198" t="s">
        <v>86</v>
      </c>
      <c r="AJ438" s="274" t="s">
        <v>78</v>
      </c>
      <c r="AK438"/>
    </row>
    <row r="439" spans="1:37" ht="15.75" hidden="1" customHeight="1">
      <c r="A439" s="198" t="s">
        <v>564</v>
      </c>
      <c r="B439" s="198" t="s">
        <v>691</v>
      </c>
      <c r="C439" s="214" t="s">
        <v>369</v>
      </c>
      <c r="D439" s="198" t="s">
        <v>9</v>
      </c>
      <c r="E439" s="198" t="s">
        <v>416</v>
      </c>
      <c r="F439" s="198">
        <v>117.29</v>
      </c>
      <c r="G439" s="198"/>
      <c r="H439" s="214" t="s">
        <v>325</v>
      </c>
      <c r="I439" s="214" t="s">
        <v>325</v>
      </c>
      <c r="J439" s="271">
        <v>28.46</v>
      </c>
      <c r="K439" s="198"/>
      <c r="L439" s="198"/>
      <c r="M439" s="198"/>
      <c r="N439" s="198"/>
      <c r="O439" s="198">
        <v>88.83</v>
      </c>
      <c r="P439" s="198"/>
      <c r="Q439" s="198" t="s">
        <v>329</v>
      </c>
      <c r="R439" s="230">
        <f>DATABASE_Table[[#This Row],[Inicial Asking Price (€) (Total)]]-DATABASE_Table[[#This Row],[Vista membership]]-DATABASE_Table[[#This Row],[FF&amp;E]]</f>
        <v>701271.14520000003</v>
      </c>
      <c r="S439" s="231">
        <v>765871.14520000003</v>
      </c>
      <c r="T439" s="232">
        <v>830000</v>
      </c>
      <c r="U439" s="198">
        <v>24600</v>
      </c>
      <c r="V439" s="198">
        <v>40000</v>
      </c>
      <c r="W439" s="233">
        <f>DATABASE_Table[[#This Row],[Current Asking price( Total)]]-DATABASE_Table[[#This Row],[Vista membership]]-DATABASE_Table[[#This Row],[FF&amp;E]]</f>
        <v>765400</v>
      </c>
      <c r="X439" s="216"/>
      <c r="Y439" s="232">
        <v>830000</v>
      </c>
      <c r="Z439" s="233">
        <f>DATABASE_Table[[#This Row],[Sell price (Total)]]-DATABASE_Table[[#This Row],[FF&amp;E]]-DATABASE_Table[[#This Row],[Vista membership]]</f>
        <v>765400</v>
      </c>
      <c r="AA439" s="315"/>
      <c r="AB439" s="321"/>
      <c r="AC439" s="198" t="s">
        <v>10</v>
      </c>
      <c r="AD439" s="198" t="s">
        <v>35</v>
      </c>
      <c r="AE439" s="279" t="s">
        <v>43</v>
      </c>
      <c r="AF439" s="279" t="s">
        <v>44</v>
      </c>
      <c r="AG439" s="279" t="s">
        <v>45</v>
      </c>
      <c r="AH439" s="279" t="s">
        <v>46</v>
      </c>
      <c r="AI439" s="198" t="s">
        <v>47</v>
      </c>
      <c r="AJ439" s="274" t="s">
        <v>42</v>
      </c>
      <c r="AK439"/>
    </row>
    <row r="440" spans="1:37" ht="15.75" hidden="1" customHeight="1">
      <c r="A440" s="198" t="s">
        <v>630</v>
      </c>
      <c r="B440" s="198" t="s">
        <v>691</v>
      </c>
      <c r="C440" s="214" t="s">
        <v>370</v>
      </c>
      <c r="D440" s="198" t="s">
        <v>9</v>
      </c>
      <c r="E440" s="198" t="s">
        <v>319</v>
      </c>
      <c r="F440" s="198">
        <v>151.24</v>
      </c>
      <c r="G440" s="198"/>
      <c r="H440" s="214" t="s">
        <v>850</v>
      </c>
      <c r="I440" s="214" t="s">
        <v>325</v>
      </c>
      <c r="J440" s="271">
        <v>27.6</v>
      </c>
      <c r="K440" s="198"/>
      <c r="L440" s="198"/>
      <c r="M440" s="198">
        <v>0</v>
      </c>
      <c r="N440" s="198"/>
      <c r="O440" s="198">
        <v>123.64</v>
      </c>
      <c r="P440" s="198"/>
      <c r="Q440" s="198" t="s">
        <v>329</v>
      </c>
      <c r="R440" s="230">
        <f>DATABASE_Table[[#This Row],[Inicial Asking Price (€) (Total)]]-DATABASE_Table[[#This Row],[Vista membership]]-DATABASE_Table[[#This Row],[FF&amp;E]]</f>
        <v>949032.48</v>
      </c>
      <c r="S440" s="231">
        <v>949032.48</v>
      </c>
      <c r="T440" s="232">
        <v>950000</v>
      </c>
      <c r="U440" s="198"/>
      <c r="V440" s="198"/>
      <c r="W440" s="233">
        <f>DATABASE_Table[[#This Row],[Current Asking price( Total)]]-DATABASE_Table[[#This Row],[Vista membership]]-DATABASE_Table[[#This Row],[FF&amp;E]]</f>
        <v>950000</v>
      </c>
      <c r="X440" s="216"/>
      <c r="Y440" s="232">
        <v>950000</v>
      </c>
      <c r="Z440" s="233">
        <f>DATABASE_Table[[#This Row],[Sell price (Total)]]-DATABASE_Table[[#This Row],[FF&amp;E]]-DATABASE_Table[[#This Row],[Vista membership]]</f>
        <v>950000</v>
      </c>
      <c r="AA440" s="315"/>
      <c r="AB440" s="321"/>
      <c r="AC440" s="198" t="s">
        <v>10</v>
      </c>
      <c r="AD440" s="198" t="s">
        <v>11</v>
      </c>
      <c r="AE440" s="279" t="s">
        <v>53</v>
      </c>
      <c r="AF440" s="279" t="s">
        <v>54</v>
      </c>
      <c r="AG440" s="279" t="s">
        <v>811</v>
      </c>
      <c r="AH440" s="279" t="s">
        <v>812</v>
      </c>
      <c r="AI440" s="198" t="s">
        <v>36</v>
      </c>
      <c r="AJ440" s="274" t="s">
        <v>52</v>
      </c>
      <c r="AK440"/>
    </row>
    <row r="441" spans="1:37" ht="15.75" hidden="1" customHeight="1">
      <c r="A441" s="198" t="s">
        <v>558</v>
      </c>
      <c r="B441" s="198" t="s">
        <v>691</v>
      </c>
      <c r="C441" s="214" t="s">
        <v>370</v>
      </c>
      <c r="D441" s="198" t="s">
        <v>9</v>
      </c>
      <c r="E441" s="198" t="s">
        <v>321</v>
      </c>
      <c r="F441" s="198">
        <v>191.33</v>
      </c>
      <c r="G441" s="198">
        <v>4.45</v>
      </c>
      <c r="H441" s="214" t="s">
        <v>626</v>
      </c>
      <c r="I441" s="214" t="s">
        <v>590</v>
      </c>
      <c r="J441" s="271">
        <v>7.92</v>
      </c>
      <c r="K441" s="198"/>
      <c r="L441" s="198"/>
      <c r="M441" s="198"/>
      <c r="N441" s="198"/>
      <c r="O441" s="198">
        <v>191.33</v>
      </c>
      <c r="P441" s="198"/>
      <c r="Q441" s="198" t="s">
        <v>329</v>
      </c>
      <c r="R441" s="230">
        <f>DATABASE_Table[[#This Row],[Inicial Asking Price (€) (Total)]]-DATABASE_Table[[#This Row],[Vista membership]]-DATABASE_Table[[#This Row],[FF&amp;E]]</f>
        <v>1540000</v>
      </c>
      <c r="S441" s="231">
        <v>1540000</v>
      </c>
      <c r="T441" s="232">
        <v>1540000</v>
      </c>
      <c r="U441" s="198"/>
      <c r="V441" s="198"/>
      <c r="W441" s="233">
        <f>DATABASE_Table[[#This Row],[Current Asking price( Total)]]-DATABASE_Table[[#This Row],[Vista membership]]-DATABASE_Table[[#This Row],[FF&amp;E]]</f>
        <v>1540000</v>
      </c>
      <c r="X441" s="216"/>
      <c r="Y441" s="232">
        <v>1540000</v>
      </c>
      <c r="Z441" s="233">
        <f>DATABASE_Table[[#This Row],[Sell price (Total)]]-DATABASE_Table[[#This Row],[FF&amp;E]]-DATABASE_Table[[#This Row],[Vista membership]]</f>
        <v>1540000</v>
      </c>
      <c r="AA441" s="315"/>
      <c r="AB441" s="321"/>
      <c r="AC441" s="198" t="s">
        <v>10</v>
      </c>
      <c r="AD441" s="198" t="s">
        <v>11</v>
      </c>
      <c r="AE441" s="279" t="s">
        <v>12</v>
      </c>
      <c r="AF441" s="279" t="s">
        <v>801</v>
      </c>
      <c r="AG441" s="279" t="s">
        <v>13</v>
      </c>
      <c r="AH441" s="279" t="s">
        <v>14</v>
      </c>
      <c r="AI441" s="198" t="s">
        <v>15</v>
      </c>
      <c r="AJ441" s="274" t="s">
        <v>8</v>
      </c>
      <c r="AK441"/>
    </row>
    <row r="442" spans="1:37" ht="15.75" hidden="1" customHeight="1">
      <c r="A442" s="198" t="s">
        <v>780</v>
      </c>
      <c r="B442" s="198" t="s">
        <v>786</v>
      </c>
      <c r="C442" s="214" t="s">
        <v>110</v>
      </c>
      <c r="D442" s="198" t="s">
        <v>79</v>
      </c>
      <c r="E442" s="198" t="s">
        <v>317</v>
      </c>
      <c r="F442" s="198">
        <v>200.36</v>
      </c>
      <c r="G442" s="198"/>
      <c r="H442" s="214" t="s">
        <v>848</v>
      </c>
      <c r="I442" s="214" t="s">
        <v>325</v>
      </c>
      <c r="J442" s="271">
        <v>3.87</v>
      </c>
      <c r="K442" s="198">
        <v>84.03</v>
      </c>
      <c r="L442" s="198"/>
      <c r="M442" s="198"/>
      <c r="N442" s="198"/>
      <c r="O442" s="198">
        <v>112.46</v>
      </c>
      <c r="P442" s="198"/>
      <c r="Q442" s="198" t="s">
        <v>628</v>
      </c>
      <c r="R442" s="230">
        <f>DATABASE_Table[[#This Row],[Inicial Asking Price (€) (Total)]]-DATABASE_Table[[#This Row],[Vista membership]]-DATABASE_Table[[#This Row],[FF&amp;E]]</f>
        <v>795000</v>
      </c>
      <c r="S442" s="234">
        <v>840000</v>
      </c>
      <c r="T442" s="235">
        <v>840000</v>
      </c>
      <c r="U442" s="198"/>
      <c r="V442" s="235">
        <v>45000</v>
      </c>
      <c r="W442" s="233">
        <f>DATABASE_Table[[#This Row],[Current Asking price( Total)]]-DATABASE_Table[[#This Row],[Vista membership]]-DATABASE_Table[[#This Row],[FF&amp;E]]</f>
        <v>795000</v>
      </c>
      <c r="X442" s="236">
        <v>0</v>
      </c>
      <c r="Y442" s="235">
        <v>840000</v>
      </c>
      <c r="Z442" s="233">
        <f>DATABASE_Table[[#This Row],[Sell price (Total)]]-DATABASE_Table[[#This Row],[FF&amp;E]]-DATABASE_Table[[#This Row],[Vista membership]]</f>
        <v>795000</v>
      </c>
      <c r="AA442" s="316">
        <v>45943</v>
      </c>
      <c r="AB442" s="321">
        <v>47118</v>
      </c>
      <c r="AC442" s="198" t="s">
        <v>80</v>
      </c>
      <c r="AD442" s="198" t="s">
        <v>81</v>
      </c>
      <c r="AE442" s="279" t="s">
        <v>82</v>
      </c>
      <c r="AF442" s="279" t="s">
        <v>83</v>
      </c>
      <c r="AG442" s="279" t="s">
        <v>84</v>
      </c>
      <c r="AH442" s="279" t="s">
        <v>85</v>
      </c>
      <c r="AI442" s="198" t="s">
        <v>86</v>
      </c>
      <c r="AJ442" s="274" t="s">
        <v>78</v>
      </c>
      <c r="AK442"/>
    </row>
    <row r="443" spans="1:37" ht="15.75" hidden="1" customHeight="1">
      <c r="A443" s="198" t="s">
        <v>780</v>
      </c>
      <c r="B443" s="198" t="s">
        <v>786</v>
      </c>
      <c r="C443" s="214" t="s">
        <v>239</v>
      </c>
      <c r="D443" s="198" t="s">
        <v>79</v>
      </c>
      <c r="E443" s="198" t="s">
        <v>317</v>
      </c>
      <c r="F443" s="198">
        <v>190.14</v>
      </c>
      <c r="G443" s="198"/>
      <c r="H443" s="214" t="s">
        <v>848</v>
      </c>
      <c r="I443" s="214" t="s">
        <v>325</v>
      </c>
      <c r="J443" s="271">
        <v>23.08</v>
      </c>
      <c r="K443" s="198">
        <v>76.91</v>
      </c>
      <c r="L443" s="198"/>
      <c r="M443" s="198"/>
      <c r="N443" s="198"/>
      <c r="O443" s="198">
        <v>90.15</v>
      </c>
      <c r="P443" s="198"/>
      <c r="Q443" s="198" t="s">
        <v>326</v>
      </c>
      <c r="R443" s="230">
        <f>DATABASE_Table[[#This Row],[Inicial Asking Price (€) (Total)]]-DATABASE_Table[[#This Row],[Vista membership]]-DATABASE_Table[[#This Row],[FF&amp;E]]</f>
        <v>735000</v>
      </c>
      <c r="S443" s="234">
        <v>780000</v>
      </c>
      <c r="T443" s="235">
        <v>840000</v>
      </c>
      <c r="U443" s="198"/>
      <c r="V443" s="235">
        <v>45000</v>
      </c>
      <c r="W443" s="233">
        <f>DATABASE_Table[[#This Row],[Current Asking price( Total)]]-DATABASE_Table[[#This Row],[Vista membership]]-DATABASE_Table[[#This Row],[FF&amp;E]]</f>
        <v>795000</v>
      </c>
      <c r="X443" s="236">
        <v>0</v>
      </c>
      <c r="Y443" s="235">
        <v>840000</v>
      </c>
      <c r="Z443" s="233">
        <f>DATABASE_Table[[#This Row],[Sell price (Total)]]-DATABASE_Table[[#This Row],[FF&amp;E]]-DATABASE_Table[[#This Row],[Vista membership]]</f>
        <v>795000</v>
      </c>
      <c r="AA443" s="315">
        <v>46029</v>
      </c>
      <c r="AB443" s="321">
        <v>47118</v>
      </c>
      <c r="AC443" s="198" t="s">
        <v>80</v>
      </c>
      <c r="AD443" s="198" t="s">
        <v>81</v>
      </c>
      <c r="AE443" s="279" t="s">
        <v>82</v>
      </c>
      <c r="AF443" s="279" t="s">
        <v>83</v>
      </c>
      <c r="AG443" s="279" t="s">
        <v>84</v>
      </c>
      <c r="AH443" s="279" t="s">
        <v>85</v>
      </c>
      <c r="AI443" s="198" t="s">
        <v>86</v>
      </c>
      <c r="AJ443" s="274" t="s">
        <v>78</v>
      </c>
      <c r="AK443"/>
    </row>
    <row r="444" spans="1:37" ht="15.75" hidden="1" customHeight="1">
      <c r="A444" s="198" t="s">
        <v>31</v>
      </c>
      <c r="B444" s="198" t="s">
        <v>691</v>
      </c>
      <c r="C444" s="214" t="s">
        <v>370</v>
      </c>
      <c r="D444" s="198" t="s">
        <v>9</v>
      </c>
      <c r="E444" s="198" t="s">
        <v>319</v>
      </c>
      <c r="F444" s="198"/>
      <c r="G444" s="198"/>
      <c r="H444" s="214" t="s">
        <v>325</v>
      </c>
      <c r="I444" s="214" t="s">
        <v>325</v>
      </c>
      <c r="J444" s="271"/>
      <c r="K444" s="198">
        <v>0</v>
      </c>
      <c r="L444" s="198"/>
      <c r="M444" s="198">
        <v>18</v>
      </c>
      <c r="N444" s="198"/>
      <c r="O444" s="198">
        <v>105</v>
      </c>
      <c r="P444" s="198"/>
      <c r="Q444" s="198" t="s">
        <v>326</v>
      </c>
      <c r="R444" s="230">
        <f>DATABASE_Table[[#This Row],[Inicial Asking Price (€) (Total)]]-DATABASE_Table[[#This Row],[Vista membership]]-DATABASE_Table[[#This Row],[FF&amp;E]]</f>
        <v>750000</v>
      </c>
      <c r="S444" s="232">
        <v>750000</v>
      </c>
      <c r="T444" s="232">
        <v>750000</v>
      </c>
      <c r="U444" s="198"/>
      <c r="V444" s="198"/>
      <c r="W444" s="233">
        <f>DATABASE_Table[[#This Row],[Current Asking price( Total)]]-DATABASE_Table[[#This Row],[Vista membership]]-DATABASE_Table[[#This Row],[FF&amp;E]]</f>
        <v>750000</v>
      </c>
      <c r="X444" s="216">
        <v>2.5000000000000001E-2</v>
      </c>
      <c r="Y444" s="232">
        <v>731250</v>
      </c>
      <c r="Z444" s="233">
        <f>DATABASE_Table[[#This Row],[Sell price (Total)]]-DATABASE_Table[[#This Row],[FF&amp;E]]-DATABASE_Table[[#This Row],[Vista membership]]</f>
        <v>731250</v>
      </c>
      <c r="AA444" s="315">
        <v>46114</v>
      </c>
      <c r="AB444" s="321"/>
      <c r="AC444" s="198" t="s">
        <v>10</v>
      </c>
      <c r="AD444" s="198" t="s">
        <v>807</v>
      </c>
      <c r="AE444" s="279" t="s">
        <v>32</v>
      </c>
      <c r="AF444" s="279" t="s">
        <v>808</v>
      </c>
      <c r="AG444" s="279" t="s">
        <v>33</v>
      </c>
      <c r="AH444" s="279" t="s">
        <v>809</v>
      </c>
      <c r="AI444" s="198" t="s">
        <v>15</v>
      </c>
      <c r="AJ444" s="274" t="s">
        <v>31</v>
      </c>
      <c r="AK444"/>
    </row>
    <row r="445" spans="1:37" ht="15.75" hidden="1" customHeight="1">
      <c r="A445" s="198" t="s">
        <v>690</v>
      </c>
      <c r="B445" s="198" t="s">
        <v>691</v>
      </c>
      <c r="C445" s="214" t="s">
        <v>370</v>
      </c>
      <c r="D445" s="198" t="s">
        <v>9</v>
      </c>
      <c r="E445" s="198" t="s">
        <v>765</v>
      </c>
      <c r="F445" s="198">
        <v>330.51</v>
      </c>
      <c r="G445" s="198">
        <v>169.3</v>
      </c>
      <c r="H445" s="214" t="s">
        <v>325</v>
      </c>
      <c r="I445" s="214" t="s">
        <v>325</v>
      </c>
      <c r="J445" s="271">
        <v>25.77</v>
      </c>
      <c r="K445" s="198"/>
      <c r="L445" s="198"/>
      <c r="M445" s="198"/>
      <c r="N445" s="198"/>
      <c r="O445" s="198">
        <v>135.44</v>
      </c>
      <c r="P445" s="198"/>
      <c r="Q445" s="198" t="s">
        <v>329</v>
      </c>
      <c r="R445" s="230">
        <f>DATABASE_Table[[#This Row],[Inicial Asking Price (€) (Total)]]-DATABASE_Table[[#This Row],[Vista membership]]-DATABASE_Table[[#This Row],[FF&amp;E]]</f>
        <v>1587700</v>
      </c>
      <c r="S445" s="231">
        <v>1658850</v>
      </c>
      <c r="T445" s="232">
        <v>1730000</v>
      </c>
      <c r="U445" s="198">
        <v>24600</v>
      </c>
      <c r="V445" s="198">
        <v>46550</v>
      </c>
      <c r="W445" s="233">
        <f>DATABASE_Table[[#This Row],[Current Asking price( Total)]]-DATABASE_Table[[#This Row],[Vista membership]]-DATABASE_Table[[#This Row],[FF&amp;E]]</f>
        <v>1658850</v>
      </c>
      <c r="X445" s="216"/>
      <c r="Y445" s="232">
        <v>1730000</v>
      </c>
      <c r="Z445" s="233">
        <f>DATABASE_Table[[#This Row],[Sell price (Total)]]-DATABASE_Table[[#This Row],[FF&amp;E]]-DATABASE_Table[[#This Row],[Vista membership]]</f>
        <v>1658850</v>
      </c>
      <c r="AA445" s="315"/>
      <c r="AB445" s="321"/>
      <c r="AC445" s="198" t="s">
        <v>10</v>
      </c>
      <c r="AD445" s="198" t="s">
        <v>35</v>
      </c>
      <c r="AE445" s="279" t="s">
        <v>38</v>
      </c>
      <c r="AF445" s="279" t="s">
        <v>39</v>
      </c>
      <c r="AG445" s="279" t="s">
        <v>40</v>
      </c>
      <c r="AH445" s="279" t="s">
        <v>810</v>
      </c>
      <c r="AI445" s="198" t="s">
        <v>41</v>
      </c>
      <c r="AJ445" s="274" t="s">
        <v>37</v>
      </c>
      <c r="AK445"/>
    </row>
    <row r="446" spans="1:37" ht="15.75" hidden="1" customHeight="1">
      <c r="A446" s="198" t="s">
        <v>563</v>
      </c>
      <c r="B446" s="198" t="s">
        <v>691</v>
      </c>
      <c r="C446" s="214" t="s">
        <v>370</v>
      </c>
      <c r="D446" s="198" t="s">
        <v>9</v>
      </c>
      <c r="E446" s="198" t="s">
        <v>319</v>
      </c>
      <c r="F446" s="198">
        <v>104.7</v>
      </c>
      <c r="G446" s="198"/>
      <c r="H446" s="214" t="s">
        <v>325</v>
      </c>
      <c r="I446" s="214" t="s">
        <v>325</v>
      </c>
      <c r="J446" s="271"/>
      <c r="K446" s="198"/>
      <c r="L446" s="198"/>
      <c r="M446" s="198"/>
      <c r="N446" s="198"/>
      <c r="O446" s="198">
        <v>104.7</v>
      </c>
      <c r="P446" s="198"/>
      <c r="Q446" s="198" t="s">
        <v>628</v>
      </c>
      <c r="R446" s="230">
        <f>DATABASE_Table[[#This Row],[Inicial Asking Price (€) (Total)]]-DATABASE_Table[[#This Row],[Vista membership]]-DATABASE_Table[[#This Row],[FF&amp;E]]</f>
        <v>550000</v>
      </c>
      <c r="S446" s="231">
        <v>550000</v>
      </c>
      <c r="T446" s="232">
        <v>550000</v>
      </c>
      <c r="U446" s="198"/>
      <c r="V446" s="198"/>
      <c r="W446" s="233">
        <f>DATABASE_Table[[#This Row],[Current Asking price( Total)]]-DATABASE_Table[[#This Row],[Vista membership]]-DATABASE_Table[[#This Row],[FF&amp;E]]</f>
        <v>550000</v>
      </c>
      <c r="X446" s="216">
        <v>0</v>
      </c>
      <c r="Y446" s="232">
        <v>550000</v>
      </c>
      <c r="Z446" s="233">
        <f>DATABASE_Table[[#This Row],[Sell price (Total)]]-DATABASE_Table[[#This Row],[FF&amp;E]]-DATABASE_Table[[#This Row],[Vista membership]]</f>
        <v>550000</v>
      </c>
      <c r="AA446" s="317">
        <v>45928</v>
      </c>
      <c r="AB446" s="321"/>
      <c r="AC446" s="198" t="s">
        <v>10</v>
      </c>
      <c r="AD446" s="198" t="s">
        <v>11</v>
      </c>
      <c r="AE446" s="279" t="s">
        <v>28</v>
      </c>
      <c r="AF446" s="279" t="s">
        <v>29</v>
      </c>
      <c r="AG446" s="279" t="s">
        <v>805</v>
      </c>
      <c r="AH446" s="279" t="s">
        <v>806</v>
      </c>
      <c r="AI446" s="198" t="s">
        <v>30</v>
      </c>
      <c r="AJ446" s="274" t="s">
        <v>27</v>
      </c>
      <c r="AK446"/>
    </row>
    <row r="447" spans="1:37" ht="15.75" hidden="1" customHeight="1">
      <c r="A447" s="198" t="s">
        <v>562</v>
      </c>
      <c r="B447" s="198" t="s">
        <v>691</v>
      </c>
      <c r="C447" s="214" t="s">
        <v>370</v>
      </c>
      <c r="D447" s="198" t="s">
        <v>9</v>
      </c>
      <c r="E447" s="198" t="s">
        <v>319</v>
      </c>
      <c r="F447" s="198">
        <v>119</v>
      </c>
      <c r="G447" s="198"/>
      <c r="H447" s="214" t="s">
        <v>325</v>
      </c>
      <c r="I447" s="214" t="s">
        <v>325</v>
      </c>
      <c r="J447" s="271"/>
      <c r="K447" s="198"/>
      <c r="L447" s="198"/>
      <c r="M447" s="198"/>
      <c r="N447" s="198"/>
      <c r="O447" s="198">
        <v>119</v>
      </c>
      <c r="P447" s="198"/>
      <c r="Q447" s="198" t="s">
        <v>929</v>
      </c>
      <c r="R447" s="230">
        <f>DATABASE_Table[[#This Row],[Inicial Asking Price (€) (Total)]]-DATABASE_Table[[#This Row],[Vista membership]]-DATABASE_Table[[#This Row],[FF&amp;E]]</f>
        <v>590000</v>
      </c>
      <c r="S447" s="231">
        <v>590000</v>
      </c>
      <c r="T447" s="232">
        <v>640000</v>
      </c>
      <c r="U447" s="198"/>
      <c r="V447" s="198"/>
      <c r="W447" s="233">
        <f>DATABASE_Table[[#This Row],[Current Asking price( Total)]]-DATABASE_Table[[#This Row],[Vista membership]]-DATABASE_Table[[#This Row],[FF&amp;E]]</f>
        <v>640000</v>
      </c>
      <c r="X447" s="216">
        <v>0</v>
      </c>
      <c r="Y447" s="232">
        <v>640000</v>
      </c>
      <c r="Z447" s="233">
        <f>DATABASE_Table[[#This Row],[Sell price (Total)]]-DATABASE_Table[[#This Row],[FF&amp;E]]-DATABASE_Table[[#This Row],[Vista membership]]</f>
        <v>640000</v>
      </c>
      <c r="AA447" s="315">
        <v>45923</v>
      </c>
      <c r="AB447" s="321"/>
      <c r="AC447" s="198" t="s">
        <v>10</v>
      </c>
      <c r="AD447" s="198" t="s">
        <v>23</v>
      </c>
      <c r="AE447" s="279" t="s">
        <v>24</v>
      </c>
      <c r="AF447" s="279" t="s">
        <v>803</v>
      </c>
      <c r="AG447" s="279" t="s">
        <v>25</v>
      </c>
      <c r="AH447" s="279" t="s">
        <v>804</v>
      </c>
      <c r="AI447" s="198" t="s">
        <v>26</v>
      </c>
      <c r="AJ447" s="274" t="s">
        <v>22</v>
      </c>
      <c r="AK447"/>
    </row>
    <row r="448" spans="1:37" ht="15.75" hidden="1" customHeight="1">
      <c r="A448" s="198" t="s">
        <v>689</v>
      </c>
      <c r="B448" s="198" t="s">
        <v>691</v>
      </c>
      <c r="C448" s="214" t="s">
        <v>370</v>
      </c>
      <c r="D448" s="198"/>
      <c r="E448" s="198" t="s">
        <v>383</v>
      </c>
      <c r="F448" s="198">
        <v>188.36330000000001</v>
      </c>
      <c r="G448" s="198"/>
      <c r="H448" s="214" t="s">
        <v>325</v>
      </c>
      <c r="I448" s="214" t="s">
        <v>325</v>
      </c>
      <c r="J448" s="271"/>
      <c r="K448" s="198"/>
      <c r="L448" s="198"/>
      <c r="M448" s="198"/>
      <c r="N448" s="198"/>
      <c r="O448" s="198">
        <v>188.36330000000001</v>
      </c>
      <c r="P448" s="198"/>
      <c r="Q448" s="198" t="s">
        <v>929</v>
      </c>
      <c r="R448" s="230">
        <f>DATABASE_Table[[#This Row],[Inicial Asking Price (€) (Total)]]-DATABASE_Table[[#This Row],[Vista membership]]-DATABASE_Table[[#This Row],[FF&amp;E]]</f>
        <v>1174632</v>
      </c>
      <c r="S448" s="231">
        <v>1174632</v>
      </c>
      <c r="T448" s="232">
        <v>1220000</v>
      </c>
      <c r="U448" s="198"/>
      <c r="V448" s="198"/>
      <c r="W448" s="233">
        <f>DATABASE_Table[[#This Row],[Current Asking price( Total)]]-DATABASE_Table[[#This Row],[Vista membership]]-DATABASE_Table[[#This Row],[FF&amp;E]]</f>
        <v>1220000</v>
      </c>
      <c r="X448" s="216">
        <v>0</v>
      </c>
      <c r="Y448" s="232">
        <v>1220000</v>
      </c>
      <c r="Z448" s="233">
        <f>DATABASE_Table[[#This Row],[Sell price (Total)]]-DATABASE_Table[[#This Row],[FF&amp;E]]-DATABASE_Table[[#This Row],[Vista membership]]</f>
        <v>1220000</v>
      </c>
      <c r="AA448" s="315">
        <v>44659</v>
      </c>
      <c r="AB448" s="321"/>
      <c r="AC448" s="198"/>
      <c r="AD448" s="198"/>
      <c r="AE448" s="279"/>
      <c r="AF448" s="279"/>
      <c r="AG448" s="279"/>
      <c r="AH448" s="279"/>
      <c r="AI448" s="198"/>
      <c r="AJ448" s="274" t="s">
        <v>689</v>
      </c>
      <c r="AK448"/>
    </row>
    <row r="449" spans="1:37" ht="15.75" hidden="1" customHeight="1">
      <c r="A449" s="198" t="s">
        <v>779</v>
      </c>
      <c r="B449" s="198" t="s">
        <v>786</v>
      </c>
      <c r="C449" s="214" t="s">
        <v>114</v>
      </c>
      <c r="D449" s="198" t="s">
        <v>79</v>
      </c>
      <c r="E449" s="198" t="s">
        <v>316</v>
      </c>
      <c r="F449" s="198">
        <v>65</v>
      </c>
      <c r="G449" s="198"/>
      <c r="H449" s="214" t="s">
        <v>848</v>
      </c>
      <c r="I449" s="214" t="s">
        <v>325</v>
      </c>
      <c r="J449" s="271">
        <v>8.6999999999999993</v>
      </c>
      <c r="K449" s="198"/>
      <c r="L449" s="198"/>
      <c r="M449" s="198"/>
      <c r="N449" s="198"/>
      <c r="O449" s="198">
        <v>56.3</v>
      </c>
      <c r="P449" s="198"/>
      <c r="Q449" s="198" t="s">
        <v>628</v>
      </c>
      <c r="R449" s="230">
        <f>DATABASE_Table[[#This Row],[Inicial Asking Price (€) (Total)]]-DATABASE_Table[[#This Row],[Vista membership]]-DATABASE_Table[[#This Row],[FF&amp;E]]</f>
        <v>395000</v>
      </c>
      <c r="S449" s="234">
        <v>430000</v>
      </c>
      <c r="T449" s="235">
        <v>430000</v>
      </c>
      <c r="U449" s="198"/>
      <c r="V449" s="235">
        <v>35000</v>
      </c>
      <c r="W449" s="233">
        <f>DATABASE_Table[[#This Row],[Current Asking price( Total)]]-DATABASE_Table[[#This Row],[Vista membership]]-DATABASE_Table[[#This Row],[FF&amp;E]]</f>
        <v>395000</v>
      </c>
      <c r="X449" s="236">
        <v>0</v>
      </c>
      <c r="Y449" s="235">
        <v>430000</v>
      </c>
      <c r="Z449" s="233">
        <f>DATABASE_Table[[#This Row],[Sell price (Total)]]-DATABASE_Table[[#This Row],[FF&amp;E]]-DATABASE_Table[[#This Row],[Vista membership]]</f>
        <v>395000</v>
      </c>
      <c r="AA449" s="316">
        <v>46020</v>
      </c>
      <c r="AB449" s="321">
        <v>47118</v>
      </c>
      <c r="AC449" s="198" t="s">
        <v>80</v>
      </c>
      <c r="AD449" s="198" t="s">
        <v>81</v>
      </c>
      <c r="AE449" s="279" t="s">
        <v>82</v>
      </c>
      <c r="AF449" s="279" t="s">
        <v>83</v>
      </c>
      <c r="AG449" s="279" t="s">
        <v>84</v>
      </c>
      <c r="AH449" s="279" t="s">
        <v>85</v>
      </c>
      <c r="AI449" s="198" t="s">
        <v>86</v>
      </c>
      <c r="AJ449" s="274" t="s">
        <v>78</v>
      </c>
      <c r="AK449"/>
    </row>
    <row r="450" spans="1:37" ht="15.75" hidden="1" customHeight="1">
      <c r="A450" s="198" t="s">
        <v>780</v>
      </c>
      <c r="B450" s="198" t="s">
        <v>786</v>
      </c>
      <c r="C450" s="214" t="s">
        <v>241</v>
      </c>
      <c r="D450" s="198" t="s">
        <v>79</v>
      </c>
      <c r="E450" s="198" t="s">
        <v>317</v>
      </c>
      <c r="F450" s="198">
        <v>206.08</v>
      </c>
      <c r="G450" s="198"/>
      <c r="H450" s="214" t="s">
        <v>848</v>
      </c>
      <c r="I450" s="214" t="s">
        <v>325</v>
      </c>
      <c r="J450" s="271">
        <v>23.05</v>
      </c>
      <c r="K450" s="198">
        <v>92.93</v>
      </c>
      <c r="L450" s="198"/>
      <c r="M450" s="198"/>
      <c r="N450" s="198"/>
      <c r="O450" s="198">
        <v>90.1</v>
      </c>
      <c r="P450" s="198"/>
      <c r="Q450" s="198" t="s">
        <v>328</v>
      </c>
      <c r="R450" s="230">
        <f>DATABASE_Table[[#This Row],[Inicial Asking Price (€) (Total)]]-DATABASE_Table[[#This Row],[Vista membership]]-DATABASE_Table[[#This Row],[FF&amp;E]]</f>
        <v>745000</v>
      </c>
      <c r="S450" s="234">
        <v>790000</v>
      </c>
      <c r="T450" s="235">
        <v>850000</v>
      </c>
      <c r="U450" s="198"/>
      <c r="V450" s="235">
        <v>45000</v>
      </c>
      <c r="W450" s="233">
        <f>DATABASE_Table[[#This Row],[Current Asking price( Total)]]-DATABASE_Table[[#This Row],[Vista membership]]-DATABASE_Table[[#This Row],[FF&amp;E]]</f>
        <v>805000</v>
      </c>
      <c r="X450" s="236"/>
      <c r="Y450" s="235"/>
      <c r="Z450" s="233">
        <f>DATABASE_Table[[#This Row],[Sell price (Total)]]-DATABASE_Table[[#This Row],[FF&amp;E]]-DATABASE_Table[[#This Row],[Vista membership]]</f>
        <v>-45000</v>
      </c>
      <c r="AA450" s="315"/>
      <c r="AB450" s="321">
        <v>47118</v>
      </c>
      <c r="AC450" s="198" t="s">
        <v>80</v>
      </c>
      <c r="AD450" s="198" t="s">
        <v>81</v>
      </c>
      <c r="AE450" s="279" t="s">
        <v>82</v>
      </c>
      <c r="AF450" s="279" t="s">
        <v>83</v>
      </c>
      <c r="AG450" s="279" t="s">
        <v>84</v>
      </c>
      <c r="AH450" s="279" t="s">
        <v>85</v>
      </c>
      <c r="AI450" s="198" t="s">
        <v>86</v>
      </c>
      <c r="AJ450" s="274" t="s">
        <v>78</v>
      </c>
      <c r="AK450"/>
    </row>
    <row r="451" spans="1:37" ht="15.75" hidden="1" customHeight="1">
      <c r="A451" s="198" t="s">
        <v>780</v>
      </c>
      <c r="B451" s="198" t="s">
        <v>786</v>
      </c>
      <c r="C451" s="214" t="s">
        <v>242</v>
      </c>
      <c r="D451" s="198" t="s">
        <v>79</v>
      </c>
      <c r="E451" s="198" t="s">
        <v>317</v>
      </c>
      <c r="F451" s="198">
        <v>206.23</v>
      </c>
      <c r="G451" s="198"/>
      <c r="H451" s="214" t="s">
        <v>848</v>
      </c>
      <c r="I451" s="214" t="s">
        <v>325</v>
      </c>
      <c r="J451" s="271">
        <v>23.07</v>
      </c>
      <c r="K451" s="198">
        <v>93.07</v>
      </c>
      <c r="L451" s="198"/>
      <c r="M451" s="198"/>
      <c r="N451" s="198"/>
      <c r="O451" s="198">
        <v>90.09</v>
      </c>
      <c r="P451" s="198"/>
      <c r="Q451" s="198" t="s">
        <v>328</v>
      </c>
      <c r="R451" s="230">
        <f>DATABASE_Table[[#This Row],[Inicial Asking Price (€) (Total)]]-DATABASE_Table[[#This Row],[Vista membership]]-DATABASE_Table[[#This Row],[FF&amp;E]]</f>
        <v>745000</v>
      </c>
      <c r="S451" s="234">
        <v>790000</v>
      </c>
      <c r="T451" s="235">
        <v>850000</v>
      </c>
      <c r="U451" s="198"/>
      <c r="V451" s="235">
        <v>45000</v>
      </c>
      <c r="W451" s="233">
        <f>DATABASE_Table[[#This Row],[Current Asking price( Total)]]-DATABASE_Table[[#This Row],[Vista membership]]-DATABASE_Table[[#This Row],[FF&amp;E]]</f>
        <v>805000</v>
      </c>
      <c r="X451" s="236"/>
      <c r="Y451" s="235"/>
      <c r="Z451" s="233">
        <f>DATABASE_Table[[#This Row],[Sell price (Total)]]-DATABASE_Table[[#This Row],[FF&amp;E]]-DATABASE_Table[[#This Row],[Vista membership]]</f>
        <v>-45000</v>
      </c>
      <c r="AA451" s="315"/>
      <c r="AB451" s="321">
        <v>47118</v>
      </c>
      <c r="AC451" s="198" t="s">
        <v>80</v>
      </c>
      <c r="AD451" s="198" t="s">
        <v>81</v>
      </c>
      <c r="AE451" s="279" t="s">
        <v>82</v>
      </c>
      <c r="AF451" s="279" t="s">
        <v>83</v>
      </c>
      <c r="AG451" s="279" t="s">
        <v>84</v>
      </c>
      <c r="AH451" s="279" t="s">
        <v>85</v>
      </c>
      <c r="AI451" s="198" t="s">
        <v>86</v>
      </c>
      <c r="AJ451" s="274" t="s">
        <v>78</v>
      </c>
      <c r="AK451"/>
    </row>
    <row r="452" spans="1:37" ht="15.75" hidden="1" customHeight="1">
      <c r="A452" s="198" t="s">
        <v>564</v>
      </c>
      <c r="B452" s="198" t="s">
        <v>691</v>
      </c>
      <c r="C452" s="214" t="s">
        <v>370</v>
      </c>
      <c r="D452" s="198" t="s">
        <v>9</v>
      </c>
      <c r="E452" s="198" t="s">
        <v>419</v>
      </c>
      <c r="F452" s="198">
        <v>96.42</v>
      </c>
      <c r="G452" s="198"/>
      <c r="H452" s="214" t="s">
        <v>325</v>
      </c>
      <c r="I452" s="214" t="s">
        <v>325</v>
      </c>
      <c r="J452" s="271">
        <v>28.56</v>
      </c>
      <c r="K452" s="198"/>
      <c r="L452" s="198"/>
      <c r="M452" s="198"/>
      <c r="N452" s="198"/>
      <c r="O452" s="198">
        <v>67.86</v>
      </c>
      <c r="P452" s="198"/>
      <c r="Q452" s="198" t="s">
        <v>329</v>
      </c>
      <c r="R452" s="230">
        <f>DATABASE_Table[[#This Row],[Inicial Asking Price (€) (Total)]]-DATABASE_Table[[#This Row],[Vista membership]]-DATABASE_Table[[#This Row],[FF&amp;E]]</f>
        <v>580548.89060000004</v>
      </c>
      <c r="S452" s="231">
        <v>635148.89060000004</v>
      </c>
      <c r="T452" s="232">
        <v>690000</v>
      </c>
      <c r="U452" s="198">
        <v>24600</v>
      </c>
      <c r="V452" s="198">
        <v>30000</v>
      </c>
      <c r="W452" s="233">
        <f>DATABASE_Table[[#This Row],[Current Asking price( Total)]]-DATABASE_Table[[#This Row],[Vista membership]]-DATABASE_Table[[#This Row],[FF&amp;E]]</f>
        <v>635400</v>
      </c>
      <c r="X452" s="216"/>
      <c r="Y452" s="232">
        <v>690000</v>
      </c>
      <c r="Z452" s="233">
        <f>DATABASE_Table[[#This Row],[Sell price (Total)]]-DATABASE_Table[[#This Row],[FF&amp;E]]-DATABASE_Table[[#This Row],[Vista membership]]</f>
        <v>635400</v>
      </c>
      <c r="AA452" s="315"/>
      <c r="AB452" s="321"/>
      <c r="AC452" s="198" t="s">
        <v>10</v>
      </c>
      <c r="AD452" s="198" t="s">
        <v>35</v>
      </c>
      <c r="AE452" s="279" t="s">
        <v>43</v>
      </c>
      <c r="AF452" s="279" t="s">
        <v>44</v>
      </c>
      <c r="AG452" s="279" t="s">
        <v>45</v>
      </c>
      <c r="AH452" s="279" t="s">
        <v>46</v>
      </c>
      <c r="AI452" s="198" t="s">
        <v>47</v>
      </c>
      <c r="AJ452" s="274" t="s">
        <v>42</v>
      </c>
      <c r="AK452"/>
    </row>
    <row r="453" spans="1:37" ht="15.75" hidden="1" customHeight="1">
      <c r="A453" s="198" t="s">
        <v>630</v>
      </c>
      <c r="B453" s="198" t="s">
        <v>691</v>
      </c>
      <c r="C453" s="214" t="s">
        <v>371</v>
      </c>
      <c r="D453" s="198" t="s">
        <v>9</v>
      </c>
      <c r="E453" s="198" t="s">
        <v>319</v>
      </c>
      <c r="F453" s="198">
        <v>151.25</v>
      </c>
      <c r="G453" s="198"/>
      <c r="H453" s="214" t="s">
        <v>849</v>
      </c>
      <c r="I453" s="214" t="s">
        <v>325</v>
      </c>
      <c r="J453" s="271">
        <v>27.61</v>
      </c>
      <c r="K453" s="198"/>
      <c r="L453" s="198"/>
      <c r="M453" s="198">
        <v>0</v>
      </c>
      <c r="N453" s="198"/>
      <c r="O453" s="198">
        <v>123.64</v>
      </c>
      <c r="P453" s="198"/>
      <c r="Q453" s="198" t="s">
        <v>329</v>
      </c>
      <c r="R453" s="230">
        <f>DATABASE_Table[[#This Row],[Inicial Asking Price (€) (Total)]]-DATABASE_Table[[#This Row],[Vista membership]]-DATABASE_Table[[#This Row],[FF&amp;E]]</f>
        <v>949054.06200000003</v>
      </c>
      <c r="S453" s="231">
        <v>949054.06200000003</v>
      </c>
      <c r="T453" s="232">
        <v>995000</v>
      </c>
      <c r="U453" s="198"/>
      <c r="V453" s="198"/>
      <c r="W453" s="233">
        <f>DATABASE_Table[[#This Row],[Current Asking price( Total)]]-DATABASE_Table[[#This Row],[Vista membership]]-DATABASE_Table[[#This Row],[FF&amp;E]]</f>
        <v>995000</v>
      </c>
      <c r="X453" s="216"/>
      <c r="Y453" s="232">
        <v>978500</v>
      </c>
      <c r="Z453" s="233">
        <f>DATABASE_Table[[#This Row],[Sell price (Total)]]-DATABASE_Table[[#This Row],[FF&amp;E]]-DATABASE_Table[[#This Row],[Vista membership]]</f>
        <v>978500</v>
      </c>
      <c r="AA453" s="315"/>
      <c r="AB453" s="321"/>
      <c r="AC453" s="198" t="s">
        <v>10</v>
      </c>
      <c r="AD453" s="198" t="s">
        <v>11</v>
      </c>
      <c r="AE453" s="279" t="s">
        <v>53</v>
      </c>
      <c r="AF453" s="279" t="s">
        <v>54</v>
      </c>
      <c r="AG453" s="279" t="s">
        <v>811</v>
      </c>
      <c r="AH453" s="279" t="s">
        <v>812</v>
      </c>
      <c r="AI453" s="198" t="s">
        <v>36</v>
      </c>
      <c r="AJ453" s="274" t="s">
        <v>52</v>
      </c>
      <c r="AK453"/>
    </row>
    <row r="454" spans="1:37" ht="15.75" hidden="1" customHeight="1">
      <c r="A454" s="198" t="s">
        <v>773</v>
      </c>
      <c r="B454" s="198" t="s">
        <v>769</v>
      </c>
      <c r="C454" s="214" t="s">
        <v>857</v>
      </c>
      <c r="D454" s="198" t="s">
        <v>67</v>
      </c>
      <c r="E454" s="198" t="s">
        <v>553</v>
      </c>
      <c r="F454" s="198">
        <v>2605</v>
      </c>
      <c r="G454" s="198"/>
      <c r="H454" s="214" t="s">
        <v>325</v>
      </c>
      <c r="I454" s="214" t="s">
        <v>325</v>
      </c>
      <c r="J454" s="271"/>
      <c r="K454" s="198"/>
      <c r="L454" s="198"/>
      <c r="M454" s="198"/>
      <c r="N454" s="198"/>
      <c r="O454" s="198">
        <v>420</v>
      </c>
      <c r="P454" s="198"/>
      <c r="Q454" s="198" t="s">
        <v>329</v>
      </c>
      <c r="R454" s="230">
        <f>DATABASE_Table[[#This Row],[Inicial Asking Price (€) (Total)]]-DATABASE_Table[[#This Row],[Vista membership]]-DATABASE_Table[[#This Row],[FF&amp;E]]</f>
        <v>790000</v>
      </c>
      <c r="S454" s="234">
        <v>790000</v>
      </c>
      <c r="T454" s="235">
        <v>1950000</v>
      </c>
      <c r="U454" s="198"/>
      <c r="V454" s="198"/>
      <c r="W454" s="233">
        <f>DATABASE_Table[[#This Row],[Current Asking price( Total)]]-DATABASE_Table[[#This Row],[Vista membership]]-DATABASE_Table[[#This Row],[FF&amp;E]]</f>
        <v>1950000</v>
      </c>
      <c r="X454" s="236"/>
      <c r="Y454" s="235">
        <v>1950000</v>
      </c>
      <c r="Z454" s="233">
        <f>DATABASE_Table[[#This Row],[Sell price (Total)]]-DATABASE_Table[[#This Row],[FF&amp;E]]-DATABASE_Table[[#This Row],[Vista membership]]</f>
        <v>1950000</v>
      </c>
      <c r="AA454" s="315"/>
      <c r="AB454" s="321">
        <v>46843</v>
      </c>
      <c r="AC454" s="198" t="s">
        <v>57</v>
      </c>
      <c r="AD454" s="198" t="s">
        <v>68</v>
      </c>
      <c r="AE454" s="279" t="s">
        <v>69</v>
      </c>
      <c r="AF454" s="279" t="s">
        <v>70</v>
      </c>
      <c r="AG454" s="279" t="s">
        <v>71</v>
      </c>
      <c r="AH454" s="279" t="s">
        <v>816</v>
      </c>
      <c r="AI454" s="198" t="s">
        <v>72</v>
      </c>
      <c r="AJ454" s="274" t="s">
        <v>66</v>
      </c>
      <c r="AK454"/>
    </row>
    <row r="455" spans="1:37" ht="15.75" hidden="1" customHeight="1">
      <c r="A455" s="198" t="s">
        <v>773</v>
      </c>
      <c r="B455" s="198" t="s">
        <v>769</v>
      </c>
      <c r="C455" s="214" t="s">
        <v>838</v>
      </c>
      <c r="D455" s="198" t="s">
        <v>67</v>
      </c>
      <c r="E455" s="198" t="s">
        <v>553</v>
      </c>
      <c r="F455" s="198">
        <v>2899</v>
      </c>
      <c r="G455" s="198"/>
      <c r="H455" s="214" t="s">
        <v>325</v>
      </c>
      <c r="I455" s="214" t="s">
        <v>325</v>
      </c>
      <c r="J455" s="271"/>
      <c r="K455" s="198"/>
      <c r="L455" s="198"/>
      <c r="M455" s="198"/>
      <c r="N455" s="198"/>
      <c r="O455" s="198">
        <v>340</v>
      </c>
      <c r="P455" s="198"/>
      <c r="Q455" s="198" t="s">
        <v>329</v>
      </c>
      <c r="R455" s="230">
        <f>DATABASE_Table[[#This Row],[Inicial Asking Price (€) (Total)]]-DATABASE_Table[[#This Row],[Vista membership]]-DATABASE_Table[[#This Row],[FF&amp;E]]</f>
        <v>790000</v>
      </c>
      <c r="S455" s="234">
        <v>790000</v>
      </c>
      <c r="T455" s="235">
        <v>1100000</v>
      </c>
      <c r="U455" s="198"/>
      <c r="V455" s="198"/>
      <c r="W455" s="233">
        <f>DATABASE_Table[[#This Row],[Current Asking price( Total)]]-DATABASE_Table[[#This Row],[Vista membership]]-DATABASE_Table[[#This Row],[FF&amp;E]]</f>
        <v>1100000</v>
      </c>
      <c r="X455" s="236"/>
      <c r="Y455" s="235">
        <v>1100000</v>
      </c>
      <c r="Z455" s="233">
        <f>DATABASE_Table[[#This Row],[Sell price (Total)]]-DATABASE_Table[[#This Row],[FF&amp;E]]-DATABASE_Table[[#This Row],[Vista membership]]</f>
        <v>1100000</v>
      </c>
      <c r="AA455" s="315"/>
      <c r="AB455" s="321">
        <v>46843</v>
      </c>
      <c r="AC455" s="198" t="s">
        <v>57</v>
      </c>
      <c r="AD455" s="198" t="s">
        <v>68</v>
      </c>
      <c r="AE455" s="279" t="s">
        <v>69</v>
      </c>
      <c r="AF455" s="279" t="s">
        <v>70</v>
      </c>
      <c r="AG455" s="279" t="s">
        <v>71</v>
      </c>
      <c r="AH455" s="279" t="s">
        <v>816</v>
      </c>
      <c r="AI455" s="198" t="s">
        <v>72</v>
      </c>
      <c r="AJ455" s="274" t="s">
        <v>66</v>
      </c>
      <c r="AK455"/>
    </row>
    <row r="456" spans="1:37" ht="15.75" hidden="1" customHeight="1">
      <c r="A456" s="198" t="s">
        <v>558</v>
      </c>
      <c r="B456" s="198" t="s">
        <v>691</v>
      </c>
      <c r="C456" s="214" t="s">
        <v>371</v>
      </c>
      <c r="D456" s="198" t="s">
        <v>9</v>
      </c>
      <c r="E456" s="198" t="s">
        <v>321</v>
      </c>
      <c r="F456" s="198">
        <v>191.33</v>
      </c>
      <c r="G456" s="198">
        <v>4.4800000000000004</v>
      </c>
      <c r="H456" s="214" t="s">
        <v>325</v>
      </c>
      <c r="I456" s="214" t="s">
        <v>590</v>
      </c>
      <c r="J456" s="271">
        <v>7.19</v>
      </c>
      <c r="K456" s="198"/>
      <c r="L456" s="198"/>
      <c r="M456" s="198"/>
      <c r="N456" s="198"/>
      <c r="O456" s="198">
        <v>191.33</v>
      </c>
      <c r="P456" s="198"/>
      <c r="Q456" s="198" t="s">
        <v>329</v>
      </c>
      <c r="R456" s="230">
        <f>DATABASE_Table[[#This Row],[Inicial Asking Price (€) (Total)]]-DATABASE_Table[[#This Row],[Vista membership]]-DATABASE_Table[[#This Row],[FF&amp;E]]</f>
        <v>1530000</v>
      </c>
      <c r="S456" s="231">
        <v>1530000</v>
      </c>
      <c r="T456" s="232">
        <v>1530000</v>
      </c>
      <c r="U456" s="198"/>
      <c r="V456" s="198"/>
      <c r="W456" s="233">
        <f>DATABASE_Table[[#This Row],[Current Asking price( Total)]]-DATABASE_Table[[#This Row],[Vista membership]]-DATABASE_Table[[#This Row],[FF&amp;E]]</f>
        <v>1530000</v>
      </c>
      <c r="X456" s="216"/>
      <c r="Y456" s="232">
        <v>1530000</v>
      </c>
      <c r="Z456" s="233">
        <f>DATABASE_Table[[#This Row],[Sell price (Total)]]-DATABASE_Table[[#This Row],[FF&amp;E]]-DATABASE_Table[[#This Row],[Vista membership]]</f>
        <v>1530000</v>
      </c>
      <c r="AA456" s="315"/>
      <c r="AB456" s="321"/>
      <c r="AC456" s="198" t="s">
        <v>10</v>
      </c>
      <c r="AD456" s="198" t="s">
        <v>11</v>
      </c>
      <c r="AE456" s="279" t="s">
        <v>12</v>
      </c>
      <c r="AF456" s="279" t="s">
        <v>801</v>
      </c>
      <c r="AG456" s="279" t="s">
        <v>13</v>
      </c>
      <c r="AH456" s="279" t="s">
        <v>14</v>
      </c>
      <c r="AI456" s="198" t="s">
        <v>15</v>
      </c>
      <c r="AJ456" s="274" t="s">
        <v>8</v>
      </c>
      <c r="AK456"/>
    </row>
    <row r="457" spans="1:37" ht="15.75" hidden="1" customHeight="1">
      <c r="A457" s="198" t="s">
        <v>31</v>
      </c>
      <c r="B457" s="198" t="s">
        <v>691</v>
      </c>
      <c r="C457" s="214" t="s">
        <v>371</v>
      </c>
      <c r="D457" s="198" t="s">
        <v>9</v>
      </c>
      <c r="E457" s="198" t="s">
        <v>320</v>
      </c>
      <c r="F457" s="198"/>
      <c r="G457" s="198"/>
      <c r="H457" s="214" t="s">
        <v>325</v>
      </c>
      <c r="I457" s="214" t="s">
        <v>590</v>
      </c>
      <c r="J457" s="271"/>
      <c r="K457" s="198">
        <v>0</v>
      </c>
      <c r="L457" s="198"/>
      <c r="M457" s="198">
        <v>172</v>
      </c>
      <c r="N457" s="198"/>
      <c r="O457" s="198">
        <v>135</v>
      </c>
      <c r="P457" s="198"/>
      <c r="Q457" s="198" t="s">
        <v>628</v>
      </c>
      <c r="R457" s="230">
        <f>DATABASE_Table[[#This Row],[Inicial Asking Price (€) (Total)]]-DATABASE_Table[[#This Row],[Vista membership]]-DATABASE_Table[[#This Row],[FF&amp;E]]</f>
        <v>1150000</v>
      </c>
      <c r="S457" s="232">
        <v>1150000</v>
      </c>
      <c r="T457" s="232">
        <v>1150000</v>
      </c>
      <c r="U457" s="198"/>
      <c r="V457" s="198"/>
      <c r="W457" s="233">
        <f>DATABASE_Table[[#This Row],[Current Asking price( Total)]]-DATABASE_Table[[#This Row],[Vista membership]]-DATABASE_Table[[#This Row],[FF&amp;E]]</f>
        <v>1150000</v>
      </c>
      <c r="X457" s="216">
        <v>0</v>
      </c>
      <c r="Y457" s="232">
        <v>1150000</v>
      </c>
      <c r="Z457" s="233">
        <f>DATABASE_Table[[#This Row],[Sell price (Total)]]-DATABASE_Table[[#This Row],[FF&amp;E]]-DATABASE_Table[[#This Row],[Vista membership]]</f>
        <v>1150000</v>
      </c>
      <c r="AA457" s="316">
        <v>46190</v>
      </c>
      <c r="AB457" s="321"/>
      <c r="AC457" s="198" t="s">
        <v>10</v>
      </c>
      <c r="AD457" s="198" t="s">
        <v>807</v>
      </c>
      <c r="AE457" s="279" t="s">
        <v>32</v>
      </c>
      <c r="AF457" s="279" t="s">
        <v>808</v>
      </c>
      <c r="AG457" s="279" t="s">
        <v>33</v>
      </c>
      <c r="AH457" s="279" t="s">
        <v>809</v>
      </c>
      <c r="AI457" s="198" t="s">
        <v>15</v>
      </c>
      <c r="AJ457" s="274" t="s">
        <v>31</v>
      </c>
      <c r="AK457"/>
    </row>
    <row r="458" spans="1:37" ht="15.75" hidden="1" customHeight="1">
      <c r="A458" s="198" t="s">
        <v>690</v>
      </c>
      <c r="B458" s="198" t="s">
        <v>691</v>
      </c>
      <c r="C458" s="214" t="s">
        <v>371</v>
      </c>
      <c r="D458" s="198" t="s">
        <v>9</v>
      </c>
      <c r="E458" s="198" t="s">
        <v>765</v>
      </c>
      <c r="F458" s="198">
        <v>330.51</v>
      </c>
      <c r="G458" s="198">
        <v>169.3</v>
      </c>
      <c r="H458" s="214" t="s">
        <v>325</v>
      </c>
      <c r="I458" s="214" t="s">
        <v>325</v>
      </c>
      <c r="J458" s="271">
        <v>25.77</v>
      </c>
      <c r="K458" s="198"/>
      <c r="L458" s="198"/>
      <c r="M458" s="198"/>
      <c r="N458" s="198"/>
      <c r="O458" s="198">
        <v>135.44</v>
      </c>
      <c r="P458" s="198"/>
      <c r="Q458" s="198" t="s">
        <v>329</v>
      </c>
      <c r="R458" s="230">
        <f>DATABASE_Table[[#This Row],[Inicial Asking Price (€) (Total)]]-DATABASE_Table[[#This Row],[Vista membership]]-DATABASE_Table[[#This Row],[FF&amp;E]]</f>
        <v>1637700</v>
      </c>
      <c r="S458" s="231">
        <v>1708850</v>
      </c>
      <c r="T458" s="232">
        <v>1780000</v>
      </c>
      <c r="U458" s="198">
        <v>24600</v>
      </c>
      <c r="V458" s="198">
        <v>46550</v>
      </c>
      <c r="W458" s="233">
        <f>DATABASE_Table[[#This Row],[Current Asking price( Total)]]-DATABASE_Table[[#This Row],[Vista membership]]-DATABASE_Table[[#This Row],[FF&amp;E]]</f>
        <v>1708850</v>
      </c>
      <c r="X458" s="216"/>
      <c r="Y458" s="232">
        <v>1780000</v>
      </c>
      <c r="Z458" s="233">
        <f>DATABASE_Table[[#This Row],[Sell price (Total)]]-DATABASE_Table[[#This Row],[FF&amp;E]]-DATABASE_Table[[#This Row],[Vista membership]]</f>
        <v>1708850</v>
      </c>
      <c r="AA458" s="315"/>
      <c r="AB458" s="321"/>
      <c r="AC458" s="198" t="s">
        <v>10</v>
      </c>
      <c r="AD458" s="198" t="s">
        <v>35</v>
      </c>
      <c r="AE458" s="279" t="s">
        <v>38</v>
      </c>
      <c r="AF458" s="279" t="s">
        <v>39</v>
      </c>
      <c r="AG458" s="279" t="s">
        <v>40</v>
      </c>
      <c r="AH458" s="279" t="s">
        <v>810</v>
      </c>
      <c r="AI458" s="198" t="s">
        <v>41</v>
      </c>
      <c r="AJ458" s="274" t="s">
        <v>37</v>
      </c>
      <c r="AK458"/>
    </row>
    <row r="459" spans="1:37" ht="15.75" hidden="1" customHeight="1">
      <c r="A459" s="198" t="s">
        <v>563</v>
      </c>
      <c r="B459" s="198" t="s">
        <v>691</v>
      </c>
      <c r="C459" s="214" t="s">
        <v>371</v>
      </c>
      <c r="D459" s="198" t="s">
        <v>9</v>
      </c>
      <c r="E459" s="198" t="s">
        <v>319</v>
      </c>
      <c r="F459" s="198">
        <v>104.7</v>
      </c>
      <c r="G459" s="198"/>
      <c r="H459" s="214" t="s">
        <v>325</v>
      </c>
      <c r="I459" s="214" t="s">
        <v>325</v>
      </c>
      <c r="J459" s="271"/>
      <c r="K459" s="198"/>
      <c r="L459" s="198"/>
      <c r="M459" s="198"/>
      <c r="N459" s="198"/>
      <c r="O459" s="198">
        <v>104.7</v>
      </c>
      <c r="P459" s="198"/>
      <c r="Q459" s="198" t="s">
        <v>628</v>
      </c>
      <c r="R459" s="230">
        <f>DATABASE_Table[[#This Row],[Inicial Asking Price (€) (Total)]]-DATABASE_Table[[#This Row],[Vista membership]]-DATABASE_Table[[#This Row],[FF&amp;E]]</f>
        <v>550000</v>
      </c>
      <c r="S459" s="231">
        <v>550000</v>
      </c>
      <c r="T459" s="232">
        <v>550000</v>
      </c>
      <c r="U459" s="198"/>
      <c r="V459" s="198"/>
      <c r="W459" s="233">
        <f>DATABASE_Table[[#This Row],[Current Asking price( Total)]]-DATABASE_Table[[#This Row],[Vista membership]]-DATABASE_Table[[#This Row],[FF&amp;E]]</f>
        <v>550000</v>
      </c>
      <c r="X459" s="216">
        <v>0</v>
      </c>
      <c r="Y459" s="232">
        <v>550000</v>
      </c>
      <c r="Z459" s="233">
        <f>DATABASE_Table[[#This Row],[Sell price (Total)]]-DATABASE_Table[[#This Row],[FF&amp;E]]-DATABASE_Table[[#This Row],[Vista membership]]</f>
        <v>550000</v>
      </c>
      <c r="AA459" s="317">
        <v>45973</v>
      </c>
      <c r="AB459" s="321"/>
      <c r="AC459" s="198" t="s">
        <v>10</v>
      </c>
      <c r="AD459" s="198" t="s">
        <v>11</v>
      </c>
      <c r="AE459" s="279" t="s">
        <v>28</v>
      </c>
      <c r="AF459" s="279" t="s">
        <v>29</v>
      </c>
      <c r="AG459" s="279" t="s">
        <v>805</v>
      </c>
      <c r="AH459" s="279" t="s">
        <v>806</v>
      </c>
      <c r="AI459" s="198" t="s">
        <v>30</v>
      </c>
      <c r="AJ459" s="274" t="s">
        <v>27</v>
      </c>
      <c r="AK459"/>
    </row>
    <row r="460" spans="1:37" ht="15.75" hidden="1" customHeight="1">
      <c r="A460" s="198" t="s">
        <v>779</v>
      </c>
      <c r="B460" s="198" t="s">
        <v>786</v>
      </c>
      <c r="C460" s="214" t="s">
        <v>117</v>
      </c>
      <c r="D460" s="198" t="s">
        <v>79</v>
      </c>
      <c r="E460" s="198" t="s">
        <v>316</v>
      </c>
      <c r="F460" s="198">
        <v>65</v>
      </c>
      <c r="G460" s="198"/>
      <c r="H460" s="214" t="s">
        <v>848</v>
      </c>
      <c r="I460" s="214" t="s">
        <v>325</v>
      </c>
      <c r="J460" s="271">
        <v>8.6999999999999993</v>
      </c>
      <c r="K460" s="198"/>
      <c r="L460" s="198"/>
      <c r="M460" s="198"/>
      <c r="N460" s="198"/>
      <c r="O460" s="198">
        <v>56.3</v>
      </c>
      <c r="P460" s="198"/>
      <c r="Q460" s="198" t="s">
        <v>628</v>
      </c>
      <c r="R460" s="230">
        <f>DATABASE_Table[[#This Row],[Inicial Asking Price (€) (Total)]]-DATABASE_Table[[#This Row],[Vista membership]]-DATABASE_Table[[#This Row],[FF&amp;E]]</f>
        <v>395000</v>
      </c>
      <c r="S460" s="234">
        <v>430000</v>
      </c>
      <c r="T460" s="235">
        <v>430000</v>
      </c>
      <c r="U460" s="198"/>
      <c r="V460" s="235">
        <v>35000</v>
      </c>
      <c r="W460" s="233">
        <f>DATABASE_Table[[#This Row],[Current Asking price( Total)]]-DATABASE_Table[[#This Row],[Vista membership]]-DATABASE_Table[[#This Row],[FF&amp;E]]</f>
        <v>395000</v>
      </c>
      <c r="X460" s="236">
        <v>0</v>
      </c>
      <c r="Y460" s="235">
        <v>430000</v>
      </c>
      <c r="Z460" s="233">
        <f>DATABASE_Table[[#This Row],[Sell price (Total)]]-DATABASE_Table[[#This Row],[FF&amp;E]]-DATABASE_Table[[#This Row],[Vista membership]]</f>
        <v>395000</v>
      </c>
      <c r="AA460" s="316">
        <v>46122</v>
      </c>
      <c r="AB460" s="321">
        <v>47118</v>
      </c>
      <c r="AC460" s="198" t="s">
        <v>80</v>
      </c>
      <c r="AD460" s="198" t="s">
        <v>81</v>
      </c>
      <c r="AE460" s="279" t="s">
        <v>82</v>
      </c>
      <c r="AF460" s="279" t="s">
        <v>83</v>
      </c>
      <c r="AG460" s="279" t="s">
        <v>84</v>
      </c>
      <c r="AH460" s="279" t="s">
        <v>85</v>
      </c>
      <c r="AI460" s="198" t="s">
        <v>86</v>
      </c>
      <c r="AJ460" s="274" t="s">
        <v>78</v>
      </c>
      <c r="AK460"/>
    </row>
    <row r="461" spans="1:37" ht="15.75" hidden="1" customHeight="1">
      <c r="A461" s="198" t="s">
        <v>780</v>
      </c>
      <c r="B461" s="198" t="s">
        <v>786</v>
      </c>
      <c r="C461" s="214" t="s">
        <v>251</v>
      </c>
      <c r="D461" s="198" t="s">
        <v>79</v>
      </c>
      <c r="E461" s="198" t="s">
        <v>317</v>
      </c>
      <c r="F461" s="198">
        <v>262.92</v>
      </c>
      <c r="G461" s="198"/>
      <c r="H461" s="214" t="s">
        <v>848</v>
      </c>
      <c r="I461" s="214" t="s">
        <v>325</v>
      </c>
      <c r="J461" s="271">
        <v>3.87</v>
      </c>
      <c r="K461" s="198">
        <v>145.22</v>
      </c>
      <c r="L461" s="198"/>
      <c r="M461" s="198"/>
      <c r="N461" s="198"/>
      <c r="O461" s="198">
        <v>113.83</v>
      </c>
      <c r="P461" s="198"/>
      <c r="Q461" s="198" t="s">
        <v>628</v>
      </c>
      <c r="R461" s="230">
        <f>DATABASE_Table[[#This Row],[Inicial Asking Price (€) (Total)]]-DATABASE_Table[[#This Row],[Vista membership]]-DATABASE_Table[[#This Row],[FF&amp;E]]</f>
        <v>850000</v>
      </c>
      <c r="S461" s="234">
        <v>895000</v>
      </c>
      <c r="T461" s="235">
        <v>940000</v>
      </c>
      <c r="U461" s="198"/>
      <c r="V461" s="235">
        <v>45000</v>
      </c>
      <c r="W461" s="233">
        <f>DATABASE_Table[[#This Row],[Current Asking price( Total)]]-DATABASE_Table[[#This Row],[Vista membership]]-DATABASE_Table[[#This Row],[FF&amp;E]]</f>
        <v>895000</v>
      </c>
      <c r="X461" s="236">
        <v>0</v>
      </c>
      <c r="Y461" s="235">
        <v>940000</v>
      </c>
      <c r="Z461" s="233">
        <f>DATABASE_Table[[#This Row],[Sell price (Total)]]-DATABASE_Table[[#This Row],[FF&amp;E]]-DATABASE_Table[[#This Row],[Vista membership]]</f>
        <v>895000</v>
      </c>
      <c r="AA461" s="316">
        <v>45922</v>
      </c>
      <c r="AB461" s="321">
        <v>47118</v>
      </c>
      <c r="AC461" s="198" t="s">
        <v>80</v>
      </c>
      <c r="AD461" s="198" t="s">
        <v>81</v>
      </c>
      <c r="AE461" s="279" t="s">
        <v>82</v>
      </c>
      <c r="AF461" s="279" t="s">
        <v>83</v>
      </c>
      <c r="AG461" s="279" t="s">
        <v>84</v>
      </c>
      <c r="AH461" s="279" t="s">
        <v>85</v>
      </c>
      <c r="AI461" s="198" t="s">
        <v>86</v>
      </c>
      <c r="AJ461" s="274" t="s">
        <v>78</v>
      </c>
      <c r="AK461"/>
    </row>
    <row r="462" spans="1:37" ht="15.75" hidden="1" customHeight="1">
      <c r="A462" s="198" t="s">
        <v>562</v>
      </c>
      <c r="B462" s="198" t="s">
        <v>691</v>
      </c>
      <c r="C462" s="214" t="s">
        <v>371</v>
      </c>
      <c r="D462" s="198" t="s">
        <v>9</v>
      </c>
      <c r="E462" s="198" t="s">
        <v>319</v>
      </c>
      <c r="F462" s="198">
        <v>119</v>
      </c>
      <c r="G462" s="198"/>
      <c r="H462" s="214" t="s">
        <v>325</v>
      </c>
      <c r="I462" s="214" t="s">
        <v>325</v>
      </c>
      <c r="J462" s="271"/>
      <c r="K462" s="198"/>
      <c r="L462" s="198"/>
      <c r="M462" s="198"/>
      <c r="N462" s="198"/>
      <c r="O462" s="198">
        <v>119</v>
      </c>
      <c r="P462" s="198"/>
      <c r="Q462" s="198" t="s">
        <v>929</v>
      </c>
      <c r="R462" s="230">
        <f>DATABASE_Table[[#This Row],[Inicial Asking Price (€) (Total)]]-DATABASE_Table[[#This Row],[Vista membership]]-DATABASE_Table[[#This Row],[FF&amp;E]]</f>
        <v>590000</v>
      </c>
      <c r="S462" s="231">
        <v>590000</v>
      </c>
      <c r="T462" s="232">
        <v>640000</v>
      </c>
      <c r="U462" s="198"/>
      <c r="V462" s="198"/>
      <c r="W462" s="233">
        <f>DATABASE_Table[[#This Row],[Current Asking price( Total)]]-DATABASE_Table[[#This Row],[Vista membership]]-DATABASE_Table[[#This Row],[FF&amp;E]]</f>
        <v>640000</v>
      </c>
      <c r="X462" s="216">
        <v>0</v>
      </c>
      <c r="Y462" s="232">
        <v>640000</v>
      </c>
      <c r="Z462" s="233">
        <f>DATABASE_Table[[#This Row],[Sell price (Total)]]-DATABASE_Table[[#This Row],[FF&amp;E]]-DATABASE_Table[[#This Row],[Vista membership]]</f>
        <v>640000</v>
      </c>
      <c r="AA462" s="315">
        <v>45923</v>
      </c>
      <c r="AB462" s="321"/>
      <c r="AC462" s="198" t="s">
        <v>10</v>
      </c>
      <c r="AD462" s="198" t="s">
        <v>23</v>
      </c>
      <c r="AE462" s="279" t="s">
        <v>24</v>
      </c>
      <c r="AF462" s="279" t="s">
        <v>803</v>
      </c>
      <c r="AG462" s="279" t="s">
        <v>25</v>
      </c>
      <c r="AH462" s="279" t="s">
        <v>804</v>
      </c>
      <c r="AI462" s="198" t="s">
        <v>26</v>
      </c>
      <c r="AJ462" s="274" t="s">
        <v>22</v>
      </c>
      <c r="AK462"/>
    </row>
    <row r="463" spans="1:37" ht="15.75" hidden="1" customHeight="1">
      <c r="A463" s="198" t="s">
        <v>772</v>
      </c>
      <c r="B463" s="198" t="s">
        <v>769</v>
      </c>
      <c r="C463" s="214" t="s">
        <v>510</v>
      </c>
      <c r="D463" s="198"/>
      <c r="E463" s="198" t="s">
        <v>319</v>
      </c>
      <c r="F463" s="198">
        <v>158.30000000000001</v>
      </c>
      <c r="G463" s="198"/>
      <c r="H463" s="214" t="s">
        <v>658</v>
      </c>
      <c r="I463" s="214" t="s">
        <v>325</v>
      </c>
      <c r="J463" s="271"/>
      <c r="K463" s="198"/>
      <c r="L463" s="198"/>
      <c r="M463" s="198">
        <v>36.799999999999997</v>
      </c>
      <c r="N463" s="198"/>
      <c r="O463" s="198">
        <v>121.5</v>
      </c>
      <c r="P463" s="198"/>
      <c r="Q463" s="198" t="s">
        <v>628</v>
      </c>
      <c r="R463" s="230">
        <f>DATABASE_Table[[#This Row],[Inicial Asking Price (€) (Total)]]-DATABASE_Table[[#This Row],[Vista membership]]-DATABASE_Table[[#This Row],[FF&amp;E]]</f>
        <v>660000</v>
      </c>
      <c r="S463" s="234">
        <v>660000</v>
      </c>
      <c r="T463" s="235">
        <v>1000000</v>
      </c>
      <c r="U463" s="198"/>
      <c r="V463" s="198"/>
      <c r="W463" s="233">
        <f>DATABASE_Table[[#This Row],[Current Asking price( Total)]]-DATABASE_Table[[#This Row],[Vista membership]]-DATABASE_Table[[#This Row],[FF&amp;E]]</f>
        <v>1000000</v>
      </c>
      <c r="X463" s="236">
        <v>0</v>
      </c>
      <c r="Y463" s="235">
        <v>1000000</v>
      </c>
      <c r="Z463" s="233">
        <f>DATABASE_Table[[#This Row],[Sell price (Total)]]-DATABASE_Table[[#This Row],[FF&amp;E]]-DATABASE_Table[[#This Row],[Vista membership]]</f>
        <v>1000000</v>
      </c>
      <c r="AA463" s="316">
        <v>44988</v>
      </c>
      <c r="AB463" s="321">
        <v>46843</v>
      </c>
      <c r="AC463" s="198"/>
      <c r="AD463" s="198"/>
      <c r="AE463" s="279"/>
      <c r="AF463" s="279"/>
      <c r="AG463" s="279"/>
      <c r="AH463" s="279"/>
      <c r="AI463" s="198"/>
      <c r="AJ463" s="274" t="s">
        <v>66</v>
      </c>
      <c r="AK463"/>
    </row>
    <row r="464" spans="1:37" ht="15.75" hidden="1" customHeight="1">
      <c r="A464" s="198" t="s">
        <v>689</v>
      </c>
      <c r="B464" s="198" t="s">
        <v>691</v>
      </c>
      <c r="C464" s="214" t="s">
        <v>371</v>
      </c>
      <c r="D464" s="198"/>
      <c r="E464" s="198" t="s">
        <v>383</v>
      </c>
      <c r="F464" s="198">
        <v>189.03110000000001</v>
      </c>
      <c r="G464" s="198"/>
      <c r="H464" s="214" t="s">
        <v>325</v>
      </c>
      <c r="I464" s="214" t="s">
        <v>325</v>
      </c>
      <c r="J464" s="271"/>
      <c r="K464" s="198"/>
      <c r="L464" s="198"/>
      <c r="M464" s="198"/>
      <c r="N464" s="198"/>
      <c r="O464" s="198">
        <v>189.03110000000001</v>
      </c>
      <c r="P464" s="198"/>
      <c r="Q464" s="198" t="s">
        <v>929</v>
      </c>
      <c r="R464" s="230">
        <f>DATABASE_Table[[#This Row],[Inicial Asking Price (€) (Total)]]-DATABASE_Table[[#This Row],[Vista membership]]-DATABASE_Table[[#This Row],[FF&amp;E]]</f>
        <v>1181568</v>
      </c>
      <c r="S464" s="231">
        <v>1181568</v>
      </c>
      <c r="T464" s="232">
        <v>1185000</v>
      </c>
      <c r="U464" s="198"/>
      <c r="V464" s="198"/>
      <c r="W464" s="233">
        <f>DATABASE_Table[[#This Row],[Current Asking price( Total)]]-DATABASE_Table[[#This Row],[Vista membership]]-DATABASE_Table[[#This Row],[FF&amp;E]]</f>
        <v>1185000</v>
      </c>
      <c r="X464" s="216">
        <v>0</v>
      </c>
      <c r="Y464" s="232">
        <v>1185000</v>
      </c>
      <c r="Z464" s="233">
        <f>DATABASE_Table[[#This Row],[Sell price (Total)]]-DATABASE_Table[[#This Row],[FF&amp;E]]-DATABASE_Table[[#This Row],[Vista membership]]</f>
        <v>1185000</v>
      </c>
      <c r="AA464" s="315">
        <v>44659</v>
      </c>
      <c r="AB464" s="321"/>
      <c r="AC464" s="198"/>
      <c r="AD464" s="198"/>
      <c r="AE464" s="279"/>
      <c r="AF464" s="279"/>
      <c r="AG464" s="279"/>
      <c r="AH464" s="279"/>
      <c r="AI464" s="198"/>
      <c r="AJ464" s="274" t="s">
        <v>689</v>
      </c>
      <c r="AK464"/>
    </row>
    <row r="465" spans="1:37" ht="15.75" hidden="1" customHeight="1">
      <c r="A465" s="198" t="s">
        <v>784</v>
      </c>
      <c r="B465" s="198" t="s">
        <v>787</v>
      </c>
      <c r="C465" s="214" t="s">
        <v>447</v>
      </c>
      <c r="D465" s="198" t="s">
        <v>88</v>
      </c>
      <c r="E465" s="198" t="s">
        <v>383</v>
      </c>
      <c r="F465" s="198">
        <v>324.74</v>
      </c>
      <c r="G465" s="198"/>
      <c r="H465" s="214" t="s">
        <v>849</v>
      </c>
      <c r="I465" s="214" t="s">
        <v>590</v>
      </c>
      <c r="J465" s="271">
        <v>0</v>
      </c>
      <c r="K465" s="198">
        <v>111.46</v>
      </c>
      <c r="L465" s="198">
        <v>46.1</v>
      </c>
      <c r="M465" s="198"/>
      <c r="N465" s="198"/>
      <c r="O465" s="198">
        <v>167.18</v>
      </c>
      <c r="P465" s="198"/>
      <c r="Q465" s="198" t="s">
        <v>329</v>
      </c>
      <c r="R465" s="230">
        <f>DATABASE_Table[[#This Row],[Inicial Asking Price (€) (Total)]]-DATABASE_Table[[#This Row],[Vista membership]]-DATABASE_Table[[#This Row],[FF&amp;E]]</f>
        <v>800000</v>
      </c>
      <c r="S465" s="234">
        <v>800000</v>
      </c>
      <c r="T465" s="235">
        <v>820000</v>
      </c>
      <c r="U465" s="198"/>
      <c r="V465" s="198"/>
      <c r="W465" s="233">
        <f>DATABASE_Table[[#This Row],[Current Asking price( Total)]]-DATABASE_Table[[#This Row],[Vista membership]]-DATABASE_Table[[#This Row],[FF&amp;E]]</f>
        <v>820000</v>
      </c>
      <c r="X465" s="236"/>
      <c r="Y465" s="235"/>
      <c r="Z465" s="233">
        <f>DATABASE_Table[[#This Row],[Sell price (Total)]]-DATABASE_Table[[#This Row],[FF&amp;E]]-DATABASE_Table[[#This Row],[Vista membership]]</f>
        <v>0</v>
      </c>
      <c r="AA465" s="315"/>
      <c r="AB465" s="321">
        <v>47208</v>
      </c>
      <c r="AC465" s="198" t="s">
        <v>80</v>
      </c>
      <c r="AD465" s="198" t="s">
        <v>81</v>
      </c>
      <c r="AE465" s="279" t="s">
        <v>89</v>
      </c>
      <c r="AF465" s="279" t="s">
        <v>90</v>
      </c>
      <c r="AG465" s="279" t="s">
        <v>91</v>
      </c>
      <c r="AH465" s="279" t="s">
        <v>92</v>
      </c>
      <c r="AI465" s="198" t="s">
        <v>30</v>
      </c>
      <c r="AJ465" s="274" t="s">
        <v>87</v>
      </c>
      <c r="AK465"/>
    </row>
    <row r="466" spans="1:37" ht="15.75" hidden="1" customHeight="1">
      <c r="A466" s="198" t="s">
        <v>564</v>
      </c>
      <c r="B466" s="198" t="s">
        <v>691</v>
      </c>
      <c r="C466" s="214" t="s">
        <v>371</v>
      </c>
      <c r="D466" s="198" t="s">
        <v>9</v>
      </c>
      <c r="E466" s="198" t="s">
        <v>319</v>
      </c>
      <c r="F466" s="198">
        <v>119.05</v>
      </c>
      <c r="G466" s="198"/>
      <c r="H466" s="214" t="s">
        <v>325</v>
      </c>
      <c r="I466" s="214" t="s">
        <v>325</v>
      </c>
      <c r="J466" s="271">
        <v>28.99</v>
      </c>
      <c r="K466" s="198"/>
      <c r="L466" s="198"/>
      <c r="M466" s="198"/>
      <c r="N466" s="198"/>
      <c r="O466" s="198">
        <v>90.06</v>
      </c>
      <c r="P466" s="198"/>
      <c r="Q466" s="198" t="s">
        <v>329</v>
      </c>
      <c r="R466" s="230">
        <f>DATABASE_Table[[#This Row],[Inicial Asking Price (€) (Total)]]-DATABASE_Table[[#This Row],[Vista membership]]-DATABASE_Table[[#This Row],[FF&amp;E]]</f>
        <v>711800.14639999997</v>
      </c>
      <c r="S466" s="231">
        <v>776400.14639999997</v>
      </c>
      <c r="T466" s="232">
        <v>850000</v>
      </c>
      <c r="U466" s="198">
        <v>24600</v>
      </c>
      <c r="V466" s="198">
        <v>40000</v>
      </c>
      <c r="W466" s="233">
        <f>DATABASE_Table[[#This Row],[Current Asking price( Total)]]-DATABASE_Table[[#This Row],[Vista membership]]-DATABASE_Table[[#This Row],[FF&amp;E]]</f>
        <v>785400</v>
      </c>
      <c r="X466" s="216"/>
      <c r="Y466" s="232">
        <v>850000</v>
      </c>
      <c r="Z466" s="233">
        <f>DATABASE_Table[[#This Row],[Sell price (Total)]]-DATABASE_Table[[#This Row],[FF&amp;E]]-DATABASE_Table[[#This Row],[Vista membership]]</f>
        <v>785400</v>
      </c>
      <c r="AA466" s="315"/>
      <c r="AB466" s="321"/>
      <c r="AC466" s="198" t="s">
        <v>10</v>
      </c>
      <c r="AD466" s="198" t="s">
        <v>35</v>
      </c>
      <c r="AE466" s="279" t="s">
        <v>43</v>
      </c>
      <c r="AF466" s="279" t="s">
        <v>44</v>
      </c>
      <c r="AG466" s="279" t="s">
        <v>45</v>
      </c>
      <c r="AH466" s="279" t="s">
        <v>46</v>
      </c>
      <c r="AI466" s="198" t="s">
        <v>47</v>
      </c>
      <c r="AJ466" s="274" t="s">
        <v>42</v>
      </c>
      <c r="AK466"/>
    </row>
    <row r="467" spans="1:37" ht="15.75" hidden="1" customHeight="1">
      <c r="A467" s="198" t="s">
        <v>630</v>
      </c>
      <c r="B467" s="198" t="s">
        <v>691</v>
      </c>
      <c r="C467" s="214" t="s">
        <v>372</v>
      </c>
      <c r="D467" s="198" t="s">
        <v>9</v>
      </c>
      <c r="E467" s="198" t="s">
        <v>319</v>
      </c>
      <c r="F467" s="198">
        <v>151.5</v>
      </c>
      <c r="G467" s="198"/>
      <c r="H467" s="214" t="s">
        <v>849</v>
      </c>
      <c r="I467" s="214" t="s">
        <v>325</v>
      </c>
      <c r="J467" s="271">
        <v>27.61</v>
      </c>
      <c r="K467" s="198"/>
      <c r="L467" s="198"/>
      <c r="M467" s="198">
        <v>0</v>
      </c>
      <c r="N467" s="198"/>
      <c r="O467" s="198">
        <v>123.89</v>
      </c>
      <c r="P467" s="198"/>
      <c r="Q467" s="198" t="s">
        <v>326</v>
      </c>
      <c r="R467" s="230">
        <f>DATABASE_Table[[#This Row],[Inicial Asking Price (€) (Total)]]-DATABASE_Table[[#This Row],[Vista membership]]-DATABASE_Table[[#This Row],[FF&amp;E]]</f>
        <v>950852.56200000003</v>
      </c>
      <c r="S467" s="231">
        <v>950852.56200000003</v>
      </c>
      <c r="T467" s="232">
        <v>960000</v>
      </c>
      <c r="U467" s="198"/>
      <c r="V467" s="198"/>
      <c r="W467" s="233">
        <f>DATABASE_Table[[#This Row],[Current Asking price( Total)]]-DATABASE_Table[[#This Row],[Vista membership]]-DATABASE_Table[[#This Row],[FF&amp;E]]</f>
        <v>960000</v>
      </c>
      <c r="X467" s="216">
        <v>0.08</v>
      </c>
      <c r="Y467" s="232">
        <v>883200</v>
      </c>
      <c r="Z467" s="233">
        <f>DATABASE_Table[[#This Row],[Sell price (Total)]]-DATABASE_Table[[#This Row],[FF&amp;E]]-DATABASE_Table[[#This Row],[Vista membership]]</f>
        <v>883200</v>
      </c>
      <c r="AA467" s="315"/>
      <c r="AB467" s="321"/>
      <c r="AC467" s="198" t="s">
        <v>10</v>
      </c>
      <c r="AD467" s="198" t="s">
        <v>11</v>
      </c>
      <c r="AE467" s="279" t="s">
        <v>53</v>
      </c>
      <c r="AF467" s="279" t="s">
        <v>54</v>
      </c>
      <c r="AG467" s="279" t="s">
        <v>811</v>
      </c>
      <c r="AH467" s="279" t="s">
        <v>812</v>
      </c>
      <c r="AI467" s="198" t="s">
        <v>36</v>
      </c>
      <c r="AJ467" s="274" t="s">
        <v>52</v>
      </c>
      <c r="AK467"/>
    </row>
    <row r="468" spans="1:37" ht="15.75" hidden="1" customHeight="1">
      <c r="A468" s="198" t="s">
        <v>558</v>
      </c>
      <c r="B468" s="198" t="s">
        <v>691</v>
      </c>
      <c r="C468" s="214" t="s">
        <v>372</v>
      </c>
      <c r="D468" s="198" t="s">
        <v>9</v>
      </c>
      <c r="E468" s="198" t="s">
        <v>319</v>
      </c>
      <c r="F468" s="198">
        <v>111.82</v>
      </c>
      <c r="G468" s="198">
        <v>3.99</v>
      </c>
      <c r="H468" s="214" t="s">
        <v>325</v>
      </c>
      <c r="I468" s="214" t="s">
        <v>325</v>
      </c>
      <c r="J468" s="271"/>
      <c r="K468" s="198"/>
      <c r="L468" s="198"/>
      <c r="M468" s="198"/>
      <c r="N468" s="198"/>
      <c r="O468" s="198">
        <v>111.82</v>
      </c>
      <c r="P468" s="198"/>
      <c r="Q468" s="198" t="s">
        <v>628</v>
      </c>
      <c r="R468" s="230">
        <f>DATABASE_Table[[#This Row],[Inicial Asking Price (€) (Total)]]-DATABASE_Table[[#This Row],[Vista membership]]-DATABASE_Table[[#This Row],[FF&amp;E]]</f>
        <v>720000</v>
      </c>
      <c r="S468" s="231">
        <v>720000</v>
      </c>
      <c r="T468" s="232">
        <v>650000</v>
      </c>
      <c r="U468" s="198"/>
      <c r="V468" s="198"/>
      <c r="W468" s="233">
        <f>DATABASE_Table[[#This Row],[Current Asking price( Total)]]-DATABASE_Table[[#This Row],[Vista membership]]-DATABASE_Table[[#This Row],[FF&amp;E]]</f>
        <v>650000</v>
      </c>
      <c r="X468" s="216">
        <v>-5.2307692307692402E-2</v>
      </c>
      <c r="Y468" s="232">
        <v>684000</v>
      </c>
      <c r="Z468" s="233">
        <f>DATABASE_Table[[#This Row],[Sell price (Total)]]-DATABASE_Table[[#This Row],[FF&amp;E]]-DATABASE_Table[[#This Row],[Vista membership]]</f>
        <v>684000</v>
      </c>
      <c r="AA468" s="315">
        <v>45898</v>
      </c>
      <c r="AB468" s="321"/>
      <c r="AC468" s="198" t="s">
        <v>10</v>
      </c>
      <c r="AD468" s="198" t="s">
        <v>11</v>
      </c>
      <c r="AE468" s="279" t="s">
        <v>12</v>
      </c>
      <c r="AF468" s="279" t="s">
        <v>801</v>
      </c>
      <c r="AG468" s="279" t="s">
        <v>13</v>
      </c>
      <c r="AH468" s="279" t="s">
        <v>14</v>
      </c>
      <c r="AI468" s="198" t="s">
        <v>15</v>
      </c>
      <c r="AJ468" s="274" t="s">
        <v>8</v>
      </c>
      <c r="AK468"/>
    </row>
    <row r="469" spans="1:37" ht="15.75" hidden="1" customHeight="1">
      <c r="A469" s="198" t="s">
        <v>31</v>
      </c>
      <c r="B469" s="198" t="s">
        <v>691</v>
      </c>
      <c r="C469" s="214" t="s">
        <v>372</v>
      </c>
      <c r="D469" s="198" t="s">
        <v>9</v>
      </c>
      <c r="E469" s="198" t="s">
        <v>319</v>
      </c>
      <c r="F469" s="198"/>
      <c r="G469" s="198"/>
      <c r="H469" s="214" t="s">
        <v>325</v>
      </c>
      <c r="I469" s="214" t="s">
        <v>590</v>
      </c>
      <c r="J469" s="271"/>
      <c r="K469" s="198">
        <v>0</v>
      </c>
      <c r="L469" s="198"/>
      <c r="M469" s="198">
        <v>109</v>
      </c>
      <c r="N469" s="198"/>
      <c r="O469" s="198">
        <v>109</v>
      </c>
      <c r="P469" s="198"/>
      <c r="Q469" s="198" t="s">
        <v>326</v>
      </c>
      <c r="R469" s="230">
        <f>DATABASE_Table[[#This Row],[Inicial Asking Price (€) (Total)]]-DATABASE_Table[[#This Row],[Vista membership]]-DATABASE_Table[[#This Row],[FF&amp;E]]</f>
        <v>950000</v>
      </c>
      <c r="S469" s="232">
        <v>950000</v>
      </c>
      <c r="T469" s="232">
        <v>950000</v>
      </c>
      <c r="U469" s="198"/>
      <c r="V469" s="198"/>
      <c r="W469" s="233">
        <f>DATABASE_Table[[#This Row],[Current Asking price( Total)]]-DATABASE_Table[[#This Row],[Vista membership]]-DATABASE_Table[[#This Row],[FF&amp;E]]</f>
        <v>950000</v>
      </c>
      <c r="X469" s="216">
        <v>0</v>
      </c>
      <c r="Y469" s="232">
        <v>950000</v>
      </c>
      <c r="Z469" s="233">
        <f>DATABASE_Table[[#This Row],[Sell price (Total)]]-DATABASE_Table[[#This Row],[FF&amp;E]]-DATABASE_Table[[#This Row],[Vista membership]]</f>
        <v>950000</v>
      </c>
      <c r="AA469" s="315">
        <v>46132</v>
      </c>
      <c r="AB469" s="321"/>
      <c r="AC469" s="198" t="s">
        <v>10</v>
      </c>
      <c r="AD469" s="198" t="s">
        <v>807</v>
      </c>
      <c r="AE469" s="279" t="s">
        <v>32</v>
      </c>
      <c r="AF469" s="279" t="s">
        <v>808</v>
      </c>
      <c r="AG469" s="279" t="s">
        <v>33</v>
      </c>
      <c r="AH469" s="279" t="s">
        <v>809</v>
      </c>
      <c r="AI469" s="198" t="s">
        <v>15</v>
      </c>
      <c r="AJ469" s="274" t="s">
        <v>31</v>
      </c>
      <c r="AK469"/>
    </row>
    <row r="470" spans="1:37" ht="15.75" hidden="1" customHeight="1">
      <c r="A470" s="198" t="s">
        <v>690</v>
      </c>
      <c r="B470" s="198" t="s">
        <v>691</v>
      </c>
      <c r="C470" s="214" t="s">
        <v>372</v>
      </c>
      <c r="D470" s="198" t="s">
        <v>9</v>
      </c>
      <c r="E470" s="198" t="s">
        <v>763</v>
      </c>
      <c r="F470" s="198">
        <v>469.43</v>
      </c>
      <c r="G470" s="198">
        <v>273.51</v>
      </c>
      <c r="H470" s="214" t="s">
        <v>325</v>
      </c>
      <c r="I470" s="214" t="s">
        <v>325</v>
      </c>
      <c r="J470" s="271">
        <v>32.840000000000003</v>
      </c>
      <c r="K470" s="198"/>
      <c r="L470" s="198"/>
      <c r="M470" s="198"/>
      <c r="N470" s="198"/>
      <c r="O470" s="198">
        <v>163.08000000000001</v>
      </c>
      <c r="P470" s="198"/>
      <c r="Q470" s="198" t="s">
        <v>329</v>
      </c>
      <c r="R470" s="230">
        <f>DATABASE_Table[[#This Row],[Inicial Asking Price (€) (Total)]]-DATABASE_Table[[#This Row],[Vista membership]]-DATABASE_Table[[#This Row],[FF&amp;E]]</f>
        <v>1838200</v>
      </c>
      <c r="S470" s="231">
        <v>1924100</v>
      </c>
      <c r="T470" s="232">
        <v>2010000</v>
      </c>
      <c r="U470" s="198">
        <v>24600</v>
      </c>
      <c r="V470" s="198">
        <v>61300</v>
      </c>
      <c r="W470" s="233">
        <f>DATABASE_Table[[#This Row],[Current Asking price( Total)]]-DATABASE_Table[[#This Row],[Vista membership]]-DATABASE_Table[[#This Row],[FF&amp;E]]</f>
        <v>1924100</v>
      </c>
      <c r="X470" s="216"/>
      <c r="Y470" s="232">
        <v>2010000</v>
      </c>
      <c r="Z470" s="233">
        <f>DATABASE_Table[[#This Row],[Sell price (Total)]]-DATABASE_Table[[#This Row],[FF&amp;E]]-DATABASE_Table[[#This Row],[Vista membership]]</f>
        <v>1924100</v>
      </c>
      <c r="AA470" s="315"/>
      <c r="AB470" s="321"/>
      <c r="AC470" s="198" t="s">
        <v>10</v>
      </c>
      <c r="AD470" s="198" t="s">
        <v>35</v>
      </c>
      <c r="AE470" s="279" t="s">
        <v>38</v>
      </c>
      <c r="AF470" s="279" t="s">
        <v>39</v>
      </c>
      <c r="AG470" s="279" t="s">
        <v>40</v>
      </c>
      <c r="AH470" s="279" t="s">
        <v>810</v>
      </c>
      <c r="AI470" s="198" t="s">
        <v>41</v>
      </c>
      <c r="AJ470" s="274" t="s">
        <v>37</v>
      </c>
      <c r="AK470"/>
    </row>
    <row r="471" spans="1:37" ht="15.75" hidden="1" customHeight="1">
      <c r="A471" s="198" t="s">
        <v>563</v>
      </c>
      <c r="B471" s="198" t="s">
        <v>691</v>
      </c>
      <c r="C471" s="214" t="s">
        <v>372</v>
      </c>
      <c r="D471" s="198" t="s">
        <v>9</v>
      </c>
      <c r="E471" s="198" t="s">
        <v>319</v>
      </c>
      <c r="F471" s="198">
        <v>104.7</v>
      </c>
      <c r="G471" s="198"/>
      <c r="H471" s="214" t="s">
        <v>325</v>
      </c>
      <c r="I471" s="214" t="s">
        <v>325</v>
      </c>
      <c r="J471" s="271"/>
      <c r="K471" s="198"/>
      <c r="L471" s="198"/>
      <c r="M471" s="198"/>
      <c r="N471" s="198"/>
      <c r="O471" s="198">
        <v>104.7</v>
      </c>
      <c r="P471" s="198"/>
      <c r="Q471" s="198" t="s">
        <v>628</v>
      </c>
      <c r="R471" s="230">
        <f>DATABASE_Table[[#This Row],[Inicial Asking Price (€) (Total)]]-DATABASE_Table[[#This Row],[Vista membership]]-DATABASE_Table[[#This Row],[FF&amp;E]]</f>
        <v>550000</v>
      </c>
      <c r="S471" s="231">
        <v>550000</v>
      </c>
      <c r="T471" s="232">
        <v>550000</v>
      </c>
      <c r="U471" s="198"/>
      <c r="V471" s="198"/>
      <c r="W471" s="233">
        <f>DATABASE_Table[[#This Row],[Current Asking price( Total)]]-DATABASE_Table[[#This Row],[Vista membership]]-DATABASE_Table[[#This Row],[FF&amp;E]]</f>
        <v>550000</v>
      </c>
      <c r="X471" s="216">
        <v>0</v>
      </c>
      <c r="Y471" s="232">
        <v>550000</v>
      </c>
      <c r="Z471" s="233">
        <f>DATABASE_Table[[#This Row],[Sell price (Total)]]-DATABASE_Table[[#This Row],[FF&amp;E]]-DATABASE_Table[[#This Row],[Vista membership]]</f>
        <v>550000</v>
      </c>
      <c r="AA471" s="317">
        <v>45895</v>
      </c>
      <c r="AB471" s="321"/>
      <c r="AC471" s="198" t="s">
        <v>10</v>
      </c>
      <c r="AD471" s="198" t="s">
        <v>11</v>
      </c>
      <c r="AE471" s="279" t="s">
        <v>28</v>
      </c>
      <c r="AF471" s="279" t="s">
        <v>29</v>
      </c>
      <c r="AG471" s="279" t="s">
        <v>805</v>
      </c>
      <c r="AH471" s="279" t="s">
        <v>806</v>
      </c>
      <c r="AI471" s="198" t="s">
        <v>30</v>
      </c>
      <c r="AJ471" s="274" t="s">
        <v>27</v>
      </c>
      <c r="AK471"/>
    </row>
    <row r="472" spans="1:37" ht="15.75" hidden="1" customHeight="1">
      <c r="A472" s="198" t="s">
        <v>562</v>
      </c>
      <c r="B472" s="198" t="s">
        <v>691</v>
      </c>
      <c r="C472" s="214" t="s">
        <v>372</v>
      </c>
      <c r="D472" s="198" t="s">
        <v>9</v>
      </c>
      <c r="E472" s="198" t="s">
        <v>319</v>
      </c>
      <c r="F472" s="198">
        <v>119</v>
      </c>
      <c r="G472" s="198"/>
      <c r="H472" s="214" t="s">
        <v>325</v>
      </c>
      <c r="I472" s="214" t="s">
        <v>325</v>
      </c>
      <c r="J472" s="271"/>
      <c r="K472" s="198"/>
      <c r="L472" s="198"/>
      <c r="M472" s="198"/>
      <c r="N472" s="198"/>
      <c r="O472" s="198">
        <v>119</v>
      </c>
      <c r="P472" s="198"/>
      <c r="Q472" s="198" t="s">
        <v>929</v>
      </c>
      <c r="R472" s="230">
        <f>DATABASE_Table[[#This Row],[Inicial Asking Price (€) (Total)]]-DATABASE_Table[[#This Row],[Vista membership]]-DATABASE_Table[[#This Row],[FF&amp;E]]</f>
        <v>590000</v>
      </c>
      <c r="S472" s="231">
        <v>590000</v>
      </c>
      <c r="T472" s="232">
        <v>640000</v>
      </c>
      <c r="U472" s="198"/>
      <c r="V472" s="198"/>
      <c r="W472" s="233">
        <f>DATABASE_Table[[#This Row],[Current Asking price( Total)]]-DATABASE_Table[[#This Row],[Vista membership]]-DATABASE_Table[[#This Row],[FF&amp;E]]</f>
        <v>640000</v>
      </c>
      <c r="X472" s="216">
        <v>0.1928125</v>
      </c>
      <c r="Y472" s="232">
        <v>516600</v>
      </c>
      <c r="Z472" s="233">
        <f>DATABASE_Table[[#This Row],[Sell price (Total)]]-DATABASE_Table[[#This Row],[FF&amp;E]]-DATABASE_Table[[#This Row],[Vista membership]]</f>
        <v>516600</v>
      </c>
      <c r="AA472" s="315">
        <v>45918</v>
      </c>
      <c r="AB472" s="321"/>
      <c r="AC472" s="198" t="s">
        <v>10</v>
      </c>
      <c r="AD472" s="198" t="s">
        <v>23</v>
      </c>
      <c r="AE472" s="279" t="s">
        <v>24</v>
      </c>
      <c r="AF472" s="279" t="s">
        <v>803</v>
      </c>
      <c r="AG472" s="279" t="s">
        <v>25</v>
      </c>
      <c r="AH472" s="279" t="s">
        <v>804</v>
      </c>
      <c r="AI472" s="198" t="s">
        <v>26</v>
      </c>
      <c r="AJ472" s="274" t="s">
        <v>22</v>
      </c>
      <c r="AK472"/>
    </row>
    <row r="473" spans="1:37" ht="15.75" hidden="1" customHeight="1">
      <c r="A473" s="198" t="s">
        <v>689</v>
      </c>
      <c r="B473" s="198" t="s">
        <v>691</v>
      </c>
      <c r="C473" s="214" t="s">
        <v>372</v>
      </c>
      <c r="D473" s="198"/>
      <c r="E473" s="198" t="s">
        <v>383</v>
      </c>
      <c r="F473" s="198">
        <v>188.2499</v>
      </c>
      <c r="G473" s="198"/>
      <c r="H473" s="214" t="s">
        <v>325</v>
      </c>
      <c r="I473" s="214" t="s">
        <v>325</v>
      </c>
      <c r="J473" s="271"/>
      <c r="K473" s="198"/>
      <c r="L473" s="198"/>
      <c r="M473" s="198"/>
      <c r="N473" s="198"/>
      <c r="O473" s="198">
        <v>188.2499</v>
      </c>
      <c r="P473" s="198"/>
      <c r="Q473" s="198" t="s">
        <v>929</v>
      </c>
      <c r="R473" s="230">
        <f>DATABASE_Table[[#This Row],[Inicial Asking Price (€) (Total)]]-DATABASE_Table[[#This Row],[Vista membership]]-DATABASE_Table[[#This Row],[FF&amp;E]]</f>
        <v>1072170</v>
      </c>
      <c r="S473" s="231">
        <v>1072170</v>
      </c>
      <c r="T473" s="232">
        <v>1072170</v>
      </c>
      <c r="U473" s="198"/>
      <c r="V473" s="198"/>
      <c r="W473" s="233">
        <f>DATABASE_Table[[#This Row],[Current Asking price( Total)]]-DATABASE_Table[[#This Row],[Vista membership]]-DATABASE_Table[[#This Row],[FF&amp;E]]</f>
        <v>1072170</v>
      </c>
      <c r="X473" s="216">
        <v>0</v>
      </c>
      <c r="Y473" s="232">
        <v>1072170</v>
      </c>
      <c r="Z473" s="233">
        <f>DATABASE_Table[[#This Row],[Sell price (Total)]]-DATABASE_Table[[#This Row],[FF&amp;E]]-DATABASE_Table[[#This Row],[Vista membership]]</f>
        <v>1072170</v>
      </c>
      <c r="AA473" s="315">
        <v>44663</v>
      </c>
      <c r="AB473" s="321"/>
      <c r="AC473" s="198"/>
      <c r="AD473" s="198"/>
      <c r="AE473" s="279"/>
      <c r="AF473" s="279"/>
      <c r="AG473" s="279"/>
      <c r="AH473" s="279"/>
      <c r="AI473" s="198"/>
      <c r="AJ473" s="274" t="s">
        <v>689</v>
      </c>
      <c r="AK473"/>
    </row>
    <row r="474" spans="1:37" ht="15.75" hidden="1" customHeight="1">
      <c r="A474" s="198" t="s">
        <v>564</v>
      </c>
      <c r="B474" s="198" t="s">
        <v>691</v>
      </c>
      <c r="C474" s="214" t="s">
        <v>372</v>
      </c>
      <c r="D474" s="198" t="s">
        <v>9</v>
      </c>
      <c r="E474" s="198" t="s">
        <v>416</v>
      </c>
      <c r="F474" s="198">
        <v>127.12</v>
      </c>
      <c r="G474" s="198"/>
      <c r="H474" s="214" t="s">
        <v>325</v>
      </c>
      <c r="I474" s="214" t="s">
        <v>325</v>
      </c>
      <c r="J474" s="271">
        <v>37.6</v>
      </c>
      <c r="K474" s="198"/>
      <c r="L474" s="198"/>
      <c r="M474" s="198"/>
      <c r="N474" s="198"/>
      <c r="O474" s="198">
        <v>89.52</v>
      </c>
      <c r="P474" s="198"/>
      <c r="Q474" s="198" t="s">
        <v>329</v>
      </c>
      <c r="R474" s="230">
        <f>DATABASE_Table[[#This Row],[Inicial Asking Price (€) (Total)]]-DATABASE_Table[[#This Row],[Vista membership]]-DATABASE_Table[[#This Row],[FF&amp;E]]</f>
        <v>724474.77760000003</v>
      </c>
      <c r="S474" s="231">
        <v>789074.77760000003</v>
      </c>
      <c r="T474" s="232">
        <v>860000</v>
      </c>
      <c r="U474" s="198">
        <v>24600</v>
      </c>
      <c r="V474" s="198">
        <v>40000</v>
      </c>
      <c r="W474" s="233">
        <f>DATABASE_Table[[#This Row],[Current Asking price( Total)]]-DATABASE_Table[[#This Row],[Vista membership]]-DATABASE_Table[[#This Row],[FF&amp;E]]</f>
        <v>795400</v>
      </c>
      <c r="X474" s="216"/>
      <c r="Y474" s="232">
        <v>860000</v>
      </c>
      <c r="Z474" s="233">
        <f>DATABASE_Table[[#This Row],[Sell price (Total)]]-DATABASE_Table[[#This Row],[FF&amp;E]]-DATABASE_Table[[#This Row],[Vista membership]]</f>
        <v>795400</v>
      </c>
      <c r="AA474" s="315"/>
      <c r="AB474" s="321"/>
      <c r="AC474" s="198" t="s">
        <v>10</v>
      </c>
      <c r="AD474" s="198" t="s">
        <v>35</v>
      </c>
      <c r="AE474" s="279" t="s">
        <v>43</v>
      </c>
      <c r="AF474" s="279" t="s">
        <v>44</v>
      </c>
      <c r="AG474" s="279" t="s">
        <v>45</v>
      </c>
      <c r="AH474" s="279" t="s">
        <v>46</v>
      </c>
      <c r="AI474" s="198" t="s">
        <v>47</v>
      </c>
      <c r="AJ474" s="274" t="s">
        <v>42</v>
      </c>
      <c r="AK474"/>
    </row>
    <row r="475" spans="1:37" ht="15.75" hidden="1" customHeight="1">
      <c r="A475" s="198" t="s">
        <v>630</v>
      </c>
      <c r="B475" s="198" t="s">
        <v>691</v>
      </c>
      <c r="C475" s="214" t="s">
        <v>373</v>
      </c>
      <c r="D475" s="198" t="s">
        <v>9</v>
      </c>
      <c r="E475" s="198" t="s">
        <v>320</v>
      </c>
      <c r="F475" s="198">
        <v>224.06</v>
      </c>
      <c r="G475" s="198"/>
      <c r="H475" s="214" t="s">
        <v>850</v>
      </c>
      <c r="I475" s="214" t="s">
        <v>325</v>
      </c>
      <c r="J475" s="271">
        <v>55.65</v>
      </c>
      <c r="K475" s="198"/>
      <c r="L475" s="198"/>
      <c r="M475" s="198">
        <v>0</v>
      </c>
      <c r="N475" s="198"/>
      <c r="O475" s="198">
        <v>168.41</v>
      </c>
      <c r="P475" s="198"/>
      <c r="Q475" s="198" t="s">
        <v>329</v>
      </c>
      <c r="R475" s="230">
        <f>DATABASE_Table[[#This Row],[Inicial Asking Price (€) (Total)]]-DATABASE_Table[[#This Row],[Vista membership]]-DATABASE_Table[[#This Row],[FF&amp;E]]</f>
        <v>1562843.1</v>
      </c>
      <c r="S475" s="231">
        <v>1562843.1</v>
      </c>
      <c r="T475" s="232">
        <v>1575000</v>
      </c>
      <c r="U475" s="198"/>
      <c r="V475" s="198"/>
      <c r="W475" s="233">
        <f>DATABASE_Table[[#This Row],[Current Asking price( Total)]]-DATABASE_Table[[#This Row],[Vista membership]]-DATABASE_Table[[#This Row],[FF&amp;E]]</f>
        <v>1575000</v>
      </c>
      <c r="X475" s="216"/>
      <c r="Y475" s="232">
        <v>1570000</v>
      </c>
      <c r="Z475" s="233">
        <f>DATABASE_Table[[#This Row],[Sell price (Total)]]-DATABASE_Table[[#This Row],[FF&amp;E]]-DATABASE_Table[[#This Row],[Vista membership]]</f>
        <v>1570000</v>
      </c>
      <c r="AA475" s="315"/>
      <c r="AB475" s="321"/>
      <c r="AC475" s="198" t="s">
        <v>10</v>
      </c>
      <c r="AD475" s="198" t="s">
        <v>11</v>
      </c>
      <c r="AE475" s="279" t="s">
        <v>53</v>
      </c>
      <c r="AF475" s="279" t="s">
        <v>54</v>
      </c>
      <c r="AG475" s="279" t="s">
        <v>811</v>
      </c>
      <c r="AH475" s="279" t="s">
        <v>812</v>
      </c>
      <c r="AI475" s="198" t="s">
        <v>36</v>
      </c>
      <c r="AJ475" s="274" t="s">
        <v>52</v>
      </c>
      <c r="AK475"/>
    </row>
    <row r="476" spans="1:37" ht="15.75" hidden="1" customHeight="1">
      <c r="A476" s="198" t="s">
        <v>773</v>
      </c>
      <c r="B476" s="198" t="s">
        <v>769</v>
      </c>
      <c r="C476" s="214" t="s">
        <v>864</v>
      </c>
      <c r="D476" s="198" t="s">
        <v>67</v>
      </c>
      <c r="E476" s="198" t="s">
        <v>553</v>
      </c>
      <c r="F476" s="198">
        <v>3322</v>
      </c>
      <c r="G476" s="198"/>
      <c r="H476" s="214" t="s">
        <v>325</v>
      </c>
      <c r="I476" s="214" t="s">
        <v>325</v>
      </c>
      <c r="J476" s="271"/>
      <c r="K476" s="198"/>
      <c r="L476" s="198"/>
      <c r="M476" s="198"/>
      <c r="N476" s="198"/>
      <c r="O476" s="198">
        <v>420</v>
      </c>
      <c r="P476" s="198"/>
      <c r="Q476" s="198" t="s">
        <v>329</v>
      </c>
      <c r="R476" s="230">
        <f>DATABASE_Table[[#This Row],[Inicial Asking Price (€) (Total)]]-DATABASE_Table[[#This Row],[Vista membership]]-DATABASE_Table[[#This Row],[FF&amp;E]]</f>
        <v>810000</v>
      </c>
      <c r="S476" s="234">
        <v>810000</v>
      </c>
      <c r="T476" s="235">
        <v>1700000</v>
      </c>
      <c r="U476" s="198"/>
      <c r="V476" s="198"/>
      <c r="W476" s="233">
        <f>DATABASE_Table[[#This Row],[Current Asking price( Total)]]-DATABASE_Table[[#This Row],[Vista membership]]-DATABASE_Table[[#This Row],[FF&amp;E]]</f>
        <v>1700000</v>
      </c>
      <c r="X476" s="236"/>
      <c r="Y476" s="235">
        <v>1700000</v>
      </c>
      <c r="Z476" s="233">
        <f>DATABASE_Table[[#This Row],[Sell price (Total)]]-DATABASE_Table[[#This Row],[FF&amp;E]]-DATABASE_Table[[#This Row],[Vista membership]]</f>
        <v>1700000</v>
      </c>
      <c r="AA476" s="315"/>
      <c r="AB476" s="321">
        <v>46843</v>
      </c>
      <c r="AC476" s="198" t="s">
        <v>57</v>
      </c>
      <c r="AD476" s="198" t="s">
        <v>68</v>
      </c>
      <c r="AE476" s="279" t="s">
        <v>69</v>
      </c>
      <c r="AF476" s="279" t="s">
        <v>70</v>
      </c>
      <c r="AG476" s="279" t="s">
        <v>71</v>
      </c>
      <c r="AH476" s="279" t="s">
        <v>816</v>
      </c>
      <c r="AI476" s="198" t="s">
        <v>72</v>
      </c>
      <c r="AJ476" s="274" t="s">
        <v>66</v>
      </c>
      <c r="AK476"/>
    </row>
    <row r="477" spans="1:37" ht="15.75" hidden="1" customHeight="1">
      <c r="A477" s="198" t="s">
        <v>773</v>
      </c>
      <c r="B477" s="198" t="s">
        <v>769</v>
      </c>
      <c r="C477" s="214" t="s">
        <v>865</v>
      </c>
      <c r="D477" s="198" t="s">
        <v>67</v>
      </c>
      <c r="E477" s="198" t="s">
        <v>553</v>
      </c>
      <c r="F477" s="198">
        <v>3311</v>
      </c>
      <c r="G477" s="198"/>
      <c r="H477" s="214" t="s">
        <v>325</v>
      </c>
      <c r="I477" s="214" t="s">
        <v>325</v>
      </c>
      <c r="J477" s="271"/>
      <c r="K477" s="198"/>
      <c r="L477" s="198"/>
      <c r="M477" s="198"/>
      <c r="N477" s="198"/>
      <c r="O477" s="198">
        <v>420</v>
      </c>
      <c r="P477" s="198"/>
      <c r="Q477" s="198" t="s">
        <v>329</v>
      </c>
      <c r="R477" s="230">
        <f>DATABASE_Table[[#This Row],[Inicial Asking Price (€) (Total)]]-DATABASE_Table[[#This Row],[Vista membership]]-DATABASE_Table[[#This Row],[FF&amp;E]]</f>
        <v>810000</v>
      </c>
      <c r="S477" s="234">
        <v>810000</v>
      </c>
      <c r="T477" s="235">
        <v>1650000</v>
      </c>
      <c r="U477" s="198"/>
      <c r="V477" s="198"/>
      <c r="W477" s="233">
        <f>DATABASE_Table[[#This Row],[Current Asking price( Total)]]-DATABASE_Table[[#This Row],[Vista membership]]-DATABASE_Table[[#This Row],[FF&amp;E]]</f>
        <v>1650000</v>
      </c>
      <c r="X477" s="236"/>
      <c r="Y477" s="235">
        <v>1650000</v>
      </c>
      <c r="Z477" s="233">
        <f>DATABASE_Table[[#This Row],[Sell price (Total)]]-DATABASE_Table[[#This Row],[FF&amp;E]]-DATABASE_Table[[#This Row],[Vista membership]]</f>
        <v>1650000</v>
      </c>
      <c r="AA477" s="315"/>
      <c r="AB477" s="321">
        <v>46843</v>
      </c>
      <c r="AC477" s="198" t="s">
        <v>57</v>
      </c>
      <c r="AD477" s="198" t="s">
        <v>68</v>
      </c>
      <c r="AE477" s="279" t="s">
        <v>69</v>
      </c>
      <c r="AF477" s="279" t="s">
        <v>70</v>
      </c>
      <c r="AG477" s="279" t="s">
        <v>71</v>
      </c>
      <c r="AH477" s="279" t="s">
        <v>816</v>
      </c>
      <c r="AI477" s="198" t="s">
        <v>72</v>
      </c>
      <c r="AJ477" s="274" t="s">
        <v>66</v>
      </c>
      <c r="AK477"/>
    </row>
    <row r="478" spans="1:37" ht="15.75" hidden="1" customHeight="1">
      <c r="A478" s="198" t="s">
        <v>784</v>
      </c>
      <c r="B478" s="198" t="s">
        <v>787</v>
      </c>
      <c r="C478" s="214" t="s">
        <v>446</v>
      </c>
      <c r="D478" s="198" t="s">
        <v>88</v>
      </c>
      <c r="E478" s="198" t="s">
        <v>383</v>
      </c>
      <c r="F478" s="198">
        <v>311.70999999999998</v>
      </c>
      <c r="G478" s="198"/>
      <c r="H478" s="214" t="s">
        <v>849</v>
      </c>
      <c r="I478" s="214" t="s">
        <v>590</v>
      </c>
      <c r="J478" s="271">
        <v>0</v>
      </c>
      <c r="K478" s="198">
        <v>98.43</v>
      </c>
      <c r="L478" s="198">
        <v>46.1</v>
      </c>
      <c r="M478" s="198"/>
      <c r="N478" s="198"/>
      <c r="O478" s="198">
        <v>167.18</v>
      </c>
      <c r="P478" s="198"/>
      <c r="Q478" s="198" t="s">
        <v>326</v>
      </c>
      <c r="R478" s="230">
        <f>DATABASE_Table[[#This Row],[Inicial Asking Price (€) (Total)]]-DATABASE_Table[[#This Row],[Vista membership]]-DATABASE_Table[[#This Row],[FF&amp;E]]</f>
        <v>810000</v>
      </c>
      <c r="S478" s="234">
        <v>810000</v>
      </c>
      <c r="T478" s="235">
        <v>860000</v>
      </c>
      <c r="U478" s="198"/>
      <c r="V478" s="198"/>
      <c r="W478" s="233">
        <f>DATABASE_Table[[#This Row],[Current Asking price( Total)]]-DATABASE_Table[[#This Row],[Vista membership]]-DATABASE_Table[[#This Row],[FF&amp;E]]</f>
        <v>860000</v>
      </c>
      <c r="X478" s="236">
        <v>0</v>
      </c>
      <c r="Y478" s="235">
        <v>840000</v>
      </c>
      <c r="Z478" s="233">
        <f>DATABASE_Table[[#This Row],[Sell price (Total)]]-DATABASE_Table[[#This Row],[FF&amp;E]]-DATABASE_Table[[#This Row],[Vista membership]]</f>
        <v>840000</v>
      </c>
      <c r="AA478" s="315">
        <v>46171</v>
      </c>
      <c r="AB478" s="321">
        <v>47208</v>
      </c>
      <c r="AC478" s="198" t="s">
        <v>80</v>
      </c>
      <c r="AD478" s="198" t="s">
        <v>81</v>
      </c>
      <c r="AE478" s="279" t="s">
        <v>89</v>
      </c>
      <c r="AF478" s="279" t="s">
        <v>90</v>
      </c>
      <c r="AG478" s="279" t="s">
        <v>91</v>
      </c>
      <c r="AH478" s="279" t="s">
        <v>92</v>
      </c>
      <c r="AI478" s="198" t="s">
        <v>30</v>
      </c>
      <c r="AJ478" s="274" t="s">
        <v>87</v>
      </c>
      <c r="AK478"/>
    </row>
    <row r="479" spans="1:37" ht="15.75" hidden="1" customHeight="1">
      <c r="A479" s="198" t="s">
        <v>558</v>
      </c>
      <c r="B479" s="198" t="s">
        <v>691</v>
      </c>
      <c r="C479" s="214" t="s">
        <v>373</v>
      </c>
      <c r="D479" s="198" t="s">
        <v>9</v>
      </c>
      <c r="E479" s="198" t="s">
        <v>319</v>
      </c>
      <c r="F479" s="198">
        <v>109.17</v>
      </c>
      <c r="G479" s="198">
        <v>3.99</v>
      </c>
      <c r="H479" s="214" t="s">
        <v>325</v>
      </c>
      <c r="I479" s="214" t="s">
        <v>325</v>
      </c>
      <c r="J479" s="271"/>
      <c r="K479" s="198"/>
      <c r="L479" s="198"/>
      <c r="M479" s="198"/>
      <c r="N479" s="198"/>
      <c r="O479" s="198">
        <v>109.17</v>
      </c>
      <c r="P479" s="198"/>
      <c r="Q479" s="198" t="s">
        <v>628</v>
      </c>
      <c r="R479" s="230">
        <f>DATABASE_Table[[#This Row],[Inicial Asking Price (€) (Total)]]-DATABASE_Table[[#This Row],[Vista membership]]-DATABASE_Table[[#This Row],[FF&amp;E]]</f>
        <v>720000</v>
      </c>
      <c r="S479" s="231">
        <v>720000</v>
      </c>
      <c r="T479" s="232">
        <v>684000</v>
      </c>
      <c r="U479" s="198"/>
      <c r="V479" s="198"/>
      <c r="W479" s="233">
        <f>DATABASE_Table[[#This Row],[Current Asking price( Total)]]-DATABASE_Table[[#This Row],[Vista membership]]-DATABASE_Table[[#This Row],[FF&amp;E]]</f>
        <v>684000</v>
      </c>
      <c r="X479" s="216">
        <v>0</v>
      </c>
      <c r="Y479" s="232">
        <v>684000</v>
      </c>
      <c r="Z479" s="233">
        <f>DATABASE_Table[[#This Row],[Sell price (Total)]]-DATABASE_Table[[#This Row],[FF&amp;E]]-DATABASE_Table[[#This Row],[Vista membership]]</f>
        <v>684000</v>
      </c>
      <c r="AA479" s="315">
        <v>45955</v>
      </c>
      <c r="AB479" s="321"/>
      <c r="AC479" s="198" t="s">
        <v>10</v>
      </c>
      <c r="AD479" s="198" t="s">
        <v>11</v>
      </c>
      <c r="AE479" s="279" t="s">
        <v>12</v>
      </c>
      <c r="AF479" s="279" t="s">
        <v>801</v>
      </c>
      <c r="AG479" s="279" t="s">
        <v>13</v>
      </c>
      <c r="AH479" s="279" t="s">
        <v>14</v>
      </c>
      <c r="AI479" s="198" t="s">
        <v>15</v>
      </c>
      <c r="AJ479" s="274" t="s">
        <v>8</v>
      </c>
      <c r="AK479"/>
    </row>
    <row r="480" spans="1:37" ht="15.75" hidden="1" customHeight="1">
      <c r="A480" s="198" t="s">
        <v>31</v>
      </c>
      <c r="B480" s="198" t="s">
        <v>691</v>
      </c>
      <c r="C480" s="214" t="s">
        <v>373</v>
      </c>
      <c r="D480" s="198" t="s">
        <v>9</v>
      </c>
      <c r="E480" s="198" t="s">
        <v>321</v>
      </c>
      <c r="F480" s="198"/>
      <c r="G480" s="198"/>
      <c r="H480" s="214" t="s">
        <v>325</v>
      </c>
      <c r="I480" s="214" t="s">
        <v>590</v>
      </c>
      <c r="J480" s="271"/>
      <c r="K480" s="198">
        <v>0</v>
      </c>
      <c r="L480" s="198"/>
      <c r="M480" s="198">
        <v>152</v>
      </c>
      <c r="N480" s="198"/>
      <c r="O480" s="198">
        <v>233</v>
      </c>
      <c r="P480" s="198"/>
      <c r="Q480" s="198" t="s">
        <v>329</v>
      </c>
      <c r="R480" s="230">
        <f>DATABASE_Table[[#This Row],[Inicial Asking Price (€) (Total)]]-DATABASE_Table[[#This Row],[Vista membership]]-DATABASE_Table[[#This Row],[FF&amp;E]]</f>
        <v>1760000</v>
      </c>
      <c r="S480" s="232">
        <v>1760000</v>
      </c>
      <c r="T480" s="232">
        <v>1760000</v>
      </c>
      <c r="U480" s="198"/>
      <c r="V480" s="198"/>
      <c r="W480" s="233">
        <f>DATABASE_Table[[#This Row],[Current Asking price( Total)]]-DATABASE_Table[[#This Row],[Vista membership]]-DATABASE_Table[[#This Row],[FF&amp;E]]</f>
        <v>1760000</v>
      </c>
      <c r="X480" s="216"/>
      <c r="Y480" s="232">
        <v>1710000</v>
      </c>
      <c r="Z480" s="233">
        <f>DATABASE_Table[[#This Row],[Sell price (Total)]]-DATABASE_Table[[#This Row],[FF&amp;E]]-DATABASE_Table[[#This Row],[Vista membership]]</f>
        <v>1710000</v>
      </c>
      <c r="AA480" s="315"/>
      <c r="AB480" s="321"/>
      <c r="AC480" s="198" t="s">
        <v>10</v>
      </c>
      <c r="AD480" s="198" t="s">
        <v>807</v>
      </c>
      <c r="AE480" s="279" t="s">
        <v>32</v>
      </c>
      <c r="AF480" s="279" t="s">
        <v>808</v>
      </c>
      <c r="AG480" s="279" t="s">
        <v>33</v>
      </c>
      <c r="AH480" s="279" t="s">
        <v>809</v>
      </c>
      <c r="AI480" s="198" t="s">
        <v>15</v>
      </c>
      <c r="AJ480" s="274" t="s">
        <v>31</v>
      </c>
      <c r="AK480"/>
    </row>
    <row r="481" spans="1:37" ht="15.75" hidden="1" customHeight="1">
      <c r="A481" s="198" t="s">
        <v>690</v>
      </c>
      <c r="B481" s="198" t="s">
        <v>691</v>
      </c>
      <c r="C481" s="214" t="s">
        <v>373</v>
      </c>
      <c r="D481" s="198" t="s">
        <v>9</v>
      </c>
      <c r="E481" s="198" t="s">
        <v>763</v>
      </c>
      <c r="F481" s="198">
        <v>508.42</v>
      </c>
      <c r="G481" s="198">
        <v>313.45999999999998</v>
      </c>
      <c r="H481" s="214" t="s">
        <v>325</v>
      </c>
      <c r="I481" s="214" t="s">
        <v>325</v>
      </c>
      <c r="J481" s="271">
        <v>32.840000000000003</v>
      </c>
      <c r="K481" s="198"/>
      <c r="L481" s="198"/>
      <c r="M481" s="198"/>
      <c r="N481" s="198"/>
      <c r="O481" s="198">
        <v>162.12</v>
      </c>
      <c r="P481" s="198"/>
      <c r="Q481" s="198" t="s">
        <v>329</v>
      </c>
      <c r="R481" s="230">
        <f>DATABASE_Table[[#This Row],[Inicial Asking Price (€) (Total)]]-DATABASE_Table[[#This Row],[Vista membership]]-DATABASE_Table[[#This Row],[FF&amp;E]]</f>
        <v>1858200</v>
      </c>
      <c r="S481" s="231">
        <v>1944100</v>
      </c>
      <c r="T481" s="232">
        <v>2030000</v>
      </c>
      <c r="U481" s="198">
        <v>24600</v>
      </c>
      <c r="V481" s="198">
        <v>61300</v>
      </c>
      <c r="W481" s="233">
        <f>DATABASE_Table[[#This Row],[Current Asking price( Total)]]-DATABASE_Table[[#This Row],[Vista membership]]-DATABASE_Table[[#This Row],[FF&amp;E]]</f>
        <v>1944100</v>
      </c>
      <c r="X481" s="216"/>
      <c r="Y481" s="232">
        <v>2030000</v>
      </c>
      <c r="Z481" s="233">
        <f>DATABASE_Table[[#This Row],[Sell price (Total)]]-DATABASE_Table[[#This Row],[FF&amp;E]]-DATABASE_Table[[#This Row],[Vista membership]]</f>
        <v>1944100</v>
      </c>
      <c r="AA481" s="315"/>
      <c r="AB481" s="321"/>
      <c r="AC481" s="198" t="s">
        <v>10</v>
      </c>
      <c r="AD481" s="198" t="s">
        <v>35</v>
      </c>
      <c r="AE481" s="279" t="s">
        <v>38</v>
      </c>
      <c r="AF481" s="279" t="s">
        <v>39</v>
      </c>
      <c r="AG481" s="279" t="s">
        <v>40</v>
      </c>
      <c r="AH481" s="279" t="s">
        <v>810</v>
      </c>
      <c r="AI481" s="198" t="s">
        <v>41</v>
      </c>
      <c r="AJ481" s="274" t="s">
        <v>37</v>
      </c>
      <c r="AK481"/>
    </row>
    <row r="482" spans="1:37" ht="15.75" hidden="1" customHeight="1">
      <c r="A482" s="198" t="s">
        <v>563</v>
      </c>
      <c r="B482" s="198" t="s">
        <v>691</v>
      </c>
      <c r="C482" s="214" t="s">
        <v>373</v>
      </c>
      <c r="D482" s="198" t="s">
        <v>9</v>
      </c>
      <c r="E482" s="198" t="s">
        <v>319</v>
      </c>
      <c r="F482" s="198">
        <v>104.7</v>
      </c>
      <c r="G482" s="198"/>
      <c r="H482" s="214" t="s">
        <v>325</v>
      </c>
      <c r="I482" s="214" t="s">
        <v>325</v>
      </c>
      <c r="J482" s="271"/>
      <c r="K482" s="198"/>
      <c r="L482" s="198"/>
      <c r="M482" s="198"/>
      <c r="N482" s="198"/>
      <c r="O482" s="198">
        <v>104.7</v>
      </c>
      <c r="P482" s="198"/>
      <c r="Q482" s="198" t="s">
        <v>628</v>
      </c>
      <c r="R482" s="230">
        <f>DATABASE_Table[[#This Row],[Inicial Asking Price (€) (Total)]]-DATABASE_Table[[#This Row],[Vista membership]]-DATABASE_Table[[#This Row],[FF&amp;E]]</f>
        <v>540000</v>
      </c>
      <c r="S482" s="231">
        <v>540000</v>
      </c>
      <c r="T482" s="232">
        <v>540000</v>
      </c>
      <c r="U482" s="198"/>
      <c r="V482" s="198"/>
      <c r="W482" s="233">
        <f>DATABASE_Table[[#This Row],[Current Asking price( Total)]]-DATABASE_Table[[#This Row],[Vista membership]]-DATABASE_Table[[#This Row],[FF&amp;E]]</f>
        <v>540000</v>
      </c>
      <c r="X482" s="216">
        <v>0</v>
      </c>
      <c r="Y482" s="232">
        <v>540000</v>
      </c>
      <c r="Z482" s="233">
        <f>DATABASE_Table[[#This Row],[Sell price (Total)]]-DATABASE_Table[[#This Row],[FF&amp;E]]-DATABASE_Table[[#This Row],[Vista membership]]</f>
        <v>540000</v>
      </c>
      <c r="AA482" s="317">
        <v>45897</v>
      </c>
      <c r="AB482" s="321"/>
      <c r="AC482" s="198" t="s">
        <v>10</v>
      </c>
      <c r="AD482" s="198" t="s">
        <v>11</v>
      </c>
      <c r="AE482" s="279" t="s">
        <v>28</v>
      </c>
      <c r="AF482" s="279" t="s">
        <v>29</v>
      </c>
      <c r="AG482" s="279" t="s">
        <v>805</v>
      </c>
      <c r="AH482" s="279" t="s">
        <v>806</v>
      </c>
      <c r="AI482" s="198" t="s">
        <v>30</v>
      </c>
      <c r="AJ482" s="274" t="s">
        <v>27</v>
      </c>
      <c r="AK482"/>
    </row>
    <row r="483" spans="1:37" ht="15.75" hidden="1" customHeight="1">
      <c r="A483" s="198" t="s">
        <v>773</v>
      </c>
      <c r="B483" s="198" t="s">
        <v>769</v>
      </c>
      <c r="C483" s="214" t="s">
        <v>835</v>
      </c>
      <c r="D483" s="198" t="s">
        <v>67</v>
      </c>
      <c r="E483" s="198" t="s">
        <v>553</v>
      </c>
      <c r="F483" s="198">
        <v>2821</v>
      </c>
      <c r="G483" s="198"/>
      <c r="H483" s="214" t="s">
        <v>325</v>
      </c>
      <c r="I483" s="214" t="s">
        <v>325</v>
      </c>
      <c r="J483" s="271"/>
      <c r="K483" s="198"/>
      <c r="L483" s="198"/>
      <c r="M483" s="198"/>
      <c r="N483" s="198"/>
      <c r="O483" s="198">
        <v>420</v>
      </c>
      <c r="P483" s="198"/>
      <c r="Q483" s="198" t="s">
        <v>329</v>
      </c>
      <c r="R483" s="230">
        <f>DATABASE_Table[[#This Row],[Inicial Asking Price (€) (Total)]]-DATABASE_Table[[#This Row],[Vista membership]]-DATABASE_Table[[#This Row],[FF&amp;E]]</f>
        <v>820000</v>
      </c>
      <c r="S483" s="234">
        <v>820000</v>
      </c>
      <c r="T483" s="235">
        <v>1950000</v>
      </c>
      <c r="U483" s="198"/>
      <c r="V483" s="198"/>
      <c r="W483" s="233">
        <f>DATABASE_Table[[#This Row],[Current Asking price( Total)]]-DATABASE_Table[[#This Row],[Vista membership]]-DATABASE_Table[[#This Row],[FF&amp;E]]</f>
        <v>1950000</v>
      </c>
      <c r="X483" s="236"/>
      <c r="Y483" s="235">
        <v>1950000</v>
      </c>
      <c r="Z483" s="233">
        <f>DATABASE_Table[[#This Row],[Sell price (Total)]]-DATABASE_Table[[#This Row],[FF&amp;E]]-DATABASE_Table[[#This Row],[Vista membership]]</f>
        <v>1950000</v>
      </c>
      <c r="AA483" s="315"/>
      <c r="AB483" s="321">
        <v>46843</v>
      </c>
      <c r="AC483" s="198" t="s">
        <v>57</v>
      </c>
      <c r="AD483" s="198" t="s">
        <v>68</v>
      </c>
      <c r="AE483" s="279" t="s">
        <v>69</v>
      </c>
      <c r="AF483" s="279" t="s">
        <v>70</v>
      </c>
      <c r="AG483" s="279" t="s">
        <v>71</v>
      </c>
      <c r="AH483" s="279" t="s">
        <v>816</v>
      </c>
      <c r="AI483" s="198" t="s">
        <v>72</v>
      </c>
      <c r="AJ483" s="274" t="s">
        <v>66</v>
      </c>
      <c r="AK483"/>
    </row>
    <row r="484" spans="1:37" ht="15.75" hidden="1" customHeight="1">
      <c r="A484" s="198" t="s">
        <v>772</v>
      </c>
      <c r="B484" s="198" t="s">
        <v>769</v>
      </c>
      <c r="C484" s="214" t="s">
        <v>511</v>
      </c>
      <c r="D484" s="198"/>
      <c r="E484" s="198" t="s">
        <v>319</v>
      </c>
      <c r="F484" s="198">
        <v>158.30000000000001</v>
      </c>
      <c r="G484" s="198"/>
      <c r="H484" s="214" t="s">
        <v>659</v>
      </c>
      <c r="I484" s="214" t="s">
        <v>325</v>
      </c>
      <c r="J484" s="271"/>
      <c r="K484" s="198"/>
      <c r="L484" s="198"/>
      <c r="M484" s="198">
        <v>36.799999999999997</v>
      </c>
      <c r="N484" s="198"/>
      <c r="O484" s="198">
        <v>121.5</v>
      </c>
      <c r="P484" s="198"/>
      <c r="Q484" s="198" t="s">
        <v>628</v>
      </c>
      <c r="R484" s="230">
        <f>DATABASE_Table[[#This Row],[Inicial Asking Price (€) (Total)]]-DATABASE_Table[[#This Row],[Vista membership]]-DATABASE_Table[[#This Row],[FF&amp;E]]</f>
        <v>550000</v>
      </c>
      <c r="S484" s="234">
        <v>550000</v>
      </c>
      <c r="T484" s="235">
        <v>840000</v>
      </c>
      <c r="U484" s="198"/>
      <c r="V484" s="198"/>
      <c r="W484" s="233">
        <f>DATABASE_Table[[#This Row],[Current Asking price( Total)]]-DATABASE_Table[[#This Row],[Vista membership]]-DATABASE_Table[[#This Row],[FF&amp;E]]</f>
        <v>840000</v>
      </c>
      <c r="X484" s="236">
        <v>0</v>
      </c>
      <c r="Y484" s="235">
        <v>840000</v>
      </c>
      <c r="Z484" s="233">
        <f>DATABASE_Table[[#This Row],[Sell price (Total)]]-DATABASE_Table[[#This Row],[FF&amp;E]]-DATABASE_Table[[#This Row],[Vista membership]]</f>
        <v>840000</v>
      </c>
      <c r="AA484" s="316">
        <v>45079</v>
      </c>
      <c r="AB484" s="321">
        <v>46843</v>
      </c>
      <c r="AC484" s="198"/>
      <c r="AD484" s="198"/>
      <c r="AE484" s="279"/>
      <c r="AF484" s="279"/>
      <c r="AG484" s="279"/>
      <c r="AH484" s="279"/>
      <c r="AI484" s="198"/>
      <c r="AJ484" s="274" t="s">
        <v>66</v>
      </c>
      <c r="AK484"/>
    </row>
    <row r="485" spans="1:37" ht="15.75" hidden="1" customHeight="1">
      <c r="A485" s="198" t="s">
        <v>784</v>
      </c>
      <c r="B485" s="198" t="s">
        <v>787</v>
      </c>
      <c r="C485" s="214" t="s">
        <v>437</v>
      </c>
      <c r="D485" s="198" t="s">
        <v>88</v>
      </c>
      <c r="E485" s="198" t="s">
        <v>383</v>
      </c>
      <c r="F485" s="198">
        <v>209.64</v>
      </c>
      <c r="G485" s="198"/>
      <c r="H485" s="214" t="s">
        <v>849</v>
      </c>
      <c r="I485" s="214" t="s">
        <v>589</v>
      </c>
      <c r="J485" s="271">
        <v>0</v>
      </c>
      <c r="K485" s="198">
        <v>3.66</v>
      </c>
      <c r="L485" s="198">
        <v>44.52</v>
      </c>
      <c r="M485" s="198"/>
      <c r="N485" s="198"/>
      <c r="O485" s="198">
        <v>161.46</v>
      </c>
      <c r="P485" s="198"/>
      <c r="Q485" s="198" t="s">
        <v>329</v>
      </c>
      <c r="R485" s="230">
        <f>DATABASE_Table[[#This Row],[Inicial Asking Price (€) (Total)]]-DATABASE_Table[[#This Row],[Vista membership]]-DATABASE_Table[[#This Row],[FF&amp;E]]</f>
        <v>820000</v>
      </c>
      <c r="S485" s="234">
        <v>820000</v>
      </c>
      <c r="T485" s="235">
        <v>870000</v>
      </c>
      <c r="U485" s="198"/>
      <c r="V485" s="198"/>
      <c r="W485" s="233">
        <f>DATABASE_Table[[#This Row],[Current Asking price( Total)]]-DATABASE_Table[[#This Row],[Vista membership]]-DATABASE_Table[[#This Row],[FF&amp;E]]</f>
        <v>870000</v>
      </c>
      <c r="X485" s="236"/>
      <c r="Y485" s="235"/>
      <c r="Z485" s="233">
        <f>DATABASE_Table[[#This Row],[Sell price (Total)]]-DATABASE_Table[[#This Row],[FF&amp;E]]-DATABASE_Table[[#This Row],[Vista membership]]</f>
        <v>0</v>
      </c>
      <c r="AA485" s="315"/>
      <c r="AB485" s="321">
        <v>47208</v>
      </c>
      <c r="AC485" s="198" t="s">
        <v>80</v>
      </c>
      <c r="AD485" s="198" t="s">
        <v>81</v>
      </c>
      <c r="AE485" s="279" t="s">
        <v>89</v>
      </c>
      <c r="AF485" s="279" t="s">
        <v>90</v>
      </c>
      <c r="AG485" s="279" t="s">
        <v>91</v>
      </c>
      <c r="AH485" s="279" t="s">
        <v>92</v>
      </c>
      <c r="AI485" s="198" t="s">
        <v>30</v>
      </c>
      <c r="AJ485" s="274" t="s">
        <v>87</v>
      </c>
      <c r="AK485"/>
    </row>
    <row r="486" spans="1:37" ht="15.75" hidden="1" customHeight="1">
      <c r="A486" s="198" t="s">
        <v>784</v>
      </c>
      <c r="B486" s="198" t="s">
        <v>787</v>
      </c>
      <c r="C486" s="214" t="s">
        <v>434</v>
      </c>
      <c r="D486" s="198" t="s">
        <v>88</v>
      </c>
      <c r="E486" s="198" t="s">
        <v>383</v>
      </c>
      <c r="F486" s="198">
        <v>213.28</v>
      </c>
      <c r="G486" s="198"/>
      <c r="H486" s="214" t="s">
        <v>849</v>
      </c>
      <c r="I486" s="214" t="s">
        <v>589</v>
      </c>
      <c r="J486" s="271">
        <v>0</v>
      </c>
      <c r="K486" s="198">
        <v>0</v>
      </c>
      <c r="L486" s="198">
        <v>46.1</v>
      </c>
      <c r="M486" s="198"/>
      <c r="N486" s="198"/>
      <c r="O486" s="198">
        <v>167.18</v>
      </c>
      <c r="P486" s="198"/>
      <c r="Q486" s="198" t="s">
        <v>591</v>
      </c>
      <c r="R486" s="230">
        <f>DATABASE_Table[[#This Row],[Inicial Asking Price (€) (Total)]]-DATABASE_Table[[#This Row],[Vista membership]]-DATABASE_Table[[#This Row],[FF&amp;E]]</f>
        <v>820000</v>
      </c>
      <c r="S486" s="234">
        <v>820000</v>
      </c>
      <c r="T486" s="235">
        <v>840000</v>
      </c>
      <c r="U486" s="198"/>
      <c r="V486" s="198"/>
      <c r="W486" s="233">
        <f>DATABASE_Table[[#This Row],[Current Asking price( Total)]]-DATABASE_Table[[#This Row],[Vista membership]]-DATABASE_Table[[#This Row],[FF&amp;E]]</f>
        <v>840000</v>
      </c>
      <c r="X486" s="236"/>
      <c r="Y486" s="235"/>
      <c r="Z486" s="233">
        <f>DATABASE_Table[[#This Row],[Sell price (Total)]]-DATABASE_Table[[#This Row],[FF&amp;E]]-DATABASE_Table[[#This Row],[Vista membership]]</f>
        <v>0</v>
      </c>
      <c r="AA486" s="315"/>
      <c r="AB486" s="321">
        <v>47208</v>
      </c>
      <c r="AC486" s="198" t="s">
        <v>80</v>
      </c>
      <c r="AD486" s="198" t="s">
        <v>81</v>
      </c>
      <c r="AE486" s="279" t="s">
        <v>89</v>
      </c>
      <c r="AF486" s="279" t="s">
        <v>90</v>
      </c>
      <c r="AG486" s="279" t="s">
        <v>91</v>
      </c>
      <c r="AH486" s="279" t="s">
        <v>92</v>
      </c>
      <c r="AI486" s="198" t="s">
        <v>30</v>
      </c>
      <c r="AJ486" s="274" t="s">
        <v>87</v>
      </c>
      <c r="AK486"/>
    </row>
    <row r="487" spans="1:37" ht="15.75" hidden="1" customHeight="1">
      <c r="A487" s="198" t="s">
        <v>784</v>
      </c>
      <c r="B487" s="198" t="s">
        <v>787</v>
      </c>
      <c r="C487" s="214" t="s">
        <v>436</v>
      </c>
      <c r="D487" s="198" t="s">
        <v>88</v>
      </c>
      <c r="E487" s="198" t="s">
        <v>383</v>
      </c>
      <c r="F487" s="198">
        <v>205.98</v>
      </c>
      <c r="G487" s="198"/>
      <c r="H487" s="214" t="s">
        <v>849</v>
      </c>
      <c r="I487" s="214" t="s">
        <v>589</v>
      </c>
      <c r="J487" s="271">
        <v>0</v>
      </c>
      <c r="K487" s="198">
        <v>0</v>
      </c>
      <c r="L487" s="198">
        <v>44.52</v>
      </c>
      <c r="M487" s="198"/>
      <c r="N487" s="198"/>
      <c r="O487" s="198">
        <v>161.46</v>
      </c>
      <c r="P487" s="198"/>
      <c r="Q487" s="198" t="s">
        <v>591</v>
      </c>
      <c r="R487" s="230">
        <f>DATABASE_Table[[#This Row],[Inicial Asking Price (€) (Total)]]-DATABASE_Table[[#This Row],[Vista membership]]-DATABASE_Table[[#This Row],[FF&amp;E]]</f>
        <v>820000</v>
      </c>
      <c r="S487" s="234">
        <v>820000</v>
      </c>
      <c r="T487" s="235">
        <v>840000</v>
      </c>
      <c r="U487" s="198"/>
      <c r="V487" s="198"/>
      <c r="W487" s="233">
        <f>DATABASE_Table[[#This Row],[Current Asking price( Total)]]-DATABASE_Table[[#This Row],[Vista membership]]-DATABASE_Table[[#This Row],[FF&amp;E]]</f>
        <v>840000</v>
      </c>
      <c r="X487" s="236"/>
      <c r="Y487" s="235"/>
      <c r="Z487" s="233">
        <f>DATABASE_Table[[#This Row],[Sell price (Total)]]-DATABASE_Table[[#This Row],[FF&amp;E]]-DATABASE_Table[[#This Row],[Vista membership]]</f>
        <v>0</v>
      </c>
      <c r="AA487" s="315"/>
      <c r="AB487" s="321">
        <v>47208</v>
      </c>
      <c r="AC487" s="198" t="s">
        <v>80</v>
      </c>
      <c r="AD487" s="198" t="s">
        <v>81</v>
      </c>
      <c r="AE487" s="279" t="s">
        <v>89</v>
      </c>
      <c r="AF487" s="279" t="s">
        <v>90</v>
      </c>
      <c r="AG487" s="279" t="s">
        <v>91</v>
      </c>
      <c r="AH487" s="279" t="s">
        <v>92</v>
      </c>
      <c r="AI487" s="198" t="s">
        <v>30</v>
      </c>
      <c r="AJ487" s="274" t="s">
        <v>87</v>
      </c>
      <c r="AK487"/>
    </row>
    <row r="488" spans="1:37" ht="15.75" hidden="1" customHeight="1">
      <c r="A488" s="198" t="s">
        <v>784</v>
      </c>
      <c r="B488" s="198" t="s">
        <v>787</v>
      </c>
      <c r="C488" s="214" t="s">
        <v>445</v>
      </c>
      <c r="D488" s="198" t="s">
        <v>88</v>
      </c>
      <c r="E488" s="198" t="s">
        <v>383</v>
      </c>
      <c r="F488" s="198">
        <v>293.75</v>
      </c>
      <c r="G488" s="198"/>
      <c r="H488" s="214" t="s">
        <v>849</v>
      </c>
      <c r="I488" s="214" t="s">
        <v>590</v>
      </c>
      <c r="J488" s="271">
        <v>0</v>
      </c>
      <c r="K488" s="198">
        <v>87.77</v>
      </c>
      <c r="L488" s="198">
        <v>44.52</v>
      </c>
      <c r="M488" s="198"/>
      <c r="N488" s="198"/>
      <c r="O488" s="198">
        <v>161.46</v>
      </c>
      <c r="P488" s="198"/>
      <c r="Q488" s="198" t="s">
        <v>591</v>
      </c>
      <c r="R488" s="230">
        <f>DATABASE_Table[[#This Row],[Inicial Asking Price (€) (Total)]]-DATABASE_Table[[#This Row],[Vista membership]]-DATABASE_Table[[#This Row],[FF&amp;E]]</f>
        <v>820000</v>
      </c>
      <c r="S488" s="234">
        <v>820000</v>
      </c>
      <c r="T488" s="235">
        <v>860000</v>
      </c>
      <c r="U488" s="198"/>
      <c r="V488" s="198"/>
      <c r="W488" s="233">
        <f>DATABASE_Table[[#This Row],[Current Asking price( Total)]]-DATABASE_Table[[#This Row],[Vista membership]]-DATABASE_Table[[#This Row],[FF&amp;E]]</f>
        <v>860000</v>
      </c>
      <c r="X488" s="236"/>
      <c r="Y488" s="235"/>
      <c r="Z488" s="233">
        <f>DATABASE_Table[[#This Row],[Sell price (Total)]]-DATABASE_Table[[#This Row],[FF&amp;E]]-DATABASE_Table[[#This Row],[Vista membership]]</f>
        <v>0</v>
      </c>
      <c r="AA488" s="315"/>
      <c r="AB488" s="321">
        <v>47208</v>
      </c>
      <c r="AC488" s="198" t="s">
        <v>80</v>
      </c>
      <c r="AD488" s="198" t="s">
        <v>81</v>
      </c>
      <c r="AE488" s="279" t="s">
        <v>89</v>
      </c>
      <c r="AF488" s="279" t="s">
        <v>90</v>
      </c>
      <c r="AG488" s="279" t="s">
        <v>91</v>
      </c>
      <c r="AH488" s="279" t="s">
        <v>92</v>
      </c>
      <c r="AI488" s="198" t="s">
        <v>30</v>
      </c>
      <c r="AJ488" s="274" t="s">
        <v>87</v>
      </c>
      <c r="AK488"/>
    </row>
    <row r="489" spans="1:37" ht="15.75" hidden="1" customHeight="1">
      <c r="A489" s="198" t="s">
        <v>562</v>
      </c>
      <c r="B489" s="198" t="s">
        <v>691</v>
      </c>
      <c r="C489" s="214" t="s">
        <v>373</v>
      </c>
      <c r="D489" s="198" t="s">
        <v>9</v>
      </c>
      <c r="E489" s="198" t="s">
        <v>319</v>
      </c>
      <c r="F489" s="198">
        <v>119</v>
      </c>
      <c r="G489" s="198"/>
      <c r="H489" s="214" t="s">
        <v>325</v>
      </c>
      <c r="I489" s="214" t="s">
        <v>325</v>
      </c>
      <c r="J489" s="271"/>
      <c r="K489" s="198"/>
      <c r="L489" s="198"/>
      <c r="M489" s="198"/>
      <c r="N489" s="198"/>
      <c r="O489" s="198">
        <v>119</v>
      </c>
      <c r="P489" s="198"/>
      <c r="Q489" s="198" t="s">
        <v>929</v>
      </c>
      <c r="R489" s="230">
        <f>DATABASE_Table[[#This Row],[Inicial Asking Price (€) (Total)]]-DATABASE_Table[[#This Row],[Vista membership]]-DATABASE_Table[[#This Row],[FF&amp;E]]</f>
        <v>590000</v>
      </c>
      <c r="S489" s="231">
        <v>590000</v>
      </c>
      <c r="T489" s="232">
        <v>640000</v>
      </c>
      <c r="U489" s="198"/>
      <c r="V489" s="198"/>
      <c r="W489" s="233">
        <f>DATABASE_Table[[#This Row],[Current Asking price( Total)]]-DATABASE_Table[[#This Row],[Vista membership]]-DATABASE_Table[[#This Row],[FF&amp;E]]</f>
        <v>640000</v>
      </c>
      <c r="X489" s="216">
        <v>0.1928125</v>
      </c>
      <c r="Y489" s="232">
        <v>516600</v>
      </c>
      <c r="Z489" s="233">
        <f>DATABASE_Table[[#This Row],[Sell price (Total)]]-DATABASE_Table[[#This Row],[FF&amp;E]]-DATABASE_Table[[#This Row],[Vista membership]]</f>
        <v>516600</v>
      </c>
      <c r="AA489" s="315">
        <v>45918</v>
      </c>
      <c r="AB489" s="321"/>
      <c r="AC489" s="198" t="s">
        <v>10</v>
      </c>
      <c r="AD489" s="198" t="s">
        <v>23</v>
      </c>
      <c r="AE489" s="279" t="s">
        <v>24</v>
      </c>
      <c r="AF489" s="279" t="s">
        <v>803</v>
      </c>
      <c r="AG489" s="279" t="s">
        <v>25</v>
      </c>
      <c r="AH489" s="279" t="s">
        <v>804</v>
      </c>
      <c r="AI489" s="198" t="s">
        <v>26</v>
      </c>
      <c r="AJ489" s="274" t="s">
        <v>22</v>
      </c>
      <c r="AK489"/>
    </row>
    <row r="490" spans="1:37" ht="15.75" hidden="1" customHeight="1">
      <c r="A490" s="198" t="s">
        <v>780</v>
      </c>
      <c r="B490" s="198" t="s">
        <v>786</v>
      </c>
      <c r="C490" s="214" t="s">
        <v>109</v>
      </c>
      <c r="D490" s="198" t="s">
        <v>79</v>
      </c>
      <c r="E490" s="198" t="s">
        <v>317</v>
      </c>
      <c r="F490" s="198">
        <v>167.67</v>
      </c>
      <c r="G490" s="198"/>
      <c r="H490" s="214" t="s">
        <v>848</v>
      </c>
      <c r="I490" s="214" t="s">
        <v>325</v>
      </c>
      <c r="J490" s="271">
        <v>3.87</v>
      </c>
      <c r="K490" s="198">
        <v>50.03</v>
      </c>
      <c r="L490" s="198"/>
      <c r="M490" s="198"/>
      <c r="N490" s="198"/>
      <c r="O490" s="198">
        <v>113.77</v>
      </c>
      <c r="P490" s="198"/>
      <c r="Q490" s="198" t="s">
        <v>329</v>
      </c>
      <c r="R490" s="230">
        <f>DATABASE_Table[[#This Row],[Inicial Asking Price (€) (Total)]]-DATABASE_Table[[#This Row],[Vista membership]]-DATABASE_Table[[#This Row],[FF&amp;E]]</f>
        <v>780000</v>
      </c>
      <c r="S490" s="234">
        <v>825000</v>
      </c>
      <c r="T490" s="235">
        <v>850000</v>
      </c>
      <c r="U490" s="198"/>
      <c r="V490" s="235">
        <v>45000</v>
      </c>
      <c r="W490" s="233">
        <f>DATABASE_Table[[#This Row],[Current Asking price( Total)]]-DATABASE_Table[[#This Row],[Vista membership]]-DATABASE_Table[[#This Row],[FF&amp;E]]</f>
        <v>805000</v>
      </c>
      <c r="X490" s="236"/>
      <c r="Y490" s="235"/>
      <c r="Z490" s="233">
        <f>DATABASE_Table[[#This Row],[Sell price (Total)]]-DATABASE_Table[[#This Row],[FF&amp;E]]-DATABASE_Table[[#This Row],[Vista membership]]</f>
        <v>-45000</v>
      </c>
      <c r="AA490" s="315"/>
      <c r="AB490" s="321">
        <v>47118</v>
      </c>
      <c r="AC490" s="198" t="s">
        <v>80</v>
      </c>
      <c r="AD490" s="198" t="s">
        <v>81</v>
      </c>
      <c r="AE490" s="279" t="s">
        <v>82</v>
      </c>
      <c r="AF490" s="279" t="s">
        <v>83</v>
      </c>
      <c r="AG490" s="279" t="s">
        <v>84</v>
      </c>
      <c r="AH490" s="279" t="s">
        <v>85</v>
      </c>
      <c r="AI490" s="198" t="s">
        <v>86</v>
      </c>
      <c r="AJ490" s="274" t="s">
        <v>78</v>
      </c>
      <c r="AK490"/>
    </row>
    <row r="491" spans="1:37" ht="15.75" hidden="1" customHeight="1">
      <c r="A491" s="198" t="s">
        <v>689</v>
      </c>
      <c r="B491" s="198" t="s">
        <v>691</v>
      </c>
      <c r="C491" s="214" t="s">
        <v>373</v>
      </c>
      <c r="D491" s="198"/>
      <c r="E491" s="198" t="s">
        <v>383</v>
      </c>
      <c r="F491" s="198">
        <v>189.1061</v>
      </c>
      <c r="G491" s="198"/>
      <c r="H491" s="214" t="s">
        <v>325</v>
      </c>
      <c r="I491" s="214" t="s">
        <v>325</v>
      </c>
      <c r="J491" s="271"/>
      <c r="K491" s="198"/>
      <c r="L491" s="198"/>
      <c r="M491" s="198"/>
      <c r="N491" s="198"/>
      <c r="O491" s="198">
        <v>189.1061</v>
      </c>
      <c r="P491" s="198"/>
      <c r="Q491" s="198" t="s">
        <v>929</v>
      </c>
      <c r="R491" s="230">
        <f>DATABASE_Table[[#This Row],[Inicial Asking Price (€) (Total)]]-DATABASE_Table[[#This Row],[Vista membership]]-DATABASE_Table[[#This Row],[FF&amp;E]]</f>
        <v>1076445</v>
      </c>
      <c r="S491" s="231">
        <v>1076445</v>
      </c>
      <c r="T491" s="232">
        <v>1250000</v>
      </c>
      <c r="U491" s="198"/>
      <c r="V491" s="198"/>
      <c r="W491" s="233">
        <f>DATABASE_Table[[#This Row],[Current Asking price( Total)]]-DATABASE_Table[[#This Row],[Vista membership]]-DATABASE_Table[[#This Row],[FF&amp;E]]</f>
        <v>1250000</v>
      </c>
      <c r="X491" s="216">
        <v>0</v>
      </c>
      <c r="Y491" s="232">
        <v>1250000</v>
      </c>
      <c r="Z491" s="233">
        <f>DATABASE_Table[[#This Row],[Sell price (Total)]]-DATABASE_Table[[#This Row],[FF&amp;E]]-DATABASE_Table[[#This Row],[Vista membership]]</f>
        <v>1250000</v>
      </c>
      <c r="AA491" s="315">
        <v>44798</v>
      </c>
      <c r="AB491" s="321"/>
      <c r="AC491" s="198"/>
      <c r="AD491" s="198"/>
      <c r="AE491" s="279"/>
      <c r="AF491" s="279"/>
      <c r="AG491" s="279"/>
      <c r="AH491" s="279"/>
      <c r="AI491" s="198"/>
      <c r="AJ491" s="274" t="s">
        <v>689</v>
      </c>
      <c r="AK491"/>
    </row>
    <row r="492" spans="1:37" ht="15.75" hidden="1" customHeight="1">
      <c r="A492" s="198" t="s">
        <v>773</v>
      </c>
      <c r="B492" s="198" t="s">
        <v>769</v>
      </c>
      <c r="C492" s="214" t="s">
        <v>845</v>
      </c>
      <c r="D492" s="198" t="s">
        <v>67</v>
      </c>
      <c r="E492" s="198" t="s">
        <v>553</v>
      </c>
      <c r="F492" s="198">
        <v>2664</v>
      </c>
      <c r="G492" s="198"/>
      <c r="H492" s="214" t="s">
        <v>325</v>
      </c>
      <c r="I492" s="214" t="s">
        <v>325</v>
      </c>
      <c r="J492" s="271"/>
      <c r="K492" s="198"/>
      <c r="L492" s="198"/>
      <c r="M492" s="198"/>
      <c r="N492" s="198"/>
      <c r="O492" s="198">
        <v>420</v>
      </c>
      <c r="P492" s="198"/>
      <c r="Q492" s="198" t="s">
        <v>329</v>
      </c>
      <c r="R492" s="230">
        <f>DATABASE_Table[[#This Row],[Inicial Asking Price (€) (Total)]]-DATABASE_Table[[#This Row],[Vista membership]]-DATABASE_Table[[#This Row],[FF&amp;E]]</f>
        <v>830000</v>
      </c>
      <c r="S492" s="234">
        <v>830000</v>
      </c>
      <c r="T492" s="235">
        <v>1750000</v>
      </c>
      <c r="U492" s="198"/>
      <c r="V492" s="198"/>
      <c r="W492" s="233">
        <f>DATABASE_Table[[#This Row],[Current Asking price( Total)]]-DATABASE_Table[[#This Row],[Vista membership]]-DATABASE_Table[[#This Row],[FF&amp;E]]</f>
        <v>1750000</v>
      </c>
      <c r="X492" s="236"/>
      <c r="Y492" s="235">
        <v>1750000</v>
      </c>
      <c r="Z492" s="233">
        <f>DATABASE_Table[[#This Row],[Sell price (Total)]]-DATABASE_Table[[#This Row],[FF&amp;E]]-DATABASE_Table[[#This Row],[Vista membership]]</f>
        <v>1750000</v>
      </c>
      <c r="AA492" s="315"/>
      <c r="AB492" s="321">
        <v>46843</v>
      </c>
      <c r="AC492" s="198" t="s">
        <v>57</v>
      </c>
      <c r="AD492" s="198" t="s">
        <v>68</v>
      </c>
      <c r="AE492" s="279" t="s">
        <v>69</v>
      </c>
      <c r="AF492" s="279" t="s">
        <v>70</v>
      </c>
      <c r="AG492" s="279" t="s">
        <v>71</v>
      </c>
      <c r="AH492" s="279" t="s">
        <v>816</v>
      </c>
      <c r="AI492" s="198" t="s">
        <v>72</v>
      </c>
      <c r="AJ492" s="274" t="s">
        <v>66</v>
      </c>
      <c r="AK492"/>
    </row>
    <row r="493" spans="1:37" ht="15.75" hidden="1" customHeight="1">
      <c r="A493" s="198" t="s">
        <v>564</v>
      </c>
      <c r="B493" s="198" t="s">
        <v>691</v>
      </c>
      <c r="C493" s="214" t="s">
        <v>373</v>
      </c>
      <c r="D493" s="198" t="s">
        <v>9</v>
      </c>
      <c r="E493" s="198" t="s">
        <v>416</v>
      </c>
      <c r="F493" s="198">
        <v>116.75</v>
      </c>
      <c r="G493" s="198"/>
      <c r="H493" s="214" t="s">
        <v>325</v>
      </c>
      <c r="I493" s="214" t="s">
        <v>325</v>
      </c>
      <c r="J493" s="271">
        <v>28.58</v>
      </c>
      <c r="K493" s="198"/>
      <c r="L493" s="198"/>
      <c r="M493" s="198"/>
      <c r="N493" s="198"/>
      <c r="O493" s="198">
        <v>88.17</v>
      </c>
      <c r="P493" s="198"/>
      <c r="Q493" s="198" t="s">
        <v>329</v>
      </c>
      <c r="R493" s="230">
        <f>DATABASE_Table[[#This Row],[Inicial Asking Price (€) (Total)]]-DATABASE_Table[[#This Row],[Vista membership]]-DATABASE_Table[[#This Row],[FF&amp;E]]</f>
        <v>703135.98959999997</v>
      </c>
      <c r="S493" s="231">
        <v>767735.98959999997</v>
      </c>
      <c r="T493" s="232">
        <v>850000</v>
      </c>
      <c r="U493" s="198">
        <v>24600</v>
      </c>
      <c r="V493" s="198">
        <v>40000</v>
      </c>
      <c r="W493" s="233">
        <f>DATABASE_Table[[#This Row],[Current Asking price( Total)]]-DATABASE_Table[[#This Row],[Vista membership]]-DATABASE_Table[[#This Row],[FF&amp;E]]</f>
        <v>785400</v>
      </c>
      <c r="X493" s="216"/>
      <c r="Y493" s="232">
        <v>850000</v>
      </c>
      <c r="Z493" s="233">
        <f>DATABASE_Table[[#This Row],[Sell price (Total)]]-DATABASE_Table[[#This Row],[FF&amp;E]]-DATABASE_Table[[#This Row],[Vista membership]]</f>
        <v>785400</v>
      </c>
      <c r="AA493" s="315"/>
      <c r="AB493" s="321"/>
      <c r="AC493" s="198" t="s">
        <v>10</v>
      </c>
      <c r="AD493" s="198" t="s">
        <v>35</v>
      </c>
      <c r="AE493" s="279" t="s">
        <v>43</v>
      </c>
      <c r="AF493" s="279" t="s">
        <v>44</v>
      </c>
      <c r="AG493" s="279" t="s">
        <v>45</v>
      </c>
      <c r="AH493" s="279" t="s">
        <v>46</v>
      </c>
      <c r="AI493" s="198" t="s">
        <v>47</v>
      </c>
      <c r="AJ493" s="274" t="s">
        <v>42</v>
      </c>
      <c r="AK493"/>
    </row>
    <row r="494" spans="1:37" ht="15.75" hidden="1" customHeight="1">
      <c r="A494" s="198" t="s">
        <v>630</v>
      </c>
      <c r="B494" s="198" t="s">
        <v>691</v>
      </c>
      <c r="C494" s="214" t="s">
        <v>374</v>
      </c>
      <c r="D494" s="198" t="s">
        <v>9</v>
      </c>
      <c r="E494" s="198" t="s">
        <v>320</v>
      </c>
      <c r="F494" s="198">
        <v>224.31</v>
      </c>
      <c r="G494" s="198"/>
      <c r="H494" s="214" t="s">
        <v>849</v>
      </c>
      <c r="I494" s="214" t="s">
        <v>325</v>
      </c>
      <c r="J494" s="271">
        <v>55.65</v>
      </c>
      <c r="K494" s="198"/>
      <c r="L494" s="198"/>
      <c r="M494" s="198">
        <v>0</v>
      </c>
      <c r="N494" s="198"/>
      <c r="O494" s="198">
        <v>168.66</v>
      </c>
      <c r="P494" s="198"/>
      <c r="Q494" s="198" t="s">
        <v>326</v>
      </c>
      <c r="R494" s="230">
        <f>DATABASE_Table[[#This Row],[Inicial Asking Price (€) (Total)]]-DATABASE_Table[[#This Row],[Vista membership]]-DATABASE_Table[[#This Row],[FF&amp;E]]</f>
        <v>1660542.65</v>
      </c>
      <c r="S494" s="231">
        <v>1660542.65</v>
      </c>
      <c r="T494" s="232">
        <v>1670000</v>
      </c>
      <c r="U494" s="198"/>
      <c r="V494" s="198"/>
      <c r="W494" s="233">
        <f>DATABASE_Table[[#This Row],[Current Asking price( Total)]]-DATABASE_Table[[#This Row],[Vista membership]]-DATABASE_Table[[#This Row],[FF&amp;E]]</f>
        <v>1670000</v>
      </c>
      <c r="X494" s="216">
        <v>-4.1916167664670698E-2</v>
      </c>
      <c r="Y494" s="232">
        <v>1740000</v>
      </c>
      <c r="Z494" s="233">
        <f>DATABASE_Table[[#This Row],[Sell price (Total)]]-DATABASE_Table[[#This Row],[FF&amp;E]]-DATABASE_Table[[#This Row],[Vista membership]]</f>
        <v>1740000</v>
      </c>
      <c r="AA494" s="315"/>
      <c r="AB494" s="321"/>
      <c r="AC494" s="198" t="s">
        <v>10</v>
      </c>
      <c r="AD494" s="198" t="s">
        <v>11</v>
      </c>
      <c r="AE494" s="279" t="s">
        <v>53</v>
      </c>
      <c r="AF494" s="279" t="s">
        <v>54</v>
      </c>
      <c r="AG494" s="279" t="s">
        <v>811</v>
      </c>
      <c r="AH494" s="279" t="s">
        <v>812</v>
      </c>
      <c r="AI494" s="198" t="s">
        <v>36</v>
      </c>
      <c r="AJ494" s="274" t="s">
        <v>52</v>
      </c>
      <c r="AK494"/>
    </row>
    <row r="495" spans="1:37" ht="15.75" hidden="1" customHeight="1">
      <c r="A495" s="198" t="s">
        <v>558</v>
      </c>
      <c r="B495" s="198" t="s">
        <v>691</v>
      </c>
      <c r="C495" s="214" t="s">
        <v>374</v>
      </c>
      <c r="D495" s="198" t="s">
        <v>9</v>
      </c>
      <c r="E495" s="198" t="s">
        <v>319</v>
      </c>
      <c r="F495" s="198">
        <v>111.44</v>
      </c>
      <c r="G495" s="198"/>
      <c r="H495" s="214" t="s">
        <v>325</v>
      </c>
      <c r="I495" s="214" t="s">
        <v>325</v>
      </c>
      <c r="J495" s="271">
        <v>9.11</v>
      </c>
      <c r="K495" s="198"/>
      <c r="L495" s="198"/>
      <c r="M495" s="198"/>
      <c r="N495" s="198"/>
      <c r="O495" s="198">
        <v>111.44</v>
      </c>
      <c r="P495" s="198"/>
      <c r="Q495" s="198" t="s">
        <v>329</v>
      </c>
      <c r="R495" s="230">
        <f>DATABASE_Table[[#This Row],[Inicial Asking Price (€) (Total)]]-DATABASE_Table[[#This Row],[Vista membership]]-DATABASE_Table[[#This Row],[FF&amp;E]]</f>
        <v>720000</v>
      </c>
      <c r="S495" s="231">
        <v>720000</v>
      </c>
      <c r="T495" s="232">
        <v>720000</v>
      </c>
      <c r="U495" s="198"/>
      <c r="V495" s="198"/>
      <c r="W495" s="233">
        <f>DATABASE_Table[[#This Row],[Current Asking price( Total)]]-DATABASE_Table[[#This Row],[Vista membership]]-DATABASE_Table[[#This Row],[FF&amp;E]]</f>
        <v>720000</v>
      </c>
      <c r="X495" s="216"/>
      <c r="Y495" s="232">
        <v>720000</v>
      </c>
      <c r="Z495" s="233">
        <f>DATABASE_Table[[#This Row],[Sell price (Total)]]-DATABASE_Table[[#This Row],[FF&amp;E]]-DATABASE_Table[[#This Row],[Vista membership]]</f>
        <v>720000</v>
      </c>
      <c r="AA495" s="315"/>
      <c r="AB495" s="321"/>
      <c r="AC495" s="198" t="s">
        <v>10</v>
      </c>
      <c r="AD495" s="198" t="s">
        <v>11</v>
      </c>
      <c r="AE495" s="279" t="s">
        <v>12</v>
      </c>
      <c r="AF495" s="279" t="s">
        <v>801</v>
      </c>
      <c r="AG495" s="279" t="s">
        <v>13</v>
      </c>
      <c r="AH495" s="279" t="s">
        <v>14</v>
      </c>
      <c r="AI495" s="198" t="s">
        <v>15</v>
      </c>
      <c r="AJ495" s="274" t="s">
        <v>8</v>
      </c>
      <c r="AK495"/>
    </row>
    <row r="496" spans="1:37" ht="15.75" hidden="1" customHeight="1">
      <c r="A496" s="198" t="s">
        <v>31</v>
      </c>
      <c r="B496" s="198" t="s">
        <v>691</v>
      </c>
      <c r="C496" s="214" t="s">
        <v>374</v>
      </c>
      <c r="D496" s="198" t="s">
        <v>9</v>
      </c>
      <c r="E496" s="198" t="s">
        <v>321</v>
      </c>
      <c r="F496" s="198"/>
      <c r="G496" s="198"/>
      <c r="H496" s="214" t="s">
        <v>325</v>
      </c>
      <c r="I496" s="214" t="s">
        <v>590</v>
      </c>
      <c r="J496" s="271"/>
      <c r="K496" s="198">
        <v>0</v>
      </c>
      <c r="L496" s="198"/>
      <c r="M496" s="198">
        <v>155</v>
      </c>
      <c r="N496" s="198"/>
      <c r="O496" s="198">
        <v>233</v>
      </c>
      <c r="P496" s="198"/>
      <c r="Q496" s="198" t="s">
        <v>329</v>
      </c>
      <c r="R496" s="230">
        <f>DATABASE_Table[[#This Row],[Inicial Asking Price (€) (Total)]]-DATABASE_Table[[#This Row],[Vista membership]]-DATABASE_Table[[#This Row],[FF&amp;E]]</f>
        <v>1870000</v>
      </c>
      <c r="S496" s="232">
        <v>1870000</v>
      </c>
      <c r="T496" s="232">
        <v>1870000</v>
      </c>
      <c r="U496" s="198"/>
      <c r="V496" s="198"/>
      <c r="W496" s="233">
        <f>DATABASE_Table[[#This Row],[Current Asking price( Total)]]-DATABASE_Table[[#This Row],[Vista membership]]-DATABASE_Table[[#This Row],[FF&amp;E]]</f>
        <v>1870000</v>
      </c>
      <c r="X496" s="216"/>
      <c r="Y496" s="232">
        <v>1820000</v>
      </c>
      <c r="Z496" s="233">
        <f>DATABASE_Table[[#This Row],[Sell price (Total)]]-DATABASE_Table[[#This Row],[FF&amp;E]]-DATABASE_Table[[#This Row],[Vista membership]]</f>
        <v>1820000</v>
      </c>
      <c r="AA496" s="315"/>
      <c r="AB496" s="321"/>
      <c r="AC496" s="198" t="s">
        <v>10</v>
      </c>
      <c r="AD496" s="198" t="s">
        <v>807</v>
      </c>
      <c r="AE496" s="279" t="s">
        <v>32</v>
      </c>
      <c r="AF496" s="279" t="s">
        <v>808</v>
      </c>
      <c r="AG496" s="279" t="s">
        <v>33</v>
      </c>
      <c r="AH496" s="279" t="s">
        <v>809</v>
      </c>
      <c r="AI496" s="198" t="s">
        <v>15</v>
      </c>
      <c r="AJ496" s="274" t="s">
        <v>31</v>
      </c>
      <c r="AK496"/>
    </row>
    <row r="497" spans="1:37" ht="15.75" hidden="1" customHeight="1">
      <c r="A497" s="198" t="s">
        <v>690</v>
      </c>
      <c r="B497" s="198" t="s">
        <v>691</v>
      </c>
      <c r="C497" s="214" t="s">
        <v>374</v>
      </c>
      <c r="D497" s="198" t="s">
        <v>9</v>
      </c>
      <c r="E497" s="198" t="s">
        <v>763</v>
      </c>
      <c r="F497" s="198">
        <v>459.56</v>
      </c>
      <c r="G497" s="198">
        <v>264.60000000000002</v>
      </c>
      <c r="H497" s="214" t="s">
        <v>325</v>
      </c>
      <c r="I497" s="214" t="s">
        <v>325</v>
      </c>
      <c r="J497" s="271">
        <v>32.840000000000003</v>
      </c>
      <c r="K497" s="198"/>
      <c r="L497" s="198"/>
      <c r="M497" s="198"/>
      <c r="N497" s="198"/>
      <c r="O497" s="198">
        <v>162.12</v>
      </c>
      <c r="P497" s="198"/>
      <c r="Q497" s="198" t="s">
        <v>329</v>
      </c>
      <c r="R497" s="230">
        <f>DATABASE_Table[[#This Row],[Inicial Asking Price (€) (Total)]]-DATABASE_Table[[#This Row],[Vista membership]]-DATABASE_Table[[#This Row],[FF&amp;E]]</f>
        <v>2058200</v>
      </c>
      <c r="S497" s="231">
        <v>2144100</v>
      </c>
      <c r="T497" s="232">
        <v>2230000</v>
      </c>
      <c r="U497" s="198">
        <v>24600</v>
      </c>
      <c r="V497" s="198">
        <v>61300</v>
      </c>
      <c r="W497" s="233">
        <f>DATABASE_Table[[#This Row],[Current Asking price( Total)]]-DATABASE_Table[[#This Row],[Vista membership]]-DATABASE_Table[[#This Row],[FF&amp;E]]</f>
        <v>2144100</v>
      </c>
      <c r="X497" s="216"/>
      <c r="Y497" s="232">
        <v>2230000</v>
      </c>
      <c r="Z497" s="233">
        <f>DATABASE_Table[[#This Row],[Sell price (Total)]]-DATABASE_Table[[#This Row],[FF&amp;E]]-DATABASE_Table[[#This Row],[Vista membership]]</f>
        <v>2144100</v>
      </c>
      <c r="AA497" s="315"/>
      <c r="AB497" s="321"/>
      <c r="AC497" s="198" t="s">
        <v>10</v>
      </c>
      <c r="AD497" s="198" t="s">
        <v>35</v>
      </c>
      <c r="AE497" s="279" t="s">
        <v>38</v>
      </c>
      <c r="AF497" s="279" t="s">
        <v>39</v>
      </c>
      <c r="AG497" s="279" t="s">
        <v>40</v>
      </c>
      <c r="AH497" s="279" t="s">
        <v>810</v>
      </c>
      <c r="AI497" s="198" t="s">
        <v>41</v>
      </c>
      <c r="AJ497" s="274" t="s">
        <v>37</v>
      </c>
      <c r="AK497"/>
    </row>
    <row r="498" spans="1:37" ht="15.75" hidden="1" customHeight="1">
      <c r="A498" s="198" t="s">
        <v>784</v>
      </c>
      <c r="B498" s="198" t="s">
        <v>787</v>
      </c>
      <c r="C498" s="214" t="s">
        <v>438</v>
      </c>
      <c r="D498" s="198" t="s">
        <v>88</v>
      </c>
      <c r="E498" s="198" t="s">
        <v>383</v>
      </c>
      <c r="F498" s="198">
        <v>219.42</v>
      </c>
      <c r="G498" s="198"/>
      <c r="H498" s="214" t="s">
        <v>849</v>
      </c>
      <c r="I498" s="214" t="s">
        <v>589</v>
      </c>
      <c r="J498" s="271">
        <v>0</v>
      </c>
      <c r="K498" s="198">
        <v>13.44</v>
      </c>
      <c r="L498" s="198">
        <v>44.52</v>
      </c>
      <c r="M498" s="198"/>
      <c r="N498" s="198"/>
      <c r="O498" s="198">
        <v>161.46</v>
      </c>
      <c r="P498" s="198"/>
      <c r="Q498" s="198" t="s">
        <v>329</v>
      </c>
      <c r="R498" s="230">
        <f>DATABASE_Table[[#This Row],[Inicial Asking Price (€) (Total)]]-DATABASE_Table[[#This Row],[Vista membership]]-DATABASE_Table[[#This Row],[FF&amp;E]]</f>
        <v>830000</v>
      </c>
      <c r="S498" s="234">
        <v>830000</v>
      </c>
      <c r="T498" s="235">
        <v>890000</v>
      </c>
      <c r="U498" s="198"/>
      <c r="V498" s="198"/>
      <c r="W498" s="233">
        <f>DATABASE_Table[[#This Row],[Current Asking price( Total)]]-DATABASE_Table[[#This Row],[Vista membership]]-DATABASE_Table[[#This Row],[FF&amp;E]]</f>
        <v>890000</v>
      </c>
      <c r="X498" s="236"/>
      <c r="Y498" s="235"/>
      <c r="Z498" s="233">
        <f>DATABASE_Table[[#This Row],[Sell price (Total)]]-DATABASE_Table[[#This Row],[FF&amp;E]]-DATABASE_Table[[#This Row],[Vista membership]]</f>
        <v>0</v>
      </c>
      <c r="AA498" s="315"/>
      <c r="AB498" s="321">
        <v>47208</v>
      </c>
      <c r="AC498" s="198" t="s">
        <v>80</v>
      </c>
      <c r="AD498" s="198" t="s">
        <v>81</v>
      </c>
      <c r="AE498" s="279" t="s">
        <v>89</v>
      </c>
      <c r="AF498" s="279" t="s">
        <v>90</v>
      </c>
      <c r="AG498" s="279" t="s">
        <v>91</v>
      </c>
      <c r="AH498" s="279" t="s">
        <v>92</v>
      </c>
      <c r="AI498" s="198" t="s">
        <v>30</v>
      </c>
      <c r="AJ498" s="274" t="s">
        <v>87</v>
      </c>
      <c r="AK498"/>
    </row>
    <row r="499" spans="1:37" ht="15.75" hidden="1" customHeight="1">
      <c r="A499" s="198" t="s">
        <v>784</v>
      </c>
      <c r="B499" s="198" t="s">
        <v>787</v>
      </c>
      <c r="C499" s="214" t="s">
        <v>444</v>
      </c>
      <c r="D499" s="198" t="s">
        <v>88</v>
      </c>
      <c r="E499" s="198" t="s">
        <v>383</v>
      </c>
      <c r="F499" s="198">
        <v>284.88</v>
      </c>
      <c r="G499" s="198"/>
      <c r="H499" s="214" t="s">
        <v>849</v>
      </c>
      <c r="I499" s="214" t="s">
        <v>590</v>
      </c>
      <c r="J499" s="271">
        <v>0</v>
      </c>
      <c r="K499" s="198">
        <v>78.900000000000006</v>
      </c>
      <c r="L499" s="198">
        <v>44.52</v>
      </c>
      <c r="M499" s="198"/>
      <c r="N499" s="198"/>
      <c r="O499" s="198">
        <v>161.46</v>
      </c>
      <c r="P499" s="198"/>
      <c r="Q499" s="198" t="s">
        <v>329</v>
      </c>
      <c r="R499" s="230">
        <f>DATABASE_Table[[#This Row],[Inicial Asking Price (€) (Total)]]-DATABASE_Table[[#This Row],[Vista membership]]-DATABASE_Table[[#This Row],[FF&amp;E]]</f>
        <v>830000</v>
      </c>
      <c r="S499" s="234">
        <v>830000</v>
      </c>
      <c r="T499" s="235">
        <v>850000</v>
      </c>
      <c r="U499" s="198"/>
      <c r="V499" s="198"/>
      <c r="W499" s="233">
        <f>DATABASE_Table[[#This Row],[Current Asking price( Total)]]-DATABASE_Table[[#This Row],[Vista membership]]-DATABASE_Table[[#This Row],[FF&amp;E]]</f>
        <v>850000</v>
      </c>
      <c r="X499" s="236"/>
      <c r="Y499" s="235"/>
      <c r="Z499" s="233">
        <f>DATABASE_Table[[#This Row],[Sell price (Total)]]-DATABASE_Table[[#This Row],[FF&amp;E]]-DATABASE_Table[[#This Row],[Vista membership]]</f>
        <v>0</v>
      </c>
      <c r="AA499" s="315"/>
      <c r="AB499" s="321">
        <v>47208</v>
      </c>
      <c r="AC499" s="198" t="s">
        <v>80</v>
      </c>
      <c r="AD499" s="198" t="s">
        <v>81</v>
      </c>
      <c r="AE499" s="279" t="s">
        <v>89</v>
      </c>
      <c r="AF499" s="279" t="s">
        <v>90</v>
      </c>
      <c r="AG499" s="279" t="s">
        <v>91</v>
      </c>
      <c r="AH499" s="279" t="s">
        <v>92</v>
      </c>
      <c r="AI499" s="198" t="s">
        <v>30</v>
      </c>
      <c r="AJ499" s="274" t="s">
        <v>87</v>
      </c>
      <c r="AK499"/>
    </row>
    <row r="500" spans="1:37" ht="15.75" hidden="1" customHeight="1">
      <c r="A500" s="198" t="s">
        <v>784</v>
      </c>
      <c r="B500" s="198" t="s">
        <v>787</v>
      </c>
      <c r="C500" s="214" t="s">
        <v>448</v>
      </c>
      <c r="D500" s="198" t="s">
        <v>88</v>
      </c>
      <c r="E500" s="198" t="s">
        <v>383</v>
      </c>
      <c r="F500" s="198">
        <v>318.91000000000003</v>
      </c>
      <c r="G500" s="198"/>
      <c r="H500" s="214" t="s">
        <v>849</v>
      </c>
      <c r="I500" s="214" t="s">
        <v>590</v>
      </c>
      <c r="J500" s="271">
        <v>0</v>
      </c>
      <c r="K500" s="198">
        <v>112.93</v>
      </c>
      <c r="L500" s="198">
        <v>44.52</v>
      </c>
      <c r="M500" s="198"/>
      <c r="N500" s="198"/>
      <c r="O500" s="198">
        <v>161.46</v>
      </c>
      <c r="P500" s="198"/>
      <c r="Q500" s="198" t="s">
        <v>329</v>
      </c>
      <c r="R500" s="230">
        <f>DATABASE_Table[[#This Row],[Inicial Asking Price (€) (Total)]]-DATABASE_Table[[#This Row],[Vista membership]]-DATABASE_Table[[#This Row],[FF&amp;E]]</f>
        <v>830000</v>
      </c>
      <c r="S500" s="234">
        <v>830000</v>
      </c>
      <c r="T500" s="235">
        <v>850000</v>
      </c>
      <c r="U500" s="198"/>
      <c r="V500" s="198"/>
      <c r="W500" s="233">
        <f>DATABASE_Table[[#This Row],[Current Asking price( Total)]]-DATABASE_Table[[#This Row],[Vista membership]]-DATABASE_Table[[#This Row],[FF&amp;E]]</f>
        <v>850000</v>
      </c>
      <c r="X500" s="236"/>
      <c r="Y500" s="235"/>
      <c r="Z500" s="233">
        <f>DATABASE_Table[[#This Row],[Sell price (Total)]]-DATABASE_Table[[#This Row],[FF&amp;E]]-DATABASE_Table[[#This Row],[Vista membership]]</f>
        <v>0</v>
      </c>
      <c r="AA500" s="315"/>
      <c r="AB500" s="321">
        <v>47208</v>
      </c>
      <c r="AC500" s="198" t="s">
        <v>80</v>
      </c>
      <c r="AD500" s="198" t="s">
        <v>81</v>
      </c>
      <c r="AE500" s="279" t="s">
        <v>89</v>
      </c>
      <c r="AF500" s="279" t="s">
        <v>90</v>
      </c>
      <c r="AG500" s="279" t="s">
        <v>91</v>
      </c>
      <c r="AH500" s="279" t="s">
        <v>92</v>
      </c>
      <c r="AI500" s="198" t="s">
        <v>30</v>
      </c>
      <c r="AJ500" s="274" t="s">
        <v>87</v>
      </c>
      <c r="AK500"/>
    </row>
    <row r="501" spans="1:37" ht="15.75" hidden="1" customHeight="1">
      <c r="A501" s="198" t="s">
        <v>784</v>
      </c>
      <c r="B501" s="198" t="s">
        <v>787</v>
      </c>
      <c r="C501" s="214" t="s">
        <v>439</v>
      </c>
      <c r="D501" s="198" t="s">
        <v>88</v>
      </c>
      <c r="E501" s="198" t="s">
        <v>383</v>
      </c>
      <c r="F501" s="198">
        <v>233.12</v>
      </c>
      <c r="G501" s="198"/>
      <c r="H501" s="214" t="s">
        <v>849</v>
      </c>
      <c r="I501" s="214" t="s">
        <v>589</v>
      </c>
      <c r="J501" s="271">
        <v>0</v>
      </c>
      <c r="K501" s="198">
        <v>27.14</v>
      </c>
      <c r="L501" s="198">
        <v>44.52</v>
      </c>
      <c r="M501" s="198"/>
      <c r="N501" s="198"/>
      <c r="O501" s="198">
        <v>161.46</v>
      </c>
      <c r="P501" s="198"/>
      <c r="Q501" s="198" t="s">
        <v>591</v>
      </c>
      <c r="R501" s="230">
        <f>DATABASE_Table[[#This Row],[Inicial Asking Price (€) (Total)]]-DATABASE_Table[[#This Row],[Vista membership]]-DATABASE_Table[[#This Row],[FF&amp;E]]</f>
        <v>830000</v>
      </c>
      <c r="S501" s="234">
        <v>830000</v>
      </c>
      <c r="T501" s="235">
        <v>850000</v>
      </c>
      <c r="U501" s="198"/>
      <c r="V501" s="198"/>
      <c r="W501" s="233">
        <f>DATABASE_Table[[#This Row],[Current Asking price( Total)]]-DATABASE_Table[[#This Row],[Vista membership]]-DATABASE_Table[[#This Row],[FF&amp;E]]</f>
        <v>850000</v>
      </c>
      <c r="X501" s="236"/>
      <c r="Y501" s="235"/>
      <c r="Z501" s="233">
        <f>DATABASE_Table[[#This Row],[Sell price (Total)]]-DATABASE_Table[[#This Row],[FF&amp;E]]-DATABASE_Table[[#This Row],[Vista membership]]</f>
        <v>0</v>
      </c>
      <c r="AA501" s="315"/>
      <c r="AB501" s="321">
        <v>47208</v>
      </c>
      <c r="AC501" s="198" t="s">
        <v>80</v>
      </c>
      <c r="AD501" s="198" t="s">
        <v>81</v>
      </c>
      <c r="AE501" s="279" t="s">
        <v>89</v>
      </c>
      <c r="AF501" s="279" t="s">
        <v>90</v>
      </c>
      <c r="AG501" s="279" t="s">
        <v>91</v>
      </c>
      <c r="AH501" s="279" t="s">
        <v>92</v>
      </c>
      <c r="AI501" s="198" t="s">
        <v>30</v>
      </c>
      <c r="AJ501" s="274" t="s">
        <v>87</v>
      </c>
      <c r="AK501"/>
    </row>
    <row r="502" spans="1:37" ht="15.75" hidden="1" customHeight="1">
      <c r="A502" s="198" t="s">
        <v>563</v>
      </c>
      <c r="B502" s="198" t="s">
        <v>691</v>
      </c>
      <c r="C502" s="214" t="s">
        <v>374</v>
      </c>
      <c r="D502" s="198" t="s">
        <v>9</v>
      </c>
      <c r="E502" s="198" t="s">
        <v>319</v>
      </c>
      <c r="F502" s="198">
        <v>104.7</v>
      </c>
      <c r="G502" s="198"/>
      <c r="H502" s="214" t="s">
        <v>325</v>
      </c>
      <c r="I502" s="214" t="s">
        <v>325</v>
      </c>
      <c r="J502" s="271"/>
      <c r="K502" s="198"/>
      <c r="L502" s="198"/>
      <c r="M502" s="198"/>
      <c r="N502" s="198"/>
      <c r="O502" s="198">
        <v>104.7</v>
      </c>
      <c r="P502" s="198"/>
      <c r="Q502" s="198" t="s">
        <v>628</v>
      </c>
      <c r="R502" s="230">
        <f>DATABASE_Table[[#This Row],[Inicial Asking Price (€) (Total)]]-DATABASE_Table[[#This Row],[Vista membership]]-DATABASE_Table[[#This Row],[FF&amp;E]]</f>
        <v>550000</v>
      </c>
      <c r="S502" s="231">
        <v>550000</v>
      </c>
      <c r="T502" s="232">
        <v>550000</v>
      </c>
      <c r="U502" s="198"/>
      <c r="V502" s="198"/>
      <c r="W502" s="233">
        <f>DATABASE_Table[[#This Row],[Current Asking price( Total)]]-DATABASE_Table[[#This Row],[Vista membership]]-DATABASE_Table[[#This Row],[FF&amp;E]]</f>
        <v>550000</v>
      </c>
      <c r="X502" s="216">
        <v>0</v>
      </c>
      <c r="Y502" s="232">
        <v>550000</v>
      </c>
      <c r="Z502" s="233">
        <f>DATABASE_Table[[#This Row],[Sell price (Total)]]-DATABASE_Table[[#This Row],[FF&amp;E]]-DATABASE_Table[[#This Row],[Vista membership]]</f>
        <v>550000</v>
      </c>
      <c r="AA502" s="317">
        <v>45931</v>
      </c>
      <c r="AB502" s="321"/>
      <c r="AC502" s="198" t="s">
        <v>10</v>
      </c>
      <c r="AD502" s="198" t="s">
        <v>11</v>
      </c>
      <c r="AE502" s="279" t="s">
        <v>28</v>
      </c>
      <c r="AF502" s="279" t="s">
        <v>29</v>
      </c>
      <c r="AG502" s="279" t="s">
        <v>805</v>
      </c>
      <c r="AH502" s="279" t="s">
        <v>806</v>
      </c>
      <c r="AI502" s="198" t="s">
        <v>30</v>
      </c>
      <c r="AJ502" s="274" t="s">
        <v>27</v>
      </c>
      <c r="AK502"/>
    </row>
    <row r="503" spans="1:37" ht="15.75" hidden="1" customHeight="1">
      <c r="A503" s="198" t="s">
        <v>562</v>
      </c>
      <c r="B503" s="198" t="s">
        <v>691</v>
      </c>
      <c r="C503" s="214" t="s">
        <v>374</v>
      </c>
      <c r="D503" s="198" t="s">
        <v>9</v>
      </c>
      <c r="E503" s="198" t="s">
        <v>319</v>
      </c>
      <c r="F503" s="198">
        <v>119</v>
      </c>
      <c r="G503" s="198"/>
      <c r="H503" s="214" t="s">
        <v>325</v>
      </c>
      <c r="I503" s="214" t="s">
        <v>325</v>
      </c>
      <c r="J503" s="271"/>
      <c r="K503" s="198"/>
      <c r="L503" s="198"/>
      <c r="M503" s="198"/>
      <c r="N503" s="198"/>
      <c r="O503" s="198">
        <v>119</v>
      </c>
      <c r="P503" s="198"/>
      <c r="Q503" s="198" t="s">
        <v>929</v>
      </c>
      <c r="R503" s="230">
        <f>DATABASE_Table[[#This Row],[Inicial Asking Price (€) (Total)]]-DATABASE_Table[[#This Row],[Vista membership]]-DATABASE_Table[[#This Row],[FF&amp;E]]</f>
        <v>590000</v>
      </c>
      <c r="S503" s="231">
        <v>590000</v>
      </c>
      <c r="T503" s="232">
        <v>630000</v>
      </c>
      <c r="U503" s="198"/>
      <c r="V503" s="198"/>
      <c r="W503" s="233">
        <f>DATABASE_Table[[#This Row],[Current Asking price( Total)]]-DATABASE_Table[[#This Row],[Vista membership]]-DATABASE_Table[[#This Row],[FF&amp;E]]</f>
        <v>630000</v>
      </c>
      <c r="X503" s="216">
        <v>0</v>
      </c>
      <c r="Y503" s="232">
        <v>630000</v>
      </c>
      <c r="Z503" s="233">
        <f>DATABASE_Table[[#This Row],[Sell price (Total)]]-DATABASE_Table[[#This Row],[FF&amp;E]]-DATABASE_Table[[#This Row],[Vista membership]]</f>
        <v>630000</v>
      </c>
      <c r="AA503" s="315">
        <v>45250</v>
      </c>
      <c r="AB503" s="321"/>
      <c r="AC503" s="198" t="s">
        <v>10</v>
      </c>
      <c r="AD503" s="198" t="s">
        <v>23</v>
      </c>
      <c r="AE503" s="279" t="s">
        <v>24</v>
      </c>
      <c r="AF503" s="279" t="s">
        <v>803</v>
      </c>
      <c r="AG503" s="279" t="s">
        <v>25</v>
      </c>
      <c r="AH503" s="279" t="s">
        <v>804</v>
      </c>
      <c r="AI503" s="198" t="s">
        <v>26</v>
      </c>
      <c r="AJ503" s="274" t="s">
        <v>22</v>
      </c>
      <c r="AK503"/>
    </row>
    <row r="504" spans="1:37" ht="15.75" hidden="1" customHeight="1">
      <c r="A504" s="198" t="s">
        <v>779</v>
      </c>
      <c r="B504" s="198" t="s">
        <v>786</v>
      </c>
      <c r="C504" s="214" t="s">
        <v>133</v>
      </c>
      <c r="D504" s="198" t="s">
        <v>79</v>
      </c>
      <c r="E504" s="198" t="s">
        <v>316</v>
      </c>
      <c r="F504" s="198">
        <v>56.5</v>
      </c>
      <c r="G504" s="198"/>
      <c r="H504" s="214" t="s">
        <v>848</v>
      </c>
      <c r="I504" s="214" t="s">
        <v>325</v>
      </c>
      <c r="J504" s="271">
        <v>5</v>
      </c>
      <c r="K504" s="198"/>
      <c r="L504" s="198"/>
      <c r="M504" s="198"/>
      <c r="N504" s="198"/>
      <c r="O504" s="198">
        <v>51.5</v>
      </c>
      <c r="P504" s="198"/>
      <c r="Q504" s="198" t="s">
        <v>628</v>
      </c>
      <c r="R504" s="230">
        <f>DATABASE_Table[[#This Row],[Inicial Asking Price (€) (Total)]]-DATABASE_Table[[#This Row],[Vista membership]]-DATABASE_Table[[#This Row],[FF&amp;E]]</f>
        <v>2665000</v>
      </c>
      <c r="S504" s="235">
        <v>2700000</v>
      </c>
      <c r="T504" s="235">
        <v>370000</v>
      </c>
      <c r="U504" s="198"/>
      <c r="V504" s="235">
        <v>35000</v>
      </c>
      <c r="W504" s="233">
        <f>DATABASE_Table[[#This Row],[Current Asking price( Total)]]-DATABASE_Table[[#This Row],[Vista membership]]-DATABASE_Table[[#This Row],[FF&amp;E]]</f>
        <v>335000</v>
      </c>
      <c r="X504" s="236">
        <v>0</v>
      </c>
      <c r="Y504" s="235">
        <v>370000</v>
      </c>
      <c r="Z504" s="233">
        <f>DATABASE_Table[[#This Row],[Sell price (Total)]]-DATABASE_Table[[#This Row],[FF&amp;E]]-DATABASE_Table[[#This Row],[Vista membership]]</f>
        <v>335000</v>
      </c>
      <c r="AA504" s="316">
        <v>46093</v>
      </c>
      <c r="AB504" s="321">
        <v>47118</v>
      </c>
      <c r="AC504" s="198" t="s">
        <v>80</v>
      </c>
      <c r="AD504" s="198" t="s">
        <v>81</v>
      </c>
      <c r="AE504" s="279" t="s">
        <v>82</v>
      </c>
      <c r="AF504" s="279" t="s">
        <v>83</v>
      </c>
      <c r="AG504" s="279" t="s">
        <v>84</v>
      </c>
      <c r="AH504" s="279" t="s">
        <v>85</v>
      </c>
      <c r="AI504" s="198" t="s">
        <v>86</v>
      </c>
      <c r="AJ504" s="274" t="s">
        <v>78</v>
      </c>
      <c r="AK504"/>
    </row>
    <row r="505" spans="1:37" ht="15.75" hidden="1" customHeight="1">
      <c r="A505" s="198" t="s">
        <v>689</v>
      </c>
      <c r="B505" s="198" t="s">
        <v>691</v>
      </c>
      <c r="C505" s="214" t="s">
        <v>374</v>
      </c>
      <c r="D505" s="198"/>
      <c r="E505" s="198" t="s">
        <v>383</v>
      </c>
      <c r="F505" s="198">
        <v>189.1061</v>
      </c>
      <c r="G505" s="198"/>
      <c r="H505" s="214" t="s">
        <v>325</v>
      </c>
      <c r="I505" s="214" t="s">
        <v>325</v>
      </c>
      <c r="J505" s="271"/>
      <c r="K505" s="198"/>
      <c r="L505" s="198"/>
      <c r="M505" s="198"/>
      <c r="N505" s="198"/>
      <c r="O505" s="198">
        <v>189.1061</v>
      </c>
      <c r="P505" s="198"/>
      <c r="Q505" s="198" t="s">
        <v>929</v>
      </c>
      <c r="R505" s="230">
        <f>DATABASE_Table[[#This Row],[Inicial Asking Price (€) (Total)]]-DATABASE_Table[[#This Row],[Vista membership]]-DATABASE_Table[[#This Row],[FF&amp;E]]</f>
        <v>1099107</v>
      </c>
      <c r="S505" s="231">
        <v>1099107</v>
      </c>
      <c r="T505" s="232">
        <v>1235000</v>
      </c>
      <c r="U505" s="198"/>
      <c r="V505" s="198"/>
      <c r="W505" s="233">
        <f>DATABASE_Table[[#This Row],[Current Asking price( Total)]]-DATABASE_Table[[#This Row],[Vista membership]]-DATABASE_Table[[#This Row],[FF&amp;E]]</f>
        <v>1235000</v>
      </c>
      <c r="X505" s="216">
        <v>0</v>
      </c>
      <c r="Y505" s="232">
        <v>1235000</v>
      </c>
      <c r="Z505" s="233">
        <f>DATABASE_Table[[#This Row],[Sell price (Total)]]-DATABASE_Table[[#This Row],[FF&amp;E]]-DATABASE_Table[[#This Row],[Vista membership]]</f>
        <v>1235000</v>
      </c>
      <c r="AA505" s="315">
        <v>44841</v>
      </c>
      <c r="AB505" s="321"/>
      <c r="AC505" s="198"/>
      <c r="AD505" s="198"/>
      <c r="AE505" s="279"/>
      <c r="AF505" s="279"/>
      <c r="AG505" s="279"/>
      <c r="AH505" s="279"/>
      <c r="AI505" s="198"/>
      <c r="AJ505" s="274" t="s">
        <v>689</v>
      </c>
      <c r="AK505"/>
    </row>
    <row r="506" spans="1:37" ht="15.75" hidden="1" customHeight="1">
      <c r="A506" s="198" t="s">
        <v>564</v>
      </c>
      <c r="B506" s="198" t="s">
        <v>691</v>
      </c>
      <c r="C506" s="214" t="s">
        <v>374</v>
      </c>
      <c r="D506" s="198" t="s">
        <v>9</v>
      </c>
      <c r="E506" s="198" t="s">
        <v>416</v>
      </c>
      <c r="F506" s="198">
        <v>116.89</v>
      </c>
      <c r="G506" s="198"/>
      <c r="H506" s="214" t="s">
        <v>325</v>
      </c>
      <c r="I506" s="214" t="s">
        <v>325</v>
      </c>
      <c r="J506" s="271">
        <v>28.58</v>
      </c>
      <c r="K506" s="198"/>
      <c r="L506" s="198"/>
      <c r="M506" s="198"/>
      <c r="N506" s="198"/>
      <c r="O506" s="198">
        <v>88.31</v>
      </c>
      <c r="P506" s="198"/>
      <c r="Q506" s="198" t="s">
        <v>329</v>
      </c>
      <c r="R506" s="230">
        <f>DATABASE_Table[[#This Row],[Inicial Asking Price (€) (Total)]]-DATABASE_Table[[#This Row],[Vista membership]]-DATABASE_Table[[#This Row],[FF&amp;E]]</f>
        <v>704256.1128</v>
      </c>
      <c r="S506" s="231">
        <v>768856.1128</v>
      </c>
      <c r="T506" s="232">
        <v>850000</v>
      </c>
      <c r="U506" s="198">
        <v>24600</v>
      </c>
      <c r="V506" s="198">
        <v>40000</v>
      </c>
      <c r="W506" s="233">
        <f>DATABASE_Table[[#This Row],[Current Asking price( Total)]]-DATABASE_Table[[#This Row],[Vista membership]]-DATABASE_Table[[#This Row],[FF&amp;E]]</f>
        <v>785400</v>
      </c>
      <c r="X506" s="216"/>
      <c r="Y506" s="232">
        <v>850000</v>
      </c>
      <c r="Z506" s="233">
        <f>DATABASE_Table[[#This Row],[Sell price (Total)]]-DATABASE_Table[[#This Row],[FF&amp;E]]-DATABASE_Table[[#This Row],[Vista membership]]</f>
        <v>785400</v>
      </c>
      <c r="AA506" s="315"/>
      <c r="AB506" s="321"/>
      <c r="AC506" s="198" t="s">
        <v>10</v>
      </c>
      <c r="AD506" s="198" t="s">
        <v>35</v>
      </c>
      <c r="AE506" s="279" t="s">
        <v>43</v>
      </c>
      <c r="AF506" s="279" t="s">
        <v>44</v>
      </c>
      <c r="AG506" s="279" t="s">
        <v>45</v>
      </c>
      <c r="AH506" s="279" t="s">
        <v>46</v>
      </c>
      <c r="AI506" s="198" t="s">
        <v>47</v>
      </c>
      <c r="AJ506" s="274" t="s">
        <v>42</v>
      </c>
      <c r="AK506"/>
    </row>
    <row r="507" spans="1:37" ht="15.75" hidden="1" customHeight="1">
      <c r="A507" s="198" t="s">
        <v>630</v>
      </c>
      <c r="B507" s="198" t="s">
        <v>691</v>
      </c>
      <c r="C507" s="214" t="s">
        <v>375</v>
      </c>
      <c r="D507" s="198" t="s">
        <v>9</v>
      </c>
      <c r="E507" s="198" t="s">
        <v>321</v>
      </c>
      <c r="F507" s="198">
        <v>394.05</v>
      </c>
      <c r="G507" s="198"/>
      <c r="H507" s="214" t="s">
        <v>849</v>
      </c>
      <c r="I507" s="214" t="s">
        <v>325</v>
      </c>
      <c r="J507" s="271">
        <v>55.75</v>
      </c>
      <c r="K507" s="198"/>
      <c r="L507" s="198"/>
      <c r="M507" s="198">
        <v>140.94</v>
      </c>
      <c r="N507" s="198"/>
      <c r="O507" s="198">
        <v>197.36</v>
      </c>
      <c r="P507" s="198"/>
      <c r="Q507" s="198" t="s">
        <v>329</v>
      </c>
      <c r="R507" s="230">
        <f>DATABASE_Table[[#This Row],[Inicial Asking Price (€) (Total)]]-DATABASE_Table[[#This Row],[Vista membership]]-DATABASE_Table[[#This Row],[FF&amp;E]]</f>
        <v>2355679.41</v>
      </c>
      <c r="S507" s="231">
        <v>2355679.41</v>
      </c>
      <c r="T507" s="232">
        <v>2375000</v>
      </c>
      <c r="U507" s="198"/>
      <c r="V507" s="198"/>
      <c r="W507" s="233">
        <f>DATABASE_Table[[#This Row],[Current Asking price( Total)]]-DATABASE_Table[[#This Row],[Vista membership]]-DATABASE_Table[[#This Row],[FF&amp;E]]</f>
        <v>2375000</v>
      </c>
      <c r="X507" s="216"/>
      <c r="Y507" s="232">
        <v>2360000</v>
      </c>
      <c r="Z507" s="233">
        <f>DATABASE_Table[[#This Row],[Sell price (Total)]]-DATABASE_Table[[#This Row],[FF&amp;E]]-DATABASE_Table[[#This Row],[Vista membership]]</f>
        <v>2360000</v>
      </c>
      <c r="AA507" s="315"/>
      <c r="AB507" s="321"/>
      <c r="AC507" s="198" t="s">
        <v>10</v>
      </c>
      <c r="AD507" s="198" t="s">
        <v>11</v>
      </c>
      <c r="AE507" s="279" t="s">
        <v>53</v>
      </c>
      <c r="AF507" s="279" t="s">
        <v>54</v>
      </c>
      <c r="AG507" s="279" t="s">
        <v>811</v>
      </c>
      <c r="AH507" s="279" t="s">
        <v>812</v>
      </c>
      <c r="AI507" s="198" t="s">
        <v>36</v>
      </c>
      <c r="AJ507" s="274" t="s">
        <v>52</v>
      </c>
      <c r="AK507"/>
    </row>
    <row r="508" spans="1:37" ht="15.75" hidden="1" customHeight="1">
      <c r="A508" s="198" t="s">
        <v>558</v>
      </c>
      <c r="B508" s="198" t="s">
        <v>691</v>
      </c>
      <c r="C508" s="214" t="s">
        <v>375</v>
      </c>
      <c r="D508" s="198" t="s">
        <v>9</v>
      </c>
      <c r="E508" s="198" t="s">
        <v>319</v>
      </c>
      <c r="F508" s="198">
        <v>109.31</v>
      </c>
      <c r="G508" s="198"/>
      <c r="H508" s="214" t="s">
        <v>325</v>
      </c>
      <c r="I508" s="214" t="s">
        <v>325</v>
      </c>
      <c r="J508" s="271">
        <v>7.67</v>
      </c>
      <c r="K508" s="198"/>
      <c r="L508" s="198"/>
      <c r="M508" s="198"/>
      <c r="N508" s="198"/>
      <c r="O508" s="198">
        <v>109.31</v>
      </c>
      <c r="P508" s="198"/>
      <c r="Q508" s="198" t="s">
        <v>329</v>
      </c>
      <c r="R508" s="230">
        <f>DATABASE_Table[[#This Row],[Inicial Asking Price (€) (Total)]]-DATABASE_Table[[#This Row],[Vista membership]]-DATABASE_Table[[#This Row],[FF&amp;E]]</f>
        <v>720000</v>
      </c>
      <c r="S508" s="231">
        <v>720000</v>
      </c>
      <c r="T508" s="232">
        <v>720000</v>
      </c>
      <c r="U508" s="198"/>
      <c r="V508" s="198"/>
      <c r="W508" s="233">
        <f>DATABASE_Table[[#This Row],[Current Asking price( Total)]]-DATABASE_Table[[#This Row],[Vista membership]]-DATABASE_Table[[#This Row],[FF&amp;E]]</f>
        <v>720000</v>
      </c>
      <c r="X508" s="216"/>
      <c r="Y508" s="232">
        <v>720000</v>
      </c>
      <c r="Z508" s="233">
        <f>DATABASE_Table[[#This Row],[Sell price (Total)]]-DATABASE_Table[[#This Row],[FF&amp;E]]-DATABASE_Table[[#This Row],[Vista membership]]</f>
        <v>720000</v>
      </c>
      <c r="AA508" s="315"/>
      <c r="AB508" s="321"/>
      <c r="AC508" s="198" t="s">
        <v>10</v>
      </c>
      <c r="AD508" s="198" t="s">
        <v>11</v>
      </c>
      <c r="AE508" s="279" t="s">
        <v>12</v>
      </c>
      <c r="AF508" s="279" t="s">
        <v>801</v>
      </c>
      <c r="AG508" s="279" t="s">
        <v>13</v>
      </c>
      <c r="AH508" s="279" t="s">
        <v>14</v>
      </c>
      <c r="AI508" s="198" t="s">
        <v>15</v>
      </c>
      <c r="AJ508" s="274" t="s">
        <v>8</v>
      </c>
      <c r="AK508"/>
    </row>
    <row r="509" spans="1:37" ht="15.75" hidden="1" customHeight="1">
      <c r="A509" s="198" t="s">
        <v>690</v>
      </c>
      <c r="B509" s="198" t="s">
        <v>691</v>
      </c>
      <c r="C509" s="214" t="s">
        <v>375</v>
      </c>
      <c r="D509" s="198" t="s">
        <v>9</v>
      </c>
      <c r="E509" s="198" t="s">
        <v>763</v>
      </c>
      <c r="F509" s="198">
        <v>416.4</v>
      </c>
      <c r="G509" s="198">
        <v>220.48</v>
      </c>
      <c r="H509" s="214" t="s">
        <v>325</v>
      </c>
      <c r="I509" s="214" t="s">
        <v>325</v>
      </c>
      <c r="J509" s="271">
        <v>32.840000000000003</v>
      </c>
      <c r="K509" s="198"/>
      <c r="L509" s="198"/>
      <c r="M509" s="198"/>
      <c r="N509" s="198"/>
      <c r="O509" s="198">
        <v>163.08000000000001</v>
      </c>
      <c r="P509" s="198"/>
      <c r="Q509" s="198" t="s">
        <v>329</v>
      </c>
      <c r="R509" s="230">
        <f>DATABASE_Table[[#This Row],[Inicial Asking Price (€) (Total)]]-DATABASE_Table[[#This Row],[Vista membership]]-DATABASE_Table[[#This Row],[FF&amp;E]]</f>
        <v>1958200</v>
      </c>
      <c r="S509" s="231">
        <v>2044100</v>
      </c>
      <c r="T509" s="232">
        <v>2130000</v>
      </c>
      <c r="U509" s="198">
        <v>24600</v>
      </c>
      <c r="V509" s="198">
        <v>61300</v>
      </c>
      <c r="W509" s="233">
        <f>DATABASE_Table[[#This Row],[Current Asking price( Total)]]-DATABASE_Table[[#This Row],[Vista membership]]-DATABASE_Table[[#This Row],[FF&amp;E]]</f>
        <v>2044100</v>
      </c>
      <c r="X509" s="216"/>
      <c r="Y509" s="232">
        <v>2130000</v>
      </c>
      <c r="Z509" s="233">
        <f>DATABASE_Table[[#This Row],[Sell price (Total)]]-DATABASE_Table[[#This Row],[FF&amp;E]]-DATABASE_Table[[#This Row],[Vista membership]]</f>
        <v>2044100</v>
      </c>
      <c r="AA509" s="315"/>
      <c r="AB509" s="321"/>
      <c r="AC509" s="198" t="s">
        <v>10</v>
      </c>
      <c r="AD509" s="198" t="s">
        <v>35</v>
      </c>
      <c r="AE509" s="279" t="s">
        <v>38</v>
      </c>
      <c r="AF509" s="279" t="s">
        <v>39</v>
      </c>
      <c r="AG509" s="279" t="s">
        <v>40</v>
      </c>
      <c r="AH509" s="279" t="s">
        <v>810</v>
      </c>
      <c r="AI509" s="198" t="s">
        <v>41</v>
      </c>
      <c r="AJ509" s="274" t="s">
        <v>37</v>
      </c>
      <c r="AK509"/>
    </row>
    <row r="510" spans="1:37" ht="15.75" hidden="1" customHeight="1">
      <c r="A510" s="198" t="s">
        <v>563</v>
      </c>
      <c r="B510" s="198" t="s">
        <v>691</v>
      </c>
      <c r="C510" s="214" t="s">
        <v>375</v>
      </c>
      <c r="D510" s="198" t="s">
        <v>9</v>
      </c>
      <c r="E510" s="198" t="s">
        <v>319</v>
      </c>
      <c r="F510" s="198">
        <v>104.7</v>
      </c>
      <c r="G510" s="198"/>
      <c r="H510" s="214" t="s">
        <v>325</v>
      </c>
      <c r="I510" s="214" t="s">
        <v>325</v>
      </c>
      <c r="J510" s="271"/>
      <c r="K510" s="198"/>
      <c r="L510" s="198"/>
      <c r="M510" s="198"/>
      <c r="N510" s="198"/>
      <c r="O510" s="198">
        <v>104.7</v>
      </c>
      <c r="P510" s="198"/>
      <c r="Q510" s="198" t="s">
        <v>628</v>
      </c>
      <c r="R510" s="230">
        <f>DATABASE_Table[[#This Row],[Inicial Asking Price (€) (Total)]]-DATABASE_Table[[#This Row],[Vista membership]]-DATABASE_Table[[#This Row],[FF&amp;E]]</f>
        <v>550000</v>
      </c>
      <c r="S510" s="231">
        <v>550000</v>
      </c>
      <c r="T510" s="232">
        <v>550000</v>
      </c>
      <c r="U510" s="198"/>
      <c r="V510" s="198"/>
      <c r="W510" s="233">
        <f>DATABASE_Table[[#This Row],[Current Asking price( Total)]]-DATABASE_Table[[#This Row],[Vista membership]]-DATABASE_Table[[#This Row],[FF&amp;E]]</f>
        <v>550000</v>
      </c>
      <c r="X510" s="216">
        <v>0.01</v>
      </c>
      <c r="Y510" s="232">
        <v>544500</v>
      </c>
      <c r="Z510" s="233">
        <f>DATABASE_Table[[#This Row],[Sell price (Total)]]-DATABASE_Table[[#This Row],[FF&amp;E]]-DATABASE_Table[[#This Row],[Vista membership]]</f>
        <v>544500</v>
      </c>
      <c r="AA510" s="317">
        <v>45870</v>
      </c>
      <c r="AB510" s="321"/>
      <c r="AC510" s="198" t="s">
        <v>10</v>
      </c>
      <c r="AD510" s="198" t="s">
        <v>11</v>
      </c>
      <c r="AE510" s="279" t="s">
        <v>28</v>
      </c>
      <c r="AF510" s="279" t="s">
        <v>29</v>
      </c>
      <c r="AG510" s="279" t="s">
        <v>805</v>
      </c>
      <c r="AH510" s="279" t="s">
        <v>806</v>
      </c>
      <c r="AI510" s="198" t="s">
        <v>30</v>
      </c>
      <c r="AJ510" s="274" t="s">
        <v>27</v>
      </c>
      <c r="AK510"/>
    </row>
    <row r="511" spans="1:37" ht="15.75" hidden="1" customHeight="1">
      <c r="A511" s="198" t="s">
        <v>784</v>
      </c>
      <c r="B511" s="198" t="s">
        <v>787</v>
      </c>
      <c r="C511" s="214" t="s">
        <v>443</v>
      </c>
      <c r="D511" s="198" t="s">
        <v>88</v>
      </c>
      <c r="E511" s="198" t="s">
        <v>383</v>
      </c>
      <c r="F511" s="198">
        <v>274.31</v>
      </c>
      <c r="G511" s="198"/>
      <c r="H511" s="214" t="s">
        <v>849</v>
      </c>
      <c r="I511" s="214" t="s">
        <v>590</v>
      </c>
      <c r="J511" s="271">
        <v>0</v>
      </c>
      <c r="K511" s="198">
        <v>68.33</v>
      </c>
      <c r="L511" s="198">
        <v>44.52</v>
      </c>
      <c r="M511" s="198"/>
      <c r="N511" s="198"/>
      <c r="O511" s="198">
        <v>161.46</v>
      </c>
      <c r="P511" s="198"/>
      <c r="Q511" s="198" t="s">
        <v>326</v>
      </c>
      <c r="R511" s="230">
        <f>DATABASE_Table[[#This Row],[Inicial Asking Price (€) (Total)]]-DATABASE_Table[[#This Row],[Vista membership]]-DATABASE_Table[[#This Row],[FF&amp;E]]</f>
        <v>840000</v>
      </c>
      <c r="S511" s="234">
        <v>840000</v>
      </c>
      <c r="T511" s="235">
        <v>860000</v>
      </c>
      <c r="U511" s="198"/>
      <c r="V511" s="198"/>
      <c r="W511" s="233">
        <f>DATABASE_Table[[#This Row],[Current Asking price( Total)]]-DATABASE_Table[[#This Row],[Vista membership]]-DATABASE_Table[[#This Row],[FF&amp;E]]</f>
        <v>860000</v>
      </c>
      <c r="X511" s="236">
        <v>0</v>
      </c>
      <c r="Y511" s="235">
        <v>800000</v>
      </c>
      <c r="Z511" s="233">
        <f>DATABASE_Table[[#This Row],[Sell price (Total)]]-DATABASE_Table[[#This Row],[FF&amp;E]]-DATABASE_Table[[#This Row],[Vista membership]]</f>
        <v>800000</v>
      </c>
      <c r="AA511" s="315">
        <v>46171</v>
      </c>
      <c r="AB511" s="321">
        <v>47208</v>
      </c>
      <c r="AC511" s="198" t="s">
        <v>80</v>
      </c>
      <c r="AD511" s="198" t="s">
        <v>81</v>
      </c>
      <c r="AE511" s="279" t="s">
        <v>89</v>
      </c>
      <c r="AF511" s="279" t="s">
        <v>90</v>
      </c>
      <c r="AG511" s="279" t="s">
        <v>91</v>
      </c>
      <c r="AH511" s="279" t="s">
        <v>92</v>
      </c>
      <c r="AI511" s="198" t="s">
        <v>30</v>
      </c>
      <c r="AJ511" s="274" t="s">
        <v>87</v>
      </c>
      <c r="AK511"/>
    </row>
    <row r="512" spans="1:37" ht="15.75" hidden="1" customHeight="1">
      <c r="A512" s="198" t="s">
        <v>784</v>
      </c>
      <c r="B512" s="198" t="s">
        <v>787</v>
      </c>
      <c r="C512" s="214" t="s">
        <v>435</v>
      </c>
      <c r="D512" s="198" t="s">
        <v>88</v>
      </c>
      <c r="E512" s="198" t="s">
        <v>383</v>
      </c>
      <c r="F512" s="198">
        <v>205.98</v>
      </c>
      <c r="G512" s="198"/>
      <c r="H512" s="214" t="s">
        <v>849</v>
      </c>
      <c r="I512" s="214" t="s">
        <v>589</v>
      </c>
      <c r="J512" s="271">
        <v>0</v>
      </c>
      <c r="K512" s="198">
        <v>0</v>
      </c>
      <c r="L512" s="198">
        <v>44.52</v>
      </c>
      <c r="M512" s="198"/>
      <c r="N512" s="198"/>
      <c r="O512" s="198">
        <v>161.46</v>
      </c>
      <c r="P512" s="198"/>
      <c r="Q512" s="198" t="s">
        <v>329</v>
      </c>
      <c r="R512" s="230">
        <f>DATABASE_Table[[#This Row],[Inicial Asking Price (€) (Total)]]-DATABASE_Table[[#This Row],[Vista membership]]-DATABASE_Table[[#This Row],[FF&amp;E]]</f>
        <v>840000</v>
      </c>
      <c r="S512" s="234">
        <v>840000</v>
      </c>
      <c r="T512" s="235">
        <v>860000</v>
      </c>
      <c r="U512" s="198"/>
      <c r="V512" s="198"/>
      <c r="W512" s="233">
        <f>DATABASE_Table[[#This Row],[Current Asking price( Total)]]-DATABASE_Table[[#This Row],[Vista membership]]-DATABASE_Table[[#This Row],[FF&amp;E]]</f>
        <v>860000</v>
      </c>
      <c r="X512" s="236"/>
      <c r="Y512" s="235"/>
      <c r="Z512" s="233">
        <f>DATABASE_Table[[#This Row],[Sell price (Total)]]-DATABASE_Table[[#This Row],[FF&amp;E]]-DATABASE_Table[[#This Row],[Vista membership]]</f>
        <v>0</v>
      </c>
      <c r="AA512" s="315"/>
      <c r="AB512" s="321">
        <v>47208</v>
      </c>
      <c r="AC512" s="198" t="s">
        <v>80</v>
      </c>
      <c r="AD512" s="198" t="s">
        <v>81</v>
      </c>
      <c r="AE512" s="279" t="s">
        <v>89</v>
      </c>
      <c r="AF512" s="279" t="s">
        <v>90</v>
      </c>
      <c r="AG512" s="279" t="s">
        <v>91</v>
      </c>
      <c r="AH512" s="279" t="s">
        <v>92</v>
      </c>
      <c r="AI512" s="198" t="s">
        <v>30</v>
      </c>
      <c r="AJ512" s="274" t="s">
        <v>87</v>
      </c>
      <c r="AK512"/>
    </row>
    <row r="513" spans="1:37" ht="15.75" hidden="1" customHeight="1">
      <c r="A513" s="198" t="s">
        <v>784</v>
      </c>
      <c r="B513" s="198" t="s">
        <v>787</v>
      </c>
      <c r="C513" s="214" t="s">
        <v>440</v>
      </c>
      <c r="D513" s="198" t="s">
        <v>88</v>
      </c>
      <c r="E513" s="198" t="s">
        <v>383</v>
      </c>
      <c r="F513" s="198">
        <v>245.15</v>
      </c>
      <c r="G513" s="198"/>
      <c r="H513" s="214" t="s">
        <v>849</v>
      </c>
      <c r="I513" s="214" t="s">
        <v>590</v>
      </c>
      <c r="J513" s="271">
        <v>0</v>
      </c>
      <c r="K513" s="198">
        <v>39.17</v>
      </c>
      <c r="L513" s="198">
        <v>44.52</v>
      </c>
      <c r="M513" s="198"/>
      <c r="N513" s="198"/>
      <c r="O513" s="198">
        <v>161.46</v>
      </c>
      <c r="P513" s="198"/>
      <c r="Q513" s="198" t="s">
        <v>329</v>
      </c>
      <c r="R513" s="230">
        <f>DATABASE_Table[[#This Row],[Inicial Asking Price (€) (Total)]]-DATABASE_Table[[#This Row],[Vista membership]]-DATABASE_Table[[#This Row],[FF&amp;E]]</f>
        <v>840000</v>
      </c>
      <c r="S513" s="234">
        <v>840000</v>
      </c>
      <c r="T513" s="235">
        <v>860000</v>
      </c>
      <c r="U513" s="198"/>
      <c r="V513" s="198"/>
      <c r="W513" s="233">
        <f>DATABASE_Table[[#This Row],[Current Asking price( Total)]]-DATABASE_Table[[#This Row],[Vista membership]]-DATABASE_Table[[#This Row],[FF&amp;E]]</f>
        <v>860000</v>
      </c>
      <c r="X513" s="236"/>
      <c r="Y513" s="235"/>
      <c r="Z513" s="233">
        <f>DATABASE_Table[[#This Row],[Sell price (Total)]]-DATABASE_Table[[#This Row],[FF&amp;E]]-DATABASE_Table[[#This Row],[Vista membership]]</f>
        <v>0</v>
      </c>
      <c r="AA513" s="315"/>
      <c r="AB513" s="321">
        <v>47208</v>
      </c>
      <c r="AC513" s="198" t="s">
        <v>80</v>
      </c>
      <c r="AD513" s="198" t="s">
        <v>81</v>
      </c>
      <c r="AE513" s="279" t="s">
        <v>89</v>
      </c>
      <c r="AF513" s="279" t="s">
        <v>90</v>
      </c>
      <c r="AG513" s="279" t="s">
        <v>91</v>
      </c>
      <c r="AH513" s="279" t="s">
        <v>92</v>
      </c>
      <c r="AI513" s="198" t="s">
        <v>30</v>
      </c>
      <c r="AJ513" s="274" t="s">
        <v>87</v>
      </c>
      <c r="AK513"/>
    </row>
    <row r="514" spans="1:37" ht="15.75" hidden="1" customHeight="1">
      <c r="A514" s="198" t="s">
        <v>784</v>
      </c>
      <c r="B514" s="198" t="s">
        <v>787</v>
      </c>
      <c r="C514" s="214" t="s">
        <v>441</v>
      </c>
      <c r="D514" s="198" t="s">
        <v>88</v>
      </c>
      <c r="E514" s="198" t="s">
        <v>383</v>
      </c>
      <c r="F514" s="198">
        <v>254.75</v>
      </c>
      <c r="G514" s="198"/>
      <c r="H514" s="214" t="s">
        <v>849</v>
      </c>
      <c r="I514" s="214" t="s">
        <v>590</v>
      </c>
      <c r="J514" s="271">
        <v>0</v>
      </c>
      <c r="K514" s="198">
        <v>48.77</v>
      </c>
      <c r="L514" s="198">
        <v>44.52</v>
      </c>
      <c r="M514" s="198"/>
      <c r="N514" s="198"/>
      <c r="O514" s="198">
        <v>161.46</v>
      </c>
      <c r="P514" s="198"/>
      <c r="Q514" s="198" t="s">
        <v>591</v>
      </c>
      <c r="R514" s="230">
        <f>DATABASE_Table[[#This Row],[Inicial Asking Price (€) (Total)]]-DATABASE_Table[[#This Row],[Vista membership]]-DATABASE_Table[[#This Row],[FF&amp;E]]</f>
        <v>840000</v>
      </c>
      <c r="S514" s="234">
        <v>840000</v>
      </c>
      <c r="T514" s="235">
        <v>860000</v>
      </c>
      <c r="U514" s="198"/>
      <c r="V514" s="198"/>
      <c r="W514" s="233">
        <f>DATABASE_Table[[#This Row],[Current Asking price( Total)]]-DATABASE_Table[[#This Row],[Vista membership]]-DATABASE_Table[[#This Row],[FF&amp;E]]</f>
        <v>860000</v>
      </c>
      <c r="X514" s="236"/>
      <c r="Y514" s="235"/>
      <c r="Z514" s="233">
        <f>DATABASE_Table[[#This Row],[Sell price (Total)]]-DATABASE_Table[[#This Row],[FF&amp;E]]-DATABASE_Table[[#This Row],[Vista membership]]</f>
        <v>0</v>
      </c>
      <c r="AA514" s="315"/>
      <c r="AB514" s="321">
        <v>47208</v>
      </c>
      <c r="AC514" s="198" t="s">
        <v>80</v>
      </c>
      <c r="AD514" s="198" t="s">
        <v>81</v>
      </c>
      <c r="AE514" s="279" t="s">
        <v>89</v>
      </c>
      <c r="AF514" s="279" t="s">
        <v>90</v>
      </c>
      <c r="AG514" s="279" t="s">
        <v>91</v>
      </c>
      <c r="AH514" s="279" t="s">
        <v>92</v>
      </c>
      <c r="AI514" s="198" t="s">
        <v>30</v>
      </c>
      <c r="AJ514" s="274" t="s">
        <v>87</v>
      </c>
      <c r="AK514"/>
    </row>
    <row r="515" spans="1:37" ht="15.75" hidden="1" customHeight="1">
      <c r="A515" s="198" t="s">
        <v>784</v>
      </c>
      <c r="B515" s="198" t="s">
        <v>787</v>
      </c>
      <c r="C515" s="214" t="s">
        <v>442</v>
      </c>
      <c r="D515" s="198" t="s">
        <v>88</v>
      </c>
      <c r="E515" s="198" t="s">
        <v>383</v>
      </c>
      <c r="F515" s="198">
        <v>263.92</v>
      </c>
      <c r="G515" s="198"/>
      <c r="H515" s="214" t="s">
        <v>849</v>
      </c>
      <c r="I515" s="214" t="s">
        <v>590</v>
      </c>
      <c r="J515" s="271">
        <v>0</v>
      </c>
      <c r="K515" s="198">
        <v>57.94</v>
      </c>
      <c r="L515" s="198">
        <v>44.52</v>
      </c>
      <c r="M515" s="198"/>
      <c r="N515" s="198"/>
      <c r="O515" s="198">
        <v>161.46</v>
      </c>
      <c r="P515" s="198"/>
      <c r="Q515" s="198" t="s">
        <v>591</v>
      </c>
      <c r="R515" s="230">
        <f>DATABASE_Table[[#This Row],[Inicial Asking Price (€) (Total)]]-DATABASE_Table[[#This Row],[Vista membership]]-DATABASE_Table[[#This Row],[FF&amp;E]]</f>
        <v>840000</v>
      </c>
      <c r="S515" s="234">
        <v>840000</v>
      </c>
      <c r="T515" s="235">
        <v>880000</v>
      </c>
      <c r="U515" s="198"/>
      <c r="V515" s="198"/>
      <c r="W515" s="233">
        <f>DATABASE_Table[[#This Row],[Current Asking price( Total)]]-DATABASE_Table[[#This Row],[Vista membership]]-DATABASE_Table[[#This Row],[FF&amp;E]]</f>
        <v>880000</v>
      </c>
      <c r="X515" s="236"/>
      <c r="Y515" s="235"/>
      <c r="Z515" s="233">
        <f>DATABASE_Table[[#This Row],[Sell price (Total)]]-DATABASE_Table[[#This Row],[FF&amp;E]]-DATABASE_Table[[#This Row],[Vista membership]]</f>
        <v>0</v>
      </c>
      <c r="AA515" s="315"/>
      <c r="AB515" s="321">
        <v>47208</v>
      </c>
      <c r="AC515" s="198" t="s">
        <v>80</v>
      </c>
      <c r="AD515" s="198" t="s">
        <v>81</v>
      </c>
      <c r="AE515" s="279" t="s">
        <v>89</v>
      </c>
      <c r="AF515" s="279" t="s">
        <v>90</v>
      </c>
      <c r="AG515" s="279" t="s">
        <v>91</v>
      </c>
      <c r="AH515" s="279" t="s">
        <v>92</v>
      </c>
      <c r="AI515" s="198" t="s">
        <v>30</v>
      </c>
      <c r="AJ515" s="274" t="s">
        <v>87</v>
      </c>
      <c r="AK515"/>
    </row>
    <row r="516" spans="1:37" ht="15.75" hidden="1" customHeight="1">
      <c r="A516" s="198" t="s">
        <v>562</v>
      </c>
      <c r="B516" s="198" t="s">
        <v>691</v>
      </c>
      <c r="C516" s="214" t="s">
        <v>375</v>
      </c>
      <c r="D516" s="198" t="s">
        <v>9</v>
      </c>
      <c r="E516" s="198" t="s">
        <v>319</v>
      </c>
      <c r="F516" s="198">
        <v>119</v>
      </c>
      <c r="G516" s="198"/>
      <c r="H516" s="214" t="s">
        <v>325</v>
      </c>
      <c r="I516" s="214" t="s">
        <v>325</v>
      </c>
      <c r="J516" s="271"/>
      <c r="K516" s="198"/>
      <c r="L516" s="198"/>
      <c r="M516" s="198"/>
      <c r="N516" s="198"/>
      <c r="O516" s="198">
        <v>119</v>
      </c>
      <c r="P516" s="198"/>
      <c r="Q516" s="198" t="s">
        <v>929</v>
      </c>
      <c r="R516" s="230">
        <f>DATABASE_Table[[#This Row],[Inicial Asking Price (€) (Total)]]-DATABASE_Table[[#This Row],[Vista membership]]-DATABASE_Table[[#This Row],[FF&amp;E]]</f>
        <v>590000</v>
      </c>
      <c r="S516" s="231">
        <v>590000</v>
      </c>
      <c r="T516" s="232">
        <v>660000</v>
      </c>
      <c r="U516" s="198"/>
      <c r="V516" s="198"/>
      <c r="W516" s="233">
        <f>DATABASE_Table[[#This Row],[Current Asking price( Total)]]-DATABASE_Table[[#This Row],[Vista membership]]-DATABASE_Table[[#This Row],[FF&amp;E]]</f>
        <v>660000</v>
      </c>
      <c r="X516" s="216">
        <v>0</v>
      </c>
      <c r="Y516" s="232">
        <v>660000</v>
      </c>
      <c r="Z516" s="233">
        <f>DATABASE_Table[[#This Row],[Sell price (Total)]]-DATABASE_Table[[#This Row],[FF&amp;E]]-DATABASE_Table[[#This Row],[Vista membership]]</f>
        <v>660000</v>
      </c>
      <c r="AA516" s="315">
        <v>45923</v>
      </c>
      <c r="AB516" s="321"/>
      <c r="AC516" s="198" t="s">
        <v>10</v>
      </c>
      <c r="AD516" s="198" t="s">
        <v>23</v>
      </c>
      <c r="AE516" s="279" t="s">
        <v>24</v>
      </c>
      <c r="AF516" s="279" t="s">
        <v>803</v>
      </c>
      <c r="AG516" s="279" t="s">
        <v>25</v>
      </c>
      <c r="AH516" s="279" t="s">
        <v>804</v>
      </c>
      <c r="AI516" s="198" t="s">
        <v>26</v>
      </c>
      <c r="AJ516" s="274" t="s">
        <v>22</v>
      </c>
      <c r="AK516"/>
    </row>
    <row r="517" spans="1:37" ht="15.75" hidden="1" customHeight="1">
      <c r="A517" s="198" t="s">
        <v>689</v>
      </c>
      <c r="B517" s="198" t="s">
        <v>691</v>
      </c>
      <c r="C517" s="214" t="s">
        <v>375</v>
      </c>
      <c r="D517" s="198"/>
      <c r="E517" s="198" t="s">
        <v>383</v>
      </c>
      <c r="F517" s="198">
        <v>188.36330000000001</v>
      </c>
      <c r="G517" s="198"/>
      <c r="H517" s="214" t="s">
        <v>325</v>
      </c>
      <c r="I517" s="214" t="s">
        <v>325</v>
      </c>
      <c r="J517" s="271"/>
      <c r="K517" s="198"/>
      <c r="L517" s="198"/>
      <c r="M517" s="198"/>
      <c r="N517" s="198"/>
      <c r="O517" s="198">
        <v>188.36330000000001</v>
      </c>
      <c r="P517" s="198"/>
      <c r="Q517" s="198" t="s">
        <v>929</v>
      </c>
      <c r="R517" s="230">
        <f>DATABASE_Table[[#This Row],[Inicial Asking Price (€) (Total)]]-DATABASE_Table[[#This Row],[Vista membership]]-DATABASE_Table[[#This Row],[FF&amp;E]]</f>
        <v>1151600</v>
      </c>
      <c r="S517" s="231">
        <v>1151600</v>
      </c>
      <c r="T517" s="232">
        <v>1152000</v>
      </c>
      <c r="U517" s="198"/>
      <c r="V517" s="198"/>
      <c r="W517" s="233">
        <f>DATABASE_Table[[#This Row],[Current Asking price( Total)]]-DATABASE_Table[[#This Row],[Vista membership]]-DATABASE_Table[[#This Row],[FF&amp;E]]</f>
        <v>1152000</v>
      </c>
      <c r="X517" s="216">
        <v>0</v>
      </c>
      <c r="Y517" s="232">
        <v>1152000</v>
      </c>
      <c r="Z517" s="233">
        <f>DATABASE_Table[[#This Row],[Sell price (Total)]]-DATABASE_Table[[#This Row],[FF&amp;E]]-DATABASE_Table[[#This Row],[Vista membership]]</f>
        <v>1152000</v>
      </c>
      <c r="AA517" s="315">
        <v>44641</v>
      </c>
      <c r="AB517" s="321"/>
      <c r="AC517" s="198"/>
      <c r="AD517" s="198"/>
      <c r="AE517" s="279"/>
      <c r="AF517" s="279"/>
      <c r="AG517" s="279"/>
      <c r="AH517" s="279"/>
      <c r="AI517" s="198"/>
      <c r="AJ517" s="274" t="s">
        <v>689</v>
      </c>
      <c r="AK517"/>
    </row>
    <row r="518" spans="1:37" ht="15.75" hidden="1" customHeight="1">
      <c r="A518" s="198" t="s">
        <v>564</v>
      </c>
      <c r="B518" s="198" t="s">
        <v>691</v>
      </c>
      <c r="C518" s="214" t="s">
        <v>375</v>
      </c>
      <c r="D518" s="198" t="s">
        <v>9</v>
      </c>
      <c r="E518" s="198" t="s">
        <v>319</v>
      </c>
      <c r="F518" s="198">
        <v>119.33</v>
      </c>
      <c r="G518" s="198"/>
      <c r="H518" s="214" t="s">
        <v>325</v>
      </c>
      <c r="I518" s="214" t="s">
        <v>325</v>
      </c>
      <c r="J518" s="271">
        <v>29</v>
      </c>
      <c r="K518" s="198"/>
      <c r="L518" s="198"/>
      <c r="M518" s="198"/>
      <c r="N518" s="198"/>
      <c r="O518" s="198">
        <v>90.33</v>
      </c>
      <c r="P518" s="198"/>
      <c r="Q518" s="198" t="s">
        <v>329</v>
      </c>
      <c r="R518" s="230">
        <f>DATABASE_Table[[#This Row],[Inicial Asking Price (€) (Total)]]-DATABASE_Table[[#This Row],[Vista membership]]-DATABASE_Table[[#This Row],[FF&amp;E]]</f>
        <v>721039.49040000001</v>
      </c>
      <c r="S518" s="231">
        <v>785639.49040000001</v>
      </c>
      <c r="T518" s="232">
        <v>840000</v>
      </c>
      <c r="U518" s="198">
        <v>24600</v>
      </c>
      <c r="V518" s="198">
        <v>40000</v>
      </c>
      <c r="W518" s="233">
        <f>DATABASE_Table[[#This Row],[Current Asking price( Total)]]-DATABASE_Table[[#This Row],[Vista membership]]-DATABASE_Table[[#This Row],[FF&amp;E]]</f>
        <v>775400</v>
      </c>
      <c r="X518" s="216"/>
      <c r="Y518" s="232">
        <v>840000</v>
      </c>
      <c r="Z518" s="233">
        <f>DATABASE_Table[[#This Row],[Sell price (Total)]]-DATABASE_Table[[#This Row],[FF&amp;E]]-DATABASE_Table[[#This Row],[Vista membership]]</f>
        <v>775400</v>
      </c>
      <c r="AA518" s="315"/>
      <c r="AB518" s="321"/>
      <c r="AC518" s="198" t="s">
        <v>10</v>
      </c>
      <c r="AD518" s="198" t="s">
        <v>35</v>
      </c>
      <c r="AE518" s="279" t="s">
        <v>43</v>
      </c>
      <c r="AF518" s="279" t="s">
        <v>44</v>
      </c>
      <c r="AG518" s="279" t="s">
        <v>45</v>
      </c>
      <c r="AH518" s="279" t="s">
        <v>46</v>
      </c>
      <c r="AI518" s="198" t="s">
        <v>47</v>
      </c>
      <c r="AJ518" s="274" t="s">
        <v>42</v>
      </c>
      <c r="AK518"/>
    </row>
    <row r="519" spans="1:37" ht="15.75" hidden="1" customHeight="1">
      <c r="A519" s="198" t="s">
        <v>773</v>
      </c>
      <c r="B519" s="198" t="s">
        <v>769</v>
      </c>
      <c r="C519" s="214" t="s">
        <v>849</v>
      </c>
      <c r="D519" s="198" t="s">
        <v>67</v>
      </c>
      <c r="E519" s="198" t="s">
        <v>553</v>
      </c>
      <c r="F519" s="198">
        <v>4909</v>
      </c>
      <c r="G519" s="198"/>
      <c r="H519" s="214" t="s">
        <v>325</v>
      </c>
      <c r="I519" s="214" t="s">
        <v>325</v>
      </c>
      <c r="J519" s="271"/>
      <c r="K519" s="198"/>
      <c r="L519" s="198"/>
      <c r="M519" s="198"/>
      <c r="N519" s="198"/>
      <c r="O519" s="198">
        <v>500</v>
      </c>
      <c r="P519" s="198"/>
      <c r="Q519" s="198" t="s">
        <v>929</v>
      </c>
      <c r="R519" s="230">
        <f>DATABASE_Table[[#This Row],[Inicial Asking Price (€) (Total)]]-DATABASE_Table[[#This Row],[Vista membership]]-DATABASE_Table[[#This Row],[FF&amp;E]]</f>
        <v>850000</v>
      </c>
      <c r="S519" s="234">
        <v>850000</v>
      </c>
      <c r="T519" s="235">
        <v>2500000</v>
      </c>
      <c r="U519" s="198"/>
      <c r="V519" s="198"/>
      <c r="W519" s="233">
        <f>DATABASE_Table[[#This Row],[Current Asking price( Total)]]-DATABASE_Table[[#This Row],[Vista membership]]-DATABASE_Table[[#This Row],[FF&amp;E]]</f>
        <v>2500000</v>
      </c>
      <c r="X519" s="236">
        <v>0.1</v>
      </c>
      <c r="Y519" s="235">
        <v>2250000</v>
      </c>
      <c r="Z519" s="233">
        <f>DATABASE_Table[[#This Row],[Sell price (Total)]]-DATABASE_Table[[#This Row],[FF&amp;E]]-DATABASE_Table[[#This Row],[Vista membership]]</f>
        <v>2250000</v>
      </c>
      <c r="AA519" s="315"/>
      <c r="AB519" s="321">
        <v>46843</v>
      </c>
      <c r="AC519" s="198" t="s">
        <v>57</v>
      </c>
      <c r="AD519" s="198" t="s">
        <v>68</v>
      </c>
      <c r="AE519" s="279" t="s">
        <v>69</v>
      </c>
      <c r="AF519" s="279" t="s">
        <v>70</v>
      </c>
      <c r="AG519" s="279" t="s">
        <v>71</v>
      </c>
      <c r="AH519" s="279" t="s">
        <v>816</v>
      </c>
      <c r="AI519" s="198" t="s">
        <v>72</v>
      </c>
      <c r="AJ519" s="274" t="s">
        <v>66</v>
      </c>
      <c r="AK519"/>
    </row>
    <row r="520" spans="1:37" ht="15.75" hidden="1" customHeight="1">
      <c r="A520" s="198" t="s">
        <v>773</v>
      </c>
      <c r="B520" s="198" t="s">
        <v>769</v>
      </c>
      <c r="C520" s="214" t="s">
        <v>866</v>
      </c>
      <c r="D520" s="198" t="s">
        <v>67</v>
      </c>
      <c r="E520" s="198" t="s">
        <v>553</v>
      </c>
      <c r="F520" s="198">
        <v>3489</v>
      </c>
      <c r="G520" s="198"/>
      <c r="H520" s="214" t="s">
        <v>325</v>
      </c>
      <c r="I520" s="214" t="s">
        <v>325</v>
      </c>
      <c r="J520" s="271"/>
      <c r="K520" s="198"/>
      <c r="L520" s="198"/>
      <c r="M520" s="198"/>
      <c r="N520" s="198"/>
      <c r="O520" s="198">
        <v>420</v>
      </c>
      <c r="P520" s="198"/>
      <c r="Q520" s="198" t="s">
        <v>329</v>
      </c>
      <c r="R520" s="230">
        <f>DATABASE_Table[[#This Row],[Inicial Asking Price (€) (Total)]]-DATABASE_Table[[#This Row],[Vista membership]]-DATABASE_Table[[#This Row],[FF&amp;E]]</f>
        <v>850000</v>
      </c>
      <c r="S520" s="234">
        <v>850000</v>
      </c>
      <c r="T520" s="235">
        <v>1650000</v>
      </c>
      <c r="U520" s="198"/>
      <c r="V520" s="198"/>
      <c r="W520" s="233">
        <f>DATABASE_Table[[#This Row],[Current Asking price( Total)]]-DATABASE_Table[[#This Row],[Vista membership]]-DATABASE_Table[[#This Row],[FF&amp;E]]</f>
        <v>1650000</v>
      </c>
      <c r="X520" s="236"/>
      <c r="Y520" s="235">
        <v>1650000</v>
      </c>
      <c r="Z520" s="233">
        <f>DATABASE_Table[[#This Row],[Sell price (Total)]]-DATABASE_Table[[#This Row],[FF&amp;E]]-DATABASE_Table[[#This Row],[Vista membership]]</f>
        <v>1650000</v>
      </c>
      <c r="AA520" s="315"/>
      <c r="AB520" s="321">
        <v>46843</v>
      </c>
      <c r="AC520" s="198" t="s">
        <v>57</v>
      </c>
      <c r="AD520" s="198" t="s">
        <v>68</v>
      </c>
      <c r="AE520" s="279" t="s">
        <v>69</v>
      </c>
      <c r="AF520" s="279" t="s">
        <v>70</v>
      </c>
      <c r="AG520" s="279" t="s">
        <v>71</v>
      </c>
      <c r="AH520" s="279" t="s">
        <v>816</v>
      </c>
      <c r="AI520" s="198" t="s">
        <v>72</v>
      </c>
      <c r="AJ520" s="274" t="s">
        <v>66</v>
      </c>
      <c r="AK520"/>
    </row>
    <row r="521" spans="1:37" ht="15.75" hidden="1" customHeight="1">
      <c r="A521" s="198" t="s">
        <v>630</v>
      </c>
      <c r="B521" s="198" t="s">
        <v>691</v>
      </c>
      <c r="C521" s="214" t="s">
        <v>376</v>
      </c>
      <c r="D521" s="198" t="s">
        <v>9</v>
      </c>
      <c r="E521" s="198" t="s">
        <v>320</v>
      </c>
      <c r="F521" s="198">
        <v>195.9</v>
      </c>
      <c r="G521" s="198"/>
      <c r="H521" s="214" t="s">
        <v>849</v>
      </c>
      <c r="I521" s="214" t="s">
        <v>325</v>
      </c>
      <c r="J521" s="271">
        <v>32.97</v>
      </c>
      <c r="K521" s="198"/>
      <c r="L521" s="198"/>
      <c r="M521" s="198">
        <v>0</v>
      </c>
      <c r="N521" s="198"/>
      <c r="O521" s="198">
        <v>162.93</v>
      </c>
      <c r="P521" s="198"/>
      <c r="Q521" s="198" t="s">
        <v>329</v>
      </c>
      <c r="R521" s="230">
        <f>DATABASE_Table[[#This Row],[Inicial Asking Price (€) (Total)]]-DATABASE_Table[[#This Row],[Vista membership]]-DATABASE_Table[[#This Row],[FF&amp;E]]</f>
        <v>1437870.72</v>
      </c>
      <c r="S521" s="231">
        <v>1437870.72</v>
      </c>
      <c r="T521" s="232">
        <v>1500000</v>
      </c>
      <c r="U521" s="198"/>
      <c r="V521" s="198"/>
      <c r="W521" s="233">
        <f>DATABASE_Table[[#This Row],[Current Asking price( Total)]]-DATABASE_Table[[#This Row],[Vista membership]]-DATABASE_Table[[#This Row],[FF&amp;E]]</f>
        <v>1500000</v>
      </c>
      <c r="X521" s="216"/>
      <c r="Y521" s="232">
        <v>1483200</v>
      </c>
      <c r="Z521" s="233">
        <f>DATABASE_Table[[#This Row],[Sell price (Total)]]-DATABASE_Table[[#This Row],[FF&amp;E]]-DATABASE_Table[[#This Row],[Vista membership]]</f>
        <v>1483200</v>
      </c>
      <c r="AA521" s="315"/>
      <c r="AB521" s="321"/>
      <c r="AC521" s="198" t="s">
        <v>10</v>
      </c>
      <c r="AD521" s="198" t="s">
        <v>11</v>
      </c>
      <c r="AE521" s="279" t="s">
        <v>53</v>
      </c>
      <c r="AF521" s="279" t="s">
        <v>54</v>
      </c>
      <c r="AG521" s="279" t="s">
        <v>811</v>
      </c>
      <c r="AH521" s="279" t="s">
        <v>812</v>
      </c>
      <c r="AI521" s="198" t="s">
        <v>36</v>
      </c>
      <c r="AJ521" s="274" t="s">
        <v>52</v>
      </c>
      <c r="AK521"/>
    </row>
    <row r="522" spans="1:37" ht="15.75" hidden="1" customHeight="1">
      <c r="A522" s="198" t="s">
        <v>773</v>
      </c>
      <c r="B522" s="198" t="s">
        <v>769</v>
      </c>
      <c r="C522" s="214" t="s">
        <v>836</v>
      </c>
      <c r="D522" s="198" t="s">
        <v>67</v>
      </c>
      <c r="E522" s="198" t="s">
        <v>553</v>
      </c>
      <c r="F522" s="198">
        <v>3383</v>
      </c>
      <c r="G522" s="198"/>
      <c r="H522" s="214" t="s">
        <v>325</v>
      </c>
      <c r="I522" s="214" t="s">
        <v>325</v>
      </c>
      <c r="J522" s="271"/>
      <c r="K522" s="198"/>
      <c r="L522" s="198"/>
      <c r="M522" s="198"/>
      <c r="N522" s="198"/>
      <c r="O522" s="198">
        <v>420</v>
      </c>
      <c r="P522" s="198"/>
      <c r="Q522" s="198" t="s">
        <v>329</v>
      </c>
      <c r="R522" s="230">
        <f>DATABASE_Table[[#This Row],[Inicial Asking Price (€) (Total)]]-DATABASE_Table[[#This Row],[Vista membership]]-DATABASE_Table[[#This Row],[FF&amp;E]]</f>
        <v>860000</v>
      </c>
      <c r="S522" s="234">
        <v>860000</v>
      </c>
      <c r="T522" s="235">
        <v>1950000</v>
      </c>
      <c r="U522" s="198"/>
      <c r="V522" s="198"/>
      <c r="W522" s="233">
        <f>DATABASE_Table[[#This Row],[Current Asking price( Total)]]-DATABASE_Table[[#This Row],[Vista membership]]-DATABASE_Table[[#This Row],[FF&amp;E]]</f>
        <v>1950000</v>
      </c>
      <c r="X522" s="236"/>
      <c r="Y522" s="235">
        <v>1950000</v>
      </c>
      <c r="Z522" s="233">
        <f>DATABASE_Table[[#This Row],[Sell price (Total)]]-DATABASE_Table[[#This Row],[FF&amp;E]]-DATABASE_Table[[#This Row],[Vista membership]]</f>
        <v>1950000</v>
      </c>
      <c r="AA522" s="315"/>
      <c r="AB522" s="321">
        <v>46843</v>
      </c>
      <c r="AC522" s="198" t="s">
        <v>57</v>
      </c>
      <c r="AD522" s="198" t="s">
        <v>68</v>
      </c>
      <c r="AE522" s="279" t="s">
        <v>69</v>
      </c>
      <c r="AF522" s="279" t="s">
        <v>70</v>
      </c>
      <c r="AG522" s="279" t="s">
        <v>71</v>
      </c>
      <c r="AH522" s="279" t="s">
        <v>816</v>
      </c>
      <c r="AI522" s="198" t="s">
        <v>72</v>
      </c>
      <c r="AJ522" s="274" t="s">
        <v>66</v>
      </c>
      <c r="AK522"/>
    </row>
    <row r="523" spans="1:37" ht="15.75" hidden="1" customHeight="1">
      <c r="A523" s="198" t="s">
        <v>558</v>
      </c>
      <c r="B523" s="198" t="s">
        <v>691</v>
      </c>
      <c r="C523" s="214" t="s">
        <v>376</v>
      </c>
      <c r="D523" s="198" t="s">
        <v>9</v>
      </c>
      <c r="E523" s="198" t="s">
        <v>319</v>
      </c>
      <c r="F523" s="198">
        <v>113.23</v>
      </c>
      <c r="G523" s="198"/>
      <c r="H523" s="214" t="s">
        <v>325</v>
      </c>
      <c r="I523" s="214" t="s">
        <v>325</v>
      </c>
      <c r="J523" s="271">
        <v>7.98</v>
      </c>
      <c r="K523" s="198"/>
      <c r="L523" s="198"/>
      <c r="M523" s="198"/>
      <c r="N523" s="198"/>
      <c r="O523" s="198">
        <v>113.23</v>
      </c>
      <c r="P523" s="198"/>
      <c r="Q523" s="198" t="s">
        <v>628</v>
      </c>
      <c r="R523" s="230">
        <f>DATABASE_Table[[#This Row],[Inicial Asking Price (€) (Total)]]-DATABASE_Table[[#This Row],[Vista membership]]-DATABASE_Table[[#This Row],[FF&amp;E]]</f>
        <v>750000</v>
      </c>
      <c r="S523" s="231">
        <v>750000</v>
      </c>
      <c r="T523" s="232">
        <v>750000</v>
      </c>
      <c r="U523" s="198"/>
      <c r="V523" s="198"/>
      <c r="W523" s="233">
        <f>DATABASE_Table[[#This Row],[Current Asking price( Total)]]-DATABASE_Table[[#This Row],[Vista membership]]-DATABASE_Table[[#This Row],[FF&amp;E]]</f>
        <v>750000</v>
      </c>
      <c r="X523" s="216">
        <v>0.01</v>
      </c>
      <c r="Y523" s="232">
        <v>742500</v>
      </c>
      <c r="Z523" s="233">
        <f>DATABASE_Table[[#This Row],[Sell price (Total)]]-DATABASE_Table[[#This Row],[FF&amp;E]]-DATABASE_Table[[#This Row],[Vista membership]]</f>
        <v>742500</v>
      </c>
      <c r="AA523" s="315">
        <v>46093</v>
      </c>
      <c r="AB523" s="321"/>
      <c r="AC523" s="198" t="s">
        <v>10</v>
      </c>
      <c r="AD523" s="198" t="s">
        <v>11</v>
      </c>
      <c r="AE523" s="279" t="s">
        <v>12</v>
      </c>
      <c r="AF523" s="279" t="s">
        <v>801</v>
      </c>
      <c r="AG523" s="279" t="s">
        <v>13</v>
      </c>
      <c r="AH523" s="279" t="s">
        <v>14</v>
      </c>
      <c r="AI523" s="198" t="s">
        <v>15</v>
      </c>
      <c r="AJ523" s="274" t="s">
        <v>8</v>
      </c>
      <c r="AK523"/>
    </row>
    <row r="524" spans="1:37" ht="15.75" hidden="1" customHeight="1">
      <c r="A524" s="198" t="s">
        <v>690</v>
      </c>
      <c r="B524" s="198" t="s">
        <v>691</v>
      </c>
      <c r="C524" s="214" t="s">
        <v>376</v>
      </c>
      <c r="D524" s="198" t="s">
        <v>9</v>
      </c>
      <c r="E524" s="198" t="s">
        <v>765</v>
      </c>
      <c r="F524" s="198">
        <v>333.99</v>
      </c>
      <c r="G524" s="198">
        <v>172.78</v>
      </c>
      <c r="H524" s="214" t="s">
        <v>325</v>
      </c>
      <c r="I524" s="214" t="s">
        <v>325</v>
      </c>
      <c r="J524" s="271">
        <v>25.77</v>
      </c>
      <c r="K524" s="198"/>
      <c r="L524" s="198"/>
      <c r="M524" s="198"/>
      <c r="N524" s="198"/>
      <c r="O524" s="198">
        <v>135.44</v>
      </c>
      <c r="P524" s="198"/>
      <c r="Q524" s="198" t="s">
        <v>329</v>
      </c>
      <c r="R524" s="230">
        <f>DATABASE_Table[[#This Row],[Inicial Asking Price (€) (Total)]]-DATABASE_Table[[#This Row],[Vista membership]]-DATABASE_Table[[#This Row],[FF&amp;E]]</f>
        <v>1737700</v>
      </c>
      <c r="S524" s="231">
        <v>1808850</v>
      </c>
      <c r="T524" s="232">
        <v>1880000</v>
      </c>
      <c r="U524" s="198">
        <v>24600</v>
      </c>
      <c r="V524" s="198">
        <v>46550</v>
      </c>
      <c r="W524" s="233">
        <f>DATABASE_Table[[#This Row],[Current Asking price( Total)]]-DATABASE_Table[[#This Row],[Vista membership]]-DATABASE_Table[[#This Row],[FF&amp;E]]</f>
        <v>1808850</v>
      </c>
      <c r="X524" s="216"/>
      <c r="Y524" s="232">
        <v>1880000</v>
      </c>
      <c r="Z524" s="233">
        <f>DATABASE_Table[[#This Row],[Sell price (Total)]]-DATABASE_Table[[#This Row],[FF&amp;E]]-DATABASE_Table[[#This Row],[Vista membership]]</f>
        <v>1808850</v>
      </c>
      <c r="AA524" s="315"/>
      <c r="AB524" s="321"/>
      <c r="AC524" s="198" t="s">
        <v>10</v>
      </c>
      <c r="AD524" s="198" t="s">
        <v>35</v>
      </c>
      <c r="AE524" s="279" t="s">
        <v>38</v>
      </c>
      <c r="AF524" s="279" t="s">
        <v>39</v>
      </c>
      <c r="AG524" s="279" t="s">
        <v>40</v>
      </c>
      <c r="AH524" s="279" t="s">
        <v>810</v>
      </c>
      <c r="AI524" s="198" t="s">
        <v>41</v>
      </c>
      <c r="AJ524" s="274" t="s">
        <v>37</v>
      </c>
      <c r="AK524"/>
    </row>
    <row r="525" spans="1:37" ht="15.75" hidden="1" customHeight="1">
      <c r="A525" s="198" t="s">
        <v>563</v>
      </c>
      <c r="B525" s="198" t="s">
        <v>691</v>
      </c>
      <c r="C525" s="214" t="s">
        <v>376</v>
      </c>
      <c r="D525" s="198" t="s">
        <v>9</v>
      </c>
      <c r="E525" s="198" t="s">
        <v>319</v>
      </c>
      <c r="F525" s="198">
        <v>104.7</v>
      </c>
      <c r="G525" s="198"/>
      <c r="H525" s="214" t="s">
        <v>325</v>
      </c>
      <c r="I525" s="214" t="s">
        <v>325</v>
      </c>
      <c r="J525" s="271"/>
      <c r="K525" s="198"/>
      <c r="L525" s="198"/>
      <c r="M525" s="198"/>
      <c r="N525" s="198"/>
      <c r="O525" s="198">
        <v>104.7</v>
      </c>
      <c r="P525" s="198"/>
      <c r="Q525" s="198" t="s">
        <v>628</v>
      </c>
      <c r="R525" s="230">
        <f>DATABASE_Table[[#This Row],[Inicial Asking Price (€) (Total)]]-DATABASE_Table[[#This Row],[Vista membership]]-DATABASE_Table[[#This Row],[FF&amp;E]]</f>
        <v>550000</v>
      </c>
      <c r="S525" s="231">
        <v>550000</v>
      </c>
      <c r="T525" s="232">
        <v>550000</v>
      </c>
      <c r="U525" s="198"/>
      <c r="V525" s="198"/>
      <c r="W525" s="233">
        <f>DATABASE_Table[[#This Row],[Current Asking price( Total)]]-DATABASE_Table[[#This Row],[Vista membership]]-DATABASE_Table[[#This Row],[FF&amp;E]]</f>
        <v>550000</v>
      </c>
      <c r="X525" s="216">
        <v>0</v>
      </c>
      <c r="Y525" s="232">
        <v>550000</v>
      </c>
      <c r="Z525" s="233">
        <f>DATABASE_Table[[#This Row],[Sell price (Total)]]-DATABASE_Table[[#This Row],[FF&amp;E]]-DATABASE_Table[[#This Row],[Vista membership]]</f>
        <v>550000</v>
      </c>
      <c r="AA525" s="317">
        <v>45833</v>
      </c>
      <c r="AB525" s="321"/>
      <c r="AC525" s="198" t="s">
        <v>10</v>
      </c>
      <c r="AD525" s="198" t="s">
        <v>11</v>
      </c>
      <c r="AE525" s="279" t="s">
        <v>28</v>
      </c>
      <c r="AF525" s="279" t="s">
        <v>29</v>
      </c>
      <c r="AG525" s="279" t="s">
        <v>805</v>
      </c>
      <c r="AH525" s="279" t="s">
        <v>806</v>
      </c>
      <c r="AI525" s="198" t="s">
        <v>30</v>
      </c>
      <c r="AJ525" s="274" t="s">
        <v>27</v>
      </c>
      <c r="AK525"/>
    </row>
    <row r="526" spans="1:37" ht="15.75" hidden="1" customHeight="1">
      <c r="A526" s="198" t="s">
        <v>562</v>
      </c>
      <c r="B526" s="198" t="s">
        <v>691</v>
      </c>
      <c r="C526" s="214" t="s">
        <v>376</v>
      </c>
      <c r="D526" s="198" t="s">
        <v>9</v>
      </c>
      <c r="E526" s="198" t="s">
        <v>319</v>
      </c>
      <c r="F526" s="198">
        <v>119</v>
      </c>
      <c r="G526" s="198"/>
      <c r="H526" s="214" t="s">
        <v>325</v>
      </c>
      <c r="I526" s="214" t="s">
        <v>325</v>
      </c>
      <c r="J526" s="271"/>
      <c r="K526" s="198"/>
      <c r="L526" s="198"/>
      <c r="M526" s="198"/>
      <c r="N526" s="198"/>
      <c r="O526" s="198">
        <v>119</v>
      </c>
      <c r="P526" s="198"/>
      <c r="Q526" s="198" t="s">
        <v>929</v>
      </c>
      <c r="R526" s="230">
        <f>DATABASE_Table[[#This Row],[Inicial Asking Price (€) (Total)]]-DATABASE_Table[[#This Row],[Vista membership]]-DATABASE_Table[[#This Row],[FF&amp;E]]</f>
        <v>590000</v>
      </c>
      <c r="S526" s="231">
        <v>590000</v>
      </c>
      <c r="T526" s="232">
        <v>590000</v>
      </c>
      <c r="U526" s="198"/>
      <c r="V526" s="198"/>
      <c r="W526" s="233">
        <f>DATABASE_Table[[#This Row],[Current Asking price( Total)]]-DATABASE_Table[[#This Row],[Vista membership]]-DATABASE_Table[[#This Row],[FF&amp;E]]</f>
        <v>590000</v>
      </c>
      <c r="X526" s="216">
        <v>0</v>
      </c>
      <c r="Y526" s="232">
        <v>590000</v>
      </c>
      <c r="Z526" s="233">
        <f>DATABASE_Table[[#This Row],[Sell price (Total)]]-DATABASE_Table[[#This Row],[FF&amp;E]]-DATABASE_Table[[#This Row],[Vista membership]]</f>
        <v>590000</v>
      </c>
      <c r="AA526" s="315">
        <v>45035</v>
      </c>
      <c r="AB526" s="321"/>
      <c r="AC526" s="198" t="s">
        <v>10</v>
      </c>
      <c r="AD526" s="198" t="s">
        <v>23</v>
      </c>
      <c r="AE526" s="279" t="s">
        <v>24</v>
      </c>
      <c r="AF526" s="279" t="s">
        <v>803</v>
      </c>
      <c r="AG526" s="279" t="s">
        <v>25</v>
      </c>
      <c r="AH526" s="279" t="s">
        <v>804</v>
      </c>
      <c r="AI526" s="198" t="s">
        <v>26</v>
      </c>
      <c r="AJ526" s="274" t="s">
        <v>22</v>
      </c>
      <c r="AK526"/>
    </row>
    <row r="527" spans="1:37" ht="15.75" hidden="1" customHeight="1">
      <c r="A527" s="198" t="s">
        <v>780</v>
      </c>
      <c r="B527" s="198" t="s">
        <v>786</v>
      </c>
      <c r="C527" s="214" t="s">
        <v>250</v>
      </c>
      <c r="D527" s="198" t="s">
        <v>79</v>
      </c>
      <c r="E527" s="198" t="s">
        <v>317</v>
      </c>
      <c r="F527" s="198">
        <v>255.5</v>
      </c>
      <c r="G527" s="198"/>
      <c r="H527" s="214" t="s">
        <v>848</v>
      </c>
      <c r="I527" s="214" t="s">
        <v>325</v>
      </c>
      <c r="J527" s="271">
        <v>3.87</v>
      </c>
      <c r="K527" s="198">
        <v>139.6</v>
      </c>
      <c r="L527" s="198"/>
      <c r="M527" s="198"/>
      <c r="N527" s="198"/>
      <c r="O527" s="198">
        <v>112.03</v>
      </c>
      <c r="P527" s="198"/>
      <c r="Q527" s="198" t="s">
        <v>328</v>
      </c>
      <c r="R527" s="230">
        <f>DATABASE_Table[[#This Row],[Inicial Asking Price (€) (Total)]]-DATABASE_Table[[#This Row],[Vista membership]]-DATABASE_Table[[#This Row],[FF&amp;E]]</f>
        <v>830000</v>
      </c>
      <c r="S527" s="234">
        <v>875000</v>
      </c>
      <c r="T527" s="235">
        <v>900000</v>
      </c>
      <c r="U527" s="198"/>
      <c r="V527" s="235">
        <v>45000</v>
      </c>
      <c r="W527" s="233">
        <f>DATABASE_Table[[#This Row],[Current Asking price( Total)]]-DATABASE_Table[[#This Row],[Vista membership]]-DATABASE_Table[[#This Row],[FF&amp;E]]</f>
        <v>855000</v>
      </c>
      <c r="X527" s="236"/>
      <c r="Y527" s="235"/>
      <c r="Z527" s="233">
        <f>DATABASE_Table[[#This Row],[Sell price (Total)]]-DATABASE_Table[[#This Row],[FF&amp;E]]-DATABASE_Table[[#This Row],[Vista membership]]</f>
        <v>-45000</v>
      </c>
      <c r="AA527" s="315"/>
      <c r="AB527" s="321">
        <v>47118</v>
      </c>
      <c r="AC527" s="198" t="s">
        <v>80</v>
      </c>
      <c r="AD527" s="198" t="s">
        <v>81</v>
      </c>
      <c r="AE527" s="279" t="s">
        <v>82</v>
      </c>
      <c r="AF527" s="279" t="s">
        <v>83</v>
      </c>
      <c r="AG527" s="279" t="s">
        <v>84</v>
      </c>
      <c r="AH527" s="279" t="s">
        <v>85</v>
      </c>
      <c r="AI527" s="198" t="s">
        <v>86</v>
      </c>
      <c r="AJ527" s="274" t="s">
        <v>78</v>
      </c>
      <c r="AK527"/>
    </row>
    <row r="528" spans="1:37" ht="15.75" hidden="1" customHeight="1">
      <c r="A528" s="198" t="s">
        <v>778</v>
      </c>
      <c r="B528" s="198" t="s">
        <v>769</v>
      </c>
      <c r="C528" s="214" t="s">
        <v>836</v>
      </c>
      <c r="D528" s="198" t="s">
        <v>74</v>
      </c>
      <c r="E528" s="198" t="s">
        <v>553</v>
      </c>
      <c r="F528" s="198">
        <v>396.9</v>
      </c>
      <c r="G528" s="198"/>
      <c r="H528" s="214" t="s">
        <v>325</v>
      </c>
      <c r="I528" s="214" t="s">
        <v>325</v>
      </c>
      <c r="J528" s="271"/>
      <c r="K528" s="198"/>
      <c r="L528" s="198"/>
      <c r="M528" s="198"/>
      <c r="N528" s="198"/>
      <c r="O528" s="198">
        <v>396.9</v>
      </c>
      <c r="P528" s="198"/>
      <c r="Q528" s="198" t="s">
        <v>329</v>
      </c>
      <c r="R528" s="230">
        <f>DATABASE_Table[[#This Row],[Inicial Asking Price (€) (Total)]]-DATABASE_Table[[#This Row],[Vista membership]]-DATABASE_Table[[#This Row],[FF&amp;E]]</f>
        <v>875000</v>
      </c>
      <c r="S528" s="234">
        <v>875000</v>
      </c>
      <c r="T528" s="235">
        <v>740000</v>
      </c>
      <c r="U528" s="198"/>
      <c r="V528" s="198"/>
      <c r="W528" s="233">
        <f>DATABASE_Table[[#This Row],[Current Asking price( Total)]]-DATABASE_Table[[#This Row],[Vista membership]]-DATABASE_Table[[#This Row],[FF&amp;E]]</f>
        <v>740000</v>
      </c>
      <c r="X528" s="236"/>
      <c r="Y528" s="235"/>
      <c r="Z528" s="233">
        <f>DATABASE_Table[[#This Row],[Sell price (Total)]]-DATABASE_Table[[#This Row],[FF&amp;E]]-DATABASE_Table[[#This Row],[Vista membership]]</f>
        <v>0</v>
      </c>
      <c r="AA528" s="315"/>
      <c r="AB528" s="321" t="s">
        <v>32</v>
      </c>
      <c r="AC528" s="198" t="s">
        <v>57</v>
      </c>
      <c r="AD528" s="198"/>
      <c r="AE528" s="279" t="s">
        <v>75</v>
      </c>
      <c r="AF528" s="279" t="s">
        <v>554</v>
      </c>
      <c r="AG528" s="279" t="s">
        <v>76</v>
      </c>
      <c r="AH528" s="279" t="s">
        <v>77</v>
      </c>
      <c r="AI528" s="198" t="s">
        <v>32</v>
      </c>
      <c r="AJ528" s="274" t="s">
        <v>73</v>
      </c>
      <c r="AK528"/>
    </row>
    <row r="529" spans="1:37" ht="15.75" hidden="1" customHeight="1">
      <c r="A529" s="198" t="s">
        <v>778</v>
      </c>
      <c r="B529" s="198" t="s">
        <v>769</v>
      </c>
      <c r="C529" s="214" t="s">
        <v>842</v>
      </c>
      <c r="D529" s="198" t="s">
        <v>74</v>
      </c>
      <c r="E529" s="198" t="s">
        <v>553</v>
      </c>
      <c r="F529" s="198">
        <v>373.55</v>
      </c>
      <c r="G529" s="198"/>
      <c r="H529" s="214" t="s">
        <v>325</v>
      </c>
      <c r="I529" s="214" t="s">
        <v>325</v>
      </c>
      <c r="J529" s="271"/>
      <c r="K529" s="198"/>
      <c r="L529" s="198"/>
      <c r="M529" s="198"/>
      <c r="N529" s="198"/>
      <c r="O529" s="198">
        <v>373.55</v>
      </c>
      <c r="P529" s="198"/>
      <c r="Q529" s="198" t="s">
        <v>329</v>
      </c>
      <c r="R529" s="230">
        <f>DATABASE_Table[[#This Row],[Inicial Asking Price (€) (Total)]]-DATABASE_Table[[#This Row],[Vista membership]]-DATABASE_Table[[#This Row],[FF&amp;E]]</f>
        <v>875000</v>
      </c>
      <c r="S529" s="234">
        <v>875000</v>
      </c>
      <c r="T529" s="235">
        <v>750000</v>
      </c>
      <c r="U529" s="198"/>
      <c r="V529" s="198"/>
      <c r="W529" s="233">
        <f>DATABASE_Table[[#This Row],[Current Asking price( Total)]]-DATABASE_Table[[#This Row],[Vista membership]]-DATABASE_Table[[#This Row],[FF&amp;E]]</f>
        <v>750000</v>
      </c>
      <c r="X529" s="236"/>
      <c r="Y529" s="235"/>
      <c r="Z529" s="233">
        <f>DATABASE_Table[[#This Row],[Sell price (Total)]]-DATABASE_Table[[#This Row],[FF&amp;E]]-DATABASE_Table[[#This Row],[Vista membership]]</f>
        <v>0</v>
      </c>
      <c r="AA529" s="315"/>
      <c r="AB529" s="321" t="s">
        <v>32</v>
      </c>
      <c r="AC529" s="198" t="s">
        <v>57</v>
      </c>
      <c r="AD529" s="198"/>
      <c r="AE529" s="279" t="s">
        <v>75</v>
      </c>
      <c r="AF529" s="279" t="s">
        <v>554</v>
      </c>
      <c r="AG529" s="279" t="s">
        <v>76</v>
      </c>
      <c r="AH529" s="279" t="s">
        <v>77</v>
      </c>
      <c r="AI529" s="198" t="s">
        <v>32</v>
      </c>
      <c r="AJ529" s="274" t="s">
        <v>73</v>
      </c>
      <c r="AK529"/>
    </row>
    <row r="530" spans="1:37" ht="15.75" hidden="1" customHeight="1">
      <c r="A530" s="198" t="s">
        <v>778</v>
      </c>
      <c r="B530" s="198" t="s">
        <v>769</v>
      </c>
      <c r="C530" s="214" t="s">
        <v>843</v>
      </c>
      <c r="D530" s="198" t="s">
        <v>74</v>
      </c>
      <c r="E530" s="198" t="s">
        <v>553</v>
      </c>
      <c r="F530" s="198">
        <v>373.55</v>
      </c>
      <c r="G530" s="198"/>
      <c r="H530" s="214" t="s">
        <v>325</v>
      </c>
      <c r="I530" s="214" t="s">
        <v>325</v>
      </c>
      <c r="J530" s="271"/>
      <c r="K530" s="198"/>
      <c r="L530" s="198"/>
      <c r="M530" s="198"/>
      <c r="N530" s="198"/>
      <c r="O530" s="198">
        <v>373.55</v>
      </c>
      <c r="P530" s="198"/>
      <c r="Q530" s="198" t="s">
        <v>329</v>
      </c>
      <c r="R530" s="230">
        <f>DATABASE_Table[[#This Row],[Inicial Asking Price (€) (Total)]]-DATABASE_Table[[#This Row],[Vista membership]]-DATABASE_Table[[#This Row],[FF&amp;E]]</f>
        <v>875000</v>
      </c>
      <c r="S530" s="234">
        <v>875000</v>
      </c>
      <c r="T530" s="235">
        <v>720000</v>
      </c>
      <c r="U530" s="198"/>
      <c r="V530" s="198"/>
      <c r="W530" s="233">
        <f>DATABASE_Table[[#This Row],[Current Asking price( Total)]]-DATABASE_Table[[#This Row],[Vista membership]]-DATABASE_Table[[#This Row],[FF&amp;E]]</f>
        <v>720000</v>
      </c>
      <c r="X530" s="236"/>
      <c r="Y530" s="235"/>
      <c r="Z530" s="233">
        <f>DATABASE_Table[[#This Row],[Sell price (Total)]]-DATABASE_Table[[#This Row],[FF&amp;E]]-DATABASE_Table[[#This Row],[Vista membership]]</f>
        <v>0</v>
      </c>
      <c r="AA530" s="315"/>
      <c r="AB530" s="321" t="s">
        <v>32</v>
      </c>
      <c r="AC530" s="198" t="s">
        <v>57</v>
      </c>
      <c r="AD530" s="198"/>
      <c r="AE530" s="279" t="s">
        <v>75</v>
      </c>
      <c r="AF530" s="279" t="s">
        <v>554</v>
      </c>
      <c r="AG530" s="279" t="s">
        <v>76</v>
      </c>
      <c r="AH530" s="279" t="s">
        <v>77</v>
      </c>
      <c r="AI530" s="198" t="s">
        <v>32</v>
      </c>
      <c r="AJ530" s="274" t="s">
        <v>73</v>
      </c>
      <c r="AK530"/>
    </row>
    <row r="531" spans="1:37" ht="15.75" hidden="1" customHeight="1">
      <c r="A531" s="198" t="s">
        <v>780</v>
      </c>
      <c r="B531" s="198" t="s">
        <v>786</v>
      </c>
      <c r="C531" s="214" t="s">
        <v>245</v>
      </c>
      <c r="D531" s="198" t="s">
        <v>79</v>
      </c>
      <c r="E531" s="198" t="s">
        <v>317</v>
      </c>
      <c r="F531" s="198">
        <v>261.39</v>
      </c>
      <c r="G531" s="198"/>
      <c r="H531" s="214" t="s">
        <v>848</v>
      </c>
      <c r="I531" s="214" t="s">
        <v>325</v>
      </c>
      <c r="J531" s="271">
        <v>3.87</v>
      </c>
      <c r="K531" s="198">
        <v>145.04</v>
      </c>
      <c r="L531" s="198"/>
      <c r="M531" s="198"/>
      <c r="N531" s="198"/>
      <c r="O531" s="198">
        <v>112.48</v>
      </c>
      <c r="P531" s="198"/>
      <c r="Q531" s="198" t="s">
        <v>328</v>
      </c>
      <c r="R531" s="230">
        <f>DATABASE_Table[[#This Row],[Inicial Asking Price (€) (Total)]]-DATABASE_Table[[#This Row],[Vista membership]]-DATABASE_Table[[#This Row],[FF&amp;E]]</f>
        <v>840000</v>
      </c>
      <c r="S531" s="234">
        <v>885000</v>
      </c>
      <c r="T531" s="235">
        <v>910000</v>
      </c>
      <c r="U531" s="198"/>
      <c r="V531" s="235">
        <v>45000</v>
      </c>
      <c r="W531" s="233">
        <f>DATABASE_Table[[#This Row],[Current Asking price( Total)]]-DATABASE_Table[[#This Row],[Vista membership]]-DATABASE_Table[[#This Row],[FF&amp;E]]</f>
        <v>865000</v>
      </c>
      <c r="X531" s="236"/>
      <c r="Y531" s="235"/>
      <c r="Z531" s="233">
        <f>DATABASE_Table[[#This Row],[Sell price (Total)]]-DATABASE_Table[[#This Row],[FF&amp;E]]-DATABASE_Table[[#This Row],[Vista membership]]</f>
        <v>-45000</v>
      </c>
      <c r="AA531" s="315"/>
      <c r="AB531" s="321">
        <v>47118</v>
      </c>
      <c r="AC531" s="198" t="s">
        <v>80</v>
      </c>
      <c r="AD531" s="198" t="s">
        <v>81</v>
      </c>
      <c r="AE531" s="279" t="s">
        <v>82</v>
      </c>
      <c r="AF531" s="279" t="s">
        <v>83</v>
      </c>
      <c r="AG531" s="279" t="s">
        <v>84</v>
      </c>
      <c r="AH531" s="279" t="s">
        <v>85</v>
      </c>
      <c r="AI531" s="198" t="s">
        <v>86</v>
      </c>
      <c r="AJ531" s="274" t="s">
        <v>78</v>
      </c>
      <c r="AK531"/>
    </row>
    <row r="532" spans="1:37" ht="15.75" hidden="1" customHeight="1">
      <c r="A532" s="198" t="s">
        <v>780</v>
      </c>
      <c r="B532" s="198" t="s">
        <v>786</v>
      </c>
      <c r="C532" s="214" t="s">
        <v>247</v>
      </c>
      <c r="D532" s="198" t="s">
        <v>79</v>
      </c>
      <c r="E532" s="198" t="s">
        <v>317</v>
      </c>
      <c r="F532" s="198">
        <v>263.27999999999997</v>
      </c>
      <c r="G532" s="198"/>
      <c r="H532" s="214" t="s">
        <v>848</v>
      </c>
      <c r="I532" s="214" t="s">
        <v>325</v>
      </c>
      <c r="J532" s="271">
        <v>3.87</v>
      </c>
      <c r="K532" s="198">
        <v>146.97999999999999</v>
      </c>
      <c r="L532" s="198"/>
      <c r="M532" s="198"/>
      <c r="N532" s="198"/>
      <c r="O532" s="198">
        <v>112.43</v>
      </c>
      <c r="P532" s="198"/>
      <c r="Q532" s="198" t="s">
        <v>328</v>
      </c>
      <c r="R532" s="230">
        <f>DATABASE_Table[[#This Row],[Inicial Asking Price (€) (Total)]]-DATABASE_Table[[#This Row],[Vista membership]]-DATABASE_Table[[#This Row],[FF&amp;E]]</f>
        <v>840000</v>
      </c>
      <c r="S532" s="234">
        <v>885000</v>
      </c>
      <c r="T532" s="235">
        <v>910000</v>
      </c>
      <c r="U532" s="198"/>
      <c r="V532" s="235">
        <v>45000</v>
      </c>
      <c r="W532" s="233">
        <f>DATABASE_Table[[#This Row],[Current Asking price( Total)]]-DATABASE_Table[[#This Row],[Vista membership]]-DATABASE_Table[[#This Row],[FF&amp;E]]</f>
        <v>865000</v>
      </c>
      <c r="X532" s="236"/>
      <c r="Y532" s="235"/>
      <c r="Z532" s="233">
        <f>DATABASE_Table[[#This Row],[Sell price (Total)]]-DATABASE_Table[[#This Row],[FF&amp;E]]-DATABASE_Table[[#This Row],[Vista membership]]</f>
        <v>-45000</v>
      </c>
      <c r="AA532" s="315"/>
      <c r="AB532" s="321">
        <v>47118</v>
      </c>
      <c r="AC532" s="198" t="s">
        <v>80</v>
      </c>
      <c r="AD532" s="198" t="s">
        <v>81</v>
      </c>
      <c r="AE532" s="279" t="s">
        <v>82</v>
      </c>
      <c r="AF532" s="279" t="s">
        <v>83</v>
      </c>
      <c r="AG532" s="279" t="s">
        <v>84</v>
      </c>
      <c r="AH532" s="279" t="s">
        <v>85</v>
      </c>
      <c r="AI532" s="198" t="s">
        <v>86</v>
      </c>
      <c r="AJ532" s="274" t="s">
        <v>78</v>
      </c>
      <c r="AK532"/>
    </row>
    <row r="533" spans="1:37" ht="15.75" hidden="1" customHeight="1">
      <c r="A533" s="198" t="s">
        <v>564</v>
      </c>
      <c r="B533" s="198" t="s">
        <v>691</v>
      </c>
      <c r="C533" s="214" t="s">
        <v>376</v>
      </c>
      <c r="D533" s="198" t="s">
        <v>9</v>
      </c>
      <c r="E533" s="198" t="s">
        <v>416</v>
      </c>
      <c r="F533" s="198">
        <v>123.3</v>
      </c>
      <c r="G533" s="198"/>
      <c r="H533" s="214" t="s">
        <v>325</v>
      </c>
      <c r="I533" s="214" t="s">
        <v>325</v>
      </c>
      <c r="J533" s="271">
        <v>33.21</v>
      </c>
      <c r="K533" s="198"/>
      <c r="L533" s="198"/>
      <c r="M533" s="198"/>
      <c r="N533" s="198"/>
      <c r="O533" s="198">
        <v>90.09</v>
      </c>
      <c r="P533" s="198"/>
      <c r="Q533" s="198" t="s">
        <v>329</v>
      </c>
      <c r="R533" s="230">
        <f>DATABASE_Table[[#This Row],[Inicial Asking Price (€) (Total)]]-DATABASE_Table[[#This Row],[Vista membership]]-DATABASE_Table[[#This Row],[FF&amp;E]]</f>
        <v>717095.71959999995</v>
      </c>
      <c r="S533" s="231">
        <v>781695.71959999995</v>
      </c>
      <c r="T533" s="232">
        <v>850000</v>
      </c>
      <c r="U533" s="198">
        <v>24600</v>
      </c>
      <c r="V533" s="198">
        <v>40000</v>
      </c>
      <c r="W533" s="233">
        <f>DATABASE_Table[[#This Row],[Current Asking price( Total)]]-DATABASE_Table[[#This Row],[Vista membership]]-DATABASE_Table[[#This Row],[FF&amp;E]]</f>
        <v>785400</v>
      </c>
      <c r="X533" s="216"/>
      <c r="Y533" s="232">
        <v>850000</v>
      </c>
      <c r="Z533" s="233">
        <f>DATABASE_Table[[#This Row],[Sell price (Total)]]-DATABASE_Table[[#This Row],[FF&amp;E]]-DATABASE_Table[[#This Row],[Vista membership]]</f>
        <v>785400</v>
      </c>
      <c r="AA533" s="315"/>
      <c r="AB533" s="321"/>
      <c r="AC533" s="198" t="s">
        <v>10</v>
      </c>
      <c r="AD533" s="198" t="s">
        <v>35</v>
      </c>
      <c r="AE533" s="279" t="s">
        <v>43</v>
      </c>
      <c r="AF533" s="279" t="s">
        <v>44</v>
      </c>
      <c r="AG533" s="279" t="s">
        <v>45</v>
      </c>
      <c r="AH533" s="279" t="s">
        <v>46</v>
      </c>
      <c r="AI533" s="198" t="s">
        <v>47</v>
      </c>
      <c r="AJ533" s="274" t="s">
        <v>42</v>
      </c>
      <c r="AK533"/>
    </row>
    <row r="534" spans="1:37" ht="15.75" hidden="1" customHeight="1">
      <c r="A534" s="198" t="s">
        <v>780</v>
      </c>
      <c r="B534" s="198" t="s">
        <v>786</v>
      </c>
      <c r="C534" s="214" t="s">
        <v>249</v>
      </c>
      <c r="D534" s="198" t="s">
        <v>79</v>
      </c>
      <c r="E534" s="198" t="s">
        <v>317</v>
      </c>
      <c r="F534" s="198">
        <v>256.23</v>
      </c>
      <c r="G534" s="198"/>
      <c r="H534" s="214" t="s">
        <v>848</v>
      </c>
      <c r="I534" s="214" t="s">
        <v>325</v>
      </c>
      <c r="J534" s="271">
        <v>3.87</v>
      </c>
      <c r="K534" s="198">
        <v>138.54</v>
      </c>
      <c r="L534" s="198"/>
      <c r="M534" s="198"/>
      <c r="N534" s="198"/>
      <c r="O534" s="198">
        <v>113.82</v>
      </c>
      <c r="P534" s="198"/>
      <c r="Q534" s="198" t="s">
        <v>328</v>
      </c>
      <c r="R534" s="230">
        <f>DATABASE_Table[[#This Row],[Inicial Asking Price (€) (Total)]]-DATABASE_Table[[#This Row],[Vista membership]]-DATABASE_Table[[#This Row],[FF&amp;E]]</f>
        <v>845000</v>
      </c>
      <c r="S534" s="234">
        <v>890000</v>
      </c>
      <c r="T534" s="235">
        <v>915000</v>
      </c>
      <c r="U534" s="198"/>
      <c r="V534" s="235">
        <v>45000</v>
      </c>
      <c r="W534" s="233">
        <f>DATABASE_Table[[#This Row],[Current Asking price( Total)]]-DATABASE_Table[[#This Row],[Vista membership]]-DATABASE_Table[[#This Row],[FF&amp;E]]</f>
        <v>870000</v>
      </c>
      <c r="X534" s="236"/>
      <c r="Y534" s="235"/>
      <c r="Z534" s="233">
        <f>DATABASE_Table[[#This Row],[Sell price (Total)]]-DATABASE_Table[[#This Row],[FF&amp;E]]-DATABASE_Table[[#This Row],[Vista membership]]</f>
        <v>-45000</v>
      </c>
      <c r="AA534" s="315"/>
      <c r="AB534" s="321">
        <v>47118</v>
      </c>
      <c r="AC534" s="198" t="s">
        <v>80</v>
      </c>
      <c r="AD534" s="198" t="s">
        <v>81</v>
      </c>
      <c r="AE534" s="279" t="s">
        <v>82</v>
      </c>
      <c r="AF534" s="279" t="s">
        <v>83</v>
      </c>
      <c r="AG534" s="279" t="s">
        <v>84</v>
      </c>
      <c r="AH534" s="279" t="s">
        <v>85</v>
      </c>
      <c r="AI534" s="198" t="s">
        <v>86</v>
      </c>
      <c r="AJ534" s="274" t="s">
        <v>78</v>
      </c>
      <c r="AK534"/>
    </row>
    <row r="535" spans="1:37" ht="15.75" hidden="1" customHeight="1">
      <c r="A535" s="198" t="s">
        <v>630</v>
      </c>
      <c r="B535" s="198" t="s">
        <v>691</v>
      </c>
      <c r="C535" s="214" t="s">
        <v>377</v>
      </c>
      <c r="D535" s="198" t="s">
        <v>9</v>
      </c>
      <c r="E535" s="198" t="s">
        <v>319</v>
      </c>
      <c r="F535" s="198">
        <v>151.36000000000001</v>
      </c>
      <c r="G535" s="198"/>
      <c r="H535" s="214" t="s">
        <v>849</v>
      </c>
      <c r="I535" s="214" t="s">
        <v>325</v>
      </c>
      <c r="J535" s="271">
        <v>27.6</v>
      </c>
      <c r="K535" s="198"/>
      <c r="L535" s="198"/>
      <c r="M535" s="198">
        <v>0</v>
      </c>
      <c r="N535" s="198"/>
      <c r="O535" s="198">
        <v>123.76</v>
      </c>
      <c r="P535" s="198"/>
      <c r="Q535" s="198" t="s">
        <v>329</v>
      </c>
      <c r="R535" s="230">
        <f>DATABASE_Table[[#This Row],[Inicial Asking Price (€) (Total)]]-DATABASE_Table[[#This Row],[Vista membership]]-DATABASE_Table[[#This Row],[FF&amp;E]]</f>
        <v>1115473.9199999999</v>
      </c>
      <c r="S535" s="231">
        <v>1115473.9199999999</v>
      </c>
      <c r="T535" s="232">
        <v>1175000</v>
      </c>
      <c r="U535" s="198"/>
      <c r="V535" s="198"/>
      <c r="W535" s="233">
        <f>DATABASE_Table[[#This Row],[Current Asking price( Total)]]-DATABASE_Table[[#This Row],[Vista membership]]-DATABASE_Table[[#This Row],[FF&amp;E]]</f>
        <v>1175000</v>
      </c>
      <c r="X535" s="216"/>
      <c r="Y535" s="232">
        <v>1120000</v>
      </c>
      <c r="Z535" s="233">
        <f>DATABASE_Table[[#This Row],[Sell price (Total)]]-DATABASE_Table[[#This Row],[FF&amp;E]]-DATABASE_Table[[#This Row],[Vista membership]]</f>
        <v>1120000</v>
      </c>
      <c r="AA535" s="315"/>
      <c r="AB535" s="321"/>
      <c r="AC535" s="198" t="s">
        <v>10</v>
      </c>
      <c r="AD535" s="198" t="s">
        <v>11</v>
      </c>
      <c r="AE535" s="279" t="s">
        <v>53</v>
      </c>
      <c r="AF535" s="279" t="s">
        <v>54</v>
      </c>
      <c r="AG535" s="279" t="s">
        <v>811</v>
      </c>
      <c r="AH535" s="279" t="s">
        <v>812</v>
      </c>
      <c r="AI535" s="198" t="s">
        <v>36</v>
      </c>
      <c r="AJ535" s="274" t="s">
        <v>52</v>
      </c>
      <c r="AK535"/>
    </row>
    <row r="536" spans="1:37" ht="15.75" hidden="1" customHeight="1">
      <c r="A536" s="198" t="s">
        <v>558</v>
      </c>
      <c r="B536" s="198" t="s">
        <v>691</v>
      </c>
      <c r="C536" s="214" t="s">
        <v>377</v>
      </c>
      <c r="D536" s="198" t="s">
        <v>9</v>
      </c>
      <c r="E536" s="198" t="s">
        <v>319</v>
      </c>
      <c r="F536" s="198">
        <v>111.39</v>
      </c>
      <c r="G536" s="198"/>
      <c r="H536" s="214" t="s">
        <v>325</v>
      </c>
      <c r="I536" s="214" t="s">
        <v>325</v>
      </c>
      <c r="J536" s="271">
        <v>4.55</v>
      </c>
      <c r="K536" s="198"/>
      <c r="L536" s="198"/>
      <c r="M536" s="198"/>
      <c r="N536" s="198"/>
      <c r="O536" s="198">
        <v>111.39</v>
      </c>
      <c r="P536" s="198"/>
      <c r="Q536" s="198" t="s">
        <v>329</v>
      </c>
      <c r="R536" s="230">
        <f>DATABASE_Table[[#This Row],[Inicial Asking Price (€) (Total)]]-DATABASE_Table[[#This Row],[Vista membership]]-DATABASE_Table[[#This Row],[FF&amp;E]]</f>
        <v>720000</v>
      </c>
      <c r="S536" s="231">
        <v>720000</v>
      </c>
      <c r="T536" s="232">
        <v>720000</v>
      </c>
      <c r="U536" s="198"/>
      <c r="V536" s="198"/>
      <c r="W536" s="233">
        <f>DATABASE_Table[[#This Row],[Current Asking price( Total)]]-DATABASE_Table[[#This Row],[Vista membership]]-DATABASE_Table[[#This Row],[FF&amp;E]]</f>
        <v>720000</v>
      </c>
      <c r="X536" s="216"/>
      <c r="Y536" s="232">
        <v>720000</v>
      </c>
      <c r="Z536" s="233">
        <f>DATABASE_Table[[#This Row],[Sell price (Total)]]-DATABASE_Table[[#This Row],[FF&amp;E]]-DATABASE_Table[[#This Row],[Vista membership]]</f>
        <v>720000</v>
      </c>
      <c r="AA536" s="315"/>
      <c r="AB536" s="321"/>
      <c r="AC536" s="198" t="s">
        <v>10</v>
      </c>
      <c r="AD536" s="198" t="s">
        <v>11</v>
      </c>
      <c r="AE536" s="279" t="s">
        <v>12</v>
      </c>
      <c r="AF536" s="279" t="s">
        <v>801</v>
      </c>
      <c r="AG536" s="279" t="s">
        <v>13</v>
      </c>
      <c r="AH536" s="279" t="s">
        <v>14</v>
      </c>
      <c r="AI536" s="198" t="s">
        <v>15</v>
      </c>
      <c r="AJ536" s="274" t="s">
        <v>8</v>
      </c>
      <c r="AK536"/>
    </row>
    <row r="537" spans="1:37" ht="15.75" hidden="1" customHeight="1">
      <c r="A537" s="198" t="s">
        <v>690</v>
      </c>
      <c r="B537" s="198" t="s">
        <v>691</v>
      </c>
      <c r="C537" s="214" t="s">
        <v>377</v>
      </c>
      <c r="D537" s="198" t="s">
        <v>9</v>
      </c>
      <c r="E537" s="198" t="s">
        <v>765</v>
      </c>
      <c r="F537" s="198">
        <v>333.99</v>
      </c>
      <c r="G537" s="198">
        <v>172.78</v>
      </c>
      <c r="H537" s="214" t="s">
        <v>325</v>
      </c>
      <c r="I537" s="214" t="s">
        <v>325</v>
      </c>
      <c r="J537" s="271">
        <v>25.77</v>
      </c>
      <c r="K537" s="198"/>
      <c r="L537" s="198"/>
      <c r="M537" s="198"/>
      <c r="N537" s="198"/>
      <c r="O537" s="198">
        <v>135.44</v>
      </c>
      <c r="P537" s="198"/>
      <c r="Q537" s="198" t="s">
        <v>329</v>
      </c>
      <c r="R537" s="230">
        <f>DATABASE_Table[[#This Row],[Inicial Asking Price (€) (Total)]]-DATABASE_Table[[#This Row],[Vista membership]]-DATABASE_Table[[#This Row],[FF&amp;E]]</f>
        <v>1717700</v>
      </c>
      <c r="S537" s="231">
        <v>1788850</v>
      </c>
      <c r="T537" s="232">
        <v>1860000</v>
      </c>
      <c r="U537" s="198">
        <v>24600</v>
      </c>
      <c r="V537" s="198">
        <v>46550</v>
      </c>
      <c r="W537" s="233">
        <f>DATABASE_Table[[#This Row],[Current Asking price( Total)]]-DATABASE_Table[[#This Row],[Vista membership]]-DATABASE_Table[[#This Row],[FF&amp;E]]</f>
        <v>1788850</v>
      </c>
      <c r="X537" s="216"/>
      <c r="Y537" s="232">
        <v>1860000</v>
      </c>
      <c r="Z537" s="233">
        <f>DATABASE_Table[[#This Row],[Sell price (Total)]]-DATABASE_Table[[#This Row],[FF&amp;E]]-DATABASE_Table[[#This Row],[Vista membership]]</f>
        <v>1788850</v>
      </c>
      <c r="AA537" s="315"/>
      <c r="AB537" s="321"/>
      <c r="AC537" s="198" t="s">
        <v>10</v>
      </c>
      <c r="AD537" s="198" t="s">
        <v>35</v>
      </c>
      <c r="AE537" s="279" t="s">
        <v>38</v>
      </c>
      <c r="AF537" s="279" t="s">
        <v>39</v>
      </c>
      <c r="AG537" s="279" t="s">
        <v>40</v>
      </c>
      <c r="AH537" s="279" t="s">
        <v>810</v>
      </c>
      <c r="AI537" s="198" t="s">
        <v>41</v>
      </c>
      <c r="AJ537" s="274" t="s">
        <v>37</v>
      </c>
      <c r="AK537"/>
    </row>
    <row r="538" spans="1:37" ht="15.75" hidden="1" customHeight="1">
      <c r="A538" s="198" t="s">
        <v>563</v>
      </c>
      <c r="B538" s="198" t="s">
        <v>691</v>
      </c>
      <c r="C538" s="214" t="s">
        <v>377</v>
      </c>
      <c r="D538" s="198" t="s">
        <v>9</v>
      </c>
      <c r="E538" s="198" t="s">
        <v>319</v>
      </c>
      <c r="F538" s="198">
        <v>104.7</v>
      </c>
      <c r="G538" s="198"/>
      <c r="H538" s="214" t="s">
        <v>325</v>
      </c>
      <c r="I538" s="214" t="s">
        <v>325</v>
      </c>
      <c r="J538" s="271"/>
      <c r="K538" s="198"/>
      <c r="L538" s="198"/>
      <c r="M538" s="198"/>
      <c r="N538" s="198"/>
      <c r="O538" s="198">
        <v>104.7</v>
      </c>
      <c r="P538" s="198"/>
      <c r="Q538" s="198" t="s">
        <v>628</v>
      </c>
      <c r="R538" s="230">
        <f>DATABASE_Table[[#This Row],[Inicial Asking Price (€) (Total)]]-DATABASE_Table[[#This Row],[Vista membership]]-DATABASE_Table[[#This Row],[FF&amp;E]]</f>
        <v>540000</v>
      </c>
      <c r="S538" s="231">
        <v>540000</v>
      </c>
      <c r="T538" s="232">
        <v>555000</v>
      </c>
      <c r="U538" s="198"/>
      <c r="V538" s="198"/>
      <c r="W538" s="233">
        <f>DATABASE_Table[[#This Row],[Current Asking price( Total)]]-DATABASE_Table[[#This Row],[Vista membership]]-DATABASE_Table[[#This Row],[FF&amp;E]]</f>
        <v>555000</v>
      </c>
      <c r="X538" s="216">
        <v>0</v>
      </c>
      <c r="Y538" s="232">
        <v>555000</v>
      </c>
      <c r="Z538" s="233">
        <f>DATABASE_Table[[#This Row],[Sell price (Total)]]-DATABASE_Table[[#This Row],[FF&amp;E]]-DATABASE_Table[[#This Row],[Vista membership]]</f>
        <v>555000</v>
      </c>
      <c r="AA538" s="317">
        <v>45954</v>
      </c>
      <c r="AB538" s="321"/>
      <c r="AC538" s="198" t="s">
        <v>10</v>
      </c>
      <c r="AD538" s="198" t="s">
        <v>11</v>
      </c>
      <c r="AE538" s="279" t="s">
        <v>28</v>
      </c>
      <c r="AF538" s="279" t="s">
        <v>29</v>
      </c>
      <c r="AG538" s="279" t="s">
        <v>805</v>
      </c>
      <c r="AH538" s="279" t="s">
        <v>806</v>
      </c>
      <c r="AI538" s="198" t="s">
        <v>30</v>
      </c>
      <c r="AJ538" s="274" t="s">
        <v>27</v>
      </c>
      <c r="AK538"/>
    </row>
    <row r="539" spans="1:37" ht="15.75" hidden="1" customHeight="1">
      <c r="A539" s="198" t="s">
        <v>779</v>
      </c>
      <c r="B539" s="198" t="s">
        <v>786</v>
      </c>
      <c r="C539" s="214" t="s">
        <v>134</v>
      </c>
      <c r="D539" s="198" t="s">
        <v>79</v>
      </c>
      <c r="E539" s="198" t="s">
        <v>316</v>
      </c>
      <c r="F539" s="198">
        <v>56.5</v>
      </c>
      <c r="G539" s="198"/>
      <c r="H539" s="214" t="s">
        <v>848</v>
      </c>
      <c r="I539" s="214" t="s">
        <v>325</v>
      </c>
      <c r="J539" s="271">
        <v>5</v>
      </c>
      <c r="K539" s="198"/>
      <c r="L539" s="198"/>
      <c r="M539" s="198"/>
      <c r="N539" s="198"/>
      <c r="O539" s="198">
        <v>51.5</v>
      </c>
      <c r="P539" s="198"/>
      <c r="Q539" s="198" t="s">
        <v>628</v>
      </c>
      <c r="R539" s="230">
        <f>DATABASE_Table[[#This Row],[Inicial Asking Price (€) (Total)]]-DATABASE_Table[[#This Row],[Vista membership]]-DATABASE_Table[[#This Row],[FF&amp;E]]</f>
        <v>2715000</v>
      </c>
      <c r="S539" s="235">
        <v>2750000</v>
      </c>
      <c r="T539" s="235">
        <v>370000</v>
      </c>
      <c r="U539" s="198"/>
      <c r="V539" s="235">
        <v>35000</v>
      </c>
      <c r="W539" s="233">
        <f>DATABASE_Table[[#This Row],[Current Asking price( Total)]]-DATABASE_Table[[#This Row],[Vista membership]]-DATABASE_Table[[#This Row],[FF&amp;E]]</f>
        <v>335000</v>
      </c>
      <c r="X539" s="236">
        <v>0</v>
      </c>
      <c r="Y539" s="235">
        <v>370000</v>
      </c>
      <c r="Z539" s="233">
        <f>DATABASE_Table[[#This Row],[Sell price (Total)]]-DATABASE_Table[[#This Row],[FF&amp;E]]-DATABASE_Table[[#This Row],[Vista membership]]</f>
        <v>335000</v>
      </c>
      <c r="AA539" s="316">
        <v>46150</v>
      </c>
      <c r="AB539" s="321">
        <v>47118</v>
      </c>
      <c r="AC539" s="198" t="s">
        <v>80</v>
      </c>
      <c r="AD539" s="198" t="s">
        <v>81</v>
      </c>
      <c r="AE539" s="279" t="s">
        <v>82</v>
      </c>
      <c r="AF539" s="279" t="s">
        <v>83</v>
      </c>
      <c r="AG539" s="279" t="s">
        <v>84</v>
      </c>
      <c r="AH539" s="279" t="s">
        <v>85</v>
      </c>
      <c r="AI539" s="198" t="s">
        <v>86</v>
      </c>
      <c r="AJ539" s="274" t="s">
        <v>78</v>
      </c>
      <c r="AK539"/>
    </row>
    <row r="540" spans="1:37" ht="15.75" hidden="1" customHeight="1">
      <c r="A540" s="198" t="s">
        <v>774</v>
      </c>
      <c r="B540" s="198" t="s">
        <v>769</v>
      </c>
      <c r="C540" s="214" t="s">
        <v>370</v>
      </c>
      <c r="D540" s="198" t="s">
        <v>74</v>
      </c>
      <c r="E540" s="198" t="s">
        <v>319</v>
      </c>
      <c r="F540" s="198">
        <v>194.7</v>
      </c>
      <c r="G540" s="198"/>
      <c r="H540" s="214" t="s">
        <v>325</v>
      </c>
      <c r="I540" s="214" t="s">
        <v>325</v>
      </c>
      <c r="J540" s="271"/>
      <c r="K540" s="198"/>
      <c r="L540" s="198"/>
      <c r="M540" s="198">
        <v>38.22</v>
      </c>
      <c r="N540" s="198"/>
      <c r="O540" s="198">
        <v>156.47999999999999</v>
      </c>
      <c r="P540" s="198"/>
      <c r="Q540" s="198" t="s">
        <v>329</v>
      </c>
      <c r="R540" s="230">
        <f>DATABASE_Table[[#This Row],[Inicial Asking Price (€) (Total)]]-DATABASE_Table[[#This Row],[Vista membership]]-DATABASE_Table[[#This Row],[FF&amp;E]]</f>
        <v>895000</v>
      </c>
      <c r="S540" s="234">
        <v>895000</v>
      </c>
      <c r="T540" s="235">
        <v>790000</v>
      </c>
      <c r="U540" s="198"/>
      <c r="V540" s="198"/>
      <c r="W540" s="233">
        <f>DATABASE_Table[[#This Row],[Current Asking price( Total)]]-DATABASE_Table[[#This Row],[Vista membership]]-DATABASE_Table[[#This Row],[FF&amp;E]]</f>
        <v>790000</v>
      </c>
      <c r="X540" s="236"/>
      <c r="Y540" s="235"/>
      <c r="Z540" s="233">
        <f>DATABASE_Table[[#This Row],[Sell price (Total)]]-DATABASE_Table[[#This Row],[FF&amp;E]]-DATABASE_Table[[#This Row],[Vista membership]]</f>
        <v>0</v>
      </c>
      <c r="AA540" s="315"/>
      <c r="AB540" s="321" t="s">
        <v>32</v>
      </c>
      <c r="AC540" s="198" t="s">
        <v>57</v>
      </c>
      <c r="AD540" s="198"/>
      <c r="AE540" s="279" t="s">
        <v>75</v>
      </c>
      <c r="AF540" s="279" t="s">
        <v>554</v>
      </c>
      <c r="AG540" s="279" t="s">
        <v>76</v>
      </c>
      <c r="AH540" s="279" t="s">
        <v>77</v>
      </c>
      <c r="AI540" s="198" t="s">
        <v>32</v>
      </c>
      <c r="AJ540" s="274" t="s">
        <v>73</v>
      </c>
      <c r="AK540"/>
    </row>
    <row r="541" spans="1:37" ht="15.75" hidden="1" customHeight="1">
      <c r="A541" s="198" t="s">
        <v>774</v>
      </c>
      <c r="B541" s="198" t="s">
        <v>769</v>
      </c>
      <c r="C541" s="214" t="s">
        <v>371</v>
      </c>
      <c r="D541" s="198" t="s">
        <v>74</v>
      </c>
      <c r="E541" s="198" t="s">
        <v>319</v>
      </c>
      <c r="F541" s="198">
        <v>197.08</v>
      </c>
      <c r="G541" s="198"/>
      <c r="H541" s="214" t="s">
        <v>325</v>
      </c>
      <c r="I541" s="214" t="s">
        <v>325</v>
      </c>
      <c r="J541" s="271"/>
      <c r="K541" s="198"/>
      <c r="L541" s="198"/>
      <c r="M541" s="198">
        <v>43.02</v>
      </c>
      <c r="N541" s="198"/>
      <c r="O541" s="198">
        <v>154.06</v>
      </c>
      <c r="P541" s="198"/>
      <c r="Q541" s="198" t="s">
        <v>329</v>
      </c>
      <c r="R541" s="230">
        <f>DATABASE_Table[[#This Row],[Inicial Asking Price (€) (Total)]]-DATABASE_Table[[#This Row],[Vista membership]]-DATABASE_Table[[#This Row],[FF&amp;E]]</f>
        <v>895000</v>
      </c>
      <c r="S541" s="234">
        <v>895000</v>
      </c>
      <c r="T541" s="235">
        <v>850000</v>
      </c>
      <c r="U541" s="198"/>
      <c r="V541" s="198"/>
      <c r="W541" s="233">
        <f>DATABASE_Table[[#This Row],[Current Asking price( Total)]]-DATABASE_Table[[#This Row],[Vista membership]]-DATABASE_Table[[#This Row],[FF&amp;E]]</f>
        <v>850000</v>
      </c>
      <c r="X541" s="236"/>
      <c r="Y541" s="235"/>
      <c r="Z541" s="233">
        <f>DATABASE_Table[[#This Row],[Sell price (Total)]]-DATABASE_Table[[#This Row],[FF&amp;E]]-DATABASE_Table[[#This Row],[Vista membership]]</f>
        <v>0</v>
      </c>
      <c r="AA541" s="315"/>
      <c r="AB541" s="321" t="s">
        <v>32</v>
      </c>
      <c r="AC541" s="198" t="s">
        <v>57</v>
      </c>
      <c r="AD541" s="198"/>
      <c r="AE541" s="279" t="s">
        <v>75</v>
      </c>
      <c r="AF541" s="279" t="s">
        <v>554</v>
      </c>
      <c r="AG541" s="279" t="s">
        <v>76</v>
      </c>
      <c r="AH541" s="279" t="s">
        <v>77</v>
      </c>
      <c r="AI541" s="198" t="s">
        <v>32</v>
      </c>
      <c r="AJ541" s="274" t="s">
        <v>73</v>
      </c>
      <c r="AK541"/>
    </row>
    <row r="542" spans="1:37" ht="15.75" hidden="1" customHeight="1">
      <c r="A542" s="198" t="s">
        <v>774</v>
      </c>
      <c r="B542" s="198" t="s">
        <v>769</v>
      </c>
      <c r="C542" s="214" t="s">
        <v>346</v>
      </c>
      <c r="D542" s="198" t="s">
        <v>74</v>
      </c>
      <c r="E542" s="198" t="s">
        <v>319</v>
      </c>
      <c r="F542" s="198">
        <v>197.08</v>
      </c>
      <c r="G542" s="198"/>
      <c r="H542" s="214" t="s">
        <v>325</v>
      </c>
      <c r="I542" s="214" t="s">
        <v>325</v>
      </c>
      <c r="J542" s="271"/>
      <c r="K542" s="198"/>
      <c r="L542" s="198"/>
      <c r="M542" s="198">
        <v>43.02</v>
      </c>
      <c r="N542" s="198"/>
      <c r="O542" s="198">
        <v>154.06</v>
      </c>
      <c r="P542" s="198"/>
      <c r="Q542" s="198" t="s">
        <v>326</v>
      </c>
      <c r="R542" s="230">
        <f>DATABASE_Table[[#This Row],[Inicial Asking Price (€) (Total)]]-DATABASE_Table[[#This Row],[Vista membership]]-DATABASE_Table[[#This Row],[FF&amp;E]]</f>
        <v>900000</v>
      </c>
      <c r="S542" s="234">
        <v>900000</v>
      </c>
      <c r="T542" s="235">
        <v>660000</v>
      </c>
      <c r="U542" s="198"/>
      <c r="V542" s="198"/>
      <c r="W542" s="233">
        <f>DATABASE_Table[[#This Row],[Current Asking price( Total)]]-DATABASE_Table[[#This Row],[Vista membership]]-DATABASE_Table[[#This Row],[FF&amp;E]]</f>
        <v>660000</v>
      </c>
      <c r="X542" s="236">
        <v>0</v>
      </c>
      <c r="Y542" s="235">
        <v>660000</v>
      </c>
      <c r="Z542" s="233">
        <f>DATABASE_Table[[#This Row],[Sell price (Total)]]-DATABASE_Table[[#This Row],[FF&amp;E]]-DATABASE_Table[[#This Row],[Vista membership]]</f>
        <v>660000</v>
      </c>
      <c r="AA542" s="315">
        <v>46094</v>
      </c>
      <c r="AB542" s="321" t="s">
        <v>32</v>
      </c>
      <c r="AC542" s="198" t="s">
        <v>57</v>
      </c>
      <c r="AD542" s="198"/>
      <c r="AE542" s="279" t="s">
        <v>75</v>
      </c>
      <c r="AF542" s="279" t="s">
        <v>554</v>
      </c>
      <c r="AG542" s="279" t="s">
        <v>76</v>
      </c>
      <c r="AH542" s="279" t="s">
        <v>77</v>
      </c>
      <c r="AI542" s="198" t="s">
        <v>32</v>
      </c>
      <c r="AJ542" s="274" t="s">
        <v>73</v>
      </c>
      <c r="AK542"/>
    </row>
    <row r="543" spans="1:37" ht="15.75" hidden="1" customHeight="1">
      <c r="A543" s="198" t="s">
        <v>562</v>
      </c>
      <c r="B543" s="198" t="s">
        <v>691</v>
      </c>
      <c r="C543" s="214" t="s">
        <v>377</v>
      </c>
      <c r="D543" s="198" t="s">
        <v>9</v>
      </c>
      <c r="E543" s="198" t="s">
        <v>320</v>
      </c>
      <c r="F543" s="198">
        <v>162</v>
      </c>
      <c r="G543" s="198"/>
      <c r="H543" s="214" t="s">
        <v>325</v>
      </c>
      <c r="I543" s="214" t="s">
        <v>325</v>
      </c>
      <c r="J543" s="271"/>
      <c r="K543" s="198"/>
      <c r="L543" s="198"/>
      <c r="M543" s="198"/>
      <c r="N543" s="198"/>
      <c r="O543" s="198">
        <v>162</v>
      </c>
      <c r="P543" s="198"/>
      <c r="Q543" s="198" t="s">
        <v>929</v>
      </c>
      <c r="R543" s="230">
        <f>DATABASE_Table[[#This Row],[Inicial Asking Price (€) (Total)]]-DATABASE_Table[[#This Row],[Vista membership]]-DATABASE_Table[[#This Row],[FF&amp;E]]</f>
        <v>840000</v>
      </c>
      <c r="S543" s="231">
        <v>840000</v>
      </c>
      <c r="T543" s="232">
        <v>840000</v>
      </c>
      <c r="U543" s="198"/>
      <c r="V543" s="198"/>
      <c r="W543" s="233">
        <f>DATABASE_Table[[#This Row],[Current Asking price( Total)]]-DATABASE_Table[[#This Row],[Vista membership]]-DATABASE_Table[[#This Row],[FF&amp;E]]</f>
        <v>840000</v>
      </c>
      <c r="X543" s="216">
        <v>0</v>
      </c>
      <c r="Y543" s="232">
        <v>840000</v>
      </c>
      <c r="Z543" s="233">
        <f>DATABASE_Table[[#This Row],[Sell price (Total)]]-DATABASE_Table[[#This Row],[FF&amp;E]]-DATABASE_Table[[#This Row],[Vista membership]]</f>
        <v>840000</v>
      </c>
      <c r="AA543" s="315">
        <v>45071</v>
      </c>
      <c r="AB543" s="321"/>
      <c r="AC543" s="198" t="s">
        <v>10</v>
      </c>
      <c r="AD543" s="198" t="s">
        <v>23</v>
      </c>
      <c r="AE543" s="279" t="s">
        <v>24</v>
      </c>
      <c r="AF543" s="279" t="s">
        <v>803</v>
      </c>
      <c r="AG543" s="279" t="s">
        <v>25</v>
      </c>
      <c r="AH543" s="279" t="s">
        <v>804</v>
      </c>
      <c r="AI543" s="198" t="s">
        <v>26</v>
      </c>
      <c r="AJ543" s="274" t="s">
        <v>22</v>
      </c>
      <c r="AK543"/>
    </row>
    <row r="544" spans="1:37" ht="15.75" hidden="1" customHeight="1">
      <c r="A544" s="198" t="s">
        <v>564</v>
      </c>
      <c r="B544" s="198" t="s">
        <v>691</v>
      </c>
      <c r="C544" s="214" t="s">
        <v>377</v>
      </c>
      <c r="D544" s="198" t="s">
        <v>9</v>
      </c>
      <c r="E544" s="198" t="s">
        <v>319</v>
      </c>
      <c r="F544" s="198">
        <v>125.61</v>
      </c>
      <c r="G544" s="198"/>
      <c r="H544" s="214" t="s">
        <v>325</v>
      </c>
      <c r="I544" s="214" t="s">
        <v>325</v>
      </c>
      <c r="J544" s="271">
        <v>31.83</v>
      </c>
      <c r="K544" s="198"/>
      <c r="L544" s="198"/>
      <c r="M544" s="198"/>
      <c r="N544" s="198"/>
      <c r="O544" s="198">
        <v>93.78</v>
      </c>
      <c r="P544" s="198"/>
      <c r="Q544" s="198" t="s">
        <v>329</v>
      </c>
      <c r="R544" s="230">
        <f>DATABASE_Table[[#This Row],[Inicial Asking Price (€) (Total)]]-DATABASE_Table[[#This Row],[Vista membership]]-DATABASE_Table[[#This Row],[FF&amp;E]]</f>
        <v>744797.72320000001</v>
      </c>
      <c r="S544" s="231">
        <v>809397.72320000001</v>
      </c>
      <c r="T544" s="232">
        <v>880000</v>
      </c>
      <c r="U544" s="198">
        <v>24600</v>
      </c>
      <c r="V544" s="198">
        <v>40000</v>
      </c>
      <c r="W544" s="233">
        <f>DATABASE_Table[[#This Row],[Current Asking price( Total)]]-DATABASE_Table[[#This Row],[Vista membership]]-DATABASE_Table[[#This Row],[FF&amp;E]]</f>
        <v>815400</v>
      </c>
      <c r="X544" s="216"/>
      <c r="Y544" s="232">
        <v>880000</v>
      </c>
      <c r="Z544" s="233">
        <f>DATABASE_Table[[#This Row],[Sell price (Total)]]-DATABASE_Table[[#This Row],[FF&amp;E]]-DATABASE_Table[[#This Row],[Vista membership]]</f>
        <v>815400</v>
      </c>
      <c r="AA544" s="315"/>
      <c r="AB544" s="321"/>
      <c r="AC544" s="198" t="s">
        <v>10</v>
      </c>
      <c r="AD544" s="198" t="s">
        <v>35</v>
      </c>
      <c r="AE544" s="279" t="s">
        <v>43</v>
      </c>
      <c r="AF544" s="279" t="s">
        <v>44</v>
      </c>
      <c r="AG544" s="279" t="s">
        <v>45</v>
      </c>
      <c r="AH544" s="279" t="s">
        <v>46</v>
      </c>
      <c r="AI544" s="198" t="s">
        <v>47</v>
      </c>
      <c r="AJ544" s="274" t="s">
        <v>42</v>
      </c>
      <c r="AK544"/>
    </row>
    <row r="545" spans="1:37" ht="15.75" hidden="1" customHeight="1">
      <c r="A545" s="198" t="s">
        <v>779</v>
      </c>
      <c r="B545" s="198" t="s">
        <v>786</v>
      </c>
      <c r="C545" s="214" t="s">
        <v>143</v>
      </c>
      <c r="D545" s="198" t="s">
        <v>79</v>
      </c>
      <c r="E545" s="198" t="s">
        <v>316</v>
      </c>
      <c r="F545" s="198">
        <v>56.5</v>
      </c>
      <c r="G545" s="198"/>
      <c r="H545" s="214" t="s">
        <v>848</v>
      </c>
      <c r="I545" s="214" t="s">
        <v>325</v>
      </c>
      <c r="J545" s="271">
        <v>5</v>
      </c>
      <c r="K545" s="198"/>
      <c r="L545" s="198"/>
      <c r="M545" s="198"/>
      <c r="N545" s="198"/>
      <c r="O545" s="198">
        <v>51.5</v>
      </c>
      <c r="P545" s="198"/>
      <c r="Q545" s="198" t="s">
        <v>628</v>
      </c>
      <c r="R545" s="230">
        <f>DATABASE_Table[[#This Row],[Inicial Asking Price (€) (Total)]]-DATABASE_Table[[#This Row],[Vista membership]]-DATABASE_Table[[#This Row],[FF&amp;E]]</f>
        <v>3615000</v>
      </c>
      <c r="S545" s="235">
        <v>3650000</v>
      </c>
      <c r="T545" s="235">
        <v>370000</v>
      </c>
      <c r="U545" s="198"/>
      <c r="V545" s="235">
        <v>35000</v>
      </c>
      <c r="W545" s="233">
        <f>DATABASE_Table[[#This Row],[Current Asking price( Total)]]-DATABASE_Table[[#This Row],[Vista membership]]-DATABASE_Table[[#This Row],[FF&amp;E]]</f>
        <v>335000</v>
      </c>
      <c r="X545" s="236">
        <v>0</v>
      </c>
      <c r="Y545" s="235">
        <v>370000</v>
      </c>
      <c r="Z545" s="233">
        <f>DATABASE_Table[[#This Row],[Sell price (Total)]]-DATABASE_Table[[#This Row],[FF&amp;E]]-DATABASE_Table[[#This Row],[Vista membership]]</f>
        <v>335000</v>
      </c>
      <c r="AA545" s="316">
        <v>46093</v>
      </c>
      <c r="AB545" s="321">
        <v>47118</v>
      </c>
      <c r="AC545" s="198" t="s">
        <v>80</v>
      </c>
      <c r="AD545" s="198" t="s">
        <v>81</v>
      </c>
      <c r="AE545" s="279" t="s">
        <v>82</v>
      </c>
      <c r="AF545" s="279" t="s">
        <v>83</v>
      </c>
      <c r="AG545" s="279" t="s">
        <v>84</v>
      </c>
      <c r="AH545" s="279" t="s">
        <v>85</v>
      </c>
      <c r="AI545" s="198" t="s">
        <v>86</v>
      </c>
      <c r="AJ545" s="274" t="s">
        <v>78</v>
      </c>
      <c r="AK545"/>
    </row>
    <row r="546" spans="1:37" ht="15.75" hidden="1" customHeight="1">
      <c r="A546" s="198" t="s">
        <v>779</v>
      </c>
      <c r="B546" s="198" t="s">
        <v>786</v>
      </c>
      <c r="C546" s="214" t="s">
        <v>144</v>
      </c>
      <c r="D546" s="198" t="s">
        <v>79</v>
      </c>
      <c r="E546" s="198" t="s">
        <v>316</v>
      </c>
      <c r="F546" s="198">
        <v>56.5</v>
      </c>
      <c r="G546" s="198"/>
      <c r="H546" s="214" t="s">
        <v>848</v>
      </c>
      <c r="I546" s="214" t="s">
        <v>325</v>
      </c>
      <c r="J546" s="271">
        <v>5</v>
      </c>
      <c r="K546" s="198"/>
      <c r="L546" s="198"/>
      <c r="M546" s="198"/>
      <c r="N546" s="198"/>
      <c r="O546" s="198">
        <v>51.5</v>
      </c>
      <c r="P546" s="198"/>
      <c r="Q546" s="198" t="s">
        <v>628</v>
      </c>
      <c r="R546" s="230">
        <f>DATABASE_Table[[#This Row],[Inicial Asking Price (€) (Total)]]-DATABASE_Table[[#This Row],[Vista membership]]-DATABASE_Table[[#This Row],[FF&amp;E]]</f>
        <v>3615000</v>
      </c>
      <c r="S546" s="235">
        <v>3650000</v>
      </c>
      <c r="T546" s="235">
        <v>370000</v>
      </c>
      <c r="U546" s="198"/>
      <c r="V546" s="235">
        <v>35000</v>
      </c>
      <c r="W546" s="233">
        <f>DATABASE_Table[[#This Row],[Current Asking price( Total)]]-DATABASE_Table[[#This Row],[Vista membership]]-DATABASE_Table[[#This Row],[FF&amp;E]]</f>
        <v>335000</v>
      </c>
      <c r="X546" s="236">
        <v>0</v>
      </c>
      <c r="Y546" s="235">
        <v>370000</v>
      </c>
      <c r="Z546" s="233">
        <f>DATABASE_Table[[#This Row],[Sell price (Total)]]-DATABASE_Table[[#This Row],[FF&amp;E]]-DATABASE_Table[[#This Row],[Vista membership]]</f>
        <v>335000</v>
      </c>
      <c r="AA546" s="316">
        <v>46161</v>
      </c>
      <c r="AB546" s="321">
        <v>47118</v>
      </c>
      <c r="AC546" s="198" t="s">
        <v>80</v>
      </c>
      <c r="AD546" s="198" t="s">
        <v>81</v>
      </c>
      <c r="AE546" s="279" t="s">
        <v>82</v>
      </c>
      <c r="AF546" s="279" t="s">
        <v>83</v>
      </c>
      <c r="AG546" s="279" t="s">
        <v>84</v>
      </c>
      <c r="AH546" s="279" t="s">
        <v>85</v>
      </c>
      <c r="AI546" s="198" t="s">
        <v>86</v>
      </c>
      <c r="AJ546" s="274" t="s">
        <v>78</v>
      </c>
      <c r="AK546"/>
    </row>
    <row r="547" spans="1:37" ht="15.75" hidden="1" customHeight="1">
      <c r="A547" s="198" t="s">
        <v>630</v>
      </c>
      <c r="B547" s="198" t="s">
        <v>691</v>
      </c>
      <c r="C547" s="214" t="s">
        <v>378</v>
      </c>
      <c r="D547" s="198" t="s">
        <v>9</v>
      </c>
      <c r="E547" s="198" t="s">
        <v>321</v>
      </c>
      <c r="F547" s="198">
        <v>390.53</v>
      </c>
      <c r="G547" s="198"/>
      <c r="H547" s="214" t="s">
        <v>849</v>
      </c>
      <c r="I547" s="214" t="s">
        <v>325</v>
      </c>
      <c r="J547" s="271">
        <v>55.75</v>
      </c>
      <c r="K547" s="198"/>
      <c r="L547" s="198"/>
      <c r="M547" s="198">
        <v>137.41999999999999</v>
      </c>
      <c r="N547" s="198"/>
      <c r="O547" s="198">
        <v>197.36</v>
      </c>
      <c r="P547" s="198"/>
      <c r="Q547" s="198" t="s">
        <v>329</v>
      </c>
      <c r="R547" s="230">
        <f>DATABASE_Table[[#This Row],[Inicial Asking Price (€) (Total)]]-DATABASE_Table[[#This Row],[Vista membership]]-DATABASE_Table[[#This Row],[FF&amp;E]]</f>
        <v>2452859.787</v>
      </c>
      <c r="S547" s="231">
        <v>2452859.787</v>
      </c>
      <c r="T547" s="232">
        <v>2533800</v>
      </c>
      <c r="U547" s="198"/>
      <c r="V547" s="198"/>
      <c r="W547" s="233">
        <f>DATABASE_Table[[#This Row],[Current Asking price( Total)]]-DATABASE_Table[[#This Row],[Vista membership]]-DATABASE_Table[[#This Row],[FF&amp;E]]</f>
        <v>2533800</v>
      </c>
      <c r="X547" s="216"/>
      <c r="Y547" s="232">
        <v>2533800</v>
      </c>
      <c r="Z547" s="233">
        <f>DATABASE_Table[[#This Row],[Sell price (Total)]]-DATABASE_Table[[#This Row],[FF&amp;E]]-DATABASE_Table[[#This Row],[Vista membership]]</f>
        <v>2533800</v>
      </c>
      <c r="AA547" s="315"/>
      <c r="AB547" s="321"/>
      <c r="AC547" s="198" t="s">
        <v>10</v>
      </c>
      <c r="AD547" s="198" t="s">
        <v>11</v>
      </c>
      <c r="AE547" s="279" t="s">
        <v>53</v>
      </c>
      <c r="AF547" s="279" t="s">
        <v>54</v>
      </c>
      <c r="AG547" s="279" t="s">
        <v>811</v>
      </c>
      <c r="AH547" s="279" t="s">
        <v>812</v>
      </c>
      <c r="AI547" s="198" t="s">
        <v>36</v>
      </c>
      <c r="AJ547" s="274" t="s">
        <v>52</v>
      </c>
      <c r="AK547"/>
    </row>
    <row r="548" spans="1:37" ht="15.75" hidden="1" customHeight="1">
      <c r="A548" s="198" t="s">
        <v>558</v>
      </c>
      <c r="B548" s="198" t="s">
        <v>691</v>
      </c>
      <c r="C548" s="214" t="s">
        <v>378</v>
      </c>
      <c r="D548" s="198" t="s">
        <v>9</v>
      </c>
      <c r="E548" s="198" t="s">
        <v>319</v>
      </c>
      <c r="F548" s="198">
        <v>109.16</v>
      </c>
      <c r="G548" s="198"/>
      <c r="H548" s="214" t="s">
        <v>325</v>
      </c>
      <c r="I548" s="214" t="s">
        <v>325</v>
      </c>
      <c r="J548" s="271"/>
      <c r="K548" s="198"/>
      <c r="L548" s="198"/>
      <c r="M548" s="198"/>
      <c r="N548" s="198"/>
      <c r="O548" s="198">
        <v>109.16</v>
      </c>
      <c r="P548" s="198"/>
      <c r="Q548" s="198" t="s">
        <v>628</v>
      </c>
      <c r="R548" s="230">
        <f>DATABASE_Table[[#This Row],[Inicial Asking Price (€) (Total)]]-DATABASE_Table[[#This Row],[Vista membership]]-DATABASE_Table[[#This Row],[FF&amp;E]]</f>
        <v>720000</v>
      </c>
      <c r="S548" s="231">
        <v>720000</v>
      </c>
      <c r="T548" s="232">
        <v>684000</v>
      </c>
      <c r="U548" s="198"/>
      <c r="V548" s="198"/>
      <c r="W548" s="233">
        <f>DATABASE_Table[[#This Row],[Current Asking price( Total)]]-DATABASE_Table[[#This Row],[Vista membership]]-DATABASE_Table[[#This Row],[FF&amp;E]]</f>
        <v>684000</v>
      </c>
      <c r="X548" s="216">
        <v>0</v>
      </c>
      <c r="Y548" s="232">
        <v>684000</v>
      </c>
      <c r="Z548" s="233">
        <f>DATABASE_Table[[#This Row],[Sell price (Total)]]-DATABASE_Table[[#This Row],[FF&amp;E]]-DATABASE_Table[[#This Row],[Vista membership]]</f>
        <v>684000</v>
      </c>
      <c r="AA548" s="315">
        <v>45687</v>
      </c>
      <c r="AB548" s="321"/>
      <c r="AC548" s="198" t="s">
        <v>10</v>
      </c>
      <c r="AD548" s="198" t="s">
        <v>11</v>
      </c>
      <c r="AE548" s="279" t="s">
        <v>12</v>
      </c>
      <c r="AF548" s="279" t="s">
        <v>801</v>
      </c>
      <c r="AG548" s="279" t="s">
        <v>13</v>
      </c>
      <c r="AH548" s="279" t="s">
        <v>14</v>
      </c>
      <c r="AI548" s="198" t="s">
        <v>15</v>
      </c>
      <c r="AJ548" s="274" t="s">
        <v>8</v>
      </c>
      <c r="AK548"/>
    </row>
    <row r="549" spans="1:37" ht="15.75" hidden="1" customHeight="1">
      <c r="A549" s="198" t="s">
        <v>690</v>
      </c>
      <c r="B549" s="198" t="s">
        <v>691</v>
      </c>
      <c r="C549" s="214" t="s">
        <v>378</v>
      </c>
      <c r="D549" s="198" t="s">
        <v>9</v>
      </c>
      <c r="E549" s="198" t="s">
        <v>765</v>
      </c>
      <c r="F549" s="198">
        <v>343.47</v>
      </c>
      <c r="G549" s="198">
        <v>179.37</v>
      </c>
      <c r="H549" s="214" t="s">
        <v>325</v>
      </c>
      <c r="I549" s="214" t="s">
        <v>325</v>
      </c>
      <c r="J549" s="271">
        <v>25.77</v>
      </c>
      <c r="K549" s="198"/>
      <c r="L549" s="198"/>
      <c r="M549" s="198"/>
      <c r="N549" s="198"/>
      <c r="O549" s="198">
        <v>138.33000000000001</v>
      </c>
      <c r="P549" s="198"/>
      <c r="Q549" s="198" t="s">
        <v>329</v>
      </c>
      <c r="R549" s="230">
        <f>DATABASE_Table[[#This Row],[Inicial Asking Price (€) (Total)]]-DATABASE_Table[[#This Row],[Vista membership]]-DATABASE_Table[[#This Row],[FF&amp;E]]</f>
        <v>1717700</v>
      </c>
      <c r="S549" s="231">
        <v>1788850</v>
      </c>
      <c r="T549" s="232">
        <v>1860000</v>
      </c>
      <c r="U549" s="198">
        <v>24600</v>
      </c>
      <c r="V549" s="198">
        <v>46550</v>
      </c>
      <c r="W549" s="233">
        <f>DATABASE_Table[[#This Row],[Current Asking price( Total)]]-DATABASE_Table[[#This Row],[Vista membership]]-DATABASE_Table[[#This Row],[FF&amp;E]]</f>
        <v>1788850</v>
      </c>
      <c r="X549" s="216"/>
      <c r="Y549" s="232">
        <v>1860000</v>
      </c>
      <c r="Z549" s="233">
        <f>DATABASE_Table[[#This Row],[Sell price (Total)]]-DATABASE_Table[[#This Row],[FF&amp;E]]-DATABASE_Table[[#This Row],[Vista membership]]</f>
        <v>1788850</v>
      </c>
      <c r="AA549" s="315"/>
      <c r="AB549" s="321"/>
      <c r="AC549" s="198" t="s">
        <v>10</v>
      </c>
      <c r="AD549" s="198" t="s">
        <v>35</v>
      </c>
      <c r="AE549" s="279" t="s">
        <v>38</v>
      </c>
      <c r="AF549" s="279" t="s">
        <v>39</v>
      </c>
      <c r="AG549" s="279" t="s">
        <v>40</v>
      </c>
      <c r="AH549" s="279" t="s">
        <v>810</v>
      </c>
      <c r="AI549" s="198" t="s">
        <v>41</v>
      </c>
      <c r="AJ549" s="274" t="s">
        <v>37</v>
      </c>
      <c r="AK549"/>
    </row>
    <row r="550" spans="1:37" ht="15.75" hidden="1" customHeight="1">
      <c r="A550" s="198" t="s">
        <v>563</v>
      </c>
      <c r="B550" s="198" t="s">
        <v>691</v>
      </c>
      <c r="C550" s="214" t="s">
        <v>378</v>
      </c>
      <c r="D550" s="198" t="s">
        <v>9</v>
      </c>
      <c r="E550" s="198" t="s">
        <v>319</v>
      </c>
      <c r="F550" s="198">
        <v>104.7</v>
      </c>
      <c r="G550" s="198"/>
      <c r="H550" s="214" t="s">
        <v>325</v>
      </c>
      <c r="I550" s="214" t="s">
        <v>325</v>
      </c>
      <c r="J550" s="271"/>
      <c r="K550" s="198"/>
      <c r="L550" s="198"/>
      <c r="M550" s="198"/>
      <c r="N550" s="198"/>
      <c r="O550" s="198">
        <v>104.7</v>
      </c>
      <c r="P550" s="198"/>
      <c r="Q550" s="198" t="s">
        <v>628</v>
      </c>
      <c r="R550" s="230">
        <f>DATABASE_Table[[#This Row],[Inicial Asking Price (€) (Total)]]-DATABASE_Table[[#This Row],[Vista membership]]-DATABASE_Table[[#This Row],[FF&amp;E]]</f>
        <v>540000</v>
      </c>
      <c r="S550" s="231">
        <v>540000</v>
      </c>
      <c r="T550" s="232">
        <v>540000</v>
      </c>
      <c r="U550" s="198"/>
      <c r="V550" s="198"/>
      <c r="W550" s="233">
        <f>DATABASE_Table[[#This Row],[Current Asking price( Total)]]-DATABASE_Table[[#This Row],[Vista membership]]-DATABASE_Table[[#This Row],[FF&amp;E]]</f>
        <v>540000</v>
      </c>
      <c r="X550" s="216">
        <v>0</v>
      </c>
      <c r="Y550" s="232">
        <v>540000</v>
      </c>
      <c r="Z550" s="233">
        <f>DATABASE_Table[[#This Row],[Sell price (Total)]]-DATABASE_Table[[#This Row],[FF&amp;E]]-DATABASE_Table[[#This Row],[Vista membership]]</f>
        <v>540000</v>
      </c>
      <c r="AA550" s="317">
        <v>45954</v>
      </c>
      <c r="AB550" s="321"/>
      <c r="AC550" s="198" t="s">
        <v>10</v>
      </c>
      <c r="AD550" s="198" t="s">
        <v>11</v>
      </c>
      <c r="AE550" s="279" t="s">
        <v>28</v>
      </c>
      <c r="AF550" s="279" t="s">
        <v>29</v>
      </c>
      <c r="AG550" s="279" t="s">
        <v>805</v>
      </c>
      <c r="AH550" s="279" t="s">
        <v>806</v>
      </c>
      <c r="AI550" s="198" t="s">
        <v>30</v>
      </c>
      <c r="AJ550" s="274" t="s">
        <v>27</v>
      </c>
      <c r="AK550"/>
    </row>
    <row r="551" spans="1:37" ht="15.75" hidden="1" customHeight="1">
      <c r="A551" s="198" t="s">
        <v>562</v>
      </c>
      <c r="B551" s="198" t="s">
        <v>691</v>
      </c>
      <c r="C551" s="214" t="s">
        <v>378</v>
      </c>
      <c r="D551" s="198" t="s">
        <v>9</v>
      </c>
      <c r="E551" s="198" t="s">
        <v>320</v>
      </c>
      <c r="F551" s="198">
        <v>146</v>
      </c>
      <c r="G551" s="198"/>
      <c r="H551" s="214" t="s">
        <v>325</v>
      </c>
      <c r="I551" s="214" t="s">
        <v>325</v>
      </c>
      <c r="J551" s="271"/>
      <c r="K551" s="198"/>
      <c r="L551" s="198"/>
      <c r="M551" s="198"/>
      <c r="N551" s="198"/>
      <c r="O551" s="198">
        <v>146</v>
      </c>
      <c r="P551" s="198"/>
      <c r="Q551" s="198" t="s">
        <v>929</v>
      </c>
      <c r="R551" s="230">
        <f>DATABASE_Table[[#This Row],[Inicial Asking Price (€) (Total)]]-DATABASE_Table[[#This Row],[Vista membership]]-DATABASE_Table[[#This Row],[FF&amp;E]]</f>
        <v>960000</v>
      </c>
      <c r="S551" s="231">
        <v>960000</v>
      </c>
      <c r="T551" s="232">
        <v>1150000</v>
      </c>
      <c r="U551" s="198"/>
      <c r="V551" s="198"/>
      <c r="W551" s="233">
        <f>DATABASE_Table[[#This Row],[Current Asking price( Total)]]-DATABASE_Table[[#This Row],[Vista membership]]-DATABASE_Table[[#This Row],[FF&amp;E]]</f>
        <v>1150000</v>
      </c>
      <c r="X551" s="216">
        <v>0</v>
      </c>
      <c r="Y551" s="232">
        <v>1150000</v>
      </c>
      <c r="Z551" s="233">
        <f>DATABASE_Table[[#This Row],[Sell price (Total)]]-DATABASE_Table[[#This Row],[FF&amp;E]]-DATABASE_Table[[#This Row],[Vista membership]]</f>
        <v>1150000</v>
      </c>
      <c r="AA551" s="315">
        <v>45145</v>
      </c>
      <c r="AB551" s="321"/>
      <c r="AC551" s="198" t="s">
        <v>10</v>
      </c>
      <c r="AD551" s="198" t="s">
        <v>23</v>
      </c>
      <c r="AE551" s="279" t="s">
        <v>24</v>
      </c>
      <c r="AF551" s="279" t="s">
        <v>803</v>
      </c>
      <c r="AG551" s="279" t="s">
        <v>25</v>
      </c>
      <c r="AH551" s="279" t="s">
        <v>804</v>
      </c>
      <c r="AI551" s="198" t="s">
        <v>26</v>
      </c>
      <c r="AJ551" s="274" t="s">
        <v>22</v>
      </c>
      <c r="AK551"/>
    </row>
    <row r="552" spans="1:37" ht="15.75" hidden="1" customHeight="1">
      <c r="A552" s="198" t="s">
        <v>564</v>
      </c>
      <c r="B552" s="198" t="s">
        <v>691</v>
      </c>
      <c r="C552" s="214" t="s">
        <v>378</v>
      </c>
      <c r="D552" s="198" t="s">
        <v>9</v>
      </c>
      <c r="E552" s="198" t="s">
        <v>419</v>
      </c>
      <c r="F552" s="198">
        <v>80.2</v>
      </c>
      <c r="G552" s="198"/>
      <c r="H552" s="214" t="s">
        <v>325</v>
      </c>
      <c r="I552" s="214" t="s">
        <v>325</v>
      </c>
      <c r="J552" s="271">
        <v>20.37</v>
      </c>
      <c r="K552" s="198"/>
      <c r="L552" s="198"/>
      <c r="M552" s="198"/>
      <c r="N552" s="198"/>
      <c r="O552" s="198">
        <v>59.83</v>
      </c>
      <c r="P552" s="198"/>
      <c r="Q552" s="198" t="s">
        <v>628</v>
      </c>
      <c r="R552" s="230">
        <f>DATABASE_Table[[#This Row],[Inicial Asking Price (€) (Total)]]-DATABASE_Table[[#This Row],[Vista membership]]-DATABASE_Table[[#This Row],[FF&amp;E]]</f>
        <v>505183.23860000004</v>
      </c>
      <c r="S552" s="231">
        <v>559783.23860000004</v>
      </c>
      <c r="T552" s="232">
        <v>600000</v>
      </c>
      <c r="U552" s="198">
        <v>24600</v>
      </c>
      <c r="V552" s="198">
        <v>30000</v>
      </c>
      <c r="W552" s="233">
        <f>DATABASE_Table[[#This Row],[Current Asking price( Total)]]-DATABASE_Table[[#This Row],[Vista membership]]-DATABASE_Table[[#This Row],[FF&amp;E]]</f>
        <v>545400</v>
      </c>
      <c r="X552" s="216">
        <v>1.6666666666666701E-2</v>
      </c>
      <c r="Y552" s="232">
        <v>590000</v>
      </c>
      <c r="Z552" s="233">
        <f>DATABASE_Table[[#This Row],[Sell price (Total)]]-DATABASE_Table[[#This Row],[FF&amp;E]]-DATABASE_Table[[#This Row],[Vista membership]]</f>
        <v>535400</v>
      </c>
      <c r="AA552" s="316">
        <v>45978</v>
      </c>
      <c r="AB552" s="321"/>
      <c r="AC552" s="198" t="s">
        <v>10</v>
      </c>
      <c r="AD552" s="198" t="s">
        <v>35</v>
      </c>
      <c r="AE552" s="279" t="s">
        <v>43</v>
      </c>
      <c r="AF552" s="279" t="s">
        <v>44</v>
      </c>
      <c r="AG552" s="279" t="s">
        <v>45</v>
      </c>
      <c r="AH552" s="279" t="s">
        <v>46</v>
      </c>
      <c r="AI552" s="198" t="s">
        <v>47</v>
      </c>
      <c r="AJ552" s="274" t="s">
        <v>42</v>
      </c>
      <c r="AK552"/>
    </row>
    <row r="553" spans="1:37" ht="15.75" hidden="1" customHeight="1">
      <c r="A553" s="198" t="s">
        <v>630</v>
      </c>
      <c r="B553" s="198" t="s">
        <v>691</v>
      </c>
      <c r="C553" s="214" t="s">
        <v>379</v>
      </c>
      <c r="D553" s="198" t="s">
        <v>9</v>
      </c>
      <c r="E553" s="198" t="s">
        <v>320</v>
      </c>
      <c r="F553" s="198">
        <v>223.92</v>
      </c>
      <c r="G553" s="198"/>
      <c r="H553" s="214" t="s">
        <v>849</v>
      </c>
      <c r="I553" s="214" t="s">
        <v>325</v>
      </c>
      <c r="J553" s="271">
        <v>55.65</v>
      </c>
      <c r="K553" s="198"/>
      <c r="L553" s="198"/>
      <c r="M553" s="198">
        <v>0</v>
      </c>
      <c r="N553" s="198"/>
      <c r="O553" s="198">
        <v>168.27</v>
      </c>
      <c r="P553" s="198"/>
      <c r="Q553" s="198" t="s">
        <v>329</v>
      </c>
      <c r="R553" s="230">
        <f>DATABASE_Table[[#This Row],[Inicial Asking Price (€) (Total)]]-DATABASE_Table[[#This Row],[Vista membership]]-DATABASE_Table[[#This Row],[FF&amp;E]]</f>
        <v>1609335</v>
      </c>
      <c r="S553" s="231">
        <v>1609335</v>
      </c>
      <c r="T553" s="232">
        <v>1675000</v>
      </c>
      <c r="U553" s="198"/>
      <c r="V553" s="198"/>
      <c r="W553" s="233">
        <f>DATABASE_Table[[#This Row],[Current Asking price( Total)]]-DATABASE_Table[[#This Row],[Vista membership]]-DATABASE_Table[[#This Row],[FF&amp;E]]</f>
        <v>1675000</v>
      </c>
      <c r="X553" s="216"/>
      <c r="Y553" s="232">
        <v>1674400</v>
      </c>
      <c r="Z553" s="233">
        <f>DATABASE_Table[[#This Row],[Sell price (Total)]]-DATABASE_Table[[#This Row],[FF&amp;E]]-DATABASE_Table[[#This Row],[Vista membership]]</f>
        <v>1674400</v>
      </c>
      <c r="AA553" s="315"/>
      <c r="AB553" s="321"/>
      <c r="AC553" s="198" t="s">
        <v>10</v>
      </c>
      <c r="AD553" s="198" t="s">
        <v>11</v>
      </c>
      <c r="AE553" s="279" t="s">
        <v>53</v>
      </c>
      <c r="AF553" s="279" t="s">
        <v>54</v>
      </c>
      <c r="AG553" s="279" t="s">
        <v>811</v>
      </c>
      <c r="AH553" s="279" t="s">
        <v>812</v>
      </c>
      <c r="AI553" s="198" t="s">
        <v>36</v>
      </c>
      <c r="AJ553" s="274" t="s">
        <v>52</v>
      </c>
      <c r="AK553"/>
    </row>
    <row r="554" spans="1:37" ht="15.75" hidden="1" customHeight="1">
      <c r="A554" s="198" t="s">
        <v>774</v>
      </c>
      <c r="B554" s="198" t="s">
        <v>769</v>
      </c>
      <c r="C554" s="214" t="s">
        <v>365</v>
      </c>
      <c r="D554" s="198" t="s">
        <v>74</v>
      </c>
      <c r="E554" s="198" t="s">
        <v>319</v>
      </c>
      <c r="F554" s="198">
        <v>194.7</v>
      </c>
      <c r="G554" s="198"/>
      <c r="H554" s="214" t="s">
        <v>325</v>
      </c>
      <c r="I554" s="214" t="s">
        <v>325</v>
      </c>
      <c r="J554" s="271"/>
      <c r="K554" s="198"/>
      <c r="L554" s="198"/>
      <c r="M554" s="198">
        <v>38.22</v>
      </c>
      <c r="N554" s="198"/>
      <c r="O554" s="198">
        <v>156.47999999999999</v>
      </c>
      <c r="P554" s="198"/>
      <c r="Q554" s="198" t="s">
        <v>329</v>
      </c>
      <c r="R554" s="230">
        <f>DATABASE_Table[[#This Row],[Inicial Asking Price (€) (Total)]]-DATABASE_Table[[#This Row],[Vista membership]]-DATABASE_Table[[#This Row],[FF&amp;E]]</f>
        <v>915000</v>
      </c>
      <c r="S554" s="234">
        <v>915000</v>
      </c>
      <c r="T554" s="235">
        <v>840000</v>
      </c>
      <c r="U554" s="198"/>
      <c r="V554" s="198"/>
      <c r="W554" s="233">
        <f>DATABASE_Table[[#This Row],[Current Asking price( Total)]]-DATABASE_Table[[#This Row],[Vista membership]]-DATABASE_Table[[#This Row],[FF&amp;E]]</f>
        <v>840000</v>
      </c>
      <c r="X554" s="236"/>
      <c r="Y554" s="235"/>
      <c r="Z554" s="233">
        <f>DATABASE_Table[[#This Row],[Sell price (Total)]]-DATABASE_Table[[#This Row],[FF&amp;E]]-DATABASE_Table[[#This Row],[Vista membership]]</f>
        <v>0</v>
      </c>
      <c r="AA554" s="315"/>
      <c r="AB554" s="321" t="s">
        <v>32</v>
      </c>
      <c r="AC554" s="198" t="s">
        <v>57</v>
      </c>
      <c r="AD554" s="198"/>
      <c r="AE554" s="279" t="s">
        <v>75</v>
      </c>
      <c r="AF554" s="279" t="s">
        <v>554</v>
      </c>
      <c r="AG554" s="279" t="s">
        <v>76</v>
      </c>
      <c r="AH554" s="279" t="s">
        <v>77</v>
      </c>
      <c r="AI554" s="198" t="s">
        <v>32</v>
      </c>
      <c r="AJ554" s="274" t="s">
        <v>73</v>
      </c>
      <c r="AK554"/>
    </row>
    <row r="555" spans="1:37" ht="15.75" hidden="1" customHeight="1">
      <c r="A555" s="198" t="s">
        <v>558</v>
      </c>
      <c r="B555" s="198" t="s">
        <v>691</v>
      </c>
      <c r="C555" s="214" t="s">
        <v>379</v>
      </c>
      <c r="D555" s="198" t="s">
        <v>9</v>
      </c>
      <c r="E555" s="198" t="s">
        <v>321</v>
      </c>
      <c r="F555" s="198">
        <v>202.2</v>
      </c>
      <c r="G555" s="198">
        <v>6.13</v>
      </c>
      <c r="H555" s="214" t="s">
        <v>325</v>
      </c>
      <c r="I555" s="214" t="s">
        <v>590</v>
      </c>
      <c r="J555" s="271">
        <v>33.729999999999997</v>
      </c>
      <c r="K555" s="198"/>
      <c r="L555" s="198"/>
      <c r="M555" s="198"/>
      <c r="N555" s="198"/>
      <c r="O555" s="198">
        <v>202.2</v>
      </c>
      <c r="P555" s="198"/>
      <c r="Q555" s="198" t="s">
        <v>329</v>
      </c>
      <c r="R555" s="230">
        <f>DATABASE_Table[[#This Row],[Inicial Asking Price (€) (Total)]]-DATABASE_Table[[#This Row],[Vista membership]]-DATABASE_Table[[#This Row],[FF&amp;E]]</f>
        <v>1650000</v>
      </c>
      <c r="S555" s="231">
        <v>1650000</v>
      </c>
      <c r="T555" s="232">
        <v>1650000</v>
      </c>
      <c r="U555" s="198"/>
      <c r="V555" s="198"/>
      <c r="W555" s="233">
        <f>DATABASE_Table[[#This Row],[Current Asking price( Total)]]-DATABASE_Table[[#This Row],[Vista membership]]-DATABASE_Table[[#This Row],[FF&amp;E]]</f>
        <v>1650000</v>
      </c>
      <c r="X555" s="216"/>
      <c r="Y555" s="232">
        <v>1650000</v>
      </c>
      <c r="Z555" s="233">
        <f>DATABASE_Table[[#This Row],[Sell price (Total)]]-DATABASE_Table[[#This Row],[FF&amp;E]]-DATABASE_Table[[#This Row],[Vista membership]]</f>
        <v>1650000</v>
      </c>
      <c r="AA555" s="315"/>
      <c r="AB555" s="321"/>
      <c r="AC555" s="198" t="s">
        <v>10</v>
      </c>
      <c r="AD555" s="198" t="s">
        <v>11</v>
      </c>
      <c r="AE555" s="279" t="s">
        <v>12</v>
      </c>
      <c r="AF555" s="279" t="s">
        <v>801</v>
      </c>
      <c r="AG555" s="279" t="s">
        <v>13</v>
      </c>
      <c r="AH555" s="279" t="s">
        <v>14</v>
      </c>
      <c r="AI555" s="198" t="s">
        <v>15</v>
      </c>
      <c r="AJ555" s="274" t="s">
        <v>8</v>
      </c>
      <c r="AK555"/>
    </row>
    <row r="556" spans="1:37" ht="15.75" hidden="1" customHeight="1">
      <c r="A556" s="198" t="s">
        <v>690</v>
      </c>
      <c r="B556" s="198" t="s">
        <v>691</v>
      </c>
      <c r="C556" s="214" t="s">
        <v>379</v>
      </c>
      <c r="D556" s="198" t="s">
        <v>9</v>
      </c>
      <c r="E556" s="198" t="s">
        <v>765</v>
      </c>
      <c r="F556" s="198">
        <v>282.32</v>
      </c>
      <c r="G556" s="198">
        <v>116.67</v>
      </c>
      <c r="H556" s="214" t="s">
        <v>325</v>
      </c>
      <c r="I556" s="214" t="s">
        <v>325</v>
      </c>
      <c r="J556" s="271">
        <v>25.77</v>
      </c>
      <c r="K556" s="198"/>
      <c r="L556" s="198"/>
      <c r="M556" s="198"/>
      <c r="N556" s="198"/>
      <c r="O556" s="198">
        <v>139.88</v>
      </c>
      <c r="P556" s="198"/>
      <c r="Q556" s="198" t="s">
        <v>329</v>
      </c>
      <c r="R556" s="230">
        <f>DATABASE_Table[[#This Row],[Inicial Asking Price (€) (Total)]]-DATABASE_Table[[#This Row],[Vista membership]]-DATABASE_Table[[#This Row],[FF&amp;E]]</f>
        <v>1507700</v>
      </c>
      <c r="S556" s="231">
        <v>1578850</v>
      </c>
      <c r="T556" s="232">
        <v>1650000</v>
      </c>
      <c r="U556" s="198">
        <v>24600</v>
      </c>
      <c r="V556" s="198">
        <v>46550</v>
      </c>
      <c r="W556" s="233">
        <f>DATABASE_Table[[#This Row],[Current Asking price( Total)]]-DATABASE_Table[[#This Row],[Vista membership]]-DATABASE_Table[[#This Row],[FF&amp;E]]</f>
        <v>1578850</v>
      </c>
      <c r="X556" s="216"/>
      <c r="Y556" s="232">
        <v>1650000</v>
      </c>
      <c r="Z556" s="233">
        <f>DATABASE_Table[[#This Row],[Sell price (Total)]]-DATABASE_Table[[#This Row],[FF&amp;E]]-DATABASE_Table[[#This Row],[Vista membership]]</f>
        <v>1578850</v>
      </c>
      <c r="AA556" s="315"/>
      <c r="AB556" s="321"/>
      <c r="AC556" s="198" t="s">
        <v>10</v>
      </c>
      <c r="AD556" s="198" t="s">
        <v>35</v>
      </c>
      <c r="AE556" s="279" t="s">
        <v>38</v>
      </c>
      <c r="AF556" s="279" t="s">
        <v>39</v>
      </c>
      <c r="AG556" s="279" t="s">
        <v>40</v>
      </c>
      <c r="AH556" s="279" t="s">
        <v>810</v>
      </c>
      <c r="AI556" s="198" t="s">
        <v>41</v>
      </c>
      <c r="AJ556" s="274" t="s">
        <v>37</v>
      </c>
      <c r="AK556"/>
    </row>
    <row r="557" spans="1:37" ht="15.75" hidden="1" customHeight="1">
      <c r="A557" s="198" t="s">
        <v>563</v>
      </c>
      <c r="B557" s="198" t="s">
        <v>691</v>
      </c>
      <c r="C557" s="214" t="s">
        <v>379</v>
      </c>
      <c r="D557" s="198" t="s">
        <v>9</v>
      </c>
      <c r="E557" s="198" t="s">
        <v>319</v>
      </c>
      <c r="F557" s="198">
        <v>104.7</v>
      </c>
      <c r="G557" s="198"/>
      <c r="H557" s="214" t="s">
        <v>325</v>
      </c>
      <c r="I557" s="214" t="s">
        <v>325</v>
      </c>
      <c r="J557" s="271"/>
      <c r="K557" s="198"/>
      <c r="L557" s="198"/>
      <c r="M557" s="198"/>
      <c r="N557" s="198"/>
      <c r="O557" s="198">
        <v>104.7</v>
      </c>
      <c r="P557" s="198"/>
      <c r="Q557" s="198" t="s">
        <v>628</v>
      </c>
      <c r="R557" s="230">
        <f>DATABASE_Table[[#This Row],[Inicial Asking Price (€) (Total)]]-DATABASE_Table[[#This Row],[Vista membership]]-DATABASE_Table[[#This Row],[FF&amp;E]]</f>
        <v>550000</v>
      </c>
      <c r="S557" s="231">
        <v>550000</v>
      </c>
      <c r="T557" s="232">
        <v>565000</v>
      </c>
      <c r="U557" s="198"/>
      <c r="V557" s="198"/>
      <c r="W557" s="233">
        <f>DATABASE_Table[[#This Row],[Current Asking price( Total)]]-DATABASE_Table[[#This Row],[Vista membership]]-DATABASE_Table[[#This Row],[FF&amp;E]]</f>
        <v>565000</v>
      </c>
      <c r="X557" s="216">
        <v>0</v>
      </c>
      <c r="Y557" s="232">
        <v>565000</v>
      </c>
      <c r="Z557" s="233">
        <f>DATABASE_Table[[#This Row],[Sell price (Total)]]-DATABASE_Table[[#This Row],[FF&amp;E]]-DATABASE_Table[[#This Row],[Vista membership]]</f>
        <v>565000</v>
      </c>
      <c r="AA557" s="317">
        <v>46072</v>
      </c>
      <c r="AB557" s="321"/>
      <c r="AC557" s="198" t="s">
        <v>10</v>
      </c>
      <c r="AD557" s="198" t="s">
        <v>11</v>
      </c>
      <c r="AE557" s="279" t="s">
        <v>28</v>
      </c>
      <c r="AF557" s="279" t="s">
        <v>29</v>
      </c>
      <c r="AG557" s="279" t="s">
        <v>805</v>
      </c>
      <c r="AH557" s="279" t="s">
        <v>806</v>
      </c>
      <c r="AI557" s="198" t="s">
        <v>30</v>
      </c>
      <c r="AJ557" s="274" t="s">
        <v>27</v>
      </c>
      <c r="AK557"/>
    </row>
    <row r="558" spans="1:37" ht="15.75" hidden="1" customHeight="1">
      <c r="A558" s="198" t="s">
        <v>562</v>
      </c>
      <c r="B558" s="198" t="s">
        <v>691</v>
      </c>
      <c r="C558" s="214" t="s">
        <v>379</v>
      </c>
      <c r="D558" s="198" t="s">
        <v>9</v>
      </c>
      <c r="E558" s="198" t="s">
        <v>320</v>
      </c>
      <c r="F558" s="198">
        <v>143</v>
      </c>
      <c r="G558" s="198"/>
      <c r="H558" s="214" t="s">
        <v>325</v>
      </c>
      <c r="I558" s="214" t="s">
        <v>325</v>
      </c>
      <c r="J558" s="271"/>
      <c r="K558" s="198"/>
      <c r="L558" s="198"/>
      <c r="M558" s="198"/>
      <c r="N558" s="198"/>
      <c r="O558" s="198">
        <v>143</v>
      </c>
      <c r="P558" s="198"/>
      <c r="Q558" s="198" t="s">
        <v>929</v>
      </c>
      <c r="R558" s="230">
        <f>DATABASE_Table[[#This Row],[Inicial Asking Price (€) (Total)]]-DATABASE_Table[[#This Row],[Vista membership]]-DATABASE_Table[[#This Row],[FF&amp;E]]</f>
        <v>840000</v>
      </c>
      <c r="S558" s="231">
        <v>840000</v>
      </c>
      <c r="T558" s="232">
        <v>1040000</v>
      </c>
      <c r="U558" s="198"/>
      <c r="V558" s="198"/>
      <c r="W558" s="233">
        <f>DATABASE_Table[[#This Row],[Current Asking price( Total)]]-DATABASE_Table[[#This Row],[Vista membership]]-DATABASE_Table[[#This Row],[FF&amp;E]]</f>
        <v>1040000</v>
      </c>
      <c r="X558" s="216">
        <v>0</v>
      </c>
      <c r="Y558" s="232">
        <v>1040000</v>
      </c>
      <c r="Z558" s="233">
        <f>DATABASE_Table[[#This Row],[Sell price (Total)]]-DATABASE_Table[[#This Row],[FF&amp;E]]-DATABASE_Table[[#This Row],[Vista membership]]</f>
        <v>1040000</v>
      </c>
      <c r="AA558" s="315">
        <v>45923</v>
      </c>
      <c r="AB558" s="321"/>
      <c r="AC558" s="198" t="s">
        <v>10</v>
      </c>
      <c r="AD558" s="198" t="s">
        <v>23</v>
      </c>
      <c r="AE558" s="279" t="s">
        <v>24</v>
      </c>
      <c r="AF558" s="279" t="s">
        <v>803</v>
      </c>
      <c r="AG558" s="279" t="s">
        <v>25</v>
      </c>
      <c r="AH558" s="279" t="s">
        <v>804</v>
      </c>
      <c r="AI558" s="198" t="s">
        <v>26</v>
      </c>
      <c r="AJ558" s="274" t="s">
        <v>22</v>
      </c>
      <c r="AK558"/>
    </row>
    <row r="559" spans="1:37" ht="15.75" hidden="1" customHeight="1">
      <c r="A559" s="198" t="s">
        <v>564</v>
      </c>
      <c r="B559" s="198" t="s">
        <v>691</v>
      </c>
      <c r="C559" s="214" t="s">
        <v>379</v>
      </c>
      <c r="D559" s="198" t="s">
        <v>9</v>
      </c>
      <c r="E559" s="198" t="s">
        <v>416</v>
      </c>
      <c r="F559" s="198">
        <v>116.88</v>
      </c>
      <c r="G559" s="198"/>
      <c r="H559" s="214" t="s">
        <v>325</v>
      </c>
      <c r="I559" s="214" t="s">
        <v>325</v>
      </c>
      <c r="J559" s="271">
        <v>28.68</v>
      </c>
      <c r="K559" s="198"/>
      <c r="L559" s="198"/>
      <c r="M559" s="198"/>
      <c r="N559" s="198"/>
      <c r="O559" s="198">
        <v>88.2</v>
      </c>
      <c r="P559" s="198"/>
      <c r="Q559" s="198" t="s">
        <v>329</v>
      </c>
      <c r="R559" s="230">
        <f>DATABASE_Table[[#This Row],[Inicial Asking Price (€) (Total)]]-DATABASE_Table[[#This Row],[Vista membership]]-DATABASE_Table[[#This Row],[FF&amp;E]]</f>
        <v>703524.01599999995</v>
      </c>
      <c r="S559" s="231">
        <v>768124.01599999995</v>
      </c>
      <c r="T559" s="232">
        <v>840000</v>
      </c>
      <c r="U559" s="198">
        <v>24600</v>
      </c>
      <c r="V559" s="198">
        <v>40000</v>
      </c>
      <c r="W559" s="233">
        <f>DATABASE_Table[[#This Row],[Current Asking price( Total)]]-DATABASE_Table[[#This Row],[Vista membership]]-DATABASE_Table[[#This Row],[FF&amp;E]]</f>
        <v>775400</v>
      </c>
      <c r="X559" s="216"/>
      <c r="Y559" s="232">
        <v>840000</v>
      </c>
      <c r="Z559" s="233">
        <f>DATABASE_Table[[#This Row],[Sell price (Total)]]-DATABASE_Table[[#This Row],[FF&amp;E]]-DATABASE_Table[[#This Row],[Vista membership]]</f>
        <v>775400</v>
      </c>
      <c r="AA559" s="315"/>
      <c r="AB559" s="321"/>
      <c r="AC559" s="198" t="s">
        <v>10</v>
      </c>
      <c r="AD559" s="198" t="s">
        <v>35</v>
      </c>
      <c r="AE559" s="279" t="s">
        <v>43</v>
      </c>
      <c r="AF559" s="279" t="s">
        <v>44</v>
      </c>
      <c r="AG559" s="279" t="s">
        <v>45</v>
      </c>
      <c r="AH559" s="279" t="s">
        <v>46</v>
      </c>
      <c r="AI559" s="198" t="s">
        <v>47</v>
      </c>
      <c r="AJ559" s="274" t="s">
        <v>42</v>
      </c>
      <c r="AK559"/>
    </row>
    <row r="560" spans="1:37" ht="15.75" hidden="1" customHeight="1">
      <c r="A560" s="198" t="s">
        <v>630</v>
      </c>
      <c r="B560" s="198" t="s">
        <v>691</v>
      </c>
      <c r="C560" s="214" t="s">
        <v>380</v>
      </c>
      <c r="D560" s="198" t="s">
        <v>9</v>
      </c>
      <c r="E560" s="198" t="s">
        <v>319</v>
      </c>
      <c r="F560" s="198">
        <v>146.43</v>
      </c>
      <c r="G560" s="198"/>
      <c r="H560" s="214" t="s">
        <v>849</v>
      </c>
      <c r="I560" s="214" t="s">
        <v>325</v>
      </c>
      <c r="J560" s="271">
        <v>28.49</v>
      </c>
      <c r="K560" s="198"/>
      <c r="L560" s="198"/>
      <c r="M560" s="198">
        <v>0</v>
      </c>
      <c r="N560" s="198"/>
      <c r="O560" s="198">
        <v>117.94</v>
      </c>
      <c r="P560" s="198"/>
      <c r="Q560" s="198" t="s">
        <v>329</v>
      </c>
      <c r="R560" s="230">
        <f>DATABASE_Table[[#This Row],[Inicial Asking Price (€) (Total)]]-DATABASE_Table[[#This Row],[Vista membership]]-DATABASE_Table[[#This Row],[FF&amp;E]]</f>
        <v>976732.61399999994</v>
      </c>
      <c r="S560" s="231">
        <v>976732.61399999994</v>
      </c>
      <c r="T560" s="232">
        <v>980000</v>
      </c>
      <c r="U560" s="198"/>
      <c r="V560" s="198"/>
      <c r="W560" s="233">
        <f>DATABASE_Table[[#This Row],[Current Asking price( Total)]]-DATABASE_Table[[#This Row],[Vista membership]]-DATABASE_Table[[#This Row],[FF&amp;E]]</f>
        <v>980000</v>
      </c>
      <c r="X560" s="216"/>
      <c r="Y560" s="232">
        <v>980000</v>
      </c>
      <c r="Z560" s="233">
        <f>DATABASE_Table[[#This Row],[Sell price (Total)]]-DATABASE_Table[[#This Row],[FF&amp;E]]-DATABASE_Table[[#This Row],[Vista membership]]</f>
        <v>980000</v>
      </c>
      <c r="AA560" s="315"/>
      <c r="AB560" s="321"/>
      <c r="AC560" s="198" t="s">
        <v>10</v>
      </c>
      <c r="AD560" s="198" t="s">
        <v>11</v>
      </c>
      <c r="AE560" s="279" t="s">
        <v>53</v>
      </c>
      <c r="AF560" s="279" t="s">
        <v>54</v>
      </c>
      <c r="AG560" s="279" t="s">
        <v>811</v>
      </c>
      <c r="AH560" s="279" t="s">
        <v>812</v>
      </c>
      <c r="AI560" s="198" t="s">
        <v>36</v>
      </c>
      <c r="AJ560" s="274" t="s">
        <v>52</v>
      </c>
      <c r="AK560"/>
    </row>
    <row r="561" spans="1:37" ht="15.75" hidden="1" customHeight="1">
      <c r="A561" s="198" t="s">
        <v>558</v>
      </c>
      <c r="B561" s="198" t="s">
        <v>691</v>
      </c>
      <c r="C561" s="214" t="s">
        <v>380</v>
      </c>
      <c r="D561" s="198" t="s">
        <v>9</v>
      </c>
      <c r="E561" s="198" t="s">
        <v>319</v>
      </c>
      <c r="F561" s="198">
        <v>108.99</v>
      </c>
      <c r="G561" s="198"/>
      <c r="H561" s="214" t="s">
        <v>325</v>
      </c>
      <c r="I561" s="214" t="s">
        <v>325</v>
      </c>
      <c r="J561" s="271">
        <v>4.3099999999999996</v>
      </c>
      <c r="K561" s="198"/>
      <c r="L561" s="198"/>
      <c r="M561" s="198"/>
      <c r="N561" s="198"/>
      <c r="O561" s="198">
        <v>108.99</v>
      </c>
      <c r="P561" s="198"/>
      <c r="Q561" s="198" t="s">
        <v>329</v>
      </c>
      <c r="R561" s="230">
        <f>DATABASE_Table[[#This Row],[Inicial Asking Price (€) (Total)]]-DATABASE_Table[[#This Row],[Vista membership]]-DATABASE_Table[[#This Row],[FF&amp;E]]</f>
        <v>710000</v>
      </c>
      <c r="S561" s="231">
        <v>710000</v>
      </c>
      <c r="T561" s="232">
        <v>710000</v>
      </c>
      <c r="U561" s="198"/>
      <c r="V561" s="198"/>
      <c r="W561" s="233">
        <f>DATABASE_Table[[#This Row],[Current Asking price( Total)]]-DATABASE_Table[[#This Row],[Vista membership]]-DATABASE_Table[[#This Row],[FF&amp;E]]</f>
        <v>710000</v>
      </c>
      <c r="X561" s="216"/>
      <c r="Y561" s="232">
        <v>710000</v>
      </c>
      <c r="Z561" s="233">
        <f>DATABASE_Table[[#This Row],[Sell price (Total)]]-DATABASE_Table[[#This Row],[FF&amp;E]]-DATABASE_Table[[#This Row],[Vista membership]]</f>
        <v>710000</v>
      </c>
      <c r="AA561" s="315"/>
      <c r="AB561" s="321"/>
      <c r="AC561" s="198" t="s">
        <v>10</v>
      </c>
      <c r="AD561" s="198" t="s">
        <v>11</v>
      </c>
      <c r="AE561" s="279" t="s">
        <v>12</v>
      </c>
      <c r="AF561" s="279" t="s">
        <v>801</v>
      </c>
      <c r="AG561" s="279" t="s">
        <v>13</v>
      </c>
      <c r="AH561" s="279" t="s">
        <v>14</v>
      </c>
      <c r="AI561" s="198" t="s">
        <v>15</v>
      </c>
      <c r="AJ561" s="274" t="s">
        <v>8</v>
      </c>
      <c r="AK561"/>
    </row>
    <row r="562" spans="1:37" ht="15.75" hidden="1" customHeight="1">
      <c r="A562" s="198" t="s">
        <v>780</v>
      </c>
      <c r="B562" s="198" t="s">
        <v>786</v>
      </c>
      <c r="C562" s="214" t="s">
        <v>260</v>
      </c>
      <c r="D562" s="198" t="s">
        <v>79</v>
      </c>
      <c r="E562" s="198" t="s">
        <v>318</v>
      </c>
      <c r="F562" s="198">
        <v>145.22999999999999</v>
      </c>
      <c r="G562" s="198"/>
      <c r="H562" s="214" t="s">
        <v>849</v>
      </c>
      <c r="I562" s="214" t="s">
        <v>325</v>
      </c>
      <c r="J562" s="271">
        <v>29.4</v>
      </c>
      <c r="K562" s="198"/>
      <c r="L562" s="198"/>
      <c r="M562" s="198"/>
      <c r="N562" s="198"/>
      <c r="O562" s="198">
        <v>115.83</v>
      </c>
      <c r="P562" s="198"/>
      <c r="Q562" s="198" t="s">
        <v>329</v>
      </c>
      <c r="R562" s="230">
        <f>DATABASE_Table[[#This Row],[Inicial Asking Price (€) (Total)]]-DATABASE_Table[[#This Row],[Vista membership]]-DATABASE_Table[[#This Row],[FF&amp;E]]</f>
        <v>875000</v>
      </c>
      <c r="S562" s="234">
        <v>925000</v>
      </c>
      <c r="T562" s="235">
        <v>925000</v>
      </c>
      <c r="U562" s="198"/>
      <c r="V562" s="235">
        <v>50000</v>
      </c>
      <c r="W562" s="233">
        <f>DATABASE_Table[[#This Row],[Current Asking price( Total)]]-DATABASE_Table[[#This Row],[Vista membership]]-DATABASE_Table[[#This Row],[FF&amp;E]]</f>
        <v>875000</v>
      </c>
      <c r="X562" s="236"/>
      <c r="Y562" s="235"/>
      <c r="Z562" s="233">
        <f>DATABASE_Table[[#This Row],[Sell price (Total)]]-DATABASE_Table[[#This Row],[FF&amp;E]]-DATABASE_Table[[#This Row],[Vista membership]]</f>
        <v>-50000</v>
      </c>
      <c r="AA562" s="315"/>
      <c r="AB562" s="321">
        <v>47118</v>
      </c>
      <c r="AC562" s="198" t="s">
        <v>80</v>
      </c>
      <c r="AD562" s="198" t="s">
        <v>81</v>
      </c>
      <c r="AE562" s="279" t="s">
        <v>82</v>
      </c>
      <c r="AF562" s="279" t="s">
        <v>83</v>
      </c>
      <c r="AG562" s="279" t="s">
        <v>84</v>
      </c>
      <c r="AH562" s="279" t="s">
        <v>85</v>
      </c>
      <c r="AI562" s="198" t="s">
        <v>86</v>
      </c>
      <c r="AJ562" s="274" t="s">
        <v>78</v>
      </c>
      <c r="AK562"/>
    </row>
    <row r="563" spans="1:37" ht="15.75" hidden="1" customHeight="1">
      <c r="A563" s="198" t="s">
        <v>780</v>
      </c>
      <c r="B563" s="198" t="s">
        <v>786</v>
      </c>
      <c r="C563" s="214" t="s">
        <v>262</v>
      </c>
      <c r="D563" s="198" t="s">
        <v>79</v>
      </c>
      <c r="E563" s="198" t="s">
        <v>318</v>
      </c>
      <c r="F563" s="198">
        <v>145.22</v>
      </c>
      <c r="G563" s="198"/>
      <c r="H563" s="214" t="s">
        <v>849</v>
      </c>
      <c r="I563" s="214" t="s">
        <v>325</v>
      </c>
      <c r="J563" s="271">
        <v>29.38</v>
      </c>
      <c r="K563" s="198"/>
      <c r="L563" s="198"/>
      <c r="M563" s="198"/>
      <c r="N563" s="198"/>
      <c r="O563" s="198">
        <v>115.84</v>
      </c>
      <c r="P563" s="198"/>
      <c r="Q563" s="198" t="s">
        <v>328</v>
      </c>
      <c r="R563" s="230">
        <f>DATABASE_Table[[#This Row],[Inicial Asking Price (€) (Total)]]-DATABASE_Table[[#This Row],[Vista membership]]-DATABASE_Table[[#This Row],[FF&amp;E]]</f>
        <v>875000</v>
      </c>
      <c r="S563" s="234">
        <v>925000</v>
      </c>
      <c r="T563" s="235">
        <v>985000</v>
      </c>
      <c r="U563" s="198"/>
      <c r="V563" s="235">
        <v>50000</v>
      </c>
      <c r="W563" s="233">
        <f>DATABASE_Table[[#This Row],[Current Asking price( Total)]]-DATABASE_Table[[#This Row],[Vista membership]]-DATABASE_Table[[#This Row],[FF&amp;E]]</f>
        <v>935000</v>
      </c>
      <c r="X563" s="236"/>
      <c r="Y563" s="235"/>
      <c r="Z563" s="233">
        <f>DATABASE_Table[[#This Row],[Sell price (Total)]]-DATABASE_Table[[#This Row],[FF&amp;E]]-DATABASE_Table[[#This Row],[Vista membership]]</f>
        <v>-50000</v>
      </c>
      <c r="AA563" s="315"/>
      <c r="AB563" s="321">
        <v>47118</v>
      </c>
      <c r="AC563" s="198" t="s">
        <v>80</v>
      </c>
      <c r="AD563" s="198" t="s">
        <v>81</v>
      </c>
      <c r="AE563" s="279" t="s">
        <v>82</v>
      </c>
      <c r="AF563" s="279" t="s">
        <v>83</v>
      </c>
      <c r="AG563" s="279" t="s">
        <v>84</v>
      </c>
      <c r="AH563" s="279" t="s">
        <v>85</v>
      </c>
      <c r="AI563" s="198" t="s">
        <v>86</v>
      </c>
      <c r="AJ563" s="274" t="s">
        <v>78</v>
      </c>
      <c r="AK563"/>
    </row>
    <row r="564" spans="1:37" ht="15.75" hidden="1" customHeight="1">
      <c r="A564" s="198" t="s">
        <v>781</v>
      </c>
      <c r="B564" s="198" t="s">
        <v>786</v>
      </c>
      <c r="C564" s="214" t="s">
        <v>282</v>
      </c>
      <c r="D564" s="198" t="s">
        <v>79</v>
      </c>
      <c r="E564" s="198" t="s">
        <v>319</v>
      </c>
      <c r="F564" s="198">
        <v>195.8</v>
      </c>
      <c r="G564" s="198"/>
      <c r="H564" s="214" t="s">
        <v>848</v>
      </c>
      <c r="I564" s="214" t="s">
        <v>325</v>
      </c>
      <c r="J564" s="271"/>
      <c r="K564" s="198"/>
      <c r="L564" s="198"/>
      <c r="M564" s="198">
        <v>30</v>
      </c>
      <c r="N564" s="198">
        <v>28</v>
      </c>
      <c r="O564" s="198">
        <v>137.80000000000001</v>
      </c>
      <c r="P564" s="198"/>
      <c r="Q564" s="198" t="s">
        <v>628</v>
      </c>
      <c r="R564" s="230">
        <f>DATABASE_Table[[#This Row],[Inicial Asking Price (€) (Total)]]-DATABASE_Table[[#This Row],[Vista membership]]-DATABASE_Table[[#This Row],[FF&amp;E]]</f>
        <v>1080000</v>
      </c>
      <c r="S564" s="234">
        <v>1080000</v>
      </c>
      <c r="T564" s="235">
        <v>1100000</v>
      </c>
      <c r="U564" s="198"/>
      <c r="V564" s="235">
        <v>0</v>
      </c>
      <c r="W564" s="233">
        <f>DATABASE_Table[[#This Row],[Current Asking price( Total)]]-DATABASE_Table[[#This Row],[Vista membership]]-DATABASE_Table[[#This Row],[FF&amp;E]]</f>
        <v>1100000</v>
      </c>
      <c r="X564" s="236">
        <v>0</v>
      </c>
      <c r="Y564" s="235">
        <v>1100000</v>
      </c>
      <c r="Z564" s="233">
        <f>DATABASE_Table[[#This Row],[Sell price (Total)]]-DATABASE_Table[[#This Row],[FF&amp;E]]-DATABASE_Table[[#This Row],[Vista membership]]</f>
        <v>1100000</v>
      </c>
      <c r="AA564" s="316">
        <v>46038</v>
      </c>
      <c r="AB564" s="321">
        <v>47118</v>
      </c>
      <c r="AC564" s="198" t="s">
        <v>80</v>
      </c>
      <c r="AD564" s="198" t="s">
        <v>81</v>
      </c>
      <c r="AE564" s="279" t="s">
        <v>82</v>
      </c>
      <c r="AF564" s="279" t="s">
        <v>83</v>
      </c>
      <c r="AG564" s="279" t="s">
        <v>84</v>
      </c>
      <c r="AH564" s="279" t="s">
        <v>85</v>
      </c>
      <c r="AI564" s="198" t="s">
        <v>86</v>
      </c>
      <c r="AJ564" s="274" t="s">
        <v>78</v>
      </c>
      <c r="AK564"/>
    </row>
    <row r="565" spans="1:37" ht="15.75" hidden="1" customHeight="1">
      <c r="A565" s="198" t="s">
        <v>781</v>
      </c>
      <c r="B565" s="198" t="s">
        <v>786</v>
      </c>
      <c r="C565" s="214" t="s">
        <v>283</v>
      </c>
      <c r="D565" s="198" t="s">
        <v>79</v>
      </c>
      <c r="E565" s="198" t="s">
        <v>319</v>
      </c>
      <c r="F565" s="198">
        <v>170</v>
      </c>
      <c r="G565" s="198"/>
      <c r="H565" s="214" t="s">
        <v>848</v>
      </c>
      <c r="I565" s="214" t="s">
        <v>325</v>
      </c>
      <c r="J565" s="271"/>
      <c r="K565" s="198"/>
      <c r="L565" s="198"/>
      <c r="M565" s="198">
        <v>30</v>
      </c>
      <c r="N565" s="198">
        <v>24</v>
      </c>
      <c r="O565" s="198">
        <v>116</v>
      </c>
      <c r="P565" s="198"/>
      <c r="Q565" s="198" t="s">
        <v>628</v>
      </c>
      <c r="R565" s="230">
        <f>DATABASE_Table[[#This Row],[Inicial Asking Price (€) (Total)]]-DATABASE_Table[[#This Row],[Vista membership]]-DATABASE_Table[[#This Row],[FF&amp;E]]</f>
        <v>795000</v>
      </c>
      <c r="S565" s="234">
        <v>795000</v>
      </c>
      <c r="T565" s="235">
        <v>795000</v>
      </c>
      <c r="U565" s="198"/>
      <c r="V565" s="235">
        <v>0</v>
      </c>
      <c r="W565" s="233">
        <f>DATABASE_Table[[#This Row],[Current Asking price( Total)]]-DATABASE_Table[[#This Row],[Vista membership]]-DATABASE_Table[[#This Row],[FF&amp;E]]</f>
        <v>795000</v>
      </c>
      <c r="X565" s="236">
        <v>0.02</v>
      </c>
      <c r="Y565" s="235">
        <v>779100</v>
      </c>
      <c r="Z565" s="233">
        <f>DATABASE_Table[[#This Row],[Sell price (Total)]]-DATABASE_Table[[#This Row],[FF&amp;E]]-DATABASE_Table[[#This Row],[Vista membership]]</f>
        <v>779100</v>
      </c>
      <c r="AA565" s="316">
        <v>46094</v>
      </c>
      <c r="AB565" s="321">
        <v>47118</v>
      </c>
      <c r="AC565" s="198" t="s">
        <v>80</v>
      </c>
      <c r="AD565" s="198" t="s">
        <v>81</v>
      </c>
      <c r="AE565" s="279" t="s">
        <v>82</v>
      </c>
      <c r="AF565" s="279" t="s">
        <v>83</v>
      </c>
      <c r="AG565" s="279" t="s">
        <v>84</v>
      </c>
      <c r="AH565" s="279" t="s">
        <v>85</v>
      </c>
      <c r="AI565" s="198" t="s">
        <v>86</v>
      </c>
      <c r="AJ565" s="274" t="s">
        <v>78</v>
      </c>
      <c r="AK565"/>
    </row>
    <row r="566" spans="1:37" ht="15.75" hidden="1" customHeight="1">
      <c r="A566" s="198" t="s">
        <v>781</v>
      </c>
      <c r="B566" s="198" t="s">
        <v>786</v>
      </c>
      <c r="C566" s="214" t="s">
        <v>286</v>
      </c>
      <c r="D566" s="198" t="s">
        <v>79</v>
      </c>
      <c r="E566" s="198" t="s">
        <v>319</v>
      </c>
      <c r="F566" s="198">
        <v>169</v>
      </c>
      <c r="G566" s="198"/>
      <c r="H566" s="214" t="s">
        <v>848</v>
      </c>
      <c r="I566" s="214" t="s">
        <v>325</v>
      </c>
      <c r="J566" s="271"/>
      <c r="K566" s="198"/>
      <c r="L566" s="198"/>
      <c r="M566" s="198">
        <v>30</v>
      </c>
      <c r="N566" s="198">
        <v>23</v>
      </c>
      <c r="O566" s="198">
        <v>116</v>
      </c>
      <c r="P566" s="198"/>
      <c r="Q566" s="198" t="s">
        <v>628</v>
      </c>
      <c r="R566" s="230">
        <f>DATABASE_Table[[#This Row],[Inicial Asking Price (€) (Total)]]-DATABASE_Table[[#This Row],[Vista membership]]-DATABASE_Table[[#This Row],[FF&amp;E]]</f>
        <v>925000</v>
      </c>
      <c r="S566" s="234">
        <v>925000</v>
      </c>
      <c r="T566" s="235">
        <v>925000</v>
      </c>
      <c r="U566" s="198"/>
      <c r="V566" s="235">
        <v>0</v>
      </c>
      <c r="W566" s="233">
        <f>DATABASE_Table[[#This Row],[Current Asking price( Total)]]-DATABASE_Table[[#This Row],[Vista membership]]-DATABASE_Table[[#This Row],[FF&amp;E]]</f>
        <v>925000</v>
      </c>
      <c r="X566" s="236">
        <v>0</v>
      </c>
      <c r="Y566" s="235">
        <v>925000</v>
      </c>
      <c r="Z566" s="233">
        <f>DATABASE_Table[[#This Row],[Sell price (Total)]]-DATABASE_Table[[#This Row],[FF&amp;E]]-DATABASE_Table[[#This Row],[Vista membership]]</f>
        <v>925000</v>
      </c>
      <c r="AA566" s="316">
        <v>46020</v>
      </c>
      <c r="AB566" s="321">
        <v>47118</v>
      </c>
      <c r="AC566" s="198" t="s">
        <v>80</v>
      </c>
      <c r="AD566" s="198" t="s">
        <v>81</v>
      </c>
      <c r="AE566" s="279" t="s">
        <v>82</v>
      </c>
      <c r="AF566" s="279" t="s">
        <v>83</v>
      </c>
      <c r="AG566" s="279" t="s">
        <v>84</v>
      </c>
      <c r="AH566" s="279" t="s">
        <v>85</v>
      </c>
      <c r="AI566" s="198" t="s">
        <v>86</v>
      </c>
      <c r="AJ566" s="274" t="s">
        <v>78</v>
      </c>
      <c r="AK566"/>
    </row>
    <row r="567" spans="1:37" ht="15.75" hidden="1" customHeight="1">
      <c r="A567" s="198" t="s">
        <v>780</v>
      </c>
      <c r="B567" s="198" t="s">
        <v>786</v>
      </c>
      <c r="C567" s="214" t="s">
        <v>254</v>
      </c>
      <c r="D567" s="198" t="s">
        <v>79</v>
      </c>
      <c r="E567" s="198" t="s">
        <v>317</v>
      </c>
      <c r="F567" s="198">
        <v>114.59</v>
      </c>
      <c r="G567" s="198"/>
      <c r="H567" s="214" t="s">
        <v>848</v>
      </c>
      <c r="I567" s="214" t="s">
        <v>325</v>
      </c>
      <c r="J567" s="271">
        <v>22.28</v>
      </c>
      <c r="K567" s="198"/>
      <c r="L567" s="198"/>
      <c r="M567" s="198"/>
      <c r="N567" s="198"/>
      <c r="O567" s="198">
        <v>92.31</v>
      </c>
      <c r="P567" s="198"/>
      <c r="Q567" s="198" t="s">
        <v>628</v>
      </c>
      <c r="R567" s="230">
        <f>DATABASE_Table[[#This Row],[Inicial Asking Price (€) (Total)]]-DATABASE_Table[[#This Row],[Vista membership]]-DATABASE_Table[[#This Row],[FF&amp;E]]</f>
        <v>720000</v>
      </c>
      <c r="S567" s="234">
        <v>765000</v>
      </c>
      <c r="T567" s="235">
        <v>755000</v>
      </c>
      <c r="U567" s="198"/>
      <c r="V567" s="235">
        <v>45000</v>
      </c>
      <c r="W567" s="233">
        <f>DATABASE_Table[[#This Row],[Current Asking price( Total)]]-DATABASE_Table[[#This Row],[Vista membership]]-DATABASE_Table[[#This Row],[FF&amp;E]]</f>
        <v>710000</v>
      </c>
      <c r="X567" s="236">
        <v>-1.3245033112582801E-2</v>
      </c>
      <c r="Y567" s="235">
        <v>765000</v>
      </c>
      <c r="Z567" s="233">
        <f>DATABASE_Table[[#This Row],[Sell price (Total)]]-DATABASE_Table[[#This Row],[FF&amp;E]]-DATABASE_Table[[#This Row],[Vista membership]]</f>
        <v>720000</v>
      </c>
      <c r="AA567" s="316">
        <v>45953</v>
      </c>
      <c r="AB567" s="321">
        <v>47118</v>
      </c>
      <c r="AC567" s="198" t="s">
        <v>80</v>
      </c>
      <c r="AD567" s="198" t="s">
        <v>81</v>
      </c>
      <c r="AE567" s="279" t="s">
        <v>82</v>
      </c>
      <c r="AF567" s="279" t="s">
        <v>83</v>
      </c>
      <c r="AG567" s="279" t="s">
        <v>84</v>
      </c>
      <c r="AH567" s="279" t="s">
        <v>85</v>
      </c>
      <c r="AI567" s="198" t="s">
        <v>86</v>
      </c>
      <c r="AJ567" s="274" t="s">
        <v>78</v>
      </c>
      <c r="AK567"/>
    </row>
    <row r="568" spans="1:37" ht="15.75" hidden="1" customHeight="1">
      <c r="A568" s="198" t="s">
        <v>774</v>
      </c>
      <c r="B568" s="198" t="s">
        <v>769</v>
      </c>
      <c r="C568" s="214" t="s">
        <v>361</v>
      </c>
      <c r="D568" s="198" t="s">
        <v>74</v>
      </c>
      <c r="E568" s="198" t="s">
        <v>319</v>
      </c>
      <c r="F568" s="198">
        <v>202.75</v>
      </c>
      <c r="G568" s="198"/>
      <c r="H568" s="214" t="s">
        <v>325</v>
      </c>
      <c r="I568" s="214" t="s">
        <v>325</v>
      </c>
      <c r="J568" s="271"/>
      <c r="K568" s="198"/>
      <c r="L568" s="198"/>
      <c r="M568" s="198">
        <v>44.03</v>
      </c>
      <c r="N568" s="198"/>
      <c r="O568" s="198">
        <v>158.72</v>
      </c>
      <c r="P568" s="198"/>
      <c r="Q568" s="198" t="s">
        <v>329</v>
      </c>
      <c r="R568" s="230">
        <f>DATABASE_Table[[#This Row],[Inicial Asking Price (€) (Total)]]-DATABASE_Table[[#This Row],[Vista membership]]-DATABASE_Table[[#This Row],[FF&amp;E]]</f>
        <v>925000</v>
      </c>
      <c r="S568" s="234">
        <v>925000</v>
      </c>
      <c r="T568" s="235">
        <v>925000</v>
      </c>
      <c r="U568" s="198"/>
      <c r="V568" s="198"/>
      <c r="W568" s="233">
        <f>DATABASE_Table[[#This Row],[Current Asking price( Total)]]-DATABASE_Table[[#This Row],[Vista membership]]-DATABASE_Table[[#This Row],[FF&amp;E]]</f>
        <v>925000</v>
      </c>
      <c r="X568" s="236"/>
      <c r="Y568" s="235"/>
      <c r="Z568" s="233">
        <f>DATABASE_Table[[#This Row],[Sell price (Total)]]-DATABASE_Table[[#This Row],[FF&amp;E]]-DATABASE_Table[[#This Row],[Vista membership]]</f>
        <v>0</v>
      </c>
      <c r="AA568" s="315"/>
      <c r="AB568" s="321" t="s">
        <v>32</v>
      </c>
      <c r="AC568" s="198" t="s">
        <v>57</v>
      </c>
      <c r="AD568" s="198"/>
      <c r="AE568" s="279" t="s">
        <v>75</v>
      </c>
      <c r="AF568" s="279" t="s">
        <v>554</v>
      </c>
      <c r="AG568" s="279" t="s">
        <v>76</v>
      </c>
      <c r="AH568" s="279" t="s">
        <v>77</v>
      </c>
      <c r="AI568" s="198" t="s">
        <v>32</v>
      </c>
      <c r="AJ568" s="274" t="s">
        <v>73</v>
      </c>
      <c r="AK568"/>
    </row>
    <row r="569" spans="1:37" ht="15.75" hidden="1" customHeight="1">
      <c r="A569" s="198" t="s">
        <v>690</v>
      </c>
      <c r="B569" s="198" t="s">
        <v>691</v>
      </c>
      <c r="C569" s="214" t="s">
        <v>380</v>
      </c>
      <c r="D569" s="198" t="s">
        <v>9</v>
      </c>
      <c r="E569" s="198" t="s">
        <v>765</v>
      </c>
      <c r="F569" s="198">
        <v>280.27</v>
      </c>
      <c r="G569" s="198">
        <v>119.06</v>
      </c>
      <c r="H569" s="214" t="s">
        <v>325</v>
      </c>
      <c r="I569" s="214" t="s">
        <v>325</v>
      </c>
      <c r="J569" s="271">
        <v>25.77</v>
      </c>
      <c r="K569" s="198"/>
      <c r="L569" s="198"/>
      <c r="M569" s="198"/>
      <c r="N569" s="198"/>
      <c r="O569" s="198">
        <v>135.44</v>
      </c>
      <c r="P569" s="198"/>
      <c r="Q569" s="198" t="s">
        <v>329</v>
      </c>
      <c r="R569" s="230">
        <f>DATABASE_Table[[#This Row],[Inicial Asking Price (€) (Total)]]-DATABASE_Table[[#This Row],[Vista membership]]-DATABASE_Table[[#This Row],[FF&amp;E]]</f>
        <v>1417700</v>
      </c>
      <c r="S569" s="231">
        <v>1488850</v>
      </c>
      <c r="T569" s="232">
        <v>1560000</v>
      </c>
      <c r="U569" s="198">
        <v>24600</v>
      </c>
      <c r="V569" s="198">
        <v>46550</v>
      </c>
      <c r="W569" s="233">
        <f>DATABASE_Table[[#This Row],[Current Asking price( Total)]]-DATABASE_Table[[#This Row],[Vista membership]]-DATABASE_Table[[#This Row],[FF&amp;E]]</f>
        <v>1488850</v>
      </c>
      <c r="X569" s="216"/>
      <c r="Y569" s="232">
        <v>1560000</v>
      </c>
      <c r="Z569" s="233">
        <f>DATABASE_Table[[#This Row],[Sell price (Total)]]-DATABASE_Table[[#This Row],[FF&amp;E]]-DATABASE_Table[[#This Row],[Vista membership]]</f>
        <v>1488850</v>
      </c>
      <c r="AA569" s="315"/>
      <c r="AB569" s="321"/>
      <c r="AC569" s="198" t="s">
        <v>10</v>
      </c>
      <c r="AD569" s="198" t="s">
        <v>35</v>
      </c>
      <c r="AE569" s="279" t="s">
        <v>38</v>
      </c>
      <c r="AF569" s="279" t="s">
        <v>39</v>
      </c>
      <c r="AG569" s="279" t="s">
        <v>40</v>
      </c>
      <c r="AH569" s="279" t="s">
        <v>810</v>
      </c>
      <c r="AI569" s="198" t="s">
        <v>41</v>
      </c>
      <c r="AJ569" s="274" t="s">
        <v>37</v>
      </c>
      <c r="AK569"/>
    </row>
    <row r="570" spans="1:37" ht="15.75" hidden="1" customHeight="1">
      <c r="A570" s="198" t="s">
        <v>563</v>
      </c>
      <c r="B570" s="198" t="s">
        <v>691</v>
      </c>
      <c r="C570" s="214" t="s">
        <v>380</v>
      </c>
      <c r="D570" s="198" t="s">
        <v>9</v>
      </c>
      <c r="E570" s="198" t="s">
        <v>319</v>
      </c>
      <c r="F570" s="198">
        <v>104.7</v>
      </c>
      <c r="G570" s="198"/>
      <c r="H570" s="214" t="s">
        <v>325</v>
      </c>
      <c r="I570" s="214" t="s">
        <v>325</v>
      </c>
      <c r="J570" s="271"/>
      <c r="K570" s="198"/>
      <c r="L570" s="198"/>
      <c r="M570" s="198"/>
      <c r="N570" s="198"/>
      <c r="O570" s="198">
        <v>104.7</v>
      </c>
      <c r="P570" s="198"/>
      <c r="Q570" s="198" t="s">
        <v>628</v>
      </c>
      <c r="R570" s="230">
        <f>DATABASE_Table[[#This Row],[Inicial Asking Price (€) (Total)]]-DATABASE_Table[[#This Row],[Vista membership]]-DATABASE_Table[[#This Row],[FF&amp;E]]</f>
        <v>550000</v>
      </c>
      <c r="S570" s="231">
        <v>550000</v>
      </c>
      <c r="T570" s="232">
        <v>565000</v>
      </c>
      <c r="U570" s="198"/>
      <c r="V570" s="198"/>
      <c r="W570" s="233">
        <f>DATABASE_Table[[#This Row],[Current Asking price( Total)]]-DATABASE_Table[[#This Row],[Vista membership]]-DATABASE_Table[[#This Row],[FF&amp;E]]</f>
        <v>565000</v>
      </c>
      <c r="X570" s="216">
        <v>0</v>
      </c>
      <c r="Y570" s="232">
        <v>565000</v>
      </c>
      <c r="Z570" s="233">
        <f>DATABASE_Table[[#This Row],[Sell price (Total)]]-DATABASE_Table[[#This Row],[FF&amp;E]]-DATABASE_Table[[#This Row],[Vista membership]]</f>
        <v>565000</v>
      </c>
      <c r="AA570" s="317">
        <v>45940</v>
      </c>
      <c r="AB570" s="321"/>
      <c r="AC570" s="198" t="s">
        <v>10</v>
      </c>
      <c r="AD570" s="198" t="s">
        <v>11</v>
      </c>
      <c r="AE570" s="279" t="s">
        <v>28</v>
      </c>
      <c r="AF570" s="279" t="s">
        <v>29</v>
      </c>
      <c r="AG570" s="279" t="s">
        <v>805</v>
      </c>
      <c r="AH570" s="279" t="s">
        <v>806</v>
      </c>
      <c r="AI570" s="198" t="s">
        <v>30</v>
      </c>
      <c r="AJ570" s="274" t="s">
        <v>27</v>
      </c>
      <c r="AK570"/>
    </row>
    <row r="571" spans="1:37" ht="15.75" hidden="1" customHeight="1">
      <c r="A571" s="198" t="s">
        <v>562</v>
      </c>
      <c r="B571" s="198" t="s">
        <v>691</v>
      </c>
      <c r="C571" s="214" t="s">
        <v>380</v>
      </c>
      <c r="D571" s="198" t="s">
        <v>9</v>
      </c>
      <c r="E571" s="198" t="s">
        <v>319</v>
      </c>
      <c r="F571" s="198">
        <v>111</v>
      </c>
      <c r="G571" s="198"/>
      <c r="H571" s="214" t="s">
        <v>325</v>
      </c>
      <c r="I571" s="214" t="s">
        <v>325</v>
      </c>
      <c r="J571" s="271"/>
      <c r="K571" s="198"/>
      <c r="L571" s="198"/>
      <c r="M571" s="198"/>
      <c r="N571" s="198"/>
      <c r="O571" s="198">
        <v>111</v>
      </c>
      <c r="P571" s="198"/>
      <c r="Q571" s="198" t="s">
        <v>929</v>
      </c>
      <c r="R571" s="230">
        <f>DATABASE_Table[[#This Row],[Inicial Asking Price (€) (Total)]]-DATABASE_Table[[#This Row],[Vista membership]]-DATABASE_Table[[#This Row],[FF&amp;E]]</f>
        <v>660000</v>
      </c>
      <c r="S571" s="231">
        <v>660000</v>
      </c>
      <c r="T571" s="232">
        <v>830000</v>
      </c>
      <c r="U571" s="198"/>
      <c r="V571" s="198"/>
      <c r="W571" s="233">
        <f>DATABASE_Table[[#This Row],[Current Asking price( Total)]]-DATABASE_Table[[#This Row],[Vista membership]]-DATABASE_Table[[#This Row],[FF&amp;E]]</f>
        <v>830000</v>
      </c>
      <c r="X571" s="216">
        <v>6.02409638554217E-2</v>
      </c>
      <c r="Y571" s="232">
        <v>780000</v>
      </c>
      <c r="Z571" s="233">
        <f>DATABASE_Table[[#This Row],[Sell price (Total)]]-DATABASE_Table[[#This Row],[FF&amp;E]]-DATABASE_Table[[#This Row],[Vista membership]]</f>
        <v>780000</v>
      </c>
      <c r="AA571" s="315">
        <v>46093</v>
      </c>
      <c r="AB571" s="321"/>
      <c r="AC571" s="198" t="s">
        <v>10</v>
      </c>
      <c r="AD571" s="198" t="s">
        <v>23</v>
      </c>
      <c r="AE571" s="279" t="s">
        <v>24</v>
      </c>
      <c r="AF571" s="279" t="s">
        <v>803</v>
      </c>
      <c r="AG571" s="279" t="s">
        <v>25</v>
      </c>
      <c r="AH571" s="279" t="s">
        <v>804</v>
      </c>
      <c r="AI571" s="198" t="s">
        <v>26</v>
      </c>
      <c r="AJ571" s="274" t="s">
        <v>22</v>
      </c>
      <c r="AK571"/>
    </row>
    <row r="572" spans="1:37" ht="15.75" hidden="1" customHeight="1">
      <c r="A572" s="198" t="s">
        <v>564</v>
      </c>
      <c r="B572" s="198" t="s">
        <v>691</v>
      </c>
      <c r="C572" s="214" t="s">
        <v>380</v>
      </c>
      <c r="D572" s="198" t="s">
        <v>9</v>
      </c>
      <c r="E572" s="198" t="s">
        <v>319</v>
      </c>
      <c r="F572" s="198">
        <v>125.51</v>
      </c>
      <c r="G572" s="198"/>
      <c r="H572" s="214" t="s">
        <v>325</v>
      </c>
      <c r="I572" s="214" t="s">
        <v>325</v>
      </c>
      <c r="J572" s="271">
        <v>31.83</v>
      </c>
      <c r="K572" s="198"/>
      <c r="L572" s="198"/>
      <c r="M572" s="198"/>
      <c r="N572" s="198"/>
      <c r="O572" s="198">
        <v>93.68</v>
      </c>
      <c r="P572" s="198"/>
      <c r="Q572" s="198" t="s">
        <v>329</v>
      </c>
      <c r="R572" s="230">
        <f>DATABASE_Table[[#This Row],[Inicial Asking Price (€) (Total)]]-DATABASE_Table[[#This Row],[Vista membership]]-DATABASE_Table[[#This Row],[FF&amp;E]]</f>
        <v>751353.73840000003</v>
      </c>
      <c r="S572" s="231">
        <v>815953.73840000003</v>
      </c>
      <c r="T572" s="232">
        <v>900000</v>
      </c>
      <c r="U572" s="198">
        <v>24600</v>
      </c>
      <c r="V572" s="198">
        <v>40000</v>
      </c>
      <c r="W572" s="233">
        <f>DATABASE_Table[[#This Row],[Current Asking price( Total)]]-DATABASE_Table[[#This Row],[Vista membership]]-DATABASE_Table[[#This Row],[FF&amp;E]]</f>
        <v>835400</v>
      </c>
      <c r="X572" s="216"/>
      <c r="Y572" s="232">
        <v>900000</v>
      </c>
      <c r="Z572" s="233">
        <f>DATABASE_Table[[#This Row],[Sell price (Total)]]-DATABASE_Table[[#This Row],[FF&amp;E]]-DATABASE_Table[[#This Row],[Vista membership]]</f>
        <v>835400</v>
      </c>
      <c r="AA572" s="315"/>
      <c r="AB572" s="321"/>
      <c r="AC572" s="198" t="s">
        <v>10</v>
      </c>
      <c r="AD572" s="198" t="s">
        <v>35</v>
      </c>
      <c r="AE572" s="279" t="s">
        <v>43</v>
      </c>
      <c r="AF572" s="279" t="s">
        <v>44</v>
      </c>
      <c r="AG572" s="279" t="s">
        <v>45</v>
      </c>
      <c r="AH572" s="279" t="s">
        <v>46</v>
      </c>
      <c r="AI572" s="198" t="s">
        <v>47</v>
      </c>
      <c r="AJ572" s="274" t="s">
        <v>42</v>
      </c>
      <c r="AK572"/>
    </row>
    <row r="573" spans="1:37" ht="15.75" hidden="1" customHeight="1">
      <c r="A573" s="198" t="s">
        <v>630</v>
      </c>
      <c r="B573" s="198" t="s">
        <v>691</v>
      </c>
      <c r="C573" s="214" t="s">
        <v>381</v>
      </c>
      <c r="D573" s="198" t="s">
        <v>9</v>
      </c>
      <c r="E573" s="198" t="s">
        <v>319</v>
      </c>
      <c r="F573" s="198">
        <v>142.88</v>
      </c>
      <c r="G573" s="198"/>
      <c r="H573" s="214" t="s">
        <v>849</v>
      </c>
      <c r="I573" s="214" t="s">
        <v>325</v>
      </c>
      <c r="J573" s="271">
        <v>28.39</v>
      </c>
      <c r="K573" s="198"/>
      <c r="L573" s="198"/>
      <c r="M573" s="198">
        <v>0</v>
      </c>
      <c r="N573" s="198"/>
      <c r="O573" s="198">
        <v>114.49</v>
      </c>
      <c r="P573" s="198"/>
      <c r="Q573" s="198" t="s">
        <v>329</v>
      </c>
      <c r="R573" s="230">
        <f>DATABASE_Table[[#This Row],[Inicial Asking Price (€) (Total)]]-DATABASE_Table[[#This Row],[Vista membership]]-DATABASE_Table[[#This Row],[FF&amp;E]]</f>
        <v>998570.826</v>
      </c>
      <c r="S573" s="231">
        <v>998570.826</v>
      </c>
      <c r="T573" s="232">
        <v>1050000</v>
      </c>
      <c r="U573" s="198"/>
      <c r="V573" s="198"/>
      <c r="W573" s="233">
        <f>DATABASE_Table[[#This Row],[Current Asking price( Total)]]-DATABASE_Table[[#This Row],[Vista membership]]-DATABASE_Table[[#This Row],[FF&amp;E]]</f>
        <v>1050000</v>
      </c>
      <c r="X573" s="216"/>
      <c r="Y573" s="232">
        <v>1030000</v>
      </c>
      <c r="Z573" s="233">
        <f>DATABASE_Table[[#This Row],[Sell price (Total)]]-DATABASE_Table[[#This Row],[FF&amp;E]]-DATABASE_Table[[#This Row],[Vista membership]]</f>
        <v>1030000</v>
      </c>
      <c r="AA573" s="315"/>
      <c r="AB573" s="321"/>
      <c r="AC573" s="198" t="s">
        <v>10</v>
      </c>
      <c r="AD573" s="198" t="s">
        <v>11</v>
      </c>
      <c r="AE573" s="279" t="s">
        <v>53</v>
      </c>
      <c r="AF573" s="279" t="s">
        <v>54</v>
      </c>
      <c r="AG573" s="279" t="s">
        <v>811</v>
      </c>
      <c r="AH573" s="279" t="s">
        <v>812</v>
      </c>
      <c r="AI573" s="198" t="s">
        <v>36</v>
      </c>
      <c r="AJ573" s="274" t="s">
        <v>52</v>
      </c>
      <c r="AK573"/>
    </row>
    <row r="574" spans="1:37" ht="15.75" hidden="1" customHeight="1">
      <c r="A574" s="198" t="s">
        <v>558</v>
      </c>
      <c r="B574" s="198" t="s">
        <v>691</v>
      </c>
      <c r="C574" s="214" t="s">
        <v>381</v>
      </c>
      <c r="D574" s="198" t="s">
        <v>9</v>
      </c>
      <c r="E574" s="198" t="s">
        <v>319</v>
      </c>
      <c r="F574" s="198">
        <v>110.8</v>
      </c>
      <c r="G574" s="198"/>
      <c r="H574" s="214" t="s">
        <v>325</v>
      </c>
      <c r="I574" s="214" t="s">
        <v>325</v>
      </c>
      <c r="J574" s="271">
        <v>8.9600000000000009</v>
      </c>
      <c r="K574" s="198"/>
      <c r="L574" s="198"/>
      <c r="M574" s="198"/>
      <c r="N574" s="198"/>
      <c r="O574" s="198">
        <v>110.8</v>
      </c>
      <c r="P574" s="198"/>
      <c r="Q574" s="198" t="s">
        <v>329</v>
      </c>
      <c r="R574" s="230">
        <f>DATABASE_Table[[#This Row],[Inicial Asking Price (€) (Total)]]-DATABASE_Table[[#This Row],[Vista membership]]-DATABASE_Table[[#This Row],[FF&amp;E]]</f>
        <v>750000</v>
      </c>
      <c r="S574" s="231">
        <v>750000</v>
      </c>
      <c r="T574" s="232">
        <v>750000</v>
      </c>
      <c r="U574" s="198"/>
      <c r="V574" s="198"/>
      <c r="W574" s="233">
        <f>DATABASE_Table[[#This Row],[Current Asking price( Total)]]-DATABASE_Table[[#This Row],[Vista membership]]-DATABASE_Table[[#This Row],[FF&amp;E]]</f>
        <v>750000</v>
      </c>
      <c r="X574" s="216"/>
      <c r="Y574" s="232">
        <v>750000</v>
      </c>
      <c r="Z574" s="233">
        <f>DATABASE_Table[[#This Row],[Sell price (Total)]]-DATABASE_Table[[#This Row],[FF&amp;E]]-DATABASE_Table[[#This Row],[Vista membership]]</f>
        <v>750000</v>
      </c>
      <c r="AA574" s="315"/>
      <c r="AB574" s="321"/>
      <c r="AC574" s="198" t="s">
        <v>10</v>
      </c>
      <c r="AD574" s="198" t="s">
        <v>11</v>
      </c>
      <c r="AE574" s="279" t="s">
        <v>12</v>
      </c>
      <c r="AF574" s="279" t="s">
        <v>801</v>
      </c>
      <c r="AG574" s="279" t="s">
        <v>13</v>
      </c>
      <c r="AH574" s="279" t="s">
        <v>14</v>
      </c>
      <c r="AI574" s="198" t="s">
        <v>15</v>
      </c>
      <c r="AJ574" s="274" t="s">
        <v>8</v>
      </c>
      <c r="AK574"/>
    </row>
    <row r="575" spans="1:37" ht="15.75" hidden="1" customHeight="1">
      <c r="A575" s="198" t="s">
        <v>690</v>
      </c>
      <c r="B575" s="198" t="s">
        <v>691</v>
      </c>
      <c r="C575" s="214" t="s">
        <v>381</v>
      </c>
      <c r="D575" s="198" t="s">
        <v>9</v>
      </c>
      <c r="E575" s="198" t="s">
        <v>765</v>
      </c>
      <c r="F575" s="198">
        <v>280.27</v>
      </c>
      <c r="G575" s="198">
        <v>119.06</v>
      </c>
      <c r="H575" s="214" t="s">
        <v>325</v>
      </c>
      <c r="I575" s="214" t="s">
        <v>325</v>
      </c>
      <c r="J575" s="271">
        <v>25.77</v>
      </c>
      <c r="K575" s="198"/>
      <c r="L575" s="198"/>
      <c r="M575" s="198"/>
      <c r="N575" s="198"/>
      <c r="O575" s="198">
        <v>135.44</v>
      </c>
      <c r="P575" s="198"/>
      <c r="Q575" s="198" t="s">
        <v>329</v>
      </c>
      <c r="R575" s="230">
        <f>DATABASE_Table[[#This Row],[Inicial Asking Price (€) (Total)]]-DATABASE_Table[[#This Row],[Vista membership]]-DATABASE_Table[[#This Row],[FF&amp;E]]</f>
        <v>1397700</v>
      </c>
      <c r="S575" s="231">
        <v>1468850</v>
      </c>
      <c r="T575" s="232">
        <v>1540000</v>
      </c>
      <c r="U575" s="198">
        <v>24600</v>
      </c>
      <c r="V575" s="198">
        <v>46550</v>
      </c>
      <c r="W575" s="233">
        <f>DATABASE_Table[[#This Row],[Current Asking price( Total)]]-DATABASE_Table[[#This Row],[Vista membership]]-DATABASE_Table[[#This Row],[FF&amp;E]]</f>
        <v>1468850</v>
      </c>
      <c r="X575" s="216"/>
      <c r="Y575" s="232">
        <v>1540000</v>
      </c>
      <c r="Z575" s="233">
        <f>DATABASE_Table[[#This Row],[Sell price (Total)]]-DATABASE_Table[[#This Row],[FF&amp;E]]-DATABASE_Table[[#This Row],[Vista membership]]</f>
        <v>1468850</v>
      </c>
      <c r="AA575" s="315"/>
      <c r="AB575" s="321"/>
      <c r="AC575" s="198" t="s">
        <v>10</v>
      </c>
      <c r="AD575" s="198" t="s">
        <v>35</v>
      </c>
      <c r="AE575" s="279" t="s">
        <v>38</v>
      </c>
      <c r="AF575" s="279" t="s">
        <v>39</v>
      </c>
      <c r="AG575" s="279" t="s">
        <v>40</v>
      </c>
      <c r="AH575" s="279" t="s">
        <v>810</v>
      </c>
      <c r="AI575" s="198" t="s">
        <v>41</v>
      </c>
      <c r="AJ575" s="274" t="s">
        <v>37</v>
      </c>
      <c r="AK575"/>
    </row>
    <row r="576" spans="1:37" ht="15.75" hidden="1" customHeight="1">
      <c r="A576" s="198" t="s">
        <v>563</v>
      </c>
      <c r="B576" s="198" t="s">
        <v>691</v>
      </c>
      <c r="C576" s="214" t="s">
        <v>381</v>
      </c>
      <c r="D576" s="198" t="s">
        <v>9</v>
      </c>
      <c r="E576" s="198" t="s">
        <v>319</v>
      </c>
      <c r="F576" s="198">
        <v>104.7</v>
      </c>
      <c r="G576" s="198"/>
      <c r="H576" s="214" t="s">
        <v>325</v>
      </c>
      <c r="I576" s="214" t="s">
        <v>325</v>
      </c>
      <c r="J576" s="271"/>
      <c r="K576" s="198"/>
      <c r="L576" s="198"/>
      <c r="M576" s="198"/>
      <c r="N576" s="198"/>
      <c r="O576" s="198">
        <v>104.7</v>
      </c>
      <c r="P576" s="198"/>
      <c r="Q576" s="198" t="s">
        <v>628</v>
      </c>
      <c r="R576" s="230">
        <f>DATABASE_Table[[#This Row],[Inicial Asking Price (€) (Total)]]-DATABASE_Table[[#This Row],[Vista membership]]-DATABASE_Table[[#This Row],[FF&amp;E]]</f>
        <v>540000</v>
      </c>
      <c r="S576" s="231">
        <v>540000</v>
      </c>
      <c r="T576" s="232">
        <v>555000</v>
      </c>
      <c r="U576" s="198"/>
      <c r="V576" s="198"/>
      <c r="W576" s="233">
        <f>DATABASE_Table[[#This Row],[Current Asking price( Total)]]-DATABASE_Table[[#This Row],[Vista membership]]-DATABASE_Table[[#This Row],[FF&amp;E]]</f>
        <v>555000</v>
      </c>
      <c r="X576" s="216">
        <v>0</v>
      </c>
      <c r="Y576" s="232">
        <v>555000</v>
      </c>
      <c r="Z576" s="233">
        <f>DATABASE_Table[[#This Row],[Sell price (Total)]]-DATABASE_Table[[#This Row],[FF&amp;E]]-DATABASE_Table[[#This Row],[Vista membership]]</f>
        <v>555000</v>
      </c>
      <c r="AA576" s="317">
        <v>45943</v>
      </c>
      <c r="AB576" s="321"/>
      <c r="AC576" s="198" t="s">
        <v>10</v>
      </c>
      <c r="AD576" s="198" t="s">
        <v>11</v>
      </c>
      <c r="AE576" s="279" t="s">
        <v>28</v>
      </c>
      <c r="AF576" s="279" t="s">
        <v>29</v>
      </c>
      <c r="AG576" s="279" t="s">
        <v>805</v>
      </c>
      <c r="AH576" s="279" t="s">
        <v>806</v>
      </c>
      <c r="AI576" s="198" t="s">
        <v>30</v>
      </c>
      <c r="AJ576" s="274" t="s">
        <v>27</v>
      </c>
      <c r="AK576"/>
    </row>
    <row r="577" spans="1:37" ht="15.75" hidden="1" customHeight="1">
      <c r="A577" s="198" t="s">
        <v>774</v>
      </c>
      <c r="B577" s="198" t="s">
        <v>769</v>
      </c>
      <c r="C577" s="214" t="s">
        <v>342</v>
      </c>
      <c r="D577" s="198" t="s">
        <v>74</v>
      </c>
      <c r="E577" s="198" t="s">
        <v>319</v>
      </c>
      <c r="F577" s="198">
        <v>197.08</v>
      </c>
      <c r="G577" s="198"/>
      <c r="H577" s="214" t="s">
        <v>325</v>
      </c>
      <c r="I577" s="214" t="s">
        <v>325</v>
      </c>
      <c r="J577" s="271"/>
      <c r="K577" s="198"/>
      <c r="L577" s="198"/>
      <c r="M577" s="198">
        <v>43.02</v>
      </c>
      <c r="N577" s="198"/>
      <c r="O577" s="198">
        <v>154.06</v>
      </c>
      <c r="P577" s="198"/>
      <c r="Q577" s="198" t="s">
        <v>329</v>
      </c>
      <c r="R577" s="230">
        <f>DATABASE_Table[[#This Row],[Inicial Asking Price (€) (Total)]]-DATABASE_Table[[#This Row],[Vista membership]]-DATABASE_Table[[#This Row],[FF&amp;E]]</f>
        <v>930000</v>
      </c>
      <c r="S577" s="234">
        <v>930000</v>
      </c>
      <c r="T577" s="235">
        <v>760000</v>
      </c>
      <c r="U577" s="198"/>
      <c r="V577" s="198"/>
      <c r="W577" s="233">
        <f>DATABASE_Table[[#This Row],[Current Asking price( Total)]]-DATABASE_Table[[#This Row],[Vista membership]]-DATABASE_Table[[#This Row],[FF&amp;E]]</f>
        <v>760000</v>
      </c>
      <c r="X577" s="236"/>
      <c r="Y577" s="235">
        <v>760000</v>
      </c>
      <c r="Z577" s="233">
        <f>DATABASE_Table[[#This Row],[Sell price (Total)]]-DATABASE_Table[[#This Row],[FF&amp;E]]-DATABASE_Table[[#This Row],[Vista membership]]</f>
        <v>760000</v>
      </c>
      <c r="AA577" s="315"/>
      <c r="AB577" s="321" t="s">
        <v>32</v>
      </c>
      <c r="AC577" s="198" t="s">
        <v>57</v>
      </c>
      <c r="AD577" s="198"/>
      <c r="AE577" s="279" t="s">
        <v>75</v>
      </c>
      <c r="AF577" s="279" t="s">
        <v>554</v>
      </c>
      <c r="AG577" s="279" t="s">
        <v>76</v>
      </c>
      <c r="AH577" s="279" t="s">
        <v>77</v>
      </c>
      <c r="AI577" s="198" t="s">
        <v>32</v>
      </c>
      <c r="AJ577" s="274" t="s">
        <v>73</v>
      </c>
      <c r="AK577"/>
    </row>
    <row r="578" spans="1:37" ht="15.75" hidden="1" customHeight="1">
      <c r="A578" s="198" t="s">
        <v>774</v>
      </c>
      <c r="B578" s="198" t="s">
        <v>769</v>
      </c>
      <c r="C578" s="214" t="s">
        <v>347</v>
      </c>
      <c r="D578" s="198" t="s">
        <v>74</v>
      </c>
      <c r="E578" s="198" t="s">
        <v>319</v>
      </c>
      <c r="F578" s="198">
        <v>197.08</v>
      </c>
      <c r="G578" s="198"/>
      <c r="H578" s="214" t="s">
        <v>325</v>
      </c>
      <c r="I578" s="214" t="s">
        <v>325</v>
      </c>
      <c r="J578" s="271"/>
      <c r="K578" s="198"/>
      <c r="L578" s="198"/>
      <c r="M578" s="198">
        <v>43.02</v>
      </c>
      <c r="N578" s="198"/>
      <c r="O578" s="198">
        <v>154.06</v>
      </c>
      <c r="P578" s="198"/>
      <c r="Q578" s="198" t="s">
        <v>329</v>
      </c>
      <c r="R578" s="230">
        <f>DATABASE_Table[[#This Row],[Inicial Asking Price (€) (Total)]]-DATABASE_Table[[#This Row],[Vista membership]]-DATABASE_Table[[#This Row],[FF&amp;E]]</f>
        <v>930000</v>
      </c>
      <c r="S578" s="234">
        <v>930000</v>
      </c>
      <c r="T578" s="235">
        <v>720000</v>
      </c>
      <c r="U578" s="198"/>
      <c r="V578" s="198"/>
      <c r="W578" s="233">
        <f>DATABASE_Table[[#This Row],[Current Asking price( Total)]]-DATABASE_Table[[#This Row],[Vista membership]]-DATABASE_Table[[#This Row],[FF&amp;E]]</f>
        <v>720000</v>
      </c>
      <c r="X578" s="236"/>
      <c r="Y578" s="235"/>
      <c r="Z578" s="233">
        <f>DATABASE_Table[[#This Row],[Sell price (Total)]]-DATABASE_Table[[#This Row],[FF&amp;E]]-DATABASE_Table[[#This Row],[Vista membership]]</f>
        <v>0</v>
      </c>
      <c r="AA578" s="315"/>
      <c r="AB578" s="321" t="s">
        <v>32</v>
      </c>
      <c r="AC578" s="198" t="s">
        <v>57</v>
      </c>
      <c r="AD578" s="198"/>
      <c r="AE578" s="279" t="s">
        <v>75</v>
      </c>
      <c r="AF578" s="279" t="s">
        <v>554</v>
      </c>
      <c r="AG578" s="279" t="s">
        <v>76</v>
      </c>
      <c r="AH578" s="279" t="s">
        <v>77</v>
      </c>
      <c r="AI578" s="198" t="s">
        <v>32</v>
      </c>
      <c r="AJ578" s="274" t="s">
        <v>73</v>
      </c>
      <c r="AK578"/>
    </row>
    <row r="579" spans="1:37" ht="15.75" hidden="1" customHeight="1">
      <c r="A579" s="198" t="s">
        <v>774</v>
      </c>
      <c r="B579" s="198" t="s">
        <v>769</v>
      </c>
      <c r="C579" s="214" t="s">
        <v>350</v>
      </c>
      <c r="D579" s="198" t="s">
        <v>74</v>
      </c>
      <c r="E579" s="198" t="s">
        <v>319</v>
      </c>
      <c r="F579" s="198">
        <v>197.08</v>
      </c>
      <c r="G579" s="198"/>
      <c r="H579" s="214" t="s">
        <v>325</v>
      </c>
      <c r="I579" s="214" t="s">
        <v>325</v>
      </c>
      <c r="J579" s="271"/>
      <c r="K579" s="198"/>
      <c r="L579" s="198"/>
      <c r="M579" s="198">
        <v>43.02</v>
      </c>
      <c r="N579" s="198"/>
      <c r="O579" s="198">
        <v>154.06</v>
      </c>
      <c r="P579" s="198"/>
      <c r="Q579" s="198" t="s">
        <v>329</v>
      </c>
      <c r="R579" s="230">
        <f>DATABASE_Table[[#This Row],[Inicial Asking Price (€) (Total)]]-DATABASE_Table[[#This Row],[Vista membership]]-DATABASE_Table[[#This Row],[FF&amp;E]]</f>
        <v>930000</v>
      </c>
      <c r="S579" s="234">
        <v>930000</v>
      </c>
      <c r="T579" s="235">
        <v>700000</v>
      </c>
      <c r="U579" s="198"/>
      <c r="V579" s="198"/>
      <c r="W579" s="233">
        <f>DATABASE_Table[[#This Row],[Current Asking price( Total)]]-DATABASE_Table[[#This Row],[Vista membership]]-DATABASE_Table[[#This Row],[FF&amp;E]]</f>
        <v>700000</v>
      </c>
      <c r="X579" s="236"/>
      <c r="Y579" s="235"/>
      <c r="Z579" s="233">
        <f>DATABASE_Table[[#This Row],[Sell price (Total)]]-DATABASE_Table[[#This Row],[FF&amp;E]]-DATABASE_Table[[#This Row],[Vista membership]]</f>
        <v>0</v>
      </c>
      <c r="AA579" s="315"/>
      <c r="AB579" s="321" t="s">
        <v>32</v>
      </c>
      <c r="AC579" s="198" t="s">
        <v>57</v>
      </c>
      <c r="AD579" s="198"/>
      <c r="AE579" s="279" t="s">
        <v>75</v>
      </c>
      <c r="AF579" s="279" t="s">
        <v>554</v>
      </c>
      <c r="AG579" s="279" t="s">
        <v>76</v>
      </c>
      <c r="AH579" s="279" t="s">
        <v>77</v>
      </c>
      <c r="AI579" s="198" t="s">
        <v>32</v>
      </c>
      <c r="AJ579" s="274" t="s">
        <v>73</v>
      </c>
      <c r="AK579"/>
    </row>
    <row r="580" spans="1:37" ht="15.75" hidden="1" customHeight="1">
      <c r="A580" s="198" t="s">
        <v>774</v>
      </c>
      <c r="B580" s="198" t="s">
        <v>769</v>
      </c>
      <c r="C580" s="214" t="s">
        <v>351</v>
      </c>
      <c r="D580" s="198" t="s">
        <v>74</v>
      </c>
      <c r="E580" s="198" t="s">
        <v>319</v>
      </c>
      <c r="F580" s="198">
        <v>197.12</v>
      </c>
      <c r="G580" s="198"/>
      <c r="H580" s="214" t="s">
        <v>325</v>
      </c>
      <c r="I580" s="214" t="s">
        <v>325</v>
      </c>
      <c r="J580" s="271"/>
      <c r="K580" s="198"/>
      <c r="L580" s="198"/>
      <c r="M580" s="198">
        <v>43.06</v>
      </c>
      <c r="N580" s="198"/>
      <c r="O580" s="198">
        <v>154.06</v>
      </c>
      <c r="P580" s="198"/>
      <c r="Q580" s="198" t="s">
        <v>329</v>
      </c>
      <c r="R580" s="230">
        <f>DATABASE_Table[[#This Row],[Inicial Asking Price (€) (Total)]]-DATABASE_Table[[#This Row],[Vista membership]]-DATABASE_Table[[#This Row],[FF&amp;E]]</f>
        <v>930000</v>
      </c>
      <c r="S580" s="234">
        <v>930000</v>
      </c>
      <c r="T580" s="235">
        <v>760000</v>
      </c>
      <c r="U580" s="198"/>
      <c r="V580" s="198"/>
      <c r="W580" s="233">
        <f>DATABASE_Table[[#This Row],[Current Asking price( Total)]]-DATABASE_Table[[#This Row],[Vista membership]]-DATABASE_Table[[#This Row],[FF&amp;E]]</f>
        <v>760000</v>
      </c>
      <c r="X580" s="236"/>
      <c r="Y580" s="235"/>
      <c r="Z580" s="233">
        <f>DATABASE_Table[[#This Row],[Sell price (Total)]]-DATABASE_Table[[#This Row],[FF&amp;E]]-DATABASE_Table[[#This Row],[Vista membership]]</f>
        <v>0</v>
      </c>
      <c r="AA580" s="315"/>
      <c r="AB580" s="321" t="s">
        <v>32</v>
      </c>
      <c r="AC580" s="198" t="s">
        <v>57</v>
      </c>
      <c r="AD580" s="198"/>
      <c r="AE580" s="279" t="s">
        <v>75</v>
      </c>
      <c r="AF580" s="279" t="s">
        <v>554</v>
      </c>
      <c r="AG580" s="279" t="s">
        <v>76</v>
      </c>
      <c r="AH580" s="279" t="s">
        <v>77</v>
      </c>
      <c r="AI580" s="198" t="s">
        <v>32</v>
      </c>
      <c r="AJ580" s="274" t="s">
        <v>73</v>
      </c>
      <c r="AK580"/>
    </row>
    <row r="581" spans="1:37" ht="15.75" hidden="1" customHeight="1">
      <c r="A581" s="198" t="s">
        <v>562</v>
      </c>
      <c r="B581" s="198" t="s">
        <v>691</v>
      </c>
      <c r="C581" s="214" t="s">
        <v>381</v>
      </c>
      <c r="D581" s="198" t="s">
        <v>9</v>
      </c>
      <c r="E581" s="198" t="s">
        <v>319</v>
      </c>
      <c r="F581" s="198">
        <v>111</v>
      </c>
      <c r="G581" s="198"/>
      <c r="H581" s="214" t="s">
        <v>325</v>
      </c>
      <c r="I581" s="214" t="s">
        <v>325</v>
      </c>
      <c r="J581" s="271"/>
      <c r="K581" s="198"/>
      <c r="L581" s="198"/>
      <c r="M581" s="198"/>
      <c r="N581" s="198"/>
      <c r="O581" s="198">
        <v>111</v>
      </c>
      <c r="P581" s="198"/>
      <c r="Q581" s="198" t="s">
        <v>929</v>
      </c>
      <c r="R581" s="230">
        <f>DATABASE_Table[[#This Row],[Inicial Asking Price (€) (Total)]]-DATABASE_Table[[#This Row],[Vista membership]]-DATABASE_Table[[#This Row],[FF&amp;E]]</f>
        <v>660000</v>
      </c>
      <c r="S581" s="231">
        <v>660000</v>
      </c>
      <c r="T581" s="232">
        <v>830000</v>
      </c>
      <c r="U581" s="198"/>
      <c r="V581" s="198"/>
      <c r="W581" s="233">
        <f>DATABASE_Table[[#This Row],[Current Asking price( Total)]]-DATABASE_Table[[#This Row],[Vista membership]]-DATABASE_Table[[#This Row],[FF&amp;E]]</f>
        <v>830000</v>
      </c>
      <c r="X581" s="216">
        <v>0</v>
      </c>
      <c r="Y581" s="232">
        <v>830000</v>
      </c>
      <c r="Z581" s="233">
        <f>DATABASE_Table[[#This Row],[Sell price (Total)]]-DATABASE_Table[[#This Row],[FF&amp;E]]-DATABASE_Table[[#This Row],[Vista membership]]</f>
        <v>830000</v>
      </c>
      <c r="AA581" s="315">
        <v>45720</v>
      </c>
      <c r="AB581" s="321"/>
      <c r="AC581" s="198" t="s">
        <v>10</v>
      </c>
      <c r="AD581" s="198" t="s">
        <v>23</v>
      </c>
      <c r="AE581" s="279" t="s">
        <v>24</v>
      </c>
      <c r="AF581" s="279" t="s">
        <v>803</v>
      </c>
      <c r="AG581" s="279" t="s">
        <v>25</v>
      </c>
      <c r="AH581" s="279" t="s">
        <v>804</v>
      </c>
      <c r="AI581" s="198" t="s">
        <v>26</v>
      </c>
      <c r="AJ581" s="274" t="s">
        <v>22</v>
      </c>
      <c r="AK581"/>
    </row>
    <row r="582" spans="1:37" ht="15.75" hidden="1" customHeight="1">
      <c r="A582" s="198" t="s">
        <v>564</v>
      </c>
      <c r="B582" s="198" t="s">
        <v>691</v>
      </c>
      <c r="C582" s="214" t="s">
        <v>381</v>
      </c>
      <c r="D582" s="198" t="s">
        <v>9</v>
      </c>
      <c r="E582" s="198" t="s">
        <v>319</v>
      </c>
      <c r="F582" s="198">
        <v>119</v>
      </c>
      <c r="G582" s="198"/>
      <c r="H582" s="214" t="s">
        <v>325</v>
      </c>
      <c r="I582" s="214" t="s">
        <v>325</v>
      </c>
      <c r="J582" s="271"/>
      <c r="K582" s="198"/>
      <c r="L582" s="198"/>
      <c r="M582" s="198">
        <v>29.15</v>
      </c>
      <c r="N582" s="198"/>
      <c r="O582" s="198">
        <v>89.85</v>
      </c>
      <c r="P582" s="198"/>
      <c r="Q582" s="198" t="s">
        <v>329</v>
      </c>
      <c r="R582" s="230">
        <f>DATABASE_Table[[#This Row],[Inicial Asking Price (€) (Total)]]-DATABASE_Table[[#This Row],[Vista membership]]-DATABASE_Table[[#This Row],[FF&amp;E]]</f>
        <v>758112.33600000001</v>
      </c>
      <c r="S582" s="231">
        <v>822712.33600000001</v>
      </c>
      <c r="T582" s="232">
        <v>890000</v>
      </c>
      <c r="U582" s="198">
        <v>24600</v>
      </c>
      <c r="V582" s="198">
        <v>40000</v>
      </c>
      <c r="W582" s="233">
        <f>DATABASE_Table[[#This Row],[Current Asking price( Total)]]-DATABASE_Table[[#This Row],[Vista membership]]-DATABASE_Table[[#This Row],[FF&amp;E]]</f>
        <v>825400</v>
      </c>
      <c r="X582" s="216"/>
      <c r="Y582" s="232">
        <v>890000</v>
      </c>
      <c r="Z582" s="233">
        <f>DATABASE_Table[[#This Row],[Sell price (Total)]]-DATABASE_Table[[#This Row],[FF&amp;E]]-DATABASE_Table[[#This Row],[Vista membership]]</f>
        <v>825400</v>
      </c>
      <c r="AA582" s="315"/>
      <c r="AB582" s="321"/>
      <c r="AC582" s="198" t="s">
        <v>10</v>
      </c>
      <c r="AD582" s="198" t="s">
        <v>35</v>
      </c>
      <c r="AE582" s="279" t="s">
        <v>43</v>
      </c>
      <c r="AF582" s="279" t="s">
        <v>44</v>
      </c>
      <c r="AG582" s="279" t="s">
        <v>45</v>
      </c>
      <c r="AH582" s="279" t="s">
        <v>46</v>
      </c>
      <c r="AI582" s="198" t="s">
        <v>47</v>
      </c>
      <c r="AJ582" s="274" t="s">
        <v>42</v>
      </c>
      <c r="AK582"/>
    </row>
    <row r="583" spans="1:37" ht="15.75" hidden="1" customHeight="1">
      <c r="A583" s="198" t="s">
        <v>630</v>
      </c>
      <c r="B583" s="198" t="s">
        <v>691</v>
      </c>
      <c r="C583" s="214" t="s">
        <v>382</v>
      </c>
      <c r="D583" s="198" t="s">
        <v>9</v>
      </c>
      <c r="E583" s="198" t="s">
        <v>321</v>
      </c>
      <c r="F583" s="198">
        <v>387.81</v>
      </c>
      <c r="G583" s="198"/>
      <c r="H583" s="214" t="s">
        <v>849</v>
      </c>
      <c r="I583" s="214" t="s">
        <v>325</v>
      </c>
      <c r="J583" s="271">
        <v>55.75</v>
      </c>
      <c r="K583" s="198"/>
      <c r="L583" s="198"/>
      <c r="M583" s="198">
        <v>134.69999999999999</v>
      </c>
      <c r="N583" s="198"/>
      <c r="O583" s="198">
        <v>197.36</v>
      </c>
      <c r="P583" s="198"/>
      <c r="Q583" s="198" t="s">
        <v>329</v>
      </c>
      <c r="R583" s="230">
        <f>DATABASE_Table[[#This Row],[Inicial Asking Price (€) (Total)]]-DATABASE_Table[[#This Row],[Vista membership]]-DATABASE_Table[[#This Row],[FF&amp;E]]</f>
        <v>2449940.9550000001</v>
      </c>
      <c r="S583" s="231">
        <v>2449940.9550000001</v>
      </c>
      <c r="T583" s="232">
        <v>2550000</v>
      </c>
      <c r="U583" s="198"/>
      <c r="V583" s="198"/>
      <c r="W583" s="233">
        <f>DATABASE_Table[[#This Row],[Current Asking price( Total)]]-DATABASE_Table[[#This Row],[Vista membership]]-DATABASE_Table[[#This Row],[FF&amp;E]]</f>
        <v>2550000</v>
      </c>
      <c r="X583" s="216"/>
      <c r="Y583" s="232">
        <v>2548000</v>
      </c>
      <c r="Z583" s="233">
        <f>DATABASE_Table[[#This Row],[Sell price (Total)]]-DATABASE_Table[[#This Row],[FF&amp;E]]-DATABASE_Table[[#This Row],[Vista membership]]</f>
        <v>2548000</v>
      </c>
      <c r="AA583" s="315"/>
      <c r="AB583" s="321"/>
      <c r="AC583" s="198" t="s">
        <v>10</v>
      </c>
      <c r="AD583" s="198" t="s">
        <v>11</v>
      </c>
      <c r="AE583" s="279" t="s">
        <v>53</v>
      </c>
      <c r="AF583" s="279" t="s">
        <v>54</v>
      </c>
      <c r="AG583" s="279" t="s">
        <v>811</v>
      </c>
      <c r="AH583" s="279" t="s">
        <v>812</v>
      </c>
      <c r="AI583" s="198" t="s">
        <v>36</v>
      </c>
      <c r="AJ583" s="274" t="s">
        <v>52</v>
      </c>
      <c r="AK583"/>
    </row>
    <row r="584" spans="1:37" ht="15.75" hidden="1" customHeight="1">
      <c r="A584" s="198" t="s">
        <v>773</v>
      </c>
      <c r="B584" s="198" t="s">
        <v>769</v>
      </c>
      <c r="C584" s="214" t="s">
        <v>847</v>
      </c>
      <c r="D584" s="198" t="s">
        <v>67</v>
      </c>
      <c r="E584" s="198" t="s">
        <v>553</v>
      </c>
      <c r="F584" s="198">
        <v>420</v>
      </c>
      <c r="G584" s="198"/>
      <c r="H584" s="214" t="s">
        <v>325</v>
      </c>
      <c r="I584" s="214" t="s">
        <v>325</v>
      </c>
      <c r="J584" s="271"/>
      <c r="K584" s="198"/>
      <c r="L584" s="198"/>
      <c r="M584" s="198"/>
      <c r="N584" s="198"/>
      <c r="O584" s="198">
        <v>420</v>
      </c>
      <c r="P584" s="198"/>
      <c r="Q584" s="198" t="s">
        <v>929</v>
      </c>
      <c r="R584" s="230">
        <f>DATABASE_Table[[#This Row],[Inicial Asking Price (€) (Total)]]-DATABASE_Table[[#This Row],[Vista membership]]-DATABASE_Table[[#This Row],[FF&amp;E]]</f>
        <v>930000</v>
      </c>
      <c r="S584" s="234">
        <v>930000</v>
      </c>
      <c r="T584" s="235">
        <v>1700000</v>
      </c>
      <c r="U584" s="198"/>
      <c r="V584" s="198"/>
      <c r="W584" s="233">
        <f>DATABASE_Table[[#This Row],[Current Asking price( Total)]]-DATABASE_Table[[#This Row],[Vista membership]]-DATABASE_Table[[#This Row],[FF&amp;E]]</f>
        <v>1700000</v>
      </c>
      <c r="X584" s="236">
        <v>0</v>
      </c>
      <c r="Y584" s="235">
        <v>1700000</v>
      </c>
      <c r="Z584" s="233">
        <f>DATABASE_Table[[#This Row],[Sell price (Total)]]-DATABASE_Table[[#This Row],[FF&amp;E]]-DATABASE_Table[[#This Row],[Vista membership]]</f>
        <v>1700000</v>
      </c>
      <c r="AA584" s="315">
        <v>45279</v>
      </c>
      <c r="AB584" s="321">
        <v>46843</v>
      </c>
      <c r="AC584" s="198" t="s">
        <v>57</v>
      </c>
      <c r="AD584" s="198" t="s">
        <v>68</v>
      </c>
      <c r="AE584" s="279" t="s">
        <v>69</v>
      </c>
      <c r="AF584" s="279" t="s">
        <v>70</v>
      </c>
      <c r="AG584" s="279" t="s">
        <v>71</v>
      </c>
      <c r="AH584" s="279" t="s">
        <v>816</v>
      </c>
      <c r="AI584" s="198" t="s">
        <v>72</v>
      </c>
      <c r="AJ584" s="274" t="s">
        <v>66</v>
      </c>
      <c r="AK584"/>
    </row>
    <row r="585" spans="1:37" ht="15.75" hidden="1" customHeight="1">
      <c r="A585" s="198" t="s">
        <v>773</v>
      </c>
      <c r="B585" s="198" t="s">
        <v>769</v>
      </c>
      <c r="C585" s="214" t="s">
        <v>846</v>
      </c>
      <c r="D585" s="199" t="s">
        <v>67</v>
      </c>
      <c r="E585" s="198" t="s">
        <v>553</v>
      </c>
      <c r="F585" s="198">
        <v>420</v>
      </c>
      <c r="G585" s="198"/>
      <c r="H585" s="214" t="s">
        <v>325</v>
      </c>
      <c r="I585" s="214" t="s">
        <v>325</v>
      </c>
      <c r="J585" s="271"/>
      <c r="K585" s="198"/>
      <c r="L585" s="198"/>
      <c r="M585" s="198"/>
      <c r="N585" s="198"/>
      <c r="O585" s="198">
        <v>420</v>
      </c>
      <c r="P585" s="198"/>
      <c r="Q585" s="198" t="s">
        <v>929</v>
      </c>
      <c r="R585" s="230">
        <f>DATABASE_Table[[#This Row],[Inicial Asking Price (€) (Total)]]-DATABASE_Table[[#This Row],[Vista membership]]-DATABASE_Table[[#This Row],[FF&amp;E]]</f>
        <v>930000</v>
      </c>
      <c r="S585" s="234">
        <v>930000</v>
      </c>
      <c r="T585" s="235">
        <v>1750000</v>
      </c>
      <c r="U585" s="198"/>
      <c r="V585" s="198"/>
      <c r="W585" s="233">
        <f>DATABASE_Table[[#This Row],[Current Asking price( Total)]]-DATABASE_Table[[#This Row],[Vista membership]]-DATABASE_Table[[#This Row],[FF&amp;E]]</f>
        <v>1750000</v>
      </c>
      <c r="X585" s="236">
        <v>2.8571428571428598E-2</v>
      </c>
      <c r="Y585" s="235">
        <v>1700000</v>
      </c>
      <c r="Z585" s="233">
        <f>DATABASE_Table[[#This Row],[Sell price (Total)]]-DATABASE_Table[[#This Row],[FF&amp;E]]-DATABASE_Table[[#This Row],[Vista membership]]</f>
        <v>1700000</v>
      </c>
      <c r="AA585" s="315">
        <v>45512</v>
      </c>
      <c r="AB585" s="321">
        <v>46843</v>
      </c>
      <c r="AC585" s="199" t="s">
        <v>57</v>
      </c>
      <c r="AD585" s="199" t="s">
        <v>68</v>
      </c>
      <c r="AE585" s="272" t="s">
        <v>69</v>
      </c>
      <c r="AF585" s="272" t="s">
        <v>70</v>
      </c>
      <c r="AG585" s="272" t="s">
        <v>71</v>
      </c>
      <c r="AH585" s="272" t="s">
        <v>816</v>
      </c>
      <c r="AI585" s="199" t="s">
        <v>72</v>
      </c>
      <c r="AJ585" s="274" t="s">
        <v>66</v>
      </c>
      <c r="AK585"/>
    </row>
    <row r="586" spans="1:37" ht="15.75" hidden="1" customHeight="1">
      <c r="A586" s="198" t="s">
        <v>773</v>
      </c>
      <c r="B586" s="198" t="s">
        <v>769</v>
      </c>
      <c r="C586" s="214" t="s">
        <v>840</v>
      </c>
      <c r="D586" s="199" t="s">
        <v>67</v>
      </c>
      <c r="E586" s="198" t="s">
        <v>553</v>
      </c>
      <c r="F586" s="198">
        <v>2571</v>
      </c>
      <c r="G586" s="198"/>
      <c r="H586" s="214" t="s">
        <v>325</v>
      </c>
      <c r="I586" s="214" t="s">
        <v>325</v>
      </c>
      <c r="J586" s="271"/>
      <c r="K586" s="198"/>
      <c r="L586" s="198"/>
      <c r="M586" s="198"/>
      <c r="N586" s="198"/>
      <c r="O586" s="198">
        <v>340</v>
      </c>
      <c r="P586" s="198"/>
      <c r="Q586" s="198" t="s">
        <v>329</v>
      </c>
      <c r="R586" s="230">
        <f>DATABASE_Table[[#This Row],[Inicial Asking Price (€) (Total)]]-DATABASE_Table[[#This Row],[Vista membership]]-DATABASE_Table[[#This Row],[FF&amp;E]]</f>
        <v>930000</v>
      </c>
      <c r="S586" s="234">
        <v>930000</v>
      </c>
      <c r="T586" s="235">
        <v>1100000</v>
      </c>
      <c r="U586" s="198"/>
      <c r="V586" s="198"/>
      <c r="W586" s="233">
        <f>DATABASE_Table[[#This Row],[Current Asking price( Total)]]-DATABASE_Table[[#This Row],[Vista membership]]-DATABASE_Table[[#This Row],[FF&amp;E]]</f>
        <v>1100000</v>
      </c>
      <c r="X586" s="236"/>
      <c r="Y586" s="235">
        <v>1100000</v>
      </c>
      <c r="Z586" s="233">
        <f>DATABASE_Table[[#This Row],[Sell price (Total)]]-DATABASE_Table[[#This Row],[FF&amp;E]]-DATABASE_Table[[#This Row],[Vista membership]]</f>
        <v>1100000</v>
      </c>
      <c r="AA586" s="315"/>
      <c r="AB586" s="321">
        <v>46843</v>
      </c>
      <c r="AC586" s="199" t="s">
        <v>57</v>
      </c>
      <c r="AD586" s="199" t="s">
        <v>68</v>
      </c>
      <c r="AE586" s="272" t="s">
        <v>69</v>
      </c>
      <c r="AF586" s="272" t="s">
        <v>70</v>
      </c>
      <c r="AG586" s="272" t="s">
        <v>71</v>
      </c>
      <c r="AH586" s="272" t="s">
        <v>816</v>
      </c>
      <c r="AI586" s="199" t="s">
        <v>72</v>
      </c>
      <c r="AJ586" s="274" t="s">
        <v>66</v>
      </c>
      <c r="AK586"/>
    </row>
    <row r="587" spans="1:37" ht="15.75" hidden="1" customHeight="1">
      <c r="A587" s="198" t="s">
        <v>779</v>
      </c>
      <c r="B587" s="198" t="s">
        <v>786</v>
      </c>
      <c r="C587" s="214" t="s">
        <v>154</v>
      </c>
      <c r="D587" s="199" t="s">
        <v>79</v>
      </c>
      <c r="E587" s="198" t="s">
        <v>316</v>
      </c>
      <c r="F587" s="198">
        <v>72.5</v>
      </c>
      <c r="G587" s="198"/>
      <c r="H587" s="214" t="s">
        <v>848</v>
      </c>
      <c r="I587" s="214" t="s">
        <v>325</v>
      </c>
      <c r="J587" s="271">
        <v>12</v>
      </c>
      <c r="K587" s="198"/>
      <c r="L587" s="198"/>
      <c r="M587" s="198"/>
      <c r="N587" s="198"/>
      <c r="O587" s="198">
        <v>60.5</v>
      </c>
      <c r="P587" s="198"/>
      <c r="Q587" s="198" t="s">
        <v>628</v>
      </c>
      <c r="R587" s="230">
        <f>DATABASE_Table[[#This Row],[Inicial Asking Price (€) (Total)]]-DATABASE_Table[[#This Row],[Vista membership]]-DATABASE_Table[[#This Row],[FF&amp;E]]</f>
        <v>445000</v>
      </c>
      <c r="S587" s="234">
        <v>480000</v>
      </c>
      <c r="T587" s="235">
        <v>480000</v>
      </c>
      <c r="U587" s="198"/>
      <c r="V587" s="235">
        <v>35000</v>
      </c>
      <c r="W587" s="233">
        <f>DATABASE_Table[[#This Row],[Current Asking price( Total)]]-DATABASE_Table[[#This Row],[Vista membership]]-DATABASE_Table[[#This Row],[FF&amp;E]]</f>
        <v>445000</v>
      </c>
      <c r="X587" s="236">
        <v>0</v>
      </c>
      <c r="Y587" s="235">
        <v>480000</v>
      </c>
      <c r="Z587" s="233">
        <f>DATABASE_Table[[#This Row],[Sell price (Total)]]-DATABASE_Table[[#This Row],[FF&amp;E]]-DATABASE_Table[[#This Row],[Vista membership]]</f>
        <v>445000</v>
      </c>
      <c r="AA587" s="316">
        <v>45931</v>
      </c>
      <c r="AB587" s="321">
        <v>47118</v>
      </c>
      <c r="AC587" s="199" t="s">
        <v>80</v>
      </c>
      <c r="AD587" s="199" t="s">
        <v>81</v>
      </c>
      <c r="AE587" s="272" t="s">
        <v>82</v>
      </c>
      <c r="AF587" s="272" t="s">
        <v>83</v>
      </c>
      <c r="AG587" s="272" t="s">
        <v>84</v>
      </c>
      <c r="AH587" s="272" t="s">
        <v>85</v>
      </c>
      <c r="AI587" s="199" t="s">
        <v>86</v>
      </c>
      <c r="AJ587" s="274" t="s">
        <v>78</v>
      </c>
      <c r="AK587"/>
    </row>
    <row r="588" spans="1:37" ht="15.75" hidden="1" customHeight="1">
      <c r="A588" s="198" t="s">
        <v>558</v>
      </c>
      <c r="B588" s="198" t="s">
        <v>691</v>
      </c>
      <c r="C588" s="214" t="s">
        <v>382</v>
      </c>
      <c r="D588" s="199" t="s">
        <v>9</v>
      </c>
      <c r="E588" s="198" t="s">
        <v>319</v>
      </c>
      <c r="F588" s="198">
        <v>114.72</v>
      </c>
      <c r="G588" s="198"/>
      <c r="H588" s="214" t="s">
        <v>325</v>
      </c>
      <c r="I588" s="214" t="s">
        <v>325</v>
      </c>
      <c r="J588" s="271">
        <v>43.32</v>
      </c>
      <c r="K588" s="198"/>
      <c r="L588" s="198"/>
      <c r="M588" s="198"/>
      <c r="N588" s="198"/>
      <c r="O588" s="198">
        <v>114.72</v>
      </c>
      <c r="P588" s="198"/>
      <c r="Q588" s="198" t="s">
        <v>329</v>
      </c>
      <c r="R588" s="230">
        <f>DATABASE_Table[[#This Row],[Inicial Asking Price (€) (Total)]]-DATABASE_Table[[#This Row],[Vista membership]]-DATABASE_Table[[#This Row],[FF&amp;E]]</f>
        <v>885000</v>
      </c>
      <c r="S588" s="231">
        <v>885000</v>
      </c>
      <c r="T588" s="232">
        <v>885000</v>
      </c>
      <c r="U588" s="198"/>
      <c r="V588" s="198"/>
      <c r="W588" s="233">
        <f>DATABASE_Table[[#This Row],[Current Asking price( Total)]]-DATABASE_Table[[#This Row],[Vista membership]]-DATABASE_Table[[#This Row],[FF&amp;E]]</f>
        <v>885000</v>
      </c>
      <c r="X588" s="216"/>
      <c r="Y588" s="232">
        <v>885000</v>
      </c>
      <c r="Z588" s="233">
        <f>DATABASE_Table[[#This Row],[Sell price (Total)]]-DATABASE_Table[[#This Row],[FF&amp;E]]-DATABASE_Table[[#This Row],[Vista membership]]</f>
        <v>885000</v>
      </c>
      <c r="AA588" s="315"/>
      <c r="AB588" s="321"/>
      <c r="AC588" s="199" t="s">
        <v>10</v>
      </c>
      <c r="AD588" s="199" t="s">
        <v>11</v>
      </c>
      <c r="AE588" s="272" t="s">
        <v>12</v>
      </c>
      <c r="AF588" s="272" t="s">
        <v>801</v>
      </c>
      <c r="AG588" s="272" t="s">
        <v>13</v>
      </c>
      <c r="AH588" s="272" t="s">
        <v>14</v>
      </c>
      <c r="AI588" s="199" t="s">
        <v>15</v>
      </c>
      <c r="AJ588" s="274" t="s">
        <v>8</v>
      </c>
      <c r="AK588"/>
    </row>
    <row r="589" spans="1:37" ht="15.75" hidden="1" customHeight="1">
      <c r="A589" s="198" t="s">
        <v>690</v>
      </c>
      <c r="B589" s="198" t="s">
        <v>691</v>
      </c>
      <c r="C589" s="214" t="s">
        <v>382</v>
      </c>
      <c r="D589" s="199" t="s">
        <v>9</v>
      </c>
      <c r="E589" s="198" t="s">
        <v>765</v>
      </c>
      <c r="F589" s="198">
        <v>405.04</v>
      </c>
      <c r="G589" s="198">
        <v>240.94</v>
      </c>
      <c r="H589" s="214" t="s">
        <v>325</v>
      </c>
      <c r="I589" s="214" t="s">
        <v>325</v>
      </c>
      <c r="J589" s="271">
        <v>25.77</v>
      </c>
      <c r="K589" s="198"/>
      <c r="L589" s="198"/>
      <c r="M589" s="198"/>
      <c r="N589" s="198"/>
      <c r="O589" s="198">
        <v>138.33000000000001</v>
      </c>
      <c r="P589" s="198"/>
      <c r="Q589" s="198" t="s">
        <v>329</v>
      </c>
      <c r="R589" s="230">
        <f>DATABASE_Table[[#This Row],[Inicial Asking Price (€) (Total)]]-DATABASE_Table[[#This Row],[Vista membership]]-DATABASE_Table[[#This Row],[FF&amp;E]]</f>
        <v>1587700</v>
      </c>
      <c r="S589" s="231">
        <v>1658850</v>
      </c>
      <c r="T589" s="232">
        <v>1730000</v>
      </c>
      <c r="U589" s="198">
        <v>24600</v>
      </c>
      <c r="V589" s="198">
        <v>46550</v>
      </c>
      <c r="W589" s="233">
        <f>DATABASE_Table[[#This Row],[Current Asking price( Total)]]-DATABASE_Table[[#This Row],[Vista membership]]-DATABASE_Table[[#This Row],[FF&amp;E]]</f>
        <v>1658850</v>
      </c>
      <c r="X589" s="216"/>
      <c r="Y589" s="232">
        <v>1730000</v>
      </c>
      <c r="Z589" s="233">
        <f>DATABASE_Table[[#This Row],[Sell price (Total)]]-DATABASE_Table[[#This Row],[FF&amp;E]]-DATABASE_Table[[#This Row],[Vista membership]]</f>
        <v>1658850</v>
      </c>
      <c r="AA589" s="315"/>
      <c r="AB589" s="321"/>
      <c r="AC589" s="199" t="s">
        <v>10</v>
      </c>
      <c r="AD589" s="199" t="s">
        <v>35</v>
      </c>
      <c r="AE589" s="272" t="s">
        <v>38</v>
      </c>
      <c r="AF589" s="272" t="s">
        <v>39</v>
      </c>
      <c r="AG589" s="272" t="s">
        <v>40</v>
      </c>
      <c r="AH589" s="272" t="s">
        <v>810</v>
      </c>
      <c r="AI589" s="199" t="s">
        <v>41</v>
      </c>
      <c r="AJ589" s="274" t="s">
        <v>37</v>
      </c>
      <c r="AK589"/>
    </row>
    <row r="590" spans="1:37" ht="15.75" hidden="1" customHeight="1">
      <c r="A590" s="198" t="s">
        <v>773</v>
      </c>
      <c r="B590" s="198" t="s">
        <v>769</v>
      </c>
      <c r="C590" s="214" t="s">
        <v>841</v>
      </c>
      <c r="D590" s="199" t="s">
        <v>67</v>
      </c>
      <c r="E590" s="198" t="s">
        <v>553</v>
      </c>
      <c r="F590" s="198">
        <v>2404</v>
      </c>
      <c r="G590" s="198"/>
      <c r="H590" s="214" t="s">
        <v>325</v>
      </c>
      <c r="I590" s="214" t="s">
        <v>325</v>
      </c>
      <c r="J590" s="271"/>
      <c r="K590" s="198"/>
      <c r="L590" s="198"/>
      <c r="M590" s="198"/>
      <c r="N590" s="198"/>
      <c r="O590" s="198">
        <v>340</v>
      </c>
      <c r="P590" s="198"/>
      <c r="Q590" s="198" t="s">
        <v>329</v>
      </c>
      <c r="R590" s="230">
        <f>DATABASE_Table[[#This Row],[Inicial Asking Price (€) (Total)]]-DATABASE_Table[[#This Row],[Vista membership]]-DATABASE_Table[[#This Row],[FF&amp;E]]</f>
        <v>940000</v>
      </c>
      <c r="S590" s="234">
        <v>940000</v>
      </c>
      <c r="T590" s="235">
        <v>1150000</v>
      </c>
      <c r="U590" s="198"/>
      <c r="V590" s="198"/>
      <c r="W590" s="233">
        <f>DATABASE_Table[[#This Row],[Current Asking price( Total)]]-DATABASE_Table[[#This Row],[Vista membership]]-DATABASE_Table[[#This Row],[FF&amp;E]]</f>
        <v>1150000</v>
      </c>
      <c r="X590" s="236"/>
      <c r="Y590" s="235">
        <v>1150000</v>
      </c>
      <c r="Z590" s="233">
        <f>DATABASE_Table[[#This Row],[Sell price (Total)]]-DATABASE_Table[[#This Row],[FF&amp;E]]-DATABASE_Table[[#This Row],[Vista membership]]</f>
        <v>1150000</v>
      </c>
      <c r="AA590" s="315"/>
      <c r="AB590" s="321">
        <v>46843</v>
      </c>
      <c r="AC590" s="199" t="s">
        <v>57</v>
      </c>
      <c r="AD590" s="199" t="s">
        <v>68</v>
      </c>
      <c r="AE590" s="272" t="s">
        <v>69</v>
      </c>
      <c r="AF590" s="272" t="s">
        <v>70</v>
      </c>
      <c r="AG590" s="272" t="s">
        <v>71</v>
      </c>
      <c r="AH590" s="272" t="s">
        <v>816</v>
      </c>
      <c r="AI590" s="199" t="s">
        <v>72</v>
      </c>
      <c r="AJ590" s="274" t="s">
        <v>66</v>
      </c>
      <c r="AK590"/>
    </row>
    <row r="591" spans="1:37" ht="15.75" hidden="1" customHeight="1">
      <c r="A591" s="198" t="s">
        <v>563</v>
      </c>
      <c r="B591" s="198" t="s">
        <v>691</v>
      </c>
      <c r="C591" s="214" t="s">
        <v>382</v>
      </c>
      <c r="D591" s="199" t="s">
        <v>9</v>
      </c>
      <c r="E591" s="198" t="s">
        <v>320</v>
      </c>
      <c r="F591" s="198">
        <v>130.91999999999999</v>
      </c>
      <c r="G591" s="198"/>
      <c r="H591" s="214" t="s">
        <v>325</v>
      </c>
      <c r="I591" s="214" t="s">
        <v>325</v>
      </c>
      <c r="J591" s="271"/>
      <c r="K591" s="198"/>
      <c r="L591" s="198"/>
      <c r="M591" s="198"/>
      <c r="N591" s="198"/>
      <c r="O591" s="198">
        <v>130.91999999999999</v>
      </c>
      <c r="P591" s="198"/>
      <c r="Q591" s="198" t="s">
        <v>329</v>
      </c>
      <c r="R591" s="230">
        <f>DATABASE_Table[[#This Row],[Inicial Asking Price (€) (Total)]]-DATABASE_Table[[#This Row],[Vista membership]]-DATABASE_Table[[#This Row],[FF&amp;E]]</f>
        <v>710000</v>
      </c>
      <c r="S591" s="231">
        <v>710000</v>
      </c>
      <c r="T591" s="232">
        <v>750000</v>
      </c>
      <c r="U591" s="198"/>
      <c r="V591" s="198"/>
      <c r="W591" s="233">
        <f>DATABASE_Table[[#This Row],[Current Asking price( Total)]]-DATABASE_Table[[#This Row],[Vista membership]]-DATABASE_Table[[#This Row],[FF&amp;E]]</f>
        <v>750000</v>
      </c>
      <c r="X591" s="216"/>
      <c r="Y591" s="232">
        <v>750000</v>
      </c>
      <c r="Z591" s="233">
        <f>DATABASE_Table[[#This Row],[Sell price (Total)]]-DATABASE_Table[[#This Row],[FF&amp;E]]-DATABASE_Table[[#This Row],[Vista membership]]</f>
        <v>750000</v>
      </c>
      <c r="AA591" s="315"/>
      <c r="AB591" s="321"/>
      <c r="AC591" s="199" t="s">
        <v>10</v>
      </c>
      <c r="AD591" s="199" t="s">
        <v>11</v>
      </c>
      <c r="AE591" s="272" t="s">
        <v>28</v>
      </c>
      <c r="AF591" s="272" t="s">
        <v>29</v>
      </c>
      <c r="AG591" s="272" t="s">
        <v>805</v>
      </c>
      <c r="AH591" s="272" t="s">
        <v>806</v>
      </c>
      <c r="AI591" s="199" t="s">
        <v>30</v>
      </c>
      <c r="AJ591" s="274" t="s">
        <v>27</v>
      </c>
      <c r="AK591"/>
    </row>
    <row r="592" spans="1:37" ht="15.75" hidden="1" customHeight="1">
      <c r="A592" s="198" t="s">
        <v>562</v>
      </c>
      <c r="B592" s="198" t="s">
        <v>691</v>
      </c>
      <c r="C592" s="214" t="s">
        <v>382</v>
      </c>
      <c r="D592" s="199" t="s">
        <v>9</v>
      </c>
      <c r="E592" s="198" t="s">
        <v>320</v>
      </c>
      <c r="F592" s="198">
        <v>143</v>
      </c>
      <c r="G592" s="198"/>
      <c r="H592" s="214" t="s">
        <v>325</v>
      </c>
      <c r="I592" s="214" t="s">
        <v>325</v>
      </c>
      <c r="J592" s="271"/>
      <c r="K592" s="198"/>
      <c r="L592" s="198"/>
      <c r="M592" s="198"/>
      <c r="N592" s="198"/>
      <c r="O592" s="198">
        <v>143</v>
      </c>
      <c r="P592" s="198"/>
      <c r="Q592" s="198" t="s">
        <v>929</v>
      </c>
      <c r="R592" s="230">
        <f>DATABASE_Table[[#This Row],[Inicial Asking Price (€) (Total)]]-DATABASE_Table[[#This Row],[Vista membership]]-DATABASE_Table[[#This Row],[FF&amp;E]]</f>
        <v>840000</v>
      </c>
      <c r="S592" s="231">
        <v>840000</v>
      </c>
      <c r="T592" s="232">
        <v>1050000</v>
      </c>
      <c r="U592" s="198"/>
      <c r="V592" s="198"/>
      <c r="W592" s="233">
        <f>DATABASE_Table[[#This Row],[Current Asking price( Total)]]-DATABASE_Table[[#This Row],[Vista membership]]-DATABASE_Table[[#This Row],[FF&amp;E]]</f>
        <v>1050000</v>
      </c>
      <c r="X592" s="216">
        <v>0</v>
      </c>
      <c r="Y592" s="232">
        <v>1050000</v>
      </c>
      <c r="Z592" s="233">
        <f>DATABASE_Table[[#This Row],[Sell price (Total)]]-DATABASE_Table[[#This Row],[FF&amp;E]]-DATABASE_Table[[#This Row],[Vista membership]]</f>
        <v>1050000</v>
      </c>
      <c r="AA592" s="315">
        <v>45433</v>
      </c>
      <c r="AB592" s="321"/>
      <c r="AC592" s="199" t="s">
        <v>10</v>
      </c>
      <c r="AD592" s="199" t="s">
        <v>23</v>
      </c>
      <c r="AE592" s="272" t="s">
        <v>24</v>
      </c>
      <c r="AF592" s="272" t="s">
        <v>803</v>
      </c>
      <c r="AG592" s="272" t="s">
        <v>25</v>
      </c>
      <c r="AH592" s="272" t="s">
        <v>804</v>
      </c>
      <c r="AI592" s="199" t="s">
        <v>26</v>
      </c>
      <c r="AJ592" s="274" t="s">
        <v>22</v>
      </c>
      <c r="AK592"/>
    </row>
    <row r="593" spans="1:37" ht="15.75" hidden="1" customHeight="1">
      <c r="A593" s="198" t="s">
        <v>564</v>
      </c>
      <c r="B593" s="198" t="s">
        <v>691</v>
      </c>
      <c r="C593" s="214" t="s">
        <v>382</v>
      </c>
      <c r="D593" s="199" t="s">
        <v>9</v>
      </c>
      <c r="E593" s="198" t="s">
        <v>416</v>
      </c>
      <c r="F593" s="198">
        <v>117.03</v>
      </c>
      <c r="G593" s="198"/>
      <c r="H593" s="214" t="s">
        <v>325</v>
      </c>
      <c r="I593" s="214" t="s">
        <v>325</v>
      </c>
      <c r="J593" s="271"/>
      <c r="K593" s="198"/>
      <c r="L593" s="198"/>
      <c r="M593" s="198">
        <v>28.6</v>
      </c>
      <c r="N593" s="198"/>
      <c r="O593" s="198">
        <v>88.43</v>
      </c>
      <c r="P593" s="198"/>
      <c r="Q593" s="198" t="s">
        <v>329</v>
      </c>
      <c r="R593" s="230">
        <f>DATABASE_Table[[#This Row],[Inicial Asking Price (€) (Total)]]-DATABASE_Table[[#This Row],[Vista membership]]-DATABASE_Table[[#This Row],[FF&amp;E]]</f>
        <v>737964.91839999997</v>
      </c>
      <c r="S593" s="231">
        <v>802564.91839999997</v>
      </c>
      <c r="T593" s="232">
        <v>890000</v>
      </c>
      <c r="U593" s="198">
        <v>24600</v>
      </c>
      <c r="V593" s="198">
        <v>40000</v>
      </c>
      <c r="W593" s="233">
        <f>DATABASE_Table[[#This Row],[Current Asking price( Total)]]-DATABASE_Table[[#This Row],[Vista membership]]-DATABASE_Table[[#This Row],[FF&amp;E]]</f>
        <v>825400</v>
      </c>
      <c r="X593" s="216"/>
      <c r="Y593" s="232">
        <v>890000</v>
      </c>
      <c r="Z593" s="233">
        <f>DATABASE_Table[[#This Row],[Sell price (Total)]]-DATABASE_Table[[#This Row],[FF&amp;E]]-DATABASE_Table[[#This Row],[Vista membership]]</f>
        <v>825400</v>
      </c>
      <c r="AA593" s="315"/>
      <c r="AB593" s="321"/>
      <c r="AC593" s="199" t="s">
        <v>10</v>
      </c>
      <c r="AD593" s="199" t="s">
        <v>35</v>
      </c>
      <c r="AE593" s="272" t="s">
        <v>43</v>
      </c>
      <c r="AF593" s="272" t="s">
        <v>44</v>
      </c>
      <c r="AG593" s="272" t="s">
        <v>45</v>
      </c>
      <c r="AH593" s="272" t="s">
        <v>46</v>
      </c>
      <c r="AI593" s="199" t="s">
        <v>47</v>
      </c>
      <c r="AJ593" s="274" t="s">
        <v>42</v>
      </c>
      <c r="AK593"/>
    </row>
    <row r="594" spans="1:37" ht="15.75" hidden="1" customHeight="1">
      <c r="A594" s="198" t="s">
        <v>778</v>
      </c>
      <c r="B594" s="198" t="s">
        <v>769</v>
      </c>
      <c r="C594" s="214" t="s">
        <v>837</v>
      </c>
      <c r="D594" s="199" t="s">
        <v>74</v>
      </c>
      <c r="E594" s="198" t="s">
        <v>553</v>
      </c>
      <c r="F594" s="198">
        <v>396.9</v>
      </c>
      <c r="G594" s="198"/>
      <c r="H594" s="214" t="s">
        <v>325</v>
      </c>
      <c r="I594" s="214" t="s">
        <v>325</v>
      </c>
      <c r="J594" s="271"/>
      <c r="K594" s="198"/>
      <c r="L594" s="198"/>
      <c r="M594" s="198"/>
      <c r="N594" s="198"/>
      <c r="O594" s="198">
        <v>396.9</v>
      </c>
      <c r="P594" s="198"/>
      <c r="Q594" s="198" t="s">
        <v>329</v>
      </c>
      <c r="R594" s="230">
        <f>DATABASE_Table[[#This Row],[Inicial Asking Price (€) (Total)]]-DATABASE_Table[[#This Row],[Vista membership]]-DATABASE_Table[[#This Row],[FF&amp;E]]</f>
        <v>945000</v>
      </c>
      <c r="S594" s="234">
        <v>945000</v>
      </c>
      <c r="T594" s="235">
        <v>810000</v>
      </c>
      <c r="U594" s="198"/>
      <c r="V594" s="198"/>
      <c r="W594" s="233">
        <f>DATABASE_Table[[#This Row],[Current Asking price( Total)]]-DATABASE_Table[[#This Row],[Vista membership]]-DATABASE_Table[[#This Row],[FF&amp;E]]</f>
        <v>810000</v>
      </c>
      <c r="X594" s="236"/>
      <c r="Y594" s="235"/>
      <c r="Z594" s="233">
        <f>DATABASE_Table[[#This Row],[Sell price (Total)]]-DATABASE_Table[[#This Row],[FF&amp;E]]-DATABASE_Table[[#This Row],[Vista membership]]</f>
        <v>0</v>
      </c>
      <c r="AA594" s="315"/>
      <c r="AB594" s="321" t="s">
        <v>32</v>
      </c>
      <c r="AC594" s="199" t="s">
        <v>57</v>
      </c>
      <c r="AD594" s="199"/>
      <c r="AE594" s="272" t="s">
        <v>75</v>
      </c>
      <c r="AF594" s="272" t="s">
        <v>554</v>
      </c>
      <c r="AG594" s="272" t="s">
        <v>76</v>
      </c>
      <c r="AH594" s="272" t="s">
        <v>77</v>
      </c>
      <c r="AI594" s="199" t="s">
        <v>32</v>
      </c>
      <c r="AJ594" s="274" t="s">
        <v>73</v>
      </c>
      <c r="AK594"/>
    </row>
    <row r="595" spans="1:37" ht="15.75" hidden="1" customHeight="1">
      <c r="A595" s="198" t="s">
        <v>778</v>
      </c>
      <c r="B595" s="198" t="s">
        <v>769</v>
      </c>
      <c r="C595" s="214" t="s">
        <v>838</v>
      </c>
      <c r="D595" s="199" t="s">
        <v>74</v>
      </c>
      <c r="E595" s="198" t="s">
        <v>553</v>
      </c>
      <c r="F595" s="198">
        <v>396.9</v>
      </c>
      <c r="G595" s="198"/>
      <c r="H595" s="214" t="s">
        <v>325</v>
      </c>
      <c r="I595" s="214" t="s">
        <v>325</v>
      </c>
      <c r="J595" s="271"/>
      <c r="K595" s="198"/>
      <c r="L595" s="198"/>
      <c r="M595" s="198"/>
      <c r="N595" s="198"/>
      <c r="O595" s="198">
        <v>396.9</v>
      </c>
      <c r="P595" s="198"/>
      <c r="Q595" s="198" t="s">
        <v>329</v>
      </c>
      <c r="R595" s="230">
        <f>DATABASE_Table[[#This Row],[Inicial Asking Price (€) (Total)]]-DATABASE_Table[[#This Row],[Vista membership]]-DATABASE_Table[[#This Row],[FF&amp;E]]</f>
        <v>945000</v>
      </c>
      <c r="S595" s="234">
        <v>945000</v>
      </c>
      <c r="T595" s="235">
        <v>820000</v>
      </c>
      <c r="U595" s="198"/>
      <c r="V595" s="198"/>
      <c r="W595" s="233">
        <f>DATABASE_Table[[#This Row],[Current Asking price( Total)]]-DATABASE_Table[[#This Row],[Vista membership]]-DATABASE_Table[[#This Row],[FF&amp;E]]</f>
        <v>820000</v>
      </c>
      <c r="X595" s="236"/>
      <c r="Y595" s="235"/>
      <c r="Z595" s="233">
        <f>DATABASE_Table[[#This Row],[Sell price (Total)]]-DATABASE_Table[[#This Row],[FF&amp;E]]-DATABASE_Table[[#This Row],[Vista membership]]</f>
        <v>0</v>
      </c>
      <c r="AA595" s="315"/>
      <c r="AB595" s="321" t="s">
        <v>32</v>
      </c>
      <c r="AC595" s="199" t="s">
        <v>57</v>
      </c>
      <c r="AD595" s="199"/>
      <c r="AE595" s="272" t="s">
        <v>75</v>
      </c>
      <c r="AF595" s="272" t="s">
        <v>554</v>
      </c>
      <c r="AG595" s="272" t="s">
        <v>76</v>
      </c>
      <c r="AH595" s="272" t="s">
        <v>77</v>
      </c>
      <c r="AI595" s="199" t="s">
        <v>32</v>
      </c>
      <c r="AJ595" s="274" t="s">
        <v>73</v>
      </c>
      <c r="AK595"/>
    </row>
    <row r="596" spans="1:37" ht="15.75" hidden="1" customHeight="1">
      <c r="A596" s="198" t="s">
        <v>778</v>
      </c>
      <c r="B596" s="198" t="s">
        <v>769</v>
      </c>
      <c r="C596" s="214" t="s">
        <v>839</v>
      </c>
      <c r="D596" s="199" t="s">
        <v>74</v>
      </c>
      <c r="E596" s="198" t="s">
        <v>553</v>
      </c>
      <c r="F596" s="198">
        <v>396.9</v>
      </c>
      <c r="G596" s="198"/>
      <c r="H596" s="214" t="s">
        <v>325</v>
      </c>
      <c r="I596" s="214" t="s">
        <v>325</v>
      </c>
      <c r="J596" s="271"/>
      <c r="K596" s="198"/>
      <c r="L596" s="198"/>
      <c r="M596" s="198"/>
      <c r="N596" s="198"/>
      <c r="O596" s="198">
        <v>396.9</v>
      </c>
      <c r="P596" s="198"/>
      <c r="Q596" s="198" t="s">
        <v>329</v>
      </c>
      <c r="R596" s="230">
        <f>DATABASE_Table[[#This Row],[Inicial Asking Price (€) (Total)]]-DATABASE_Table[[#This Row],[Vista membership]]-DATABASE_Table[[#This Row],[FF&amp;E]]</f>
        <v>945000</v>
      </c>
      <c r="S596" s="234">
        <v>945000</v>
      </c>
      <c r="T596" s="235">
        <v>810000</v>
      </c>
      <c r="U596" s="198"/>
      <c r="V596" s="198"/>
      <c r="W596" s="233">
        <f>DATABASE_Table[[#This Row],[Current Asking price( Total)]]-DATABASE_Table[[#This Row],[Vista membership]]-DATABASE_Table[[#This Row],[FF&amp;E]]</f>
        <v>810000</v>
      </c>
      <c r="X596" s="236"/>
      <c r="Y596" s="235"/>
      <c r="Z596" s="233">
        <f>DATABASE_Table[[#This Row],[Sell price (Total)]]-DATABASE_Table[[#This Row],[FF&amp;E]]-DATABASE_Table[[#This Row],[Vista membership]]</f>
        <v>0</v>
      </c>
      <c r="AA596" s="315"/>
      <c r="AB596" s="321" t="s">
        <v>32</v>
      </c>
      <c r="AC596" s="199" t="s">
        <v>57</v>
      </c>
      <c r="AD596" s="199"/>
      <c r="AE596" s="272" t="s">
        <v>75</v>
      </c>
      <c r="AF596" s="272" t="s">
        <v>554</v>
      </c>
      <c r="AG596" s="272" t="s">
        <v>76</v>
      </c>
      <c r="AH596" s="272" t="s">
        <v>77</v>
      </c>
      <c r="AI596" s="199" t="s">
        <v>32</v>
      </c>
      <c r="AJ596" s="274" t="s">
        <v>73</v>
      </c>
      <c r="AK596"/>
    </row>
    <row r="597" spans="1:37" ht="15.75" hidden="1" customHeight="1">
      <c r="A597" s="198" t="s">
        <v>630</v>
      </c>
      <c r="B597" s="198" t="s">
        <v>691</v>
      </c>
      <c r="C597" s="214" t="s">
        <v>385</v>
      </c>
      <c r="D597" s="199" t="s">
        <v>9</v>
      </c>
      <c r="E597" s="198" t="s">
        <v>319</v>
      </c>
      <c r="F597" s="198">
        <v>151.24</v>
      </c>
      <c r="G597" s="198"/>
      <c r="H597" s="214" t="s">
        <v>849</v>
      </c>
      <c r="I597" s="214" t="s">
        <v>325</v>
      </c>
      <c r="J597" s="271">
        <v>27.6</v>
      </c>
      <c r="K597" s="198"/>
      <c r="L597" s="198"/>
      <c r="M597" s="198">
        <v>0</v>
      </c>
      <c r="N597" s="198"/>
      <c r="O597" s="198">
        <v>123.64</v>
      </c>
      <c r="P597" s="198"/>
      <c r="Q597" s="198" t="s">
        <v>326</v>
      </c>
      <c r="R597" s="230">
        <f>DATABASE_Table[[#This Row],[Inicial Asking Price (€) (Total)]]-DATABASE_Table[[#This Row],[Vista membership]]-DATABASE_Table[[#This Row],[FF&amp;E]]</f>
        <v>1001272.8</v>
      </c>
      <c r="S597" s="231">
        <v>1001272.8</v>
      </c>
      <c r="T597" s="232">
        <v>1010000</v>
      </c>
      <c r="U597" s="198"/>
      <c r="V597" s="198"/>
      <c r="W597" s="233">
        <f>DATABASE_Table[[#This Row],[Current Asking price( Total)]]-DATABASE_Table[[#This Row],[Vista membership]]-DATABASE_Table[[#This Row],[FF&amp;E]]</f>
        <v>1010000</v>
      </c>
      <c r="X597" s="216">
        <v>5.2400000000000002E-2</v>
      </c>
      <c r="Y597" s="232">
        <v>957076</v>
      </c>
      <c r="Z597" s="233">
        <f>DATABASE_Table[[#This Row],[Sell price (Total)]]-DATABASE_Table[[#This Row],[FF&amp;E]]-DATABASE_Table[[#This Row],[Vista membership]]</f>
        <v>957076</v>
      </c>
      <c r="AA597" s="315"/>
      <c r="AB597" s="321"/>
      <c r="AC597" s="199" t="s">
        <v>10</v>
      </c>
      <c r="AD597" s="199" t="s">
        <v>11</v>
      </c>
      <c r="AE597" s="272" t="s">
        <v>53</v>
      </c>
      <c r="AF597" s="272" t="s">
        <v>54</v>
      </c>
      <c r="AG597" s="272" t="s">
        <v>811</v>
      </c>
      <c r="AH597" s="272" t="s">
        <v>812</v>
      </c>
      <c r="AI597" s="199" t="s">
        <v>36</v>
      </c>
      <c r="AJ597" s="274" t="s">
        <v>52</v>
      </c>
      <c r="AK597"/>
    </row>
    <row r="598" spans="1:37" ht="15.75" hidden="1" customHeight="1">
      <c r="A598" s="198" t="s">
        <v>690</v>
      </c>
      <c r="B598" s="198" t="s">
        <v>691</v>
      </c>
      <c r="C598" s="214" t="s">
        <v>385</v>
      </c>
      <c r="D598" s="199" t="s">
        <v>9</v>
      </c>
      <c r="E598" s="198" t="s">
        <v>765</v>
      </c>
      <c r="F598" s="198">
        <v>398.1</v>
      </c>
      <c r="G598" s="198">
        <v>234.02</v>
      </c>
      <c r="H598" s="214" t="s">
        <v>325</v>
      </c>
      <c r="I598" s="214" t="s">
        <v>325</v>
      </c>
      <c r="J598" s="271">
        <v>25.77</v>
      </c>
      <c r="K598" s="198"/>
      <c r="L598" s="198"/>
      <c r="M598" s="198"/>
      <c r="N598" s="198"/>
      <c r="O598" s="198">
        <v>138.31</v>
      </c>
      <c r="P598" s="198"/>
      <c r="Q598" s="198" t="s">
        <v>329</v>
      </c>
      <c r="R598" s="230">
        <f>DATABASE_Table[[#This Row],[Inicial Asking Price (€) (Total)]]-DATABASE_Table[[#This Row],[Vista membership]]-DATABASE_Table[[#This Row],[FF&amp;E]]</f>
        <v>1387700</v>
      </c>
      <c r="S598" s="231">
        <v>1458850</v>
      </c>
      <c r="T598" s="232">
        <v>1530000</v>
      </c>
      <c r="U598" s="198">
        <v>24600</v>
      </c>
      <c r="V598" s="198">
        <v>46550</v>
      </c>
      <c r="W598" s="233">
        <f>DATABASE_Table[[#This Row],[Current Asking price( Total)]]-DATABASE_Table[[#This Row],[Vista membership]]-DATABASE_Table[[#This Row],[FF&amp;E]]</f>
        <v>1458850</v>
      </c>
      <c r="X598" s="216"/>
      <c r="Y598" s="232">
        <v>1530000</v>
      </c>
      <c r="Z598" s="233">
        <f>DATABASE_Table[[#This Row],[Sell price (Total)]]-DATABASE_Table[[#This Row],[FF&amp;E]]-DATABASE_Table[[#This Row],[Vista membership]]</f>
        <v>1458850</v>
      </c>
      <c r="AA598" s="315"/>
      <c r="AB598" s="321"/>
      <c r="AC598" s="199" t="s">
        <v>10</v>
      </c>
      <c r="AD598" s="199" t="s">
        <v>35</v>
      </c>
      <c r="AE598" s="272" t="s">
        <v>38</v>
      </c>
      <c r="AF598" s="272" t="s">
        <v>39</v>
      </c>
      <c r="AG598" s="272" t="s">
        <v>40</v>
      </c>
      <c r="AH598" s="272" t="s">
        <v>810</v>
      </c>
      <c r="AI598" s="199" t="s">
        <v>41</v>
      </c>
      <c r="AJ598" s="274" t="s">
        <v>37</v>
      </c>
      <c r="AK598"/>
    </row>
    <row r="599" spans="1:37" ht="15.75" hidden="1" customHeight="1">
      <c r="A599" s="198" t="s">
        <v>563</v>
      </c>
      <c r="B599" s="198" t="s">
        <v>691</v>
      </c>
      <c r="C599" s="214" t="s">
        <v>385</v>
      </c>
      <c r="D599" s="199" t="s">
        <v>9</v>
      </c>
      <c r="E599" s="198" t="s">
        <v>320</v>
      </c>
      <c r="F599" s="198">
        <v>130.91999999999999</v>
      </c>
      <c r="G599" s="198"/>
      <c r="H599" s="214" t="s">
        <v>325</v>
      </c>
      <c r="I599" s="214" t="s">
        <v>325</v>
      </c>
      <c r="J599" s="271"/>
      <c r="K599" s="198"/>
      <c r="L599" s="198"/>
      <c r="M599" s="198"/>
      <c r="N599" s="198"/>
      <c r="O599" s="198">
        <v>130.91999999999999</v>
      </c>
      <c r="P599" s="198"/>
      <c r="Q599" s="198" t="s">
        <v>326</v>
      </c>
      <c r="R599" s="230">
        <f>DATABASE_Table[[#This Row],[Inicial Asking Price (€) (Total)]]-DATABASE_Table[[#This Row],[Vista membership]]-DATABASE_Table[[#This Row],[FF&amp;E]]</f>
        <v>710000</v>
      </c>
      <c r="S599" s="231">
        <v>710000</v>
      </c>
      <c r="T599" s="232">
        <v>740000</v>
      </c>
      <c r="U599" s="198"/>
      <c r="V599" s="198"/>
      <c r="W599" s="233">
        <f>DATABASE_Table[[#This Row],[Current Asking price( Total)]]-DATABASE_Table[[#This Row],[Vista membership]]-DATABASE_Table[[#This Row],[FF&amp;E]]</f>
        <v>740000</v>
      </c>
      <c r="X599" s="216">
        <v>0</v>
      </c>
      <c r="Y599" s="232">
        <v>740000</v>
      </c>
      <c r="Z599" s="233">
        <f>DATABASE_Table[[#This Row],[Sell price (Total)]]-DATABASE_Table[[#This Row],[FF&amp;E]]-DATABASE_Table[[#This Row],[Vista membership]]</f>
        <v>740000</v>
      </c>
      <c r="AA599" s="315">
        <v>46121</v>
      </c>
      <c r="AB599" s="321"/>
      <c r="AC599" s="199" t="s">
        <v>10</v>
      </c>
      <c r="AD599" s="199" t="s">
        <v>11</v>
      </c>
      <c r="AE599" s="272" t="s">
        <v>28</v>
      </c>
      <c r="AF599" s="272" t="s">
        <v>29</v>
      </c>
      <c r="AG599" s="272" t="s">
        <v>805</v>
      </c>
      <c r="AH599" s="272" t="s">
        <v>806</v>
      </c>
      <c r="AI599" s="199" t="s">
        <v>30</v>
      </c>
      <c r="AJ599" s="274" t="s">
        <v>27</v>
      </c>
      <c r="AK599"/>
    </row>
    <row r="600" spans="1:37" ht="15.75" hidden="1" customHeight="1">
      <c r="A600" s="198" t="s">
        <v>562</v>
      </c>
      <c r="B600" s="198" t="s">
        <v>691</v>
      </c>
      <c r="C600" s="214" t="s">
        <v>385</v>
      </c>
      <c r="D600" s="199" t="s">
        <v>9</v>
      </c>
      <c r="E600" s="198" t="s">
        <v>320</v>
      </c>
      <c r="F600" s="198">
        <v>146</v>
      </c>
      <c r="G600" s="198"/>
      <c r="H600" s="214" t="s">
        <v>325</v>
      </c>
      <c r="I600" s="214" t="s">
        <v>325</v>
      </c>
      <c r="J600" s="271"/>
      <c r="K600" s="198"/>
      <c r="L600" s="198"/>
      <c r="M600" s="198"/>
      <c r="N600" s="198"/>
      <c r="O600" s="198">
        <v>146</v>
      </c>
      <c r="P600" s="198"/>
      <c r="Q600" s="198" t="s">
        <v>929</v>
      </c>
      <c r="R600" s="230">
        <f>DATABASE_Table[[#This Row],[Inicial Asking Price (€) (Total)]]-DATABASE_Table[[#This Row],[Vista membership]]-DATABASE_Table[[#This Row],[FF&amp;E]]</f>
        <v>960000</v>
      </c>
      <c r="S600" s="231">
        <v>960000</v>
      </c>
      <c r="T600" s="232">
        <v>1200000</v>
      </c>
      <c r="U600" s="198"/>
      <c r="V600" s="198"/>
      <c r="W600" s="233">
        <f>DATABASE_Table[[#This Row],[Current Asking price( Total)]]-DATABASE_Table[[#This Row],[Vista membership]]-DATABASE_Table[[#This Row],[FF&amp;E]]</f>
        <v>1200000</v>
      </c>
      <c r="X600" s="216">
        <v>0</v>
      </c>
      <c r="Y600" s="232">
        <v>1200000</v>
      </c>
      <c r="Z600" s="233">
        <f>DATABASE_Table[[#This Row],[Sell price (Total)]]-DATABASE_Table[[#This Row],[FF&amp;E]]-DATABASE_Table[[#This Row],[Vista membership]]</f>
        <v>1200000</v>
      </c>
      <c r="AA600" s="315">
        <v>45071</v>
      </c>
      <c r="AB600" s="321"/>
      <c r="AC600" s="199" t="s">
        <v>10</v>
      </c>
      <c r="AD600" s="199" t="s">
        <v>23</v>
      </c>
      <c r="AE600" s="272" t="s">
        <v>24</v>
      </c>
      <c r="AF600" s="272" t="s">
        <v>803</v>
      </c>
      <c r="AG600" s="272" t="s">
        <v>25</v>
      </c>
      <c r="AH600" s="272" t="s">
        <v>804</v>
      </c>
      <c r="AI600" s="199" t="s">
        <v>26</v>
      </c>
      <c r="AJ600" s="274" t="s">
        <v>22</v>
      </c>
      <c r="AK600"/>
    </row>
    <row r="601" spans="1:37" ht="15.75" hidden="1" customHeight="1">
      <c r="A601" s="198" t="s">
        <v>564</v>
      </c>
      <c r="B601" s="198" t="s">
        <v>691</v>
      </c>
      <c r="C601" s="214" t="s">
        <v>385</v>
      </c>
      <c r="D601" s="199" t="s">
        <v>9</v>
      </c>
      <c r="E601" s="198" t="s">
        <v>319</v>
      </c>
      <c r="F601" s="198">
        <v>117.69</v>
      </c>
      <c r="G601" s="198"/>
      <c r="H601" s="214" t="s">
        <v>325</v>
      </c>
      <c r="I601" s="214" t="s">
        <v>325</v>
      </c>
      <c r="J601" s="271"/>
      <c r="K601" s="198"/>
      <c r="L601" s="198"/>
      <c r="M601" s="198">
        <v>28.24</v>
      </c>
      <c r="N601" s="198"/>
      <c r="O601" s="198">
        <v>89.45</v>
      </c>
      <c r="P601" s="198"/>
      <c r="Q601" s="198" t="s">
        <v>329</v>
      </c>
      <c r="R601" s="230">
        <f>DATABASE_Table[[#This Row],[Inicial Asking Price (€) (Total)]]-DATABASE_Table[[#This Row],[Vista membership]]-DATABASE_Table[[#This Row],[FF&amp;E]]</f>
        <v>745970.41599999997</v>
      </c>
      <c r="S601" s="231">
        <v>810570.41599999997</v>
      </c>
      <c r="T601" s="232">
        <v>890000</v>
      </c>
      <c r="U601" s="198">
        <v>24600</v>
      </c>
      <c r="V601" s="198">
        <v>40000</v>
      </c>
      <c r="W601" s="233">
        <f>DATABASE_Table[[#This Row],[Current Asking price( Total)]]-DATABASE_Table[[#This Row],[Vista membership]]-DATABASE_Table[[#This Row],[FF&amp;E]]</f>
        <v>825400</v>
      </c>
      <c r="X601" s="216"/>
      <c r="Y601" s="232">
        <v>890000</v>
      </c>
      <c r="Z601" s="233">
        <f>DATABASE_Table[[#This Row],[Sell price (Total)]]-DATABASE_Table[[#This Row],[FF&amp;E]]-DATABASE_Table[[#This Row],[Vista membership]]</f>
        <v>825400</v>
      </c>
      <c r="AA601" s="315"/>
      <c r="AB601" s="321"/>
      <c r="AC601" s="199" t="s">
        <v>10</v>
      </c>
      <c r="AD601" s="199" t="s">
        <v>35</v>
      </c>
      <c r="AE601" s="272" t="s">
        <v>43</v>
      </c>
      <c r="AF601" s="272" t="s">
        <v>44</v>
      </c>
      <c r="AG601" s="272" t="s">
        <v>45</v>
      </c>
      <c r="AH601" s="272" t="s">
        <v>46</v>
      </c>
      <c r="AI601" s="199" t="s">
        <v>47</v>
      </c>
      <c r="AJ601" s="274" t="s">
        <v>42</v>
      </c>
      <c r="AK601"/>
    </row>
    <row r="602" spans="1:37" ht="15.75" hidden="1" customHeight="1">
      <c r="A602" s="198" t="s">
        <v>773</v>
      </c>
      <c r="B602" s="198" t="s">
        <v>769</v>
      </c>
      <c r="C602" s="214" t="s">
        <v>848</v>
      </c>
      <c r="D602" s="199" t="s">
        <v>67</v>
      </c>
      <c r="E602" s="198" t="s">
        <v>553</v>
      </c>
      <c r="F602" s="198">
        <v>3142</v>
      </c>
      <c r="G602" s="198"/>
      <c r="H602" s="214" t="s">
        <v>325</v>
      </c>
      <c r="I602" s="214" t="s">
        <v>325</v>
      </c>
      <c r="J602" s="271"/>
      <c r="K602" s="198"/>
      <c r="L602" s="198"/>
      <c r="M602" s="198"/>
      <c r="N602" s="198"/>
      <c r="O602" s="198">
        <v>340</v>
      </c>
      <c r="P602" s="198"/>
      <c r="Q602" s="198" t="s">
        <v>326</v>
      </c>
      <c r="R602" s="230">
        <f>DATABASE_Table[[#This Row],[Inicial Asking Price (€) (Total)]]-DATABASE_Table[[#This Row],[Vista membership]]-DATABASE_Table[[#This Row],[FF&amp;E]]</f>
        <v>950000</v>
      </c>
      <c r="S602" s="234">
        <v>950000</v>
      </c>
      <c r="T602" s="235">
        <v>1800000</v>
      </c>
      <c r="U602" s="198"/>
      <c r="V602" s="198"/>
      <c r="W602" s="233">
        <f>DATABASE_Table[[#This Row],[Current Asking price( Total)]]-DATABASE_Table[[#This Row],[Vista membership]]-DATABASE_Table[[#This Row],[FF&amp;E]]</f>
        <v>1800000</v>
      </c>
      <c r="X602" s="236">
        <v>5.5555555555555601E-2</v>
      </c>
      <c r="Y602" s="235">
        <v>1700000</v>
      </c>
      <c r="Z602" s="233">
        <f>DATABASE_Table[[#This Row],[Sell price (Total)]]-DATABASE_Table[[#This Row],[FF&amp;E]]-DATABASE_Table[[#This Row],[Vista membership]]</f>
        <v>1700000</v>
      </c>
      <c r="AA602" s="315">
        <v>46182</v>
      </c>
      <c r="AB602" s="321">
        <v>46843</v>
      </c>
      <c r="AC602" s="199" t="s">
        <v>57</v>
      </c>
      <c r="AD602" s="199" t="s">
        <v>68</v>
      </c>
      <c r="AE602" s="272" t="s">
        <v>69</v>
      </c>
      <c r="AF602" s="272" t="s">
        <v>70</v>
      </c>
      <c r="AG602" s="272" t="s">
        <v>71</v>
      </c>
      <c r="AH602" s="272" t="s">
        <v>816</v>
      </c>
      <c r="AI602" s="199" t="s">
        <v>72</v>
      </c>
      <c r="AJ602" s="274" t="s">
        <v>66</v>
      </c>
      <c r="AK602"/>
    </row>
    <row r="603" spans="1:37" ht="15.75" hidden="1" customHeight="1">
      <c r="A603" s="198" t="s">
        <v>784</v>
      </c>
      <c r="B603" s="198" t="s">
        <v>787</v>
      </c>
      <c r="C603" s="214" t="s">
        <v>450</v>
      </c>
      <c r="D603" s="199" t="s">
        <v>88</v>
      </c>
      <c r="E603" s="198" t="s">
        <v>383</v>
      </c>
      <c r="F603" s="198">
        <v>327.27999999999997</v>
      </c>
      <c r="G603" s="198"/>
      <c r="H603" s="214" t="s">
        <v>849</v>
      </c>
      <c r="I603" s="214" t="s">
        <v>590</v>
      </c>
      <c r="J603" s="271">
        <v>0</v>
      </c>
      <c r="K603" s="198">
        <v>121.3</v>
      </c>
      <c r="L603" s="198">
        <v>44.52</v>
      </c>
      <c r="M603" s="198"/>
      <c r="N603" s="198"/>
      <c r="O603" s="198">
        <v>161.46</v>
      </c>
      <c r="P603" s="198"/>
      <c r="Q603" s="198" t="s">
        <v>591</v>
      </c>
      <c r="R603" s="230">
        <f>DATABASE_Table[[#This Row],[Inicial Asking Price (€) (Total)]]-DATABASE_Table[[#This Row],[Vista membership]]-DATABASE_Table[[#This Row],[FF&amp;E]]</f>
        <v>950000</v>
      </c>
      <c r="S603" s="234">
        <v>950000</v>
      </c>
      <c r="T603" s="235">
        <v>970000</v>
      </c>
      <c r="U603" s="198"/>
      <c r="V603" s="198"/>
      <c r="W603" s="233">
        <f>DATABASE_Table[[#This Row],[Current Asking price( Total)]]-DATABASE_Table[[#This Row],[Vista membership]]-DATABASE_Table[[#This Row],[FF&amp;E]]</f>
        <v>970000</v>
      </c>
      <c r="X603" s="236"/>
      <c r="Y603" s="235"/>
      <c r="Z603" s="233">
        <f>DATABASE_Table[[#This Row],[Sell price (Total)]]-DATABASE_Table[[#This Row],[FF&amp;E]]-DATABASE_Table[[#This Row],[Vista membership]]</f>
        <v>0</v>
      </c>
      <c r="AA603" s="315"/>
      <c r="AB603" s="321">
        <v>47208</v>
      </c>
      <c r="AC603" s="199" t="s">
        <v>80</v>
      </c>
      <c r="AD603" s="199" t="s">
        <v>81</v>
      </c>
      <c r="AE603" s="272" t="s">
        <v>89</v>
      </c>
      <c r="AF603" s="272" t="s">
        <v>90</v>
      </c>
      <c r="AG603" s="272" t="s">
        <v>91</v>
      </c>
      <c r="AH603" s="272" t="s">
        <v>92</v>
      </c>
      <c r="AI603" s="199" t="s">
        <v>30</v>
      </c>
      <c r="AJ603" s="274" t="s">
        <v>87</v>
      </c>
      <c r="AK603"/>
    </row>
    <row r="604" spans="1:37" ht="15.75" hidden="1" customHeight="1">
      <c r="A604" s="198" t="s">
        <v>784</v>
      </c>
      <c r="B604" s="198" t="s">
        <v>787</v>
      </c>
      <c r="C604" s="214" t="s">
        <v>451</v>
      </c>
      <c r="D604" s="199" t="s">
        <v>88</v>
      </c>
      <c r="E604" s="198" t="s">
        <v>383</v>
      </c>
      <c r="F604" s="198">
        <v>331.52</v>
      </c>
      <c r="G604" s="198"/>
      <c r="H604" s="214" t="s">
        <v>849</v>
      </c>
      <c r="I604" s="214" t="s">
        <v>590</v>
      </c>
      <c r="J604" s="271">
        <v>0</v>
      </c>
      <c r="K604" s="198">
        <v>125.54</v>
      </c>
      <c r="L604" s="198">
        <v>44.52</v>
      </c>
      <c r="M604" s="198"/>
      <c r="N604" s="198"/>
      <c r="O604" s="198">
        <v>161.46</v>
      </c>
      <c r="P604" s="198"/>
      <c r="Q604" s="198" t="s">
        <v>591</v>
      </c>
      <c r="R604" s="230">
        <f>DATABASE_Table[[#This Row],[Inicial Asking Price (€) (Total)]]-DATABASE_Table[[#This Row],[Vista membership]]-DATABASE_Table[[#This Row],[FF&amp;E]]</f>
        <v>950000</v>
      </c>
      <c r="S604" s="234">
        <v>950000</v>
      </c>
      <c r="T604" s="235">
        <v>970000</v>
      </c>
      <c r="U604" s="198"/>
      <c r="V604" s="198"/>
      <c r="W604" s="233">
        <f>DATABASE_Table[[#This Row],[Current Asking price( Total)]]-DATABASE_Table[[#This Row],[Vista membership]]-DATABASE_Table[[#This Row],[FF&amp;E]]</f>
        <v>970000</v>
      </c>
      <c r="X604" s="236"/>
      <c r="Y604" s="235"/>
      <c r="Z604" s="233">
        <f>DATABASE_Table[[#This Row],[Sell price (Total)]]-DATABASE_Table[[#This Row],[FF&amp;E]]-DATABASE_Table[[#This Row],[Vista membership]]</f>
        <v>0</v>
      </c>
      <c r="AA604" s="315"/>
      <c r="AB604" s="321">
        <v>47208</v>
      </c>
      <c r="AC604" s="199" t="s">
        <v>80</v>
      </c>
      <c r="AD604" s="199" t="s">
        <v>81</v>
      </c>
      <c r="AE604" s="272" t="s">
        <v>89</v>
      </c>
      <c r="AF604" s="272" t="s">
        <v>90</v>
      </c>
      <c r="AG604" s="272" t="s">
        <v>91</v>
      </c>
      <c r="AH604" s="272" t="s">
        <v>92</v>
      </c>
      <c r="AI604" s="199" t="s">
        <v>30</v>
      </c>
      <c r="AJ604" s="274" t="s">
        <v>87</v>
      </c>
      <c r="AK604"/>
    </row>
    <row r="605" spans="1:37" ht="15.75" hidden="1" customHeight="1">
      <c r="A605" s="198" t="s">
        <v>630</v>
      </c>
      <c r="B605" s="198" t="s">
        <v>691</v>
      </c>
      <c r="C605" s="214" t="s">
        <v>386</v>
      </c>
      <c r="D605" s="199" t="s">
        <v>9</v>
      </c>
      <c r="E605" s="198" t="s">
        <v>319</v>
      </c>
      <c r="F605" s="198">
        <v>151.25</v>
      </c>
      <c r="G605" s="198"/>
      <c r="H605" s="214" t="s">
        <v>848</v>
      </c>
      <c r="I605" s="214" t="s">
        <v>325</v>
      </c>
      <c r="J605" s="271">
        <v>27.61</v>
      </c>
      <c r="K605" s="198"/>
      <c r="L605" s="198"/>
      <c r="M605" s="198">
        <v>0</v>
      </c>
      <c r="N605" s="198"/>
      <c r="O605" s="198">
        <v>123.64</v>
      </c>
      <c r="P605" s="198"/>
      <c r="Q605" s="198" t="s">
        <v>326</v>
      </c>
      <c r="R605" s="230">
        <f>DATABASE_Table[[#This Row],[Inicial Asking Price (€) (Total)]]-DATABASE_Table[[#This Row],[Vista membership]]-DATABASE_Table[[#This Row],[FF&amp;E]]</f>
        <v>1001295.57</v>
      </c>
      <c r="S605" s="231">
        <v>1001295.57</v>
      </c>
      <c r="T605" s="232">
        <v>1010000</v>
      </c>
      <c r="U605" s="198"/>
      <c r="V605" s="198"/>
      <c r="W605" s="233">
        <f>DATABASE_Table[[#This Row],[Current Asking price( Total)]]-DATABASE_Table[[#This Row],[Vista membership]]-DATABASE_Table[[#This Row],[FF&amp;E]]</f>
        <v>1010000</v>
      </c>
      <c r="X605" s="216">
        <v>5.2400000000000002E-2</v>
      </c>
      <c r="Y605" s="232">
        <v>957076</v>
      </c>
      <c r="Z605" s="233">
        <f>DATABASE_Table[[#This Row],[Sell price (Total)]]-DATABASE_Table[[#This Row],[FF&amp;E]]-DATABASE_Table[[#This Row],[Vista membership]]</f>
        <v>957076</v>
      </c>
      <c r="AA605" s="315"/>
      <c r="AB605" s="321"/>
      <c r="AC605" s="199" t="s">
        <v>10</v>
      </c>
      <c r="AD605" s="199" t="s">
        <v>11</v>
      </c>
      <c r="AE605" s="272" t="s">
        <v>53</v>
      </c>
      <c r="AF605" s="272" t="s">
        <v>54</v>
      </c>
      <c r="AG605" s="272" t="s">
        <v>811</v>
      </c>
      <c r="AH605" s="272" t="s">
        <v>812</v>
      </c>
      <c r="AI605" s="199" t="s">
        <v>36</v>
      </c>
      <c r="AJ605" s="274" t="s">
        <v>52</v>
      </c>
      <c r="AK605"/>
    </row>
    <row r="606" spans="1:37" ht="15.75" hidden="1" customHeight="1">
      <c r="A606" s="198" t="s">
        <v>690</v>
      </c>
      <c r="B606" s="198" t="s">
        <v>691</v>
      </c>
      <c r="C606" s="214" t="s">
        <v>386</v>
      </c>
      <c r="D606" s="199" t="s">
        <v>9</v>
      </c>
      <c r="E606" s="198" t="s">
        <v>765</v>
      </c>
      <c r="F606" s="198">
        <v>280.27</v>
      </c>
      <c r="G606" s="198">
        <v>119.06</v>
      </c>
      <c r="H606" s="214" t="s">
        <v>325</v>
      </c>
      <c r="I606" s="214" t="s">
        <v>325</v>
      </c>
      <c r="J606" s="271">
        <v>25.77</v>
      </c>
      <c r="K606" s="198"/>
      <c r="L606" s="198"/>
      <c r="M606" s="198"/>
      <c r="N606" s="198"/>
      <c r="O606" s="198">
        <v>135.44</v>
      </c>
      <c r="P606" s="198"/>
      <c r="Q606" s="198" t="s">
        <v>329</v>
      </c>
      <c r="R606" s="230">
        <f>DATABASE_Table[[#This Row],[Inicial Asking Price (€) (Total)]]-DATABASE_Table[[#This Row],[Vista membership]]-DATABASE_Table[[#This Row],[FF&amp;E]]</f>
        <v>1227700</v>
      </c>
      <c r="S606" s="231">
        <v>1298850</v>
      </c>
      <c r="T606" s="232">
        <v>1370000</v>
      </c>
      <c r="U606" s="198">
        <v>24600</v>
      </c>
      <c r="V606" s="198">
        <v>46550</v>
      </c>
      <c r="W606" s="233">
        <f>DATABASE_Table[[#This Row],[Current Asking price( Total)]]-DATABASE_Table[[#This Row],[Vista membership]]-DATABASE_Table[[#This Row],[FF&amp;E]]</f>
        <v>1298850</v>
      </c>
      <c r="X606" s="216"/>
      <c r="Y606" s="232">
        <v>1370000</v>
      </c>
      <c r="Z606" s="233">
        <f>DATABASE_Table[[#This Row],[Sell price (Total)]]-DATABASE_Table[[#This Row],[FF&amp;E]]-DATABASE_Table[[#This Row],[Vista membership]]</f>
        <v>1298850</v>
      </c>
      <c r="AA606" s="315"/>
      <c r="AB606" s="321"/>
      <c r="AC606" s="199" t="s">
        <v>10</v>
      </c>
      <c r="AD606" s="199" t="s">
        <v>35</v>
      </c>
      <c r="AE606" s="272" t="s">
        <v>38</v>
      </c>
      <c r="AF606" s="272" t="s">
        <v>39</v>
      </c>
      <c r="AG606" s="272" t="s">
        <v>40</v>
      </c>
      <c r="AH606" s="272" t="s">
        <v>810</v>
      </c>
      <c r="AI606" s="199" t="s">
        <v>41</v>
      </c>
      <c r="AJ606" s="274" t="s">
        <v>37</v>
      </c>
      <c r="AK606"/>
    </row>
    <row r="607" spans="1:37" ht="15.75" hidden="1" customHeight="1">
      <c r="A607" s="198" t="s">
        <v>563</v>
      </c>
      <c r="B607" s="198" t="s">
        <v>691</v>
      </c>
      <c r="C607" s="214" t="s">
        <v>386</v>
      </c>
      <c r="D607" s="199" t="s">
        <v>9</v>
      </c>
      <c r="E607" s="198" t="s">
        <v>320</v>
      </c>
      <c r="F607" s="198">
        <v>130.91999999999999</v>
      </c>
      <c r="G607" s="198"/>
      <c r="H607" s="214" t="s">
        <v>325</v>
      </c>
      <c r="I607" s="214" t="s">
        <v>325</v>
      </c>
      <c r="J607" s="271"/>
      <c r="K607" s="198"/>
      <c r="L607" s="198"/>
      <c r="M607" s="198"/>
      <c r="N607" s="198"/>
      <c r="O607" s="198">
        <v>130.91999999999999</v>
      </c>
      <c r="P607" s="198"/>
      <c r="Q607" s="198" t="s">
        <v>628</v>
      </c>
      <c r="R607" s="230">
        <f>DATABASE_Table[[#This Row],[Inicial Asking Price (€) (Total)]]-DATABASE_Table[[#This Row],[Vista membership]]-DATABASE_Table[[#This Row],[FF&amp;E]]</f>
        <v>710000</v>
      </c>
      <c r="S607" s="231">
        <v>710000</v>
      </c>
      <c r="T607" s="232">
        <v>710000</v>
      </c>
      <c r="U607" s="198"/>
      <c r="V607" s="198"/>
      <c r="W607" s="233">
        <f>DATABASE_Table[[#This Row],[Current Asking price( Total)]]-DATABASE_Table[[#This Row],[Vista membership]]-DATABASE_Table[[#This Row],[FF&amp;E]]</f>
        <v>710000</v>
      </c>
      <c r="X607" s="216">
        <v>0</v>
      </c>
      <c r="Y607" s="232">
        <v>710000</v>
      </c>
      <c r="Z607" s="233">
        <f>DATABASE_Table[[#This Row],[Sell price (Total)]]-DATABASE_Table[[#This Row],[FF&amp;E]]-DATABASE_Table[[#This Row],[Vista membership]]</f>
        <v>710000</v>
      </c>
      <c r="AA607" s="317">
        <v>45891</v>
      </c>
      <c r="AB607" s="321"/>
      <c r="AC607" s="199" t="s">
        <v>10</v>
      </c>
      <c r="AD607" s="199" t="s">
        <v>11</v>
      </c>
      <c r="AE607" s="272" t="s">
        <v>28</v>
      </c>
      <c r="AF607" s="272" t="s">
        <v>29</v>
      </c>
      <c r="AG607" s="272" t="s">
        <v>805</v>
      </c>
      <c r="AH607" s="272" t="s">
        <v>806</v>
      </c>
      <c r="AI607" s="199" t="s">
        <v>30</v>
      </c>
      <c r="AJ607" s="274" t="s">
        <v>27</v>
      </c>
      <c r="AK607"/>
    </row>
    <row r="608" spans="1:37" ht="15.75" hidden="1" customHeight="1">
      <c r="A608" s="198" t="s">
        <v>564</v>
      </c>
      <c r="B608" s="198" t="s">
        <v>691</v>
      </c>
      <c r="C608" s="214" t="s">
        <v>386</v>
      </c>
      <c r="D608" s="199" t="s">
        <v>9</v>
      </c>
      <c r="E608" s="198" t="s">
        <v>416</v>
      </c>
      <c r="F608" s="198">
        <v>118.03</v>
      </c>
      <c r="G608" s="198"/>
      <c r="H608" s="214" t="s">
        <v>325</v>
      </c>
      <c r="I608" s="214" t="s">
        <v>325</v>
      </c>
      <c r="J608" s="271"/>
      <c r="K608" s="198"/>
      <c r="L608" s="198"/>
      <c r="M608" s="198">
        <v>28.84</v>
      </c>
      <c r="N608" s="198"/>
      <c r="O608" s="198">
        <v>89.19</v>
      </c>
      <c r="P608" s="198"/>
      <c r="Q608" s="198" t="s">
        <v>329</v>
      </c>
      <c r="R608" s="230">
        <f>DATABASE_Table[[#This Row],[Inicial Asking Price (€) (Total)]]-DATABASE_Table[[#This Row],[Vista membership]]-DATABASE_Table[[#This Row],[FF&amp;E]]</f>
        <v>744681.98719999997</v>
      </c>
      <c r="S608" s="231">
        <v>809281.98719999997</v>
      </c>
      <c r="T608" s="232">
        <v>890000</v>
      </c>
      <c r="U608" s="198">
        <v>24600</v>
      </c>
      <c r="V608" s="198">
        <v>40000</v>
      </c>
      <c r="W608" s="233">
        <f>DATABASE_Table[[#This Row],[Current Asking price( Total)]]-DATABASE_Table[[#This Row],[Vista membership]]-DATABASE_Table[[#This Row],[FF&amp;E]]</f>
        <v>825400</v>
      </c>
      <c r="X608" s="216"/>
      <c r="Y608" s="232">
        <v>890000</v>
      </c>
      <c r="Z608" s="233">
        <f>DATABASE_Table[[#This Row],[Sell price (Total)]]-DATABASE_Table[[#This Row],[FF&amp;E]]-DATABASE_Table[[#This Row],[Vista membership]]</f>
        <v>825400</v>
      </c>
      <c r="AA608" s="315"/>
      <c r="AB608" s="321"/>
      <c r="AC608" s="199" t="s">
        <v>10</v>
      </c>
      <c r="AD608" s="199" t="s">
        <v>35</v>
      </c>
      <c r="AE608" s="272" t="s">
        <v>43</v>
      </c>
      <c r="AF608" s="272" t="s">
        <v>44</v>
      </c>
      <c r="AG608" s="272" t="s">
        <v>45</v>
      </c>
      <c r="AH608" s="272" t="s">
        <v>46</v>
      </c>
      <c r="AI608" s="199" t="s">
        <v>47</v>
      </c>
      <c r="AJ608" s="274" t="s">
        <v>42</v>
      </c>
      <c r="AK608"/>
    </row>
    <row r="609" spans="1:37" ht="15.75" hidden="1" customHeight="1">
      <c r="A609" s="198" t="s">
        <v>630</v>
      </c>
      <c r="B609" s="198" t="s">
        <v>691</v>
      </c>
      <c r="C609" s="214" t="s">
        <v>387</v>
      </c>
      <c r="D609" s="199" t="s">
        <v>9</v>
      </c>
      <c r="E609" s="198" t="s">
        <v>321</v>
      </c>
      <c r="F609" s="198">
        <v>389.41</v>
      </c>
      <c r="G609" s="198"/>
      <c r="H609" s="214" t="s">
        <v>848</v>
      </c>
      <c r="I609" s="214" t="s">
        <v>325</v>
      </c>
      <c r="J609" s="271">
        <v>55.75</v>
      </c>
      <c r="K609" s="198"/>
      <c r="L609" s="198"/>
      <c r="M609" s="198">
        <v>136.30000000000001</v>
      </c>
      <c r="N609" s="198"/>
      <c r="O609" s="198">
        <v>197.36</v>
      </c>
      <c r="P609" s="198"/>
      <c r="Q609" s="198" t="s">
        <v>327</v>
      </c>
      <c r="R609" s="230">
        <f>DATABASE_Table[[#This Row],[Inicial Asking Price (€) (Total)]]-DATABASE_Table[[#This Row],[Vista membership]]-DATABASE_Table[[#This Row],[FF&amp;E]]</f>
        <v>2350904.85</v>
      </c>
      <c r="S609" s="231">
        <v>2350904.85</v>
      </c>
      <c r="T609" s="232">
        <v>2360000</v>
      </c>
      <c r="U609" s="198"/>
      <c r="V609" s="198"/>
      <c r="W609" s="233">
        <f>DATABASE_Table[[#This Row],[Current Asking price( Total)]]-DATABASE_Table[[#This Row],[Vista membership]]-DATABASE_Table[[#This Row],[FF&amp;E]]</f>
        <v>2360000</v>
      </c>
      <c r="X609" s="216">
        <v>0</v>
      </c>
      <c r="Y609" s="232">
        <v>2360000</v>
      </c>
      <c r="Z609" s="233">
        <f>DATABASE_Table[[#This Row],[Sell price (Total)]]-DATABASE_Table[[#This Row],[FF&amp;E]]-DATABASE_Table[[#This Row],[Vista membership]]</f>
        <v>2360000</v>
      </c>
      <c r="AA609" s="315"/>
      <c r="AB609" s="321"/>
      <c r="AC609" s="199" t="s">
        <v>10</v>
      </c>
      <c r="AD609" s="199" t="s">
        <v>11</v>
      </c>
      <c r="AE609" s="272" t="s">
        <v>53</v>
      </c>
      <c r="AF609" s="272" t="s">
        <v>54</v>
      </c>
      <c r="AG609" s="272" t="s">
        <v>811</v>
      </c>
      <c r="AH609" s="272" t="s">
        <v>812</v>
      </c>
      <c r="AI609" s="199" t="s">
        <v>36</v>
      </c>
      <c r="AJ609" s="274" t="s">
        <v>52</v>
      </c>
      <c r="AK609"/>
    </row>
    <row r="610" spans="1:37" ht="15.75" hidden="1" customHeight="1">
      <c r="A610" s="198" t="s">
        <v>690</v>
      </c>
      <c r="B610" s="198" t="s">
        <v>691</v>
      </c>
      <c r="C610" s="214" t="s">
        <v>387</v>
      </c>
      <c r="D610" s="199" t="s">
        <v>9</v>
      </c>
      <c r="E610" s="198" t="s">
        <v>765</v>
      </c>
      <c r="F610" s="198">
        <v>288.99</v>
      </c>
      <c r="G610" s="198">
        <v>121.69</v>
      </c>
      <c r="H610" s="214" t="s">
        <v>325</v>
      </c>
      <c r="I610" s="214" t="s">
        <v>325</v>
      </c>
      <c r="J610" s="271">
        <v>25.77</v>
      </c>
      <c r="K610" s="198"/>
      <c r="L610" s="198"/>
      <c r="M610" s="198"/>
      <c r="N610" s="198"/>
      <c r="O610" s="198">
        <v>141.53</v>
      </c>
      <c r="P610" s="198"/>
      <c r="Q610" s="198" t="s">
        <v>329</v>
      </c>
      <c r="R610" s="230">
        <f>DATABASE_Table[[#This Row],[Inicial Asking Price (€) (Total)]]-DATABASE_Table[[#This Row],[Vista membership]]-DATABASE_Table[[#This Row],[FF&amp;E]]</f>
        <v>1327700</v>
      </c>
      <c r="S610" s="231">
        <v>1398850</v>
      </c>
      <c r="T610" s="232">
        <v>1470000</v>
      </c>
      <c r="U610" s="198">
        <v>24600</v>
      </c>
      <c r="V610" s="198">
        <v>46550</v>
      </c>
      <c r="W610" s="233">
        <f>DATABASE_Table[[#This Row],[Current Asking price( Total)]]-DATABASE_Table[[#This Row],[Vista membership]]-DATABASE_Table[[#This Row],[FF&amp;E]]</f>
        <v>1398850</v>
      </c>
      <c r="X610" s="216"/>
      <c r="Y610" s="232">
        <v>1470000</v>
      </c>
      <c r="Z610" s="233">
        <f>DATABASE_Table[[#This Row],[Sell price (Total)]]-DATABASE_Table[[#This Row],[FF&amp;E]]-DATABASE_Table[[#This Row],[Vista membership]]</f>
        <v>1398850</v>
      </c>
      <c r="AA610" s="315"/>
      <c r="AB610" s="321"/>
      <c r="AC610" s="199" t="s">
        <v>10</v>
      </c>
      <c r="AD610" s="199" t="s">
        <v>35</v>
      </c>
      <c r="AE610" s="272" t="s">
        <v>38</v>
      </c>
      <c r="AF610" s="272" t="s">
        <v>39</v>
      </c>
      <c r="AG610" s="272" t="s">
        <v>40</v>
      </c>
      <c r="AH610" s="272" t="s">
        <v>810</v>
      </c>
      <c r="AI610" s="199" t="s">
        <v>41</v>
      </c>
      <c r="AJ610" s="274" t="s">
        <v>37</v>
      </c>
      <c r="AK610"/>
    </row>
    <row r="611" spans="1:37" ht="15.75" hidden="1" customHeight="1">
      <c r="A611" s="198" t="s">
        <v>563</v>
      </c>
      <c r="B611" s="198" t="s">
        <v>691</v>
      </c>
      <c r="C611" s="214" t="s">
        <v>387</v>
      </c>
      <c r="D611" s="199" t="s">
        <v>9</v>
      </c>
      <c r="E611" s="198" t="s">
        <v>320</v>
      </c>
      <c r="F611" s="198">
        <v>130.91999999999999</v>
      </c>
      <c r="G611" s="198"/>
      <c r="H611" s="214" t="s">
        <v>325</v>
      </c>
      <c r="I611" s="214" t="s">
        <v>325</v>
      </c>
      <c r="J611" s="271"/>
      <c r="K611" s="198"/>
      <c r="L611" s="198"/>
      <c r="M611" s="198"/>
      <c r="N611" s="198"/>
      <c r="O611" s="198">
        <v>130.91999999999999</v>
      </c>
      <c r="P611" s="198"/>
      <c r="Q611" s="198" t="s">
        <v>628</v>
      </c>
      <c r="R611" s="230">
        <f>DATABASE_Table[[#This Row],[Inicial Asking Price (€) (Total)]]-DATABASE_Table[[#This Row],[Vista membership]]-DATABASE_Table[[#This Row],[FF&amp;E]]</f>
        <v>710000</v>
      </c>
      <c r="S611" s="231">
        <v>710000</v>
      </c>
      <c r="T611" s="232">
        <v>740000</v>
      </c>
      <c r="U611" s="198"/>
      <c r="V611" s="198"/>
      <c r="W611" s="233">
        <f>DATABASE_Table[[#This Row],[Current Asking price( Total)]]-DATABASE_Table[[#This Row],[Vista membership]]-DATABASE_Table[[#This Row],[FF&amp;E]]</f>
        <v>740000</v>
      </c>
      <c r="X611" s="216">
        <v>0</v>
      </c>
      <c r="Y611" s="232">
        <v>740000</v>
      </c>
      <c r="Z611" s="233">
        <f>DATABASE_Table[[#This Row],[Sell price (Total)]]-DATABASE_Table[[#This Row],[FF&amp;E]]-DATABASE_Table[[#This Row],[Vista membership]]</f>
        <v>740000</v>
      </c>
      <c r="AA611" s="316">
        <v>46044</v>
      </c>
      <c r="AB611" s="321"/>
      <c r="AC611" s="199" t="s">
        <v>10</v>
      </c>
      <c r="AD611" s="199" t="s">
        <v>11</v>
      </c>
      <c r="AE611" s="272" t="s">
        <v>28</v>
      </c>
      <c r="AF611" s="272" t="s">
        <v>29</v>
      </c>
      <c r="AG611" s="272" t="s">
        <v>805</v>
      </c>
      <c r="AH611" s="272" t="s">
        <v>806</v>
      </c>
      <c r="AI611" s="199" t="s">
        <v>30</v>
      </c>
      <c r="AJ611" s="274" t="s">
        <v>27</v>
      </c>
      <c r="AK611"/>
    </row>
    <row r="612" spans="1:37" ht="15.75" hidden="1" customHeight="1">
      <c r="A612" s="198" t="s">
        <v>564</v>
      </c>
      <c r="B612" s="198" t="s">
        <v>691</v>
      </c>
      <c r="C612" s="214" t="s">
        <v>387</v>
      </c>
      <c r="D612" s="199" t="s">
        <v>9</v>
      </c>
      <c r="E612" s="198" t="s">
        <v>319</v>
      </c>
      <c r="F612" s="198">
        <v>281.44</v>
      </c>
      <c r="G612" s="198"/>
      <c r="H612" s="214" t="s">
        <v>325</v>
      </c>
      <c r="I612" s="214" t="s">
        <v>325</v>
      </c>
      <c r="J612" s="271"/>
      <c r="K612" s="198"/>
      <c r="L612" s="198"/>
      <c r="M612" s="198">
        <v>188.97</v>
      </c>
      <c r="N612" s="198"/>
      <c r="O612" s="198">
        <v>92.47</v>
      </c>
      <c r="P612" s="198"/>
      <c r="Q612" s="198" t="s">
        <v>329</v>
      </c>
      <c r="R612" s="230">
        <f>DATABASE_Table[[#This Row],[Inicial Asking Price (€) (Total)]]-DATABASE_Table[[#This Row],[Vista membership]]-DATABASE_Table[[#This Row],[FF&amp;E]]</f>
        <v>987434.81440000003</v>
      </c>
      <c r="S612" s="231">
        <v>1062034.8144</v>
      </c>
      <c r="T612" s="232">
        <v>1200000</v>
      </c>
      <c r="U612" s="198">
        <v>24600</v>
      </c>
      <c r="V612" s="198">
        <v>50000</v>
      </c>
      <c r="W612" s="233">
        <f>DATABASE_Table[[#This Row],[Current Asking price( Total)]]-DATABASE_Table[[#This Row],[Vista membership]]-DATABASE_Table[[#This Row],[FF&amp;E]]</f>
        <v>1125400</v>
      </c>
      <c r="X612" s="216"/>
      <c r="Y612" s="232">
        <v>1200000</v>
      </c>
      <c r="Z612" s="233">
        <f>DATABASE_Table[[#This Row],[Sell price (Total)]]-DATABASE_Table[[#This Row],[FF&amp;E]]-DATABASE_Table[[#This Row],[Vista membership]]</f>
        <v>1125400</v>
      </c>
      <c r="AA612" s="315"/>
      <c r="AB612" s="321"/>
      <c r="AC612" s="199" t="s">
        <v>10</v>
      </c>
      <c r="AD612" s="199" t="s">
        <v>35</v>
      </c>
      <c r="AE612" s="272" t="s">
        <v>43</v>
      </c>
      <c r="AF612" s="272" t="s">
        <v>44</v>
      </c>
      <c r="AG612" s="272" t="s">
        <v>45</v>
      </c>
      <c r="AH612" s="272" t="s">
        <v>46</v>
      </c>
      <c r="AI612" s="199" t="s">
        <v>47</v>
      </c>
      <c r="AJ612" s="274" t="s">
        <v>42</v>
      </c>
      <c r="AK612"/>
    </row>
    <row r="613" spans="1:37" ht="15.75" hidden="1" customHeight="1">
      <c r="A613" s="198" t="s">
        <v>630</v>
      </c>
      <c r="B613" s="198" t="s">
        <v>691</v>
      </c>
      <c r="C613" s="214" t="s">
        <v>388</v>
      </c>
      <c r="D613" s="199" t="s">
        <v>9</v>
      </c>
      <c r="E613" s="198" t="s">
        <v>320</v>
      </c>
      <c r="F613" s="198">
        <v>224.52</v>
      </c>
      <c r="G613" s="198"/>
      <c r="H613" s="214" t="s">
        <v>848</v>
      </c>
      <c r="I613" s="214" t="s">
        <v>325</v>
      </c>
      <c r="J613" s="271">
        <v>55.65</v>
      </c>
      <c r="K613" s="198"/>
      <c r="L613" s="198"/>
      <c r="M613" s="198">
        <v>0</v>
      </c>
      <c r="N613" s="198"/>
      <c r="O613" s="198">
        <v>168.87</v>
      </c>
      <c r="P613" s="198"/>
      <c r="Q613" s="198" t="s">
        <v>329</v>
      </c>
      <c r="R613" s="230">
        <f>DATABASE_Table[[#This Row],[Inicial Asking Price (€) (Total)]]-DATABASE_Table[[#This Row],[Vista membership]]-DATABASE_Table[[#This Row],[FF&amp;E]]</f>
        <v>1638520</v>
      </c>
      <c r="S613" s="231">
        <v>1638520</v>
      </c>
      <c r="T613" s="232">
        <v>1725000</v>
      </c>
      <c r="U613" s="198"/>
      <c r="V613" s="198"/>
      <c r="W613" s="233">
        <f>DATABASE_Table[[#This Row],[Current Asking price( Total)]]-DATABASE_Table[[#This Row],[Vista membership]]-DATABASE_Table[[#This Row],[FF&amp;E]]</f>
        <v>1725000</v>
      </c>
      <c r="X613" s="216"/>
      <c r="Y613" s="232">
        <v>1705600</v>
      </c>
      <c r="Z613" s="233">
        <f>DATABASE_Table[[#This Row],[Sell price (Total)]]-DATABASE_Table[[#This Row],[FF&amp;E]]-DATABASE_Table[[#This Row],[Vista membership]]</f>
        <v>1705600</v>
      </c>
      <c r="AA613" s="315"/>
      <c r="AB613" s="321"/>
      <c r="AC613" s="199" t="s">
        <v>10</v>
      </c>
      <c r="AD613" s="199" t="s">
        <v>11</v>
      </c>
      <c r="AE613" s="272" t="s">
        <v>53</v>
      </c>
      <c r="AF613" s="272" t="s">
        <v>54</v>
      </c>
      <c r="AG613" s="272" t="s">
        <v>811</v>
      </c>
      <c r="AH613" s="272" t="s">
        <v>812</v>
      </c>
      <c r="AI613" s="199" t="s">
        <v>36</v>
      </c>
      <c r="AJ613" s="274" t="s">
        <v>52</v>
      </c>
      <c r="AK613"/>
    </row>
    <row r="614" spans="1:37" ht="15.75" hidden="1" customHeight="1">
      <c r="A614" s="198" t="s">
        <v>784</v>
      </c>
      <c r="B614" s="198" t="s">
        <v>787</v>
      </c>
      <c r="C614" s="214" t="s">
        <v>452</v>
      </c>
      <c r="D614" s="199" t="s">
        <v>88</v>
      </c>
      <c r="E614" s="198" t="s">
        <v>383</v>
      </c>
      <c r="F614" s="198">
        <v>335.26</v>
      </c>
      <c r="G614" s="198"/>
      <c r="H614" s="214" t="s">
        <v>849</v>
      </c>
      <c r="I614" s="214" t="s">
        <v>590</v>
      </c>
      <c r="J614" s="271">
        <v>0</v>
      </c>
      <c r="K614" s="198">
        <v>129.28</v>
      </c>
      <c r="L614" s="198">
        <v>44.52</v>
      </c>
      <c r="M614" s="198"/>
      <c r="N614" s="198"/>
      <c r="O614" s="198">
        <v>161.46</v>
      </c>
      <c r="P614" s="198"/>
      <c r="Q614" s="198" t="s">
        <v>326</v>
      </c>
      <c r="R614" s="230">
        <f>DATABASE_Table[[#This Row],[Inicial Asking Price (€) (Total)]]-DATABASE_Table[[#This Row],[Vista membership]]-DATABASE_Table[[#This Row],[FF&amp;E]]</f>
        <v>960000</v>
      </c>
      <c r="S614" s="234">
        <v>960000</v>
      </c>
      <c r="T614" s="235">
        <v>1000000</v>
      </c>
      <c r="U614" s="198"/>
      <c r="V614" s="198"/>
      <c r="W614" s="233">
        <f>DATABASE_Table[[#This Row],[Current Asking price( Total)]]-DATABASE_Table[[#This Row],[Vista membership]]-DATABASE_Table[[#This Row],[FF&amp;E]]</f>
        <v>1000000</v>
      </c>
      <c r="X614" s="236">
        <v>0</v>
      </c>
      <c r="Y614" s="235">
        <v>860000</v>
      </c>
      <c r="Z614" s="233">
        <f>DATABASE_Table[[#This Row],[Sell price (Total)]]-DATABASE_Table[[#This Row],[FF&amp;E]]-DATABASE_Table[[#This Row],[Vista membership]]</f>
        <v>860000</v>
      </c>
      <c r="AA614" s="315">
        <v>46171</v>
      </c>
      <c r="AB614" s="321">
        <v>47208</v>
      </c>
      <c r="AC614" s="199" t="s">
        <v>80</v>
      </c>
      <c r="AD614" s="199" t="s">
        <v>81</v>
      </c>
      <c r="AE614" s="272" t="s">
        <v>89</v>
      </c>
      <c r="AF614" s="272" t="s">
        <v>90</v>
      </c>
      <c r="AG614" s="272" t="s">
        <v>91</v>
      </c>
      <c r="AH614" s="272" t="s">
        <v>92</v>
      </c>
      <c r="AI614" s="199" t="s">
        <v>30</v>
      </c>
      <c r="AJ614" s="274" t="s">
        <v>87</v>
      </c>
      <c r="AK614"/>
    </row>
    <row r="615" spans="1:37" ht="15.75" hidden="1" customHeight="1">
      <c r="A615" s="198" t="s">
        <v>784</v>
      </c>
      <c r="B615" s="198" t="s">
        <v>787</v>
      </c>
      <c r="C615" s="214" t="s">
        <v>449</v>
      </c>
      <c r="D615" s="199" t="s">
        <v>88</v>
      </c>
      <c r="E615" s="198" t="s">
        <v>383</v>
      </c>
      <c r="F615" s="198">
        <v>323.13</v>
      </c>
      <c r="G615" s="198"/>
      <c r="H615" s="214" t="s">
        <v>849</v>
      </c>
      <c r="I615" s="214" t="s">
        <v>590</v>
      </c>
      <c r="J615" s="271">
        <v>0</v>
      </c>
      <c r="K615" s="198">
        <v>117.15</v>
      </c>
      <c r="L615" s="198">
        <v>44.52</v>
      </c>
      <c r="M615" s="198"/>
      <c r="N615" s="198"/>
      <c r="O615" s="198">
        <v>161.46</v>
      </c>
      <c r="P615" s="198"/>
      <c r="Q615" s="198" t="s">
        <v>591</v>
      </c>
      <c r="R615" s="230">
        <f>DATABASE_Table[[#This Row],[Inicial Asking Price (€) (Total)]]-DATABASE_Table[[#This Row],[Vista membership]]-DATABASE_Table[[#This Row],[FF&amp;E]]</f>
        <v>960000</v>
      </c>
      <c r="S615" s="234">
        <v>960000</v>
      </c>
      <c r="T615" s="235">
        <v>980000</v>
      </c>
      <c r="U615" s="198"/>
      <c r="V615" s="198"/>
      <c r="W615" s="233">
        <f>DATABASE_Table[[#This Row],[Current Asking price( Total)]]-DATABASE_Table[[#This Row],[Vista membership]]-DATABASE_Table[[#This Row],[FF&amp;E]]</f>
        <v>980000</v>
      </c>
      <c r="X615" s="236"/>
      <c r="Y615" s="235"/>
      <c r="Z615" s="233">
        <f>DATABASE_Table[[#This Row],[Sell price (Total)]]-DATABASE_Table[[#This Row],[FF&amp;E]]-DATABASE_Table[[#This Row],[Vista membership]]</f>
        <v>0</v>
      </c>
      <c r="AA615" s="315"/>
      <c r="AB615" s="321">
        <v>47208</v>
      </c>
      <c r="AC615" s="199" t="s">
        <v>80</v>
      </c>
      <c r="AD615" s="199" t="s">
        <v>81</v>
      </c>
      <c r="AE615" s="272" t="s">
        <v>89</v>
      </c>
      <c r="AF615" s="272" t="s">
        <v>90</v>
      </c>
      <c r="AG615" s="272" t="s">
        <v>91</v>
      </c>
      <c r="AH615" s="272" t="s">
        <v>92</v>
      </c>
      <c r="AI615" s="199" t="s">
        <v>30</v>
      </c>
      <c r="AJ615" s="274" t="s">
        <v>87</v>
      </c>
      <c r="AK615"/>
    </row>
    <row r="616" spans="1:37" ht="15.75" hidden="1" customHeight="1">
      <c r="A616" s="198" t="s">
        <v>690</v>
      </c>
      <c r="B616" s="198" t="s">
        <v>691</v>
      </c>
      <c r="C616" s="214" t="s">
        <v>388</v>
      </c>
      <c r="D616" s="199" t="s">
        <v>9</v>
      </c>
      <c r="E616" s="198" t="s">
        <v>765</v>
      </c>
      <c r="F616" s="198">
        <v>334.97</v>
      </c>
      <c r="G616" s="198">
        <v>170.89</v>
      </c>
      <c r="H616" s="214" t="s">
        <v>325</v>
      </c>
      <c r="I616" s="214" t="s">
        <v>325</v>
      </c>
      <c r="J616" s="271">
        <v>25.77</v>
      </c>
      <c r="K616" s="198"/>
      <c r="L616" s="198"/>
      <c r="M616" s="198"/>
      <c r="N616" s="198"/>
      <c r="O616" s="198">
        <v>138.31</v>
      </c>
      <c r="P616" s="198"/>
      <c r="Q616" s="198" t="s">
        <v>329</v>
      </c>
      <c r="R616" s="230">
        <f>DATABASE_Table[[#This Row],[Inicial Asking Price (€) (Total)]]-DATABASE_Table[[#This Row],[Vista membership]]-DATABASE_Table[[#This Row],[FF&amp;E]]</f>
        <v>1517700</v>
      </c>
      <c r="S616" s="231">
        <v>1588850</v>
      </c>
      <c r="T616" s="232">
        <v>1660000</v>
      </c>
      <c r="U616" s="198">
        <v>24600</v>
      </c>
      <c r="V616" s="198">
        <v>46550</v>
      </c>
      <c r="W616" s="233">
        <f>DATABASE_Table[[#This Row],[Current Asking price( Total)]]-DATABASE_Table[[#This Row],[Vista membership]]-DATABASE_Table[[#This Row],[FF&amp;E]]</f>
        <v>1588850</v>
      </c>
      <c r="X616" s="216"/>
      <c r="Y616" s="232">
        <v>1660000</v>
      </c>
      <c r="Z616" s="233">
        <f>DATABASE_Table[[#This Row],[Sell price (Total)]]-DATABASE_Table[[#This Row],[FF&amp;E]]-DATABASE_Table[[#This Row],[Vista membership]]</f>
        <v>1588850</v>
      </c>
      <c r="AA616" s="315"/>
      <c r="AB616" s="321"/>
      <c r="AC616" s="199" t="s">
        <v>10</v>
      </c>
      <c r="AD616" s="199" t="s">
        <v>35</v>
      </c>
      <c r="AE616" s="272" t="s">
        <v>38</v>
      </c>
      <c r="AF616" s="272" t="s">
        <v>39</v>
      </c>
      <c r="AG616" s="272" t="s">
        <v>40</v>
      </c>
      <c r="AH616" s="272" t="s">
        <v>810</v>
      </c>
      <c r="AI616" s="199" t="s">
        <v>41</v>
      </c>
      <c r="AJ616" s="274" t="s">
        <v>37</v>
      </c>
      <c r="AK616"/>
    </row>
    <row r="617" spans="1:37" ht="15.75" hidden="1" customHeight="1">
      <c r="A617" s="198" t="s">
        <v>563</v>
      </c>
      <c r="B617" s="198" t="s">
        <v>691</v>
      </c>
      <c r="C617" s="214" t="s">
        <v>388</v>
      </c>
      <c r="D617" s="199" t="s">
        <v>9</v>
      </c>
      <c r="E617" s="198" t="s">
        <v>319</v>
      </c>
      <c r="F617" s="198">
        <v>78.3</v>
      </c>
      <c r="G617" s="198"/>
      <c r="H617" s="214" t="s">
        <v>325</v>
      </c>
      <c r="I617" s="214" t="s">
        <v>325</v>
      </c>
      <c r="J617" s="271"/>
      <c r="K617" s="198"/>
      <c r="L617" s="198"/>
      <c r="M617" s="198"/>
      <c r="N617" s="198"/>
      <c r="O617" s="198">
        <v>78.3</v>
      </c>
      <c r="P617" s="198"/>
      <c r="Q617" s="198" t="s">
        <v>628</v>
      </c>
      <c r="R617" s="230">
        <f>DATABASE_Table[[#This Row],[Inicial Asking Price (€) (Total)]]-DATABASE_Table[[#This Row],[Vista membership]]-DATABASE_Table[[#This Row],[FF&amp;E]]</f>
        <v>470000</v>
      </c>
      <c r="S617" s="231">
        <v>470000</v>
      </c>
      <c r="T617" s="232">
        <v>470000</v>
      </c>
      <c r="U617" s="198"/>
      <c r="V617" s="198"/>
      <c r="W617" s="233">
        <f>DATABASE_Table[[#This Row],[Current Asking price( Total)]]-DATABASE_Table[[#This Row],[Vista membership]]-DATABASE_Table[[#This Row],[FF&amp;E]]</f>
        <v>470000</v>
      </c>
      <c r="X617" s="216">
        <v>0.05</v>
      </c>
      <c r="Y617" s="232">
        <v>446500</v>
      </c>
      <c r="Z617" s="233">
        <f>DATABASE_Table[[#This Row],[Sell price (Total)]]-DATABASE_Table[[#This Row],[FF&amp;E]]-DATABASE_Table[[#This Row],[Vista membership]]</f>
        <v>446500</v>
      </c>
      <c r="AA617" s="316">
        <v>45574</v>
      </c>
      <c r="AB617" s="321"/>
      <c r="AC617" s="199" t="s">
        <v>10</v>
      </c>
      <c r="AD617" s="199" t="s">
        <v>11</v>
      </c>
      <c r="AE617" s="272" t="s">
        <v>28</v>
      </c>
      <c r="AF617" s="272" t="s">
        <v>29</v>
      </c>
      <c r="AG617" s="272" t="s">
        <v>805</v>
      </c>
      <c r="AH617" s="272" t="s">
        <v>806</v>
      </c>
      <c r="AI617" s="199" t="s">
        <v>30</v>
      </c>
      <c r="AJ617" s="274" t="s">
        <v>27</v>
      </c>
      <c r="AK617"/>
    </row>
    <row r="618" spans="1:37" ht="15.75" hidden="1" customHeight="1">
      <c r="A618" s="198" t="s">
        <v>564</v>
      </c>
      <c r="B618" s="198" t="s">
        <v>691</v>
      </c>
      <c r="C618" s="214" t="s">
        <v>388</v>
      </c>
      <c r="D618" s="199" t="s">
        <v>9</v>
      </c>
      <c r="E618" s="198" t="s">
        <v>419</v>
      </c>
      <c r="F618" s="198">
        <v>89.42</v>
      </c>
      <c r="G618" s="198"/>
      <c r="H618" s="214" t="s">
        <v>325</v>
      </c>
      <c r="I618" s="214" t="s">
        <v>325</v>
      </c>
      <c r="J618" s="271"/>
      <c r="K618" s="198"/>
      <c r="L618" s="198"/>
      <c r="M618" s="198">
        <v>26.51</v>
      </c>
      <c r="N618" s="198"/>
      <c r="O618" s="198">
        <v>62.91</v>
      </c>
      <c r="P618" s="198"/>
      <c r="Q618" s="198" t="s">
        <v>329</v>
      </c>
      <c r="R618" s="230">
        <f>DATABASE_Table[[#This Row],[Inicial Asking Price (€) (Total)]]-DATABASE_Table[[#This Row],[Vista membership]]-DATABASE_Table[[#This Row],[FF&amp;E]]</f>
        <v>571187.51439999999</v>
      </c>
      <c r="S618" s="231">
        <v>625787.51439999999</v>
      </c>
      <c r="T618" s="232">
        <v>690000</v>
      </c>
      <c r="U618" s="198">
        <v>24600</v>
      </c>
      <c r="V618" s="198">
        <v>30000</v>
      </c>
      <c r="W618" s="233">
        <f>DATABASE_Table[[#This Row],[Current Asking price( Total)]]-DATABASE_Table[[#This Row],[Vista membership]]-DATABASE_Table[[#This Row],[FF&amp;E]]</f>
        <v>635400</v>
      </c>
      <c r="X618" s="216"/>
      <c r="Y618" s="232">
        <v>690000</v>
      </c>
      <c r="Z618" s="233">
        <f>DATABASE_Table[[#This Row],[Sell price (Total)]]-DATABASE_Table[[#This Row],[FF&amp;E]]-DATABASE_Table[[#This Row],[Vista membership]]</f>
        <v>635400</v>
      </c>
      <c r="AA618" s="315"/>
      <c r="AB618" s="321"/>
      <c r="AC618" s="199" t="s">
        <v>10</v>
      </c>
      <c r="AD618" s="199" t="s">
        <v>35</v>
      </c>
      <c r="AE618" s="272" t="s">
        <v>43</v>
      </c>
      <c r="AF618" s="272" t="s">
        <v>44</v>
      </c>
      <c r="AG618" s="272" t="s">
        <v>45</v>
      </c>
      <c r="AH618" s="272" t="s">
        <v>46</v>
      </c>
      <c r="AI618" s="199" t="s">
        <v>47</v>
      </c>
      <c r="AJ618" s="274" t="s">
        <v>42</v>
      </c>
      <c r="AK618"/>
    </row>
    <row r="619" spans="1:37" ht="15.75" hidden="1" customHeight="1">
      <c r="A619" s="198" t="s">
        <v>630</v>
      </c>
      <c r="B619" s="198" t="s">
        <v>691</v>
      </c>
      <c r="C619" s="214" t="s">
        <v>389</v>
      </c>
      <c r="D619" s="199" t="s">
        <v>9</v>
      </c>
      <c r="E619" s="198" t="s">
        <v>320</v>
      </c>
      <c r="F619" s="198">
        <v>319.7</v>
      </c>
      <c r="G619" s="198"/>
      <c r="H619" s="214" t="s">
        <v>848</v>
      </c>
      <c r="I619" s="214" t="s">
        <v>325</v>
      </c>
      <c r="J619" s="271">
        <v>55.52</v>
      </c>
      <c r="K619" s="198"/>
      <c r="L619" s="198"/>
      <c r="M619" s="198">
        <v>97.96</v>
      </c>
      <c r="N619" s="198"/>
      <c r="O619" s="198">
        <v>166.22</v>
      </c>
      <c r="P619" s="198"/>
      <c r="Q619" s="198" t="s">
        <v>326</v>
      </c>
      <c r="R619" s="230">
        <f>DATABASE_Table[[#This Row],[Inicial Asking Price (€) (Total)]]-DATABASE_Table[[#This Row],[Vista membership]]-DATABASE_Table[[#This Row],[FF&amp;E]]</f>
        <v>1873737.58</v>
      </c>
      <c r="S619" s="231">
        <v>1873737.58</v>
      </c>
      <c r="T619" s="232">
        <v>1955200</v>
      </c>
      <c r="U619" s="198"/>
      <c r="V619" s="198"/>
      <c r="W619" s="233">
        <f>DATABASE_Table[[#This Row],[Current Asking price( Total)]]-DATABASE_Table[[#This Row],[Vista membership]]-DATABASE_Table[[#This Row],[FF&amp;E]]</f>
        <v>1955200</v>
      </c>
      <c r="X619" s="216">
        <v>7.5695581014729703E-3</v>
      </c>
      <c r="Y619" s="232">
        <v>1940400</v>
      </c>
      <c r="Z619" s="233">
        <f>DATABASE_Table[[#This Row],[Sell price (Total)]]-DATABASE_Table[[#This Row],[FF&amp;E]]-DATABASE_Table[[#This Row],[Vista membership]]</f>
        <v>1940400</v>
      </c>
      <c r="AA619" s="315"/>
      <c r="AB619" s="321"/>
      <c r="AC619" s="199" t="s">
        <v>10</v>
      </c>
      <c r="AD619" s="199" t="s">
        <v>11</v>
      </c>
      <c r="AE619" s="272" t="s">
        <v>53</v>
      </c>
      <c r="AF619" s="272" t="s">
        <v>54</v>
      </c>
      <c r="AG619" s="272" t="s">
        <v>811</v>
      </c>
      <c r="AH619" s="272" t="s">
        <v>812</v>
      </c>
      <c r="AI619" s="199" t="s">
        <v>36</v>
      </c>
      <c r="AJ619" s="274" t="s">
        <v>52</v>
      </c>
      <c r="AK619"/>
    </row>
    <row r="620" spans="1:37" ht="15.75" hidden="1" customHeight="1">
      <c r="A620" s="198" t="s">
        <v>690</v>
      </c>
      <c r="B620" s="198" t="s">
        <v>691</v>
      </c>
      <c r="C620" s="214" t="s">
        <v>389</v>
      </c>
      <c r="D620" s="199" t="s">
        <v>9</v>
      </c>
      <c r="E620" s="198" t="s">
        <v>765</v>
      </c>
      <c r="F620" s="198">
        <v>330.51</v>
      </c>
      <c r="G620" s="198">
        <v>169.3</v>
      </c>
      <c r="H620" s="214" t="s">
        <v>325</v>
      </c>
      <c r="I620" s="214" t="s">
        <v>325</v>
      </c>
      <c r="J620" s="271">
        <v>25.77</v>
      </c>
      <c r="K620" s="198"/>
      <c r="L620" s="198"/>
      <c r="M620" s="198"/>
      <c r="N620" s="198"/>
      <c r="O620" s="198">
        <v>135.44</v>
      </c>
      <c r="P620" s="198"/>
      <c r="Q620" s="198" t="s">
        <v>329</v>
      </c>
      <c r="R620" s="230">
        <f>DATABASE_Table[[#This Row],[Inicial Asking Price (€) (Total)]]-DATABASE_Table[[#This Row],[Vista membership]]-DATABASE_Table[[#This Row],[FF&amp;E]]</f>
        <v>1517700</v>
      </c>
      <c r="S620" s="231">
        <v>1588850</v>
      </c>
      <c r="T620" s="232">
        <v>1660000</v>
      </c>
      <c r="U620" s="198">
        <v>24600</v>
      </c>
      <c r="V620" s="198">
        <v>46550</v>
      </c>
      <c r="W620" s="233">
        <f>DATABASE_Table[[#This Row],[Current Asking price( Total)]]-DATABASE_Table[[#This Row],[Vista membership]]-DATABASE_Table[[#This Row],[FF&amp;E]]</f>
        <v>1588850</v>
      </c>
      <c r="X620" s="216"/>
      <c r="Y620" s="232">
        <v>1660000</v>
      </c>
      <c r="Z620" s="233">
        <f>DATABASE_Table[[#This Row],[Sell price (Total)]]-DATABASE_Table[[#This Row],[FF&amp;E]]-DATABASE_Table[[#This Row],[Vista membership]]</f>
        <v>1588850</v>
      </c>
      <c r="AA620" s="315"/>
      <c r="AB620" s="321"/>
      <c r="AC620" s="199" t="s">
        <v>10</v>
      </c>
      <c r="AD620" s="199" t="s">
        <v>35</v>
      </c>
      <c r="AE620" s="272" t="s">
        <v>38</v>
      </c>
      <c r="AF620" s="272" t="s">
        <v>39</v>
      </c>
      <c r="AG620" s="272" t="s">
        <v>40</v>
      </c>
      <c r="AH620" s="272" t="s">
        <v>810</v>
      </c>
      <c r="AI620" s="199" t="s">
        <v>41</v>
      </c>
      <c r="AJ620" s="274" t="s">
        <v>37</v>
      </c>
      <c r="AK620"/>
    </row>
    <row r="621" spans="1:37" ht="15.75" hidden="1" customHeight="1">
      <c r="A621" s="198" t="s">
        <v>563</v>
      </c>
      <c r="B621" s="198" t="s">
        <v>691</v>
      </c>
      <c r="C621" s="214" t="s">
        <v>389</v>
      </c>
      <c r="D621" s="199" t="s">
        <v>9</v>
      </c>
      <c r="E621" s="198" t="s">
        <v>319</v>
      </c>
      <c r="F621" s="198">
        <v>78.3</v>
      </c>
      <c r="G621" s="198"/>
      <c r="H621" s="214" t="s">
        <v>325</v>
      </c>
      <c r="I621" s="214" t="s">
        <v>325</v>
      </c>
      <c r="J621" s="271"/>
      <c r="K621" s="198"/>
      <c r="L621" s="198"/>
      <c r="M621" s="198"/>
      <c r="N621" s="198"/>
      <c r="O621" s="198">
        <v>78.3</v>
      </c>
      <c r="P621" s="198"/>
      <c r="Q621" s="198" t="s">
        <v>628</v>
      </c>
      <c r="R621" s="230">
        <f>DATABASE_Table[[#This Row],[Inicial Asking Price (€) (Total)]]-DATABASE_Table[[#This Row],[Vista membership]]-DATABASE_Table[[#This Row],[FF&amp;E]]</f>
        <v>465000</v>
      </c>
      <c r="S621" s="231">
        <v>465000</v>
      </c>
      <c r="T621" s="232">
        <v>465000</v>
      </c>
      <c r="U621" s="198"/>
      <c r="V621" s="198"/>
      <c r="W621" s="233">
        <f>DATABASE_Table[[#This Row],[Current Asking price( Total)]]-DATABASE_Table[[#This Row],[Vista membership]]-DATABASE_Table[[#This Row],[FF&amp;E]]</f>
        <v>465000</v>
      </c>
      <c r="X621" s="216">
        <v>0</v>
      </c>
      <c r="Y621" s="232">
        <v>465000</v>
      </c>
      <c r="Z621" s="233">
        <f>DATABASE_Table[[#This Row],[Sell price (Total)]]-DATABASE_Table[[#This Row],[FF&amp;E]]-DATABASE_Table[[#This Row],[Vista membership]]</f>
        <v>465000</v>
      </c>
      <c r="AA621" s="316">
        <v>45604</v>
      </c>
      <c r="AB621" s="321"/>
      <c r="AC621" s="199" t="s">
        <v>10</v>
      </c>
      <c r="AD621" s="199" t="s">
        <v>11</v>
      </c>
      <c r="AE621" s="272" t="s">
        <v>28</v>
      </c>
      <c r="AF621" s="272" t="s">
        <v>29</v>
      </c>
      <c r="AG621" s="272" t="s">
        <v>805</v>
      </c>
      <c r="AH621" s="272" t="s">
        <v>806</v>
      </c>
      <c r="AI621" s="199" t="s">
        <v>30</v>
      </c>
      <c r="AJ621" s="274" t="s">
        <v>27</v>
      </c>
      <c r="AK621"/>
    </row>
    <row r="622" spans="1:37" ht="15.75" hidden="1" customHeight="1">
      <c r="A622" s="198" t="s">
        <v>773</v>
      </c>
      <c r="B622" s="198" t="s">
        <v>769</v>
      </c>
      <c r="C622" s="214" t="s">
        <v>844</v>
      </c>
      <c r="D622" s="199" t="s">
        <v>67</v>
      </c>
      <c r="E622" s="198" t="s">
        <v>553</v>
      </c>
      <c r="F622" s="198">
        <v>2718</v>
      </c>
      <c r="G622" s="198"/>
      <c r="H622" s="214" t="s">
        <v>325</v>
      </c>
      <c r="I622" s="214" t="s">
        <v>325</v>
      </c>
      <c r="J622" s="271"/>
      <c r="K622" s="198"/>
      <c r="L622" s="198"/>
      <c r="M622" s="198"/>
      <c r="N622" s="198"/>
      <c r="O622" s="198">
        <v>420</v>
      </c>
      <c r="P622" s="198"/>
      <c r="Q622" s="198" t="s">
        <v>329</v>
      </c>
      <c r="R622" s="230">
        <f>DATABASE_Table[[#This Row],[Inicial Asking Price (€) (Total)]]-DATABASE_Table[[#This Row],[Vista membership]]-DATABASE_Table[[#This Row],[FF&amp;E]]</f>
        <v>980000</v>
      </c>
      <c r="S622" s="234">
        <v>980000</v>
      </c>
      <c r="T622" s="235">
        <v>1750000</v>
      </c>
      <c r="U622" s="198"/>
      <c r="V622" s="198"/>
      <c r="W622" s="233">
        <f>DATABASE_Table[[#This Row],[Current Asking price( Total)]]-DATABASE_Table[[#This Row],[Vista membership]]-DATABASE_Table[[#This Row],[FF&amp;E]]</f>
        <v>1750000</v>
      </c>
      <c r="X622" s="236"/>
      <c r="Y622" s="235">
        <v>1750000</v>
      </c>
      <c r="Z622" s="233">
        <f>DATABASE_Table[[#This Row],[Sell price (Total)]]-DATABASE_Table[[#This Row],[FF&amp;E]]-DATABASE_Table[[#This Row],[Vista membership]]</f>
        <v>1750000</v>
      </c>
      <c r="AA622" s="315"/>
      <c r="AB622" s="321">
        <v>46843</v>
      </c>
      <c r="AC622" s="199" t="s">
        <v>57</v>
      </c>
      <c r="AD622" s="199" t="s">
        <v>68</v>
      </c>
      <c r="AE622" s="272" t="s">
        <v>69</v>
      </c>
      <c r="AF622" s="272" t="s">
        <v>70</v>
      </c>
      <c r="AG622" s="272" t="s">
        <v>71</v>
      </c>
      <c r="AH622" s="272" t="s">
        <v>816</v>
      </c>
      <c r="AI622" s="199" t="s">
        <v>72</v>
      </c>
      <c r="AJ622" s="274" t="s">
        <v>66</v>
      </c>
      <c r="AK622"/>
    </row>
    <row r="623" spans="1:37" ht="15.75" hidden="1" customHeight="1">
      <c r="A623" s="198" t="s">
        <v>564</v>
      </c>
      <c r="B623" s="198" t="s">
        <v>691</v>
      </c>
      <c r="C623" s="214" t="s">
        <v>389</v>
      </c>
      <c r="D623" s="199" t="s">
        <v>9</v>
      </c>
      <c r="E623" s="198" t="s">
        <v>419</v>
      </c>
      <c r="F623" s="198">
        <v>77.86</v>
      </c>
      <c r="G623" s="198"/>
      <c r="H623" s="214" t="s">
        <v>325</v>
      </c>
      <c r="I623" s="214" t="s">
        <v>325</v>
      </c>
      <c r="J623" s="271"/>
      <c r="K623" s="198"/>
      <c r="L623" s="198"/>
      <c r="M623" s="198">
        <v>19.79</v>
      </c>
      <c r="N623" s="198"/>
      <c r="O623" s="198">
        <v>58.07</v>
      </c>
      <c r="P623" s="198"/>
      <c r="Q623" s="198" t="s">
        <v>628</v>
      </c>
      <c r="R623" s="230">
        <f>DATABASE_Table[[#This Row],[Inicial Asking Price (€) (Total)]]-DATABASE_Table[[#This Row],[Vista membership]]-DATABASE_Table[[#This Row],[FF&amp;E]]</f>
        <v>517232.76879999996</v>
      </c>
      <c r="S623" s="231">
        <v>571832.76879999996</v>
      </c>
      <c r="T623" s="232">
        <v>640000</v>
      </c>
      <c r="U623" s="198">
        <v>24600</v>
      </c>
      <c r="V623" s="198">
        <v>30000</v>
      </c>
      <c r="W623" s="233">
        <f>DATABASE_Table[[#This Row],[Current Asking price( Total)]]-DATABASE_Table[[#This Row],[Vista membership]]-DATABASE_Table[[#This Row],[FF&amp;E]]</f>
        <v>585400</v>
      </c>
      <c r="X623" s="216">
        <v>0</v>
      </c>
      <c r="Y623" s="232">
        <v>640000</v>
      </c>
      <c r="Z623" s="233">
        <f>DATABASE_Table[[#This Row],[Sell price (Total)]]-DATABASE_Table[[#This Row],[FF&amp;E]]-DATABASE_Table[[#This Row],[Vista membership]]</f>
        <v>585400</v>
      </c>
      <c r="AA623" s="316">
        <v>45932</v>
      </c>
      <c r="AB623" s="321"/>
      <c r="AC623" s="199" t="s">
        <v>10</v>
      </c>
      <c r="AD623" s="199" t="s">
        <v>35</v>
      </c>
      <c r="AE623" s="272" t="s">
        <v>43</v>
      </c>
      <c r="AF623" s="272" t="s">
        <v>44</v>
      </c>
      <c r="AG623" s="272" t="s">
        <v>45</v>
      </c>
      <c r="AH623" s="272" t="s">
        <v>46</v>
      </c>
      <c r="AI623" s="199" t="s">
        <v>47</v>
      </c>
      <c r="AJ623" s="274" t="s">
        <v>42</v>
      </c>
      <c r="AK623"/>
    </row>
    <row r="624" spans="1:37" ht="15.75" hidden="1" customHeight="1">
      <c r="A624" s="198" t="s">
        <v>559</v>
      </c>
      <c r="B624" s="198" t="s">
        <v>691</v>
      </c>
      <c r="C624" s="214" t="s">
        <v>337</v>
      </c>
      <c r="D624" s="198" t="s">
        <v>9</v>
      </c>
      <c r="E624" s="198" t="s">
        <v>383</v>
      </c>
      <c r="F624" s="198">
        <v>169.91</v>
      </c>
      <c r="G624" s="198"/>
      <c r="H624" s="214" t="s">
        <v>325</v>
      </c>
      <c r="I624" s="214" t="s">
        <v>325</v>
      </c>
      <c r="J624" s="271"/>
      <c r="K624" s="198"/>
      <c r="L624" s="198"/>
      <c r="M624" s="198"/>
      <c r="N624" s="198"/>
      <c r="O624" s="198">
        <v>169.91</v>
      </c>
      <c r="P624" s="198"/>
      <c r="Q624" s="198" t="s">
        <v>929</v>
      </c>
      <c r="R624" s="230">
        <f>DATABASE_Table[[#This Row],[Inicial Asking Price (€) (Total)]]-DATABASE_Table[[#This Row],[Vista membership]]-DATABASE_Table[[#This Row],[FF&amp;E]]</f>
        <v>850000</v>
      </c>
      <c r="S624" s="231">
        <v>850000</v>
      </c>
      <c r="T624" s="232">
        <v>850000</v>
      </c>
      <c r="U624" s="198"/>
      <c r="V624" s="198"/>
      <c r="W624" s="233">
        <f>DATABASE_Table[[#This Row],[Current Asking price( Total)]]-DATABASE_Table[[#This Row],[Vista membership]]-DATABASE_Table[[#This Row],[FF&amp;E]]</f>
        <v>850000</v>
      </c>
      <c r="X624" s="216">
        <v>0</v>
      </c>
      <c r="Y624" s="232">
        <v>850000</v>
      </c>
      <c r="Z624" s="233">
        <f>DATABASE_Table[[#This Row],[Sell price (Total)]]-DATABASE_Table[[#This Row],[FF&amp;E]]-DATABASE_Table[[#This Row],[Vista membership]]</f>
        <v>850000</v>
      </c>
      <c r="AA624" s="315">
        <v>45077</v>
      </c>
      <c r="AB624" s="321"/>
      <c r="AC624" s="198" t="s">
        <v>10</v>
      </c>
      <c r="AD624" s="198" t="s">
        <v>802</v>
      </c>
      <c r="AE624" s="279" t="s">
        <v>17</v>
      </c>
      <c r="AF624" s="279" t="s">
        <v>18</v>
      </c>
      <c r="AG624" s="279" t="s">
        <v>19</v>
      </c>
      <c r="AH624" s="279" t="s">
        <v>20</v>
      </c>
      <c r="AI624" s="198" t="s">
        <v>21</v>
      </c>
      <c r="AJ624" s="274" t="s">
        <v>16</v>
      </c>
      <c r="AK624"/>
    </row>
    <row r="625" spans="1:37" ht="15.75" hidden="1" customHeight="1">
      <c r="A625" s="198" t="s">
        <v>560</v>
      </c>
      <c r="B625" s="198" t="s">
        <v>691</v>
      </c>
      <c r="C625" s="214" t="s">
        <v>337</v>
      </c>
      <c r="D625" s="198" t="s">
        <v>9</v>
      </c>
      <c r="E625" s="198" t="s">
        <v>384</v>
      </c>
      <c r="F625" s="198">
        <v>146.69</v>
      </c>
      <c r="G625" s="198"/>
      <c r="H625" s="214" t="s">
        <v>325</v>
      </c>
      <c r="I625" s="214" t="s">
        <v>325</v>
      </c>
      <c r="J625" s="271"/>
      <c r="K625" s="198"/>
      <c r="L625" s="198"/>
      <c r="M625" s="198"/>
      <c r="N625" s="198"/>
      <c r="O625" s="198">
        <v>146.69</v>
      </c>
      <c r="P625" s="198"/>
      <c r="Q625" s="198" t="s">
        <v>929</v>
      </c>
      <c r="R625" s="230">
        <f>DATABASE_Table[[#This Row],[Inicial Asking Price (€) (Total)]]-DATABASE_Table[[#This Row],[Vista membership]]-DATABASE_Table[[#This Row],[FF&amp;E]]</f>
        <v>790000</v>
      </c>
      <c r="S625" s="231">
        <v>790000</v>
      </c>
      <c r="T625" s="232">
        <v>810000</v>
      </c>
      <c r="U625" s="198"/>
      <c r="V625" s="198"/>
      <c r="W625" s="233">
        <f>DATABASE_Table[[#This Row],[Current Asking price( Total)]]-DATABASE_Table[[#This Row],[Vista membership]]-DATABASE_Table[[#This Row],[FF&amp;E]]</f>
        <v>810000</v>
      </c>
      <c r="X625" s="216">
        <v>0</v>
      </c>
      <c r="Y625" s="232">
        <v>810000</v>
      </c>
      <c r="Z625" s="233">
        <f>DATABASE_Table[[#This Row],[Sell price (Total)]]-DATABASE_Table[[#This Row],[FF&amp;E]]-DATABASE_Table[[#This Row],[Vista membership]]</f>
        <v>810000</v>
      </c>
      <c r="AA625" s="315">
        <v>45771</v>
      </c>
      <c r="AB625" s="321"/>
      <c r="AC625" s="198" t="s">
        <v>10</v>
      </c>
      <c r="AD625" s="198" t="s">
        <v>802</v>
      </c>
      <c r="AE625" s="279" t="s">
        <v>17</v>
      </c>
      <c r="AF625" s="279" t="s">
        <v>18</v>
      </c>
      <c r="AG625" s="279" t="s">
        <v>19</v>
      </c>
      <c r="AH625" s="279" t="s">
        <v>20</v>
      </c>
      <c r="AI625" s="198" t="s">
        <v>21</v>
      </c>
      <c r="AJ625" s="274" t="s">
        <v>16</v>
      </c>
      <c r="AK625"/>
    </row>
    <row r="626" spans="1:37" ht="15.75" hidden="1" customHeight="1">
      <c r="A626" s="198" t="s">
        <v>561</v>
      </c>
      <c r="B626" s="198" t="s">
        <v>691</v>
      </c>
      <c r="C626" s="214" t="s">
        <v>337</v>
      </c>
      <c r="D626" s="198" t="s">
        <v>9</v>
      </c>
      <c r="E626" s="198" t="s">
        <v>383</v>
      </c>
      <c r="F626" s="198">
        <v>192.99</v>
      </c>
      <c r="G626" s="198"/>
      <c r="H626" s="214" t="s">
        <v>325</v>
      </c>
      <c r="I626" s="214" t="s">
        <v>325</v>
      </c>
      <c r="J626" s="271"/>
      <c r="K626" s="198"/>
      <c r="L626" s="198"/>
      <c r="M626" s="198"/>
      <c r="N626" s="198"/>
      <c r="O626" s="198">
        <v>192.99</v>
      </c>
      <c r="P626" s="198"/>
      <c r="Q626" s="198" t="s">
        <v>329</v>
      </c>
      <c r="R626" s="230">
        <f>DATABASE_Table[[#This Row],[Inicial Asking Price (€) (Total)]]-DATABASE_Table[[#This Row],[Vista membership]]-DATABASE_Table[[#This Row],[FF&amp;E]]</f>
        <v>1120000</v>
      </c>
      <c r="S626" s="231">
        <v>1120000</v>
      </c>
      <c r="T626" s="232">
        <v>1120000</v>
      </c>
      <c r="U626" s="198"/>
      <c r="V626" s="198"/>
      <c r="W626" s="233">
        <f>DATABASE_Table[[#This Row],[Current Asking price( Total)]]-DATABASE_Table[[#This Row],[Vista membership]]-DATABASE_Table[[#This Row],[FF&amp;E]]</f>
        <v>1120000</v>
      </c>
      <c r="X626" s="216"/>
      <c r="Y626" s="232">
        <v>1120000</v>
      </c>
      <c r="Z626" s="233">
        <f>DATABASE_Table[[#This Row],[Sell price (Total)]]-DATABASE_Table[[#This Row],[FF&amp;E]]-DATABASE_Table[[#This Row],[Vista membership]]</f>
        <v>1120000</v>
      </c>
      <c r="AA626" s="315"/>
      <c r="AB626" s="321"/>
      <c r="AC626" s="198" t="s">
        <v>10</v>
      </c>
      <c r="AD626" s="198" t="s">
        <v>802</v>
      </c>
      <c r="AE626" s="279" t="s">
        <v>17</v>
      </c>
      <c r="AF626" s="279" t="s">
        <v>18</v>
      </c>
      <c r="AG626" s="279" t="s">
        <v>19</v>
      </c>
      <c r="AH626" s="279" t="s">
        <v>20</v>
      </c>
      <c r="AI626" s="198" t="s">
        <v>21</v>
      </c>
      <c r="AJ626" s="274" t="s">
        <v>16</v>
      </c>
      <c r="AK626"/>
    </row>
    <row r="627" spans="1:37" ht="15.75" hidden="1" customHeight="1">
      <c r="A627" s="198" t="s">
        <v>558</v>
      </c>
      <c r="B627" s="198" t="s">
        <v>691</v>
      </c>
      <c r="C627" s="214" t="s">
        <v>337</v>
      </c>
      <c r="D627" s="198" t="s">
        <v>9</v>
      </c>
      <c r="E627" s="198" t="s">
        <v>319</v>
      </c>
      <c r="F627" s="198">
        <v>112.9</v>
      </c>
      <c r="G627" s="198"/>
      <c r="H627" s="214" t="s">
        <v>600</v>
      </c>
      <c r="I627" s="214" t="s">
        <v>325</v>
      </c>
      <c r="J627" s="271">
        <v>17.59</v>
      </c>
      <c r="K627" s="198"/>
      <c r="L627" s="198"/>
      <c r="M627" s="198"/>
      <c r="N627" s="198"/>
      <c r="O627" s="198">
        <v>112.9</v>
      </c>
      <c r="P627" s="198"/>
      <c r="Q627" s="198" t="s">
        <v>628</v>
      </c>
      <c r="R627" s="230">
        <f>DATABASE_Table[[#This Row],[Inicial Asking Price (€) (Total)]]-DATABASE_Table[[#This Row],[Vista membership]]-DATABASE_Table[[#This Row],[FF&amp;E]]</f>
        <v>685000</v>
      </c>
      <c r="S627" s="231">
        <v>685000</v>
      </c>
      <c r="T627" s="232">
        <v>685000</v>
      </c>
      <c r="U627" s="198"/>
      <c r="V627" s="198"/>
      <c r="W627" s="233">
        <f>DATABASE_Table[[#This Row],[Current Asking price( Total)]]-DATABASE_Table[[#This Row],[Vista membership]]-DATABASE_Table[[#This Row],[FF&amp;E]]</f>
        <v>685000</v>
      </c>
      <c r="X627" s="216">
        <v>0.01</v>
      </c>
      <c r="Y627" s="232">
        <v>678150</v>
      </c>
      <c r="Z627" s="233">
        <f>DATABASE_Table[[#This Row],[Sell price (Total)]]-DATABASE_Table[[#This Row],[FF&amp;E]]-DATABASE_Table[[#This Row],[Vista membership]]</f>
        <v>678150</v>
      </c>
      <c r="AA627" s="315">
        <v>46149</v>
      </c>
      <c r="AB627" s="321"/>
      <c r="AC627" s="198" t="s">
        <v>10</v>
      </c>
      <c r="AD627" s="198" t="s">
        <v>11</v>
      </c>
      <c r="AE627" s="279" t="s">
        <v>12</v>
      </c>
      <c r="AF627" s="279" t="s">
        <v>801</v>
      </c>
      <c r="AG627" s="279" t="s">
        <v>13</v>
      </c>
      <c r="AH627" s="279" t="s">
        <v>14</v>
      </c>
      <c r="AI627" s="198" t="s">
        <v>15</v>
      </c>
      <c r="AJ627" s="274" t="s">
        <v>8</v>
      </c>
      <c r="AK627"/>
    </row>
    <row r="628" spans="1:37" ht="15.75" hidden="1" customHeight="1">
      <c r="A628" s="198" t="s">
        <v>31</v>
      </c>
      <c r="B628" s="198" t="s">
        <v>691</v>
      </c>
      <c r="C628" s="214" t="s">
        <v>337</v>
      </c>
      <c r="D628" s="198" t="s">
        <v>9</v>
      </c>
      <c r="E628" s="198" t="s">
        <v>320</v>
      </c>
      <c r="F628" s="198"/>
      <c r="G628" s="198"/>
      <c r="H628" s="214" t="s">
        <v>325</v>
      </c>
      <c r="I628" s="214" t="s">
        <v>325</v>
      </c>
      <c r="J628" s="271"/>
      <c r="K628" s="198">
        <v>99</v>
      </c>
      <c r="L628" s="198"/>
      <c r="M628" s="198">
        <v>0</v>
      </c>
      <c r="N628" s="198"/>
      <c r="O628" s="198">
        <v>139</v>
      </c>
      <c r="P628" s="198"/>
      <c r="Q628" s="198" t="s">
        <v>329</v>
      </c>
      <c r="R628" s="230">
        <f>DATABASE_Table[[#This Row],[Inicial Asking Price (€) (Total)]]-DATABASE_Table[[#This Row],[Vista membership]]-DATABASE_Table[[#This Row],[FF&amp;E]]</f>
        <v>950000</v>
      </c>
      <c r="S628" s="232">
        <v>950000</v>
      </c>
      <c r="T628" s="232">
        <v>950000</v>
      </c>
      <c r="U628" s="198"/>
      <c r="V628" s="198"/>
      <c r="W628" s="233">
        <f>DATABASE_Table[[#This Row],[Current Asking price( Total)]]-DATABASE_Table[[#This Row],[Vista membership]]-DATABASE_Table[[#This Row],[FF&amp;E]]</f>
        <v>950000</v>
      </c>
      <c r="X628" s="216"/>
      <c r="Y628" s="232">
        <v>940000</v>
      </c>
      <c r="Z628" s="233">
        <f>DATABASE_Table[[#This Row],[Sell price (Total)]]-DATABASE_Table[[#This Row],[FF&amp;E]]-DATABASE_Table[[#This Row],[Vista membership]]</f>
        <v>940000</v>
      </c>
      <c r="AA628" s="315"/>
      <c r="AB628" s="321"/>
      <c r="AC628" s="198" t="s">
        <v>10</v>
      </c>
      <c r="AD628" s="198" t="s">
        <v>807</v>
      </c>
      <c r="AE628" s="279" t="s">
        <v>32</v>
      </c>
      <c r="AF628" s="279" t="s">
        <v>808</v>
      </c>
      <c r="AG628" s="279" t="s">
        <v>33</v>
      </c>
      <c r="AH628" s="279" t="s">
        <v>809</v>
      </c>
      <c r="AI628" s="198" t="s">
        <v>15</v>
      </c>
      <c r="AJ628" s="274" t="s">
        <v>31</v>
      </c>
      <c r="AK628"/>
    </row>
    <row r="629" spans="1:37" ht="15.75" hidden="1" customHeight="1">
      <c r="A629" s="198" t="s">
        <v>690</v>
      </c>
      <c r="B629" s="198" t="s">
        <v>691</v>
      </c>
      <c r="C629" s="214" t="s">
        <v>337</v>
      </c>
      <c r="D629" s="198" t="s">
        <v>9</v>
      </c>
      <c r="E629" s="198" t="s">
        <v>383</v>
      </c>
      <c r="F629" s="198">
        <v>323.58999999999997</v>
      </c>
      <c r="G629" s="198">
        <v>165.79</v>
      </c>
      <c r="H629" s="214" t="s">
        <v>325</v>
      </c>
      <c r="I629" s="214" t="s">
        <v>325</v>
      </c>
      <c r="J629" s="271"/>
      <c r="K629" s="198"/>
      <c r="L629" s="198"/>
      <c r="M629" s="198"/>
      <c r="N629" s="198"/>
      <c r="O629" s="198">
        <v>157.80000000000001</v>
      </c>
      <c r="P629" s="198"/>
      <c r="Q629" s="198" t="s">
        <v>329</v>
      </c>
      <c r="R629" s="230">
        <f>DATABASE_Table[[#This Row],[Inicial Asking Price (€) (Total)]]-DATABASE_Table[[#This Row],[Vista membership]]-DATABASE_Table[[#This Row],[FF&amp;E]]</f>
        <v>1652100</v>
      </c>
      <c r="S629" s="231">
        <v>1741050</v>
      </c>
      <c r="T629" s="232">
        <v>1830000</v>
      </c>
      <c r="U629" s="198">
        <v>24600</v>
      </c>
      <c r="V629" s="198">
        <v>64350</v>
      </c>
      <c r="W629" s="233">
        <f>DATABASE_Table[[#This Row],[Current Asking price( Total)]]-DATABASE_Table[[#This Row],[Vista membership]]-DATABASE_Table[[#This Row],[FF&amp;E]]</f>
        <v>1741050</v>
      </c>
      <c r="X629" s="216"/>
      <c r="Y629" s="232">
        <v>1830000</v>
      </c>
      <c r="Z629" s="233">
        <f>DATABASE_Table[[#This Row],[Sell price (Total)]]-DATABASE_Table[[#This Row],[FF&amp;E]]-DATABASE_Table[[#This Row],[Vista membership]]</f>
        <v>1741050</v>
      </c>
      <c r="AA629" s="315"/>
      <c r="AB629" s="321"/>
      <c r="AC629" s="198" t="s">
        <v>10</v>
      </c>
      <c r="AD629" s="198" t="s">
        <v>35</v>
      </c>
      <c r="AE629" s="279" t="s">
        <v>38</v>
      </c>
      <c r="AF629" s="279" t="s">
        <v>39</v>
      </c>
      <c r="AG629" s="279" t="s">
        <v>40</v>
      </c>
      <c r="AH629" s="279" t="s">
        <v>810</v>
      </c>
      <c r="AI629" s="198" t="s">
        <v>41</v>
      </c>
      <c r="AJ629" s="274" t="s">
        <v>37</v>
      </c>
      <c r="AK629"/>
    </row>
    <row r="630" spans="1:37" ht="15.75" hidden="1" customHeight="1">
      <c r="A630" s="198" t="s">
        <v>784</v>
      </c>
      <c r="B630" s="198" t="s">
        <v>787</v>
      </c>
      <c r="C630" s="214" t="s">
        <v>453</v>
      </c>
      <c r="D630" s="198" t="s">
        <v>88</v>
      </c>
      <c r="E630" s="198" t="s">
        <v>383</v>
      </c>
      <c r="F630" s="198">
        <v>338.27</v>
      </c>
      <c r="G630" s="198"/>
      <c r="H630" s="214" t="s">
        <v>849</v>
      </c>
      <c r="I630" s="214" t="s">
        <v>590</v>
      </c>
      <c r="J630" s="271">
        <v>0</v>
      </c>
      <c r="K630" s="198">
        <v>132.29</v>
      </c>
      <c r="L630" s="198">
        <v>44.52</v>
      </c>
      <c r="M630" s="198"/>
      <c r="N630" s="198"/>
      <c r="O630" s="198">
        <v>161.46</v>
      </c>
      <c r="P630" s="198"/>
      <c r="Q630" s="198" t="s">
        <v>329</v>
      </c>
      <c r="R630" s="230">
        <f>DATABASE_Table[[#This Row],[Inicial Asking Price (€) (Total)]]-DATABASE_Table[[#This Row],[Vista membership]]-DATABASE_Table[[#This Row],[FF&amp;E]]</f>
        <v>990000</v>
      </c>
      <c r="S630" s="234">
        <v>990000</v>
      </c>
      <c r="T630" s="235">
        <v>1060000</v>
      </c>
      <c r="U630" s="198"/>
      <c r="V630" s="198"/>
      <c r="W630" s="233">
        <f>DATABASE_Table[[#This Row],[Current Asking price( Total)]]-DATABASE_Table[[#This Row],[Vista membership]]-DATABASE_Table[[#This Row],[FF&amp;E]]</f>
        <v>1060000</v>
      </c>
      <c r="X630" s="236"/>
      <c r="Y630" s="235"/>
      <c r="Z630" s="233">
        <f>DATABASE_Table[[#This Row],[Sell price (Total)]]-DATABASE_Table[[#This Row],[FF&amp;E]]-DATABASE_Table[[#This Row],[Vista membership]]</f>
        <v>0</v>
      </c>
      <c r="AA630" s="315"/>
      <c r="AB630" s="321">
        <v>47208</v>
      </c>
      <c r="AC630" s="198" t="s">
        <v>80</v>
      </c>
      <c r="AD630" s="198" t="s">
        <v>81</v>
      </c>
      <c r="AE630" s="279" t="s">
        <v>89</v>
      </c>
      <c r="AF630" s="279" t="s">
        <v>90</v>
      </c>
      <c r="AG630" s="279" t="s">
        <v>91</v>
      </c>
      <c r="AH630" s="279" t="s">
        <v>92</v>
      </c>
      <c r="AI630" s="198" t="s">
        <v>30</v>
      </c>
      <c r="AJ630" s="274" t="s">
        <v>87</v>
      </c>
      <c r="AK630"/>
    </row>
    <row r="631" spans="1:37" ht="15.75" hidden="1" customHeight="1">
      <c r="A631" s="198" t="s">
        <v>562</v>
      </c>
      <c r="B631" s="198" t="s">
        <v>691</v>
      </c>
      <c r="C631" s="214" t="s">
        <v>337</v>
      </c>
      <c r="D631" s="198" t="s">
        <v>9</v>
      </c>
      <c r="E631" s="198" t="s">
        <v>319</v>
      </c>
      <c r="F631" s="198">
        <v>111</v>
      </c>
      <c r="G631" s="198"/>
      <c r="H631" s="214" t="s">
        <v>325</v>
      </c>
      <c r="I631" s="214" t="s">
        <v>325</v>
      </c>
      <c r="J631" s="271"/>
      <c r="K631" s="198"/>
      <c r="L631" s="198"/>
      <c r="M631" s="198"/>
      <c r="N631" s="198"/>
      <c r="O631" s="198">
        <v>111</v>
      </c>
      <c r="P631" s="198"/>
      <c r="Q631" s="198" t="s">
        <v>929</v>
      </c>
      <c r="R631" s="230">
        <f>DATABASE_Table[[#This Row],[Inicial Asking Price (€) (Total)]]-DATABASE_Table[[#This Row],[Vista membership]]-DATABASE_Table[[#This Row],[FF&amp;E]]</f>
        <v>570000</v>
      </c>
      <c r="S631" s="231">
        <v>570000</v>
      </c>
      <c r="T631" s="232">
        <v>590000</v>
      </c>
      <c r="U631" s="198"/>
      <c r="V631" s="198"/>
      <c r="W631" s="233">
        <f>DATABASE_Table[[#This Row],[Current Asking price( Total)]]-DATABASE_Table[[#This Row],[Vista membership]]-DATABASE_Table[[#This Row],[FF&amp;E]]</f>
        <v>590000</v>
      </c>
      <c r="X631" s="216">
        <v>0</v>
      </c>
      <c r="Y631" s="232">
        <v>590000</v>
      </c>
      <c r="Z631" s="233">
        <f>DATABASE_Table[[#This Row],[Sell price (Total)]]-DATABASE_Table[[#This Row],[FF&amp;E]]-DATABASE_Table[[#This Row],[Vista membership]]</f>
        <v>590000</v>
      </c>
      <c r="AA631" s="315">
        <v>45187</v>
      </c>
      <c r="AB631" s="321"/>
      <c r="AC631" s="198" t="s">
        <v>10</v>
      </c>
      <c r="AD631" s="198" t="s">
        <v>23</v>
      </c>
      <c r="AE631" s="279" t="s">
        <v>24</v>
      </c>
      <c r="AF631" s="279" t="s">
        <v>803</v>
      </c>
      <c r="AG631" s="279" t="s">
        <v>25</v>
      </c>
      <c r="AH631" s="279" t="s">
        <v>804</v>
      </c>
      <c r="AI631" s="198" t="s">
        <v>26</v>
      </c>
      <c r="AJ631" s="274" t="s">
        <v>22</v>
      </c>
      <c r="AK631"/>
    </row>
    <row r="632" spans="1:37" ht="15.75" hidden="1" customHeight="1">
      <c r="A632" s="198" t="s">
        <v>777</v>
      </c>
      <c r="B632" s="198" t="s">
        <v>769</v>
      </c>
      <c r="C632" s="214" t="s">
        <v>849</v>
      </c>
      <c r="D632" s="198" t="s">
        <v>74</v>
      </c>
      <c r="E632" s="198" t="s">
        <v>553</v>
      </c>
      <c r="F632" s="198">
        <v>450</v>
      </c>
      <c r="G632" s="198"/>
      <c r="H632" s="214" t="s">
        <v>325</v>
      </c>
      <c r="I632" s="214" t="s">
        <v>325</v>
      </c>
      <c r="J632" s="271"/>
      <c r="K632" s="198"/>
      <c r="L632" s="198"/>
      <c r="M632" s="198"/>
      <c r="N632" s="198"/>
      <c r="O632" s="198">
        <v>450</v>
      </c>
      <c r="P632" s="198"/>
      <c r="Q632" s="198" t="s">
        <v>329</v>
      </c>
      <c r="R632" s="230">
        <f>DATABASE_Table[[#This Row],[Inicial Asking Price (€) (Total)]]-DATABASE_Table[[#This Row],[Vista membership]]-DATABASE_Table[[#This Row],[FF&amp;E]]</f>
        <v>997000</v>
      </c>
      <c r="S632" s="234">
        <v>997000</v>
      </c>
      <c r="T632" s="235">
        <v>860000</v>
      </c>
      <c r="U632" s="198"/>
      <c r="V632" s="198"/>
      <c r="W632" s="233">
        <f>DATABASE_Table[[#This Row],[Current Asking price( Total)]]-DATABASE_Table[[#This Row],[Vista membership]]-DATABASE_Table[[#This Row],[FF&amp;E]]</f>
        <v>860000</v>
      </c>
      <c r="X632" s="236"/>
      <c r="Y632" s="235"/>
      <c r="Z632" s="233">
        <f>DATABASE_Table[[#This Row],[Sell price (Total)]]-DATABASE_Table[[#This Row],[FF&amp;E]]-DATABASE_Table[[#This Row],[Vista membership]]</f>
        <v>0</v>
      </c>
      <c r="AA632" s="315"/>
      <c r="AB632" s="321" t="s">
        <v>32</v>
      </c>
      <c r="AC632" s="198" t="s">
        <v>57</v>
      </c>
      <c r="AD632" s="198"/>
      <c r="AE632" s="279" t="s">
        <v>75</v>
      </c>
      <c r="AF632" s="279" t="s">
        <v>554</v>
      </c>
      <c r="AG632" s="279" t="s">
        <v>76</v>
      </c>
      <c r="AH632" s="279" t="s">
        <v>77</v>
      </c>
      <c r="AI632" s="198" t="s">
        <v>32</v>
      </c>
      <c r="AJ632" s="274" t="s">
        <v>73</v>
      </c>
      <c r="AK632"/>
    </row>
    <row r="633" spans="1:37" ht="15.75" hidden="1" customHeight="1">
      <c r="A633" s="198" t="s">
        <v>689</v>
      </c>
      <c r="B633" s="198" t="s">
        <v>691</v>
      </c>
      <c r="C633" s="214" t="s">
        <v>337</v>
      </c>
      <c r="D633" s="198"/>
      <c r="E633" s="198" t="s">
        <v>384</v>
      </c>
      <c r="F633" s="198">
        <v>152.73410000000001</v>
      </c>
      <c r="G633" s="198"/>
      <c r="H633" s="214" t="s">
        <v>325</v>
      </c>
      <c r="I633" s="214" t="s">
        <v>325</v>
      </c>
      <c r="J633" s="271"/>
      <c r="K633" s="198"/>
      <c r="L633" s="198"/>
      <c r="M633" s="198"/>
      <c r="N633" s="198"/>
      <c r="O633" s="198">
        <v>152.73410000000001</v>
      </c>
      <c r="P633" s="198"/>
      <c r="Q633" s="198" t="s">
        <v>929</v>
      </c>
      <c r="R633" s="230">
        <f>DATABASE_Table[[#This Row],[Inicial Asking Price (€) (Total)]]-DATABASE_Table[[#This Row],[Vista membership]]-DATABASE_Table[[#This Row],[FF&amp;E]]</f>
        <v>956250</v>
      </c>
      <c r="S633" s="231">
        <v>956250</v>
      </c>
      <c r="T633" s="232">
        <v>960000</v>
      </c>
      <c r="U633" s="198"/>
      <c r="V633" s="198"/>
      <c r="W633" s="233">
        <f>DATABASE_Table[[#This Row],[Current Asking price( Total)]]-DATABASE_Table[[#This Row],[Vista membership]]-DATABASE_Table[[#This Row],[FF&amp;E]]</f>
        <v>960000</v>
      </c>
      <c r="X633" s="216">
        <v>0</v>
      </c>
      <c r="Y633" s="232">
        <v>960000</v>
      </c>
      <c r="Z633" s="233">
        <f>DATABASE_Table[[#This Row],[Sell price (Total)]]-DATABASE_Table[[#This Row],[FF&amp;E]]-DATABASE_Table[[#This Row],[Vista membership]]</f>
        <v>960000</v>
      </c>
      <c r="AA633" s="315">
        <v>44658</v>
      </c>
      <c r="AB633" s="321"/>
      <c r="AC633" s="198"/>
      <c r="AD633" s="198"/>
      <c r="AE633" s="279"/>
      <c r="AF633" s="279"/>
      <c r="AG633" s="279"/>
      <c r="AH633" s="279"/>
      <c r="AI633" s="198"/>
      <c r="AJ633" s="274" t="s">
        <v>689</v>
      </c>
      <c r="AK633"/>
    </row>
    <row r="634" spans="1:37" ht="15.75" hidden="1" customHeight="1">
      <c r="A634" s="198" t="s">
        <v>564</v>
      </c>
      <c r="B634" s="198" t="s">
        <v>691</v>
      </c>
      <c r="C634" s="214" t="s">
        <v>337</v>
      </c>
      <c r="D634" s="198" t="s">
        <v>9</v>
      </c>
      <c r="E634" s="198" t="s">
        <v>416</v>
      </c>
      <c r="F634" s="198">
        <v>117.3</v>
      </c>
      <c r="G634" s="198"/>
      <c r="H634" s="214" t="s">
        <v>325</v>
      </c>
      <c r="I634" s="214" t="s">
        <v>325</v>
      </c>
      <c r="J634" s="271">
        <v>28.6</v>
      </c>
      <c r="K634" s="198"/>
      <c r="L634" s="198"/>
      <c r="M634" s="198"/>
      <c r="N634" s="198"/>
      <c r="O634" s="198">
        <v>88.7</v>
      </c>
      <c r="P634" s="198"/>
      <c r="Q634" s="198" t="s">
        <v>329</v>
      </c>
      <c r="R634" s="230">
        <f>DATABASE_Table[[#This Row],[Inicial Asking Price (€) (Total)]]-DATABASE_Table[[#This Row],[Vista membership]]-DATABASE_Table[[#This Row],[FF&amp;E]]</f>
        <v>660671.80000000005</v>
      </c>
      <c r="S634" s="231">
        <v>725271.8</v>
      </c>
      <c r="T634" s="232">
        <v>790000</v>
      </c>
      <c r="U634" s="198">
        <v>24600</v>
      </c>
      <c r="V634" s="198">
        <v>40000</v>
      </c>
      <c r="W634" s="233">
        <f>DATABASE_Table[[#This Row],[Current Asking price( Total)]]-DATABASE_Table[[#This Row],[Vista membership]]-DATABASE_Table[[#This Row],[FF&amp;E]]</f>
        <v>725400</v>
      </c>
      <c r="X634" s="216"/>
      <c r="Y634" s="232">
        <v>790000</v>
      </c>
      <c r="Z634" s="233">
        <f>DATABASE_Table[[#This Row],[Sell price (Total)]]-DATABASE_Table[[#This Row],[FF&amp;E]]-DATABASE_Table[[#This Row],[Vista membership]]</f>
        <v>725400</v>
      </c>
      <c r="AA634" s="315"/>
      <c r="AB634" s="321"/>
      <c r="AC634" s="198" t="s">
        <v>10</v>
      </c>
      <c r="AD634" s="198" t="s">
        <v>35</v>
      </c>
      <c r="AE634" s="279" t="s">
        <v>43</v>
      </c>
      <c r="AF634" s="279" t="s">
        <v>44</v>
      </c>
      <c r="AG634" s="279" t="s">
        <v>45</v>
      </c>
      <c r="AH634" s="279" t="s">
        <v>46</v>
      </c>
      <c r="AI634" s="198" t="s">
        <v>47</v>
      </c>
      <c r="AJ634" s="274" t="s">
        <v>42</v>
      </c>
      <c r="AK634"/>
    </row>
    <row r="635" spans="1:37" ht="15.75" hidden="1" customHeight="1">
      <c r="A635" s="198" t="s">
        <v>778</v>
      </c>
      <c r="B635" s="198" t="s">
        <v>769</v>
      </c>
      <c r="C635" s="214" t="s">
        <v>848</v>
      </c>
      <c r="D635" s="198" t="s">
        <v>74</v>
      </c>
      <c r="E635" s="198" t="s">
        <v>553</v>
      </c>
      <c r="F635" s="198">
        <v>396.9</v>
      </c>
      <c r="G635" s="198"/>
      <c r="H635" s="214" t="s">
        <v>325</v>
      </c>
      <c r="I635" s="214" t="s">
        <v>325</v>
      </c>
      <c r="J635" s="271"/>
      <c r="K635" s="198"/>
      <c r="L635" s="198"/>
      <c r="M635" s="198"/>
      <c r="N635" s="198"/>
      <c r="O635" s="198">
        <v>396.9</v>
      </c>
      <c r="P635" s="198"/>
      <c r="Q635" s="198" t="s">
        <v>329</v>
      </c>
      <c r="R635" s="230">
        <f>DATABASE_Table[[#This Row],[Inicial Asking Price (€) (Total)]]-DATABASE_Table[[#This Row],[Vista membership]]-DATABASE_Table[[#This Row],[FF&amp;E]]</f>
        <v>1000000</v>
      </c>
      <c r="S635" s="234">
        <v>1000000</v>
      </c>
      <c r="T635" s="235">
        <v>890000</v>
      </c>
      <c r="U635" s="198"/>
      <c r="V635" s="198"/>
      <c r="W635" s="233">
        <f>DATABASE_Table[[#This Row],[Current Asking price( Total)]]-DATABASE_Table[[#This Row],[Vista membership]]-DATABASE_Table[[#This Row],[FF&amp;E]]</f>
        <v>890000</v>
      </c>
      <c r="X635" s="236"/>
      <c r="Y635" s="235"/>
      <c r="Z635" s="233">
        <f>DATABASE_Table[[#This Row],[Sell price (Total)]]-DATABASE_Table[[#This Row],[FF&amp;E]]-DATABASE_Table[[#This Row],[Vista membership]]</f>
        <v>0</v>
      </c>
      <c r="AA635" s="315"/>
      <c r="AB635" s="321" t="s">
        <v>32</v>
      </c>
      <c r="AC635" s="198" t="s">
        <v>57</v>
      </c>
      <c r="AD635" s="198"/>
      <c r="AE635" s="279" t="s">
        <v>75</v>
      </c>
      <c r="AF635" s="279" t="s">
        <v>554</v>
      </c>
      <c r="AG635" s="279" t="s">
        <v>76</v>
      </c>
      <c r="AH635" s="279" t="s">
        <v>77</v>
      </c>
      <c r="AI635" s="198" t="s">
        <v>32</v>
      </c>
      <c r="AJ635" s="274" t="s">
        <v>73</v>
      </c>
      <c r="AK635"/>
    </row>
    <row r="636" spans="1:37" ht="15.75" hidden="1" customHeight="1">
      <c r="A636" s="198" t="s">
        <v>778</v>
      </c>
      <c r="B636" s="198" t="s">
        <v>769</v>
      </c>
      <c r="C636" s="214" t="s">
        <v>849</v>
      </c>
      <c r="D636" s="198" t="s">
        <v>74</v>
      </c>
      <c r="E636" s="198" t="s">
        <v>553</v>
      </c>
      <c r="F636" s="198">
        <v>396.9</v>
      </c>
      <c r="G636" s="198"/>
      <c r="H636" s="214" t="s">
        <v>325</v>
      </c>
      <c r="I636" s="214" t="s">
        <v>325</v>
      </c>
      <c r="J636" s="271"/>
      <c r="K636" s="198"/>
      <c r="L636" s="198"/>
      <c r="M636" s="198"/>
      <c r="N636" s="198"/>
      <c r="O636" s="198">
        <v>396.9</v>
      </c>
      <c r="P636" s="198"/>
      <c r="Q636" s="198" t="s">
        <v>329</v>
      </c>
      <c r="R636" s="230">
        <f>DATABASE_Table[[#This Row],[Inicial Asking Price (€) (Total)]]-DATABASE_Table[[#This Row],[Vista membership]]-DATABASE_Table[[#This Row],[FF&amp;E]]</f>
        <v>1000000</v>
      </c>
      <c r="S636" s="234">
        <v>1000000</v>
      </c>
      <c r="T636" s="235">
        <v>850000</v>
      </c>
      <c r="U636" s="198"/>
      <c r="V636" s="198"/>
      <c r="W636" s="233">
        <f>DATABASE_Table[[#This Row],[Current Asking price( Total)]]-DATABASE_Table[[#This Row],[Vista membership]]-DATABASE_Table[[#This Row],[FF&amp;E]]</f>
        <v>850000</v>
      </c>
      <c r="X636" s="236"/>
      <c r="Y636" s="235"/>
      <c r="Z636" s="233">
        <f>DATABASE_Table[[#This Row],[Sell price (Total)]]-DATABASE_Table[[#This Row],[FF&amp;E]]-DATABASE_Table[[#This Row],[Vista membership]]</f>
        <v>0</v>
      </c>
      <c r="AA636" s="315"/>
      <c r="AB636" s="321" t="s">
        <v>32</v>
      </c>
      <c r="AC636" s="198" t="s">
        <v>57</v>
      </c>
      <c r="AD636" s="198"/>
      <c r="AE636" s="279" t="s">
        <v>75</v>
      </c>
      <c r="AF636" s="279" t="s">
        <v>554</v>
      </c>
      <c r="AG636" s="279" t="s">
        <v>76</v>
      </c>
      <c r="AH636" s="279" t="s">
        <v>77</v>
      </c>
      <c r="AI636" s="198" t="s">
        <v>32</v>
      </c>
      <c r="AJ636" s="274" t="s">
        <v>73</v>
      </c>
      <c r="AK636"/>
    </row>
    <row r="637" spans="1:37" ht="15.75" hidden="1" customHeight="1">
      <c r="A637" s="198" t="s">
        <v>778</v>
      </c>
      <c r="B637" s="198" t="s">
        <v>769</v>
      </c>
      <c r="C637" s="214" t="s">
        <v>850</v>
      </c>
      <c r="D637" s="198" t="s">
        <v>74</v>
      </c>
      <c r="E637" s="198" t="s">
        <v>553</v>
      </c>
      <c r="F637" s="198">
        <v>373.55</v>
      </c>
      <c r="G637" s="198"/>
      <c r="H637" s="214" t="s">
        <v>325</v>
      </c>
      <c r="I637" s="214" t="s">
        <v>325</v>
      </c>
      <c r="J637" s="271"/>
      <c r="K637" s="198"/>
      <c r="L637" s="198"/>
      <c r="M637" s="198"/>
      <c r="N637" s="198"/>
      <c r="O637" s="198">
        <v>373.55</v>
      </c>
      <c r="P637" s="198"/>
      <c r="Q637" s="198" t="s">
        <v>329</v>
      </c>
      <c r="R637" s="230">
        <f>DATABASE_Table[[#This Row],[Inicial Asking Price (€) (Total)]]-DATABASE_Table[[#This Row],[Vista membership]]-DATABASE_Table[[#This Row],[FF&amp;E]]</f>
        <v>1000000</v>
      </c>
      <c r="S637" s="234">
        <v>1000000</v>
      </c>
      <c r="T637" s="235">
        <v>800000</v>
      </c>
      <c r="U637" s="198"/>
      <c r="V637" s="198"/>
      <c r="W637" s="233">
        <f>DATABASE_Table[[#This Row],[Current Asking price( Total)]]-DATABASE_Table[[#This Row],[Vista membership]]-DATABASE_Table[[#This Row],[FF&amp;E]]</f>
        <v>800000</v>
      </c>
      <c r="X637" s="236"/>
      <c r="Y637" s="235"/>
      <c r="Z637" s="233">
        <f>DATABASE_Table[[#This Row],[Sell price (Total)]]-DATABASE_Table[[#This Row],[FF&amp;E]]-DATABASE_Table[[#This Row],[Vista membership]]</f>
        <v>0</v>
      </c>
      <c r="AA637" s="315"/>
      <c r="AB637" s="321" t="s">
        <v>32</v>
      </c>
      <c r="AC637" s="198" t="s">
        <v>57</v>
      </c>
      <c r="AD637" s="198"/>
      <c r="AE637" s="279" t="s">
        <v>75</v>
      </c>
      <c r="AF637" s="279" t="s">
        <v>554</v>
      </c>
      <c r="AG637" s="279" t="s">
        <v>76</v>
      </c>
      <c r="AH637" s="279" t="s">
        <v>77</v>
      </c>
      <c r="AI637" s="198" t="s">
        <v>32</v>
      </c>
      <c r="AJ637" s="274" t="s">
        <v>73</v>
      </c>
      <c r="AK637"/>
    </row>
    <row r="638" spans="1:37" ht="15.75" hidden="1" customHeight="1">
      <c r="A638" s="198" t="s">
        <v>778</v>
      </c>
      <c r="B638" s="198" t="s">
        <v>769</v>
      </c>
      <c r="C638" s="214" t="s">
        <v>851</v>
      </c>
      <c r="D638" s="198" t="s">
        <v>74</v>
      </c>
      <c r="E638" s="198" t="s">
        <v>553</v>
      </c>
      <c r="F638" s="198">
        <v>373.55</v>
      </c>
      <c r="G638" s="198"/>
      <c r="H638" s="214" t="s">
        <v>325</v>
      </c>
      <c r="I638" s="214" t="s">
        <v>325</v>
      </c>
      <c r="J638" s="271"/>
      <c r="K638" s="198"/>
      <c r="L638" s="198"/>
      <c r="M638" s="198"/>
      <c r="N638" s="198"/>
      <c r="O638" s="198">
        <v>373.55</v>
      </c>
      <c r="P638" s="198"/>
      <c r="Q638" s="198" t="s">
        <v>329</v>
      </c>
      <c r="R638" s="230">
        <f>DATABASE_Table[[#This Row],[Inicial Asking Price (€) (Total)]]-DATABASE_Table[[#This Row],[Vista membership]]-DATABASE_Table[[#This Row],[FF&amp;E]]</f>
        <v>1000000</v>
      </c>
      <c r="S638" s="234">
        <v>1000000</v>
      </c>
      <c r="T638" s="235">
        <v>800000</v>
      </c>
      <c r="U638" s="198"/>
      <c r="V638" s="198"/>
      <c r="W638" s="233">
        <f>DATABASE_Table[[#This Row],[Current Asking price( Total)]]-DATABASE_Table[[#This Row],[Vista membership]]-DATABASE_Table[[#This Row],[FF&amp;E]]</f>
        <v>800000</v>
      </c>
      <c r="X638" s="236"/>
      <c r="Y638" s="235"/>
      <c r="Z638" s="233">
        <f>DATABASE_Table[[#This Row],[Sell price (Total)]]-DATABASE_Table[[#This Row],[FF&amp;E]]-DATABASE_Table[[#This Row],[Vista membership]]</f>
        <v>0</v>
      </c>
      <c r="AA638" s="315"/>
      <c r="AB638" s="321" t="s">
        <v>32</v>
      </c>
      <c r="AC638" s="198" t="s">
        <v>57</v>
      </c>
      <c r="AD638" s="198"/>
      <c r="AE638" s="279" t="s">
        <v>75</v>
      </c>
      <c r="AF638" s="279" t="s">
        <v>554</v>
      </c>
      <c r="AG638" s="279" t="s">
        <v>76</v>
      </c>
      <c r="AH638" s="279" t="s">
        <v>77</v>
      </c>
      <c r="AI638" s="198" t="s">
        <v>32</v>
      </c>
      <c r="AJ638" s="274" t="s">
        <v>73</v>
      </c>
      <c r="AK638"/>
    </row>
    <row r="639" spans="1:37" ht="15.75" hidden="1" customHeight="1">
      <c r="A639" s="198" t="s">
        <v>778</v>
      </c>
      <c r="B639" s="198" t="s">
        <v>769</v>
      </c>
      <c r="C639" s="214" t="s">
        <v>852</v>
      </c>
      <c r="D639" s="198" t="s">
        <v>74</v>
      </c>
      <c r="E639" s="198" t="s">
        <v>553</v>
      </c>
      <c r="F639" s="198">
        <v>373.55</v>
      </c>
      <c r="G639" s="198"/>
      <c r="H639" s="214" t="s">
        <v>325</v>
      </c>
      <c r="I639" s="214" t="s">
        <v>325</v>
      </c>
      <c r="J639" s="271"/>
      <c r="K639" s="198"/>
      <c r="L639" s="198"/>
      <c r="M639" s="198"/>
      <c r="N639" s="198"/>
      <c r="O639" s="198">
        <v>373.55</v>
      </c>
      <c r="P639" s="198"/>
      <c r="Q639" s="198" t="s">
        <v>329</v>
      </c>
      <c r="R639" s="230">
        <f>DATABASE_Table[[#This Row],[Inicial Asking Price (€) (Total)]]-DATABASE_Table[[#This Row],[Vista membership]]-DATABASE_Table[[#This Row],[FF&amp;E]]</f>
        <v>1000000</v>
      </c>
      <c r="S639" s="234">
        <v>1000000</v>
      </c>
      <c r="T639" s="235">
        <v>800000</v>
      </c>
      <c r="U639" s="198"/>
      <c r="V639" s="198"/>
      <c r="W639" s="233">
        <f>DATABASE_Table[[#This Row],[Current Asking price( Total)]]-DATABASE_Table[[#This Row],[Vista membership]]-DATABASE_Table[[#This Row],[FF&amp;E]]</f>
        <v>800000</v>
      </c>
      <c r="X639" s="236"/>
      <c r="Y639" s="235"/>
      <c r="Z639" s="233">
        <f>DATABASE_Table[[#This Row],[Sell price (Total)]]-DATABASE_Table[[#This Row],[FF&amp;E]]-DATABASE_Table[[#This Row],[Vista membership]]</f>
        <v>0</v>
      </c>
      <c r="AA639" s="315"/>
      <c r="AB639" s="321" t="s">
        <v>32</v>
      </c>
      <c r="AC639" s="198" t="s">
        <v>57</v>
      </c>
      <c r="AD639" s="198"/>
      <c r="AE639" s="279" t="s">
        <v>75</v>
      </c>
      <c r="AF639" s="279" t="s">
        <v>554</v>
      </c>
      <c r="AG639" s="279" t="s">
        <v>76</v>
      </c>
      <c r="AH639" s="279" t="s">
        <v>77</v>
      </c>
      <c r="AI639" s="198" t="s">
        <v>32</v>
      </c>
      <c r="AJ639" s="274" t="s">
        <v>73</v>
      </c>
      <c r="AK639"/>
    </row>
    <row r="640" spans="1:37" ht="15.75" hidden="1" customHeight="1">
      <c r="A640" s="198" t="s">
        <v>778</v>
      </c>
      <c r="B640" s="198" t="s">
        <v>769</v>
      </c>
      <c r="C640" s="214" t="s">
        <v>853</v>
      </c>
      <c r="D640" s="198" t="s">
        <v>74</v>
      </c>
      <c r="E640" s="198" t="s">
        <v>553</v>
      </c>
      <c r="F640" s="198">
        <v>373.55</v>
      </c>
      <c r="G640" s="198"/>
      <c r="H640" s="214" t="s">
        <v>325</v>
      </c>
      <c r="I640" s="214" t="s">
        <v>325</v>
      </c>
      <c r="J640" s="271"/>
      <c r="K640" s="198"/>
      <c r="L640" s="198"/>
      <c r="M640" s="198"/>
      <c r="N640" s="198"/>
      <c r="O640" s="198">
        <v>373.55</v>
      </c>
      <c r="P640" s="198"/>
      <c r="Q640" s="198" t="s">
        <v>329</v>
      </c>
      <c r="R640" s="230">
        <f>DATABASE_Table[[#This Row],[Inicial Asking Price (€) (Total)]]-DATABASE_Table[[#This Row],[Vista membership]]-DATABASE_Table[[#This Row],[FF&amp;E]]</f>
        <v>1000000</v>
      </c>
      <c r="S640" s="234">
        <v>1000000</v>
      </c>
      <c r="T640" s="235">
        <v>810000</v>
      </c>
      <c r="U640" s="198"/>
      <c r="V640" s="198"/>
      <c r="W640" s="233">
        <f>DATABASE_Table[[#This Row],[Current Asking price( Total)]]-DATABASE_Table[[#This Row],[Vista membership]]-DATABASE_Table[[#This Row],[FF&amp;E]]</f>
        <v>810000</v>
      </c>
      <c r="X640" s="236"/>
      <c r="Y640" s="235"/>
      <c r="Z640" s="233">
        <f>DATABASE_Table[[#This Row],[Sell price (Total)]]-DATABASE_Table[[#This Row],[FF&amp;E]]-DATABASE_Table[[#This Row],[Vista membership]]</f>
        <v>0</v>
      </c>
      <c r="AA640" s="315"/>
      <c r="AB640" s="321" t="s">
        <v>32</v>
      </c>
      <c r="AC640" s="198" t="s">
        <v>57</v>
      </c>
      <c r="AD640" s="198"/>
      <c r="AE640" s="279" t="s">
        <v>75</v>
      </c>
      <c r="AF640" s="279" t="s">
        <v>554</v>
      </c>
      <c r="AG640" s="279" t="s">
        <v>76</v>
      </c>
      <c r="AH640" s="279" t="s">
        <v>77</v>
      </c>
      <c r="AI640" s="198" t="s">
        <v>32</v>
      </c>
      <c r="AJ640" s="274" t="s">
        <v>73</v>
      </c>
      <c r="AK640"/>
    </row>
    <row r="641" spans="1:37" ht="15.75" hidden="1" customHeight="1">
      <c r="A641" s="198" t="s">
        <v>778</v>
      </c>
      <c r="B641" s="198" t="s">
        <v>769</v>
      </c>
      <c r="C641" s="214" t="s">
        <v>854</v>
      </c>
      <c r="D641" s="198" t="s">
        <v>74</v>
      </c>
      <c r="E641" s="198" t="s">
        <v>553</v>
      </c>
      <c r="F641" s="198">
        <v>373.55</v>
      </c>
      <c r="G641" s="198"/>
      <c r="H641" s="214" t="s">
        <v>325</v>
      </c>
      <c r="I641" s="214" t="s">
        <v>325</v>
      </c>
      <c r="J641" s="271"/>
      <c r="K641" s="198"/>
      <c r="L641" s="198"/>
      <c r="M641" s="198"/>
      <c r="N641" s="198"/>
      <c r="O641" s="198">
        <v>373.55</v>
      </c>
      <c r="P641" s="198"/>
      <c r="Q641" s="198" t="s">
        <v>329</v>
      </c>
      <c r="R641" s="230">
        <f>DATABASE_Table[[#This Row],[Inicial Asking Price (€) (Total)]]-DATABASE_Table[[#This Row],[Vista membership]]-DATABASE_Table[[#This Row],[FF&amp;E]]</f>
        <v>1000000</v>
      </c>
      <c r="S641" s="234">
        <v>1000000</v>
      </c>
      <c r="T641" s="235">
        <v>790000</v>
      </c>
      <c r="U641" s="198"/>
      <c r="V641" s="198"/>
      <c r="W641" s="233">
        <f>DATABASE_Table[[#This Row],[Current Asking price( Total)]]-DATABASE_Table[[#This Row],[Vista membership]]-DATABASE_Table[[#This Row],[FF&amp;E]]</f>
        <v>790000</v>
      </c>
      <c r="X641" s="236"/>
      <c r="Y641" s="235"/>
      <c r="Z641" s="233">
        <f>DATABASE_Table[[#This Row],[Sell price (Total)]]-DATABASE_Table[[#This Row],[FF&amp;E]]-DATABASE_Table[[#This Row],[Vista membership]]</f>
        <v>0</v>
      </c>
      <c r="AA641" s="315"/>
      <c r="AB641" s="321" t="s">
        <v>32</v>
      </c>
      <c r="AC641" s="198" t="s">
        <v>57</v>
      </c>
      <c r="AD641" s="198"/>
      <c r="AE641" s="279" t="s">
        <v>75</v>
      </c>
      <c r="AF641" s="279" t="s">
        <v>554</v>
      </c>
      <c r="AG641" s="279" t="s">
        <v>76</v>
      </c>
      <c r="AH641" s="279" t="s">
        <v>77</v>
      </c>
      <c r="AI641" s="198" t="s">
        <v>32</v>
      </c>
      <c r="AJ641" s="274" t="s">
        <v>73</v>
      </c>
      <c r="AK641"/>
    </row>
    <row r="642" spans="1:37" ht="15.75" hidden="1" customHeight="1">
      <c r="A642" s="198" t="s">
        <v>778</v>
      </c>
      <c r="B642" s="198" t="s">
        <v>769</v>
      </c>
      <c r="C642" s="214" t="s">
        <v>855</v>
      </c>
      <c r="D642" s="198" t="s">
        <v>74</v>
      </c>
      <c r="E642" s="198" t="s">
        <v>553</v>
      </c>
      <c r="F642" s="198">
        <v>373.55</v>
      </c>
      <c r="G642" s="198"/>
      <c r="H642" s="214" t="s">
        <v>325</v>
      </c>
      <c r="I642" s="214" t="s">
        <v>325</v>
      </c>
      <c r="J642" s="271"/>
      <c r="K642" s="198"/>
      <c r="L642" s="198"/>
      <c r="M642" s="198"/>
      <c r="N642" s="198"/>
      <c r="O642" s="198">
        <v>373.55</v>
      </c>
      <c r="P642" s="198"/>
      <c r="Q642" s="198" t="s">
        <v>329</v>
      </c>
      <c r="R642" s="230">
        <f>DATABASE_Table[[#This Row],[Inicial Asking Price (€) (Total)]]-DATABASE_Table[[#This Row],[Vista membership]]-DATABASE_Table[[#This Row],[FF&amp;E]]</f>
        <v>1000000</v>
      </c>
      <c r="S642" s="234">
        <v>1000000</v>
      </c>
      <c r="T642" s="235">
        <v>770000</v>
      </c>
      <c r="U642" s="198"/>
      <c r="V642" s="198"/>
      <c r="W642" s="233">
        <f>DATABASE_Table[[#This Row],[Current Asking price( Total)]]-DATABASE_Table[[#This Row],[Vista membership]]-DATABASE_Table[[#This Row],[FF&amp;E]]</f>
        <v>770000</v>
      </c>
      <c r="X642" s="236"/>
      <c r="Y642" s="235"/>
      <c r="Z642" s="233">
        <f>DATABASE_Table[[#This Row],[Sell price (Total)]]-DATABASE_Table[[#This Row],[FF&amp;E]]-DATABASE_Table[[#This Row],[Vista membership]]</f>
        <v>0</v>
      </c>
      <c r="AA642" s="315"/>
      <c r="AB642" s="321" t="s">
        <v>32</v>
      </c>
      <c r="AC642" s="198" t="s">
        <v>57</v>
      </c>
      <c r="AD642" s="198"/>
      <c r="AE642" s="279" t="s">
        <v>75</v>
      </c>
      <c r="AF642" s="279" t="s">
        <v>554</v>
      </c>
      <c r="AG642" s="279" t="s">
        <v>76</v>
      </c>
      <c r="AH642" s="279" t="s">
        <v>77</v>
      </c>
      <c r="AI642" s="198" t="s">
        <v>32</v>
      </c>
      <c r="AJ642" s="274" t="s">
        <v>73</v>
      </c>
      <c r="AK642"/>
    </row>
    <row r="643" spans="1:37" ht="15.75" hidden="1" customHeight="1">
      <c r="A643" s="198" t="s">
        <v>778</v>
      </c>
      <c r="B643" s="198" t="s">
        <v>769</v>
      </c>
      <c r="C643" s="214" t="s">
        <v>856</v>
      </c>
      <c r="D643" s="198" t="s">
        <v>74</v>
      </c>
      <c r="E643" s="198" t="s">
        <v>553</v>
      </c>
      <c r="F643" s="198">
        <v>373.55</v>
      </c>
      <c r="G643" s="198"/>
      <c r="H643" s="214" t="s">
        <v>325</v>
      </c>
      <c r="I643" s="214" t="s">
        <v>325</v>
      </c>
      <c r="J643" s="271"/>
      <c r="K643" s="198"/>
      <c r="L643" s="198"/>
      <c r="M643" s="198"/>
      <c r="N643" s="198"/>
      <c r="O643" s="198">
        <v>373.55</v>
      </c>
      <c r="P643" s="198"/>
      <c r="Q643" s="198" t="s">
        <v>329</v>
      </c>
      <c r="R643" s="230">
        <f>DATABASE_Table[[#This Row],[Inicial Asking Price (€) (Total)]]-DATABASE_Table[[#This Row],[Vista membership]]-DATABASE_Table[[#This Row],[FF&amp;E]]</f>
        <v>1000000</v>
      </c>
      <c r="S643" s="234">
        <v>1000000</v>
      </c>
      <c r="T643" s="235">
        <v>780000</v>
      </c>
      <c r="U643" s="198"/>
      <c r="V643" s="198"/>
      <c r="W643" s="233">
        <f>DATABASE_Table[[#This Row],[Current Asking price( Total)]]-DATABASE_Table[[#This Row],[Vista membership]]-DATABASE_Table[[#This Row],[FF&amp;E]]</f>
        <v>780000</v>
      </c>
      <c r="X643" s="236"/>
      <c r="Y643" s="235"/>
      <c r="Z643" s="233">
        <f>DATABASE_Table[[#This Row],[Sell price (Total)]]-DATABASE_Table[[#This Row],[FF&amp;E]]-DATABASE_Table[[#This Row],[Vista membership]]</f>
        <v>0</v>
      </c>
      <c r="AA643" s="315"/>
      <c r="AB643" s="321" t="s">
        <v>32</v>
      </c>
      <c r="AC643" s="198" t="s">
        <v>57</v>
      </c>
      <c r="AD643" s="198"/>
      <c r="AE643" s="279" t="s">
        <v>75</v>
      </c>
      <c r="AF643" s="279" t="s">
        <v>554</v>
      </c>
      <c r="AG643" s="279" t="s">
        <v>76</v>
      </c>
      <c r="AH643" s="279" t="s">
        <v>77</v>
      </c>
      <c r="AI643" s="198" t="s">
        <v>32</v>
      </c>
      <c r="AJ643" s="274" t="s">
        <v>73</v>
      </c>
      <c r="AK643"/>
    </row>
    <row r="644" spans="1:37" ht="15.75" hidden="1" customHeight="1">
      <c r="A644" s="198" t="s">
        <v>778</v>
      </c>
      <c r="B644" s="198" t="s">
        <v>769</v>
      </c>
      <c r="C644" s="214" t="s">
        <v>857</v>
      </c>
      <c r="D644" s="198" t="s">
        <v>74</v>
      </c>
      <c r="E644" s="198" t="s">
        <v>553</v>
      </c>
      <c r="F644" s="198">
        <v>373.55</v>
      </c>
      <c r="G644" s="198"/>
      <c r="H644" s="214" t="s">
        <v>325</v>
      </c>
      <c r="I644" s="214" t="s">
        <v>325</v>
      </c>
      <c r="J644" s="271"/>
      <c r="K644" s="198"/>
      <c r="L644" s="198"/>
      <c r="M644" s="198"/>
      <c r="N644" s="198"/>
      <c r="O644" s="198">
        <v>373.55</v>
      </c>
      <c r="P644" s="198"/>
      <c r="Q644" s="198" t="s">
        <v>329</v>
      </c>
      <c r="R644" s="230">
        <f>DATABASE_Table[[#This Row],[Inicial Asking Price (€) (Total)]]-DATABASE_Table[[#This Row],[Vista membership]]-DATABASE_Table[[#This Row],[FF&amp;E]]</f>
        <v>1000000</v>
      </c>
      <c r="S644" s="234">
        <v>1000000</v>
      </c>
      <c r="T644" s="235">
        <v>770000</v>
      </c>
      <c r="U644" s="198"/>
      <c r="V644" s="198"/>
      <c r="W644" s="233">
        <f>DATABASE_Table[[#This Row],[Current Asking price( Total)]]-DATABASE_Table[[#This Row],[Vista membership]]-DATABASE_Table[[#This Row],[FF&amp;E]]</f>
        <v>770000</v>
      </c>
      <c r="X644" s="236"/>
      <c r="Y644" s="235"/>
      <c r="Z644" s="233">
        <f>DATABASE_Table[[#This Row],[Sell price (Total)]]-DATABASE_Table[[#This Row],[FF&amp;E]]-DATABASE_Table[[#This Row],[Vista membership]]</f>
        <v>0</v>
      </c>
      <c r="AA644" s="315"/>
      <c r="AB644" s="321" t="s">
        <v>32</v>
      </c>
      <c r="AC644" s="198" t="s">
        <v>57</v>
      </c>
      <c r="AD644" s="198"/>
      <c r="AE644" s="279" t="s">
        <v>75</v>
      </c>
      <c r="AF644" s="279" t="s">
        <v>554</v>
      </c>
      <c r="AG644" s="279" t="s">
        <v>76</v>
      </c>
      <c r="AH644" s="279" t="s">
        <v>77</v>
      </c>
      <c r="AI644" s="198" t="s">
        <v>32</v>
      </c>
      <c r="AJ644" s="274" t="s">
        <v>73</v>
      </c>
      <c r="AK644"/>
    </row>
    <row r="645" spans="1:37" ht="15.75" hidden="1" customHeight="1">
      <c r="A645" s="198" t="s">
        <v>778</v>
      </c>
      <c r="B645" s="198" t="s">
        <v>769</v>
      </c>
      <c r="C645" s="214" t="s">
        <v>835</v>
      </c>
      <c r="D645" s="198" t="s">
        <v>74</v>
      </c>
      <c r="E645" s="198" t="s">
        <v>553</v>
      </c>
      <c r="F645" s="198">
        <v>373.55</v>
      </c>
      <c r="G645" s="198"/>
      <c r="H645" s="214" t="s">
        <v>325</v>
      </c>
      <c r="I645" s="214" t="s">
        <v>325</v>
      </c>
      <c r="J645" s="271"/>
      <c r="K645" s="198"/>
      <c r="L645" s="198"/>
      <c r="M645" s="198"/>
      <c r="N645" s="198"/>
      <c r="O645" s="198">
        <v>373.55</v>
      </c>
      <c r="P645" s="198"/>
      <c r="Q645" s="198" t="s">
        <v>329</v>
      </c>
      <c r="R645" s="230">
        <f>DATABASE_Table[[#This Row],[Inicial Asking Price (€) (Total)]]-DATABASE_Table[[#This Row],[Vista membership]]-DATABASE_Table[[#This Row],[FF&amp;E]]</f>
        <v>1000000</v>
      </c>
      <c r="S645" s="234">
        <v>1000000</v>
      </c>
      <c r="T645" s="235">
        <v>710000</v>
      </c>
      <c r="U645" s="198"/>
      <c r="V645" s="198"/>
      <c r="W645" s="233">
        <f>DATABASE_Table[[#This Row],[Current Asking price( Total)]]-DATABASE_Table[[#This Row],[Vista membership]]-DATABASE_Table[[#This Row],[FF&amp;E]]</f>
        <v>710000</v>
      </c>
      <c r="X645" s="236"/>
      <c r="Y645" s="235"/>
      <c r="Z645" s="233">
        <f>DATABASE_Table[[#This Row],[Sell price (Total)]]-DATABASE_Table[[#This Row],[FF&amp;E]]-DATABASE_Table[[#This Row],[Vista membership]]</f>
        <v>0</v>
      </c>
      <c r="AA645" s="315"/>
      <c r="AB645" s="321" t="s">
        <v>32</v>
      </c>
      <c r="AC645" s="198" t="s">
        <v>57</v>
      </c>
      <c r="AD645" s="198"/>
      <c r="AE645" s="279" t="s">
        <v>75</v>
      </c>
      <c r="AF645" s="279" t="s">
        <v>554</v>
      </c>
      <c r="AG645" s="279" t="s">
        <v>76</v>
      </c>
      <c r="AH645" s="279" t="s">
        <v>77</v>
      </c>
      <c r="AI645" s="198" t="s">
        <v>32</v>
      </c>
      <c r="AJ645" s="274" t="s">
        <v>73</v>
      </c>
      <c r="AK645"/>
    </row>
    <row r="646" spans="1:37" ht="15.75" hidden="1" customHeight="1">
      <c r="A646" s="198" t="s">
        <v>778</v>
      </c>
      <c r="B646" s="198" t="s">
        <v>769</v>
      </c>
      <c r="C646" s="214" t="s">
        <v>840</v>
      </c>
      <c r="D646" s="198" t="s">
        <v>74</v>
      </c>
      <c r="E646" s="198" t="s">
        <v>553</v>
      </c>
      <c r="F646" s="198">
        <v>396.9</v>
      </c>
      <c r="G646" s="198"/>
      <c r="H646" s="214" t="s">
        <v>325</v>
      </c>
      <c r="I646" s="214" t="s">
        <v>325</v>
      </c>
      <c r="J646" s="271"/>
      <c r="K646" s="198"/>
      <c r="L646" s="198"/>
      <c r="M646" s="198"/>
      <c r="N646" s="198"/>
      <c r="O646" s="198">
        <v>396.9</v>
      </c>
      <c r="P646" s="198"/>
      <c r="Q646" s="198" t="s">
        <v>329</v>
      </c>
      <c r="R646" s="230">
        <f>DATABASE_Table[[#This Row],[Inicial Asking Price (€) (Total)]]-DATABASE_Table[[#This Row],[Vista membership]]-DATABASE_Table[[#This Row],[FF&amp;E]]</f>
        <v>1000000</v>
      </c>
      <c r="S646" s="234">
        <v>1000000</v>
      </c>
      <c r="T646" s="235">
        <v>820000</v>
      </c>
      <c r="U646" s="198"/>
      <c r="V646" s="198"/>
      <c r="W646" s="233">
        <f>DATABASE_Table[[#This Row],[Current Asking price( Total)]]-DATABASE_Table[[#This Row],[Vista membership]]-DATABASE_Table[[#This Row],[FF&amp;E]]</f>
        <v>820000</v>
      </c>
      <c r="X646" s="236"/>
      <c r="Y646" s="235"/>
      <c r="Z646" s="233">
        <f>DATABASE_Table[[#This Row],[Sell price (Total)]]-DATABASE_Table[[#This Row],[FF&amp;E]]-DATABASE_Table[[#This Row],[Vista membership]]</f>
        <v>0</v>
      </c>
      <c r="AA646" s="315"/>
      <c r="AB646" s="321" t="s">
        <v>32</v>
      </c>
      <c r="AC646" s="198" t="s">
        <v>57</v>
      </c>
      <c r="AD646" s="198"/>
      <c r="AE646" s="279" t="s">
        <v>75</v>
      </c>
      <c r="AF646" s="279" t="s">
        <v>554</v>
      </c>
      <c r="AG646" s="279" t="s">
        <v>76</v>
      </c>
      <c r="AH646" s="279" t="s">
        <v>77</v>
      </c>
      <c r="AI646" s="198" t="s">
        <v>32</v>
      </c>
      <c r="AJ646" s="274" t="s">
        <v>73</v>
      </c>
      <c r="AK646"/>
    </row>
    <row r="647" spans="1:37" ht="15.75" hidden="1" customHeight="1">
      <c r="A647" s="198" t="s">
        <v>778</v>
      </c>
      <c r="B647" s="198" t="s">
        <v>769</v>
      </c>
      <c r="C647" s="214" t="s">
        <v>841</v>
      </c>
      <c r="D647" s="198" t="s">
        <v>74</v>
      </c>
      <c r="E647" s="198" t="s">
        <v>553</v>
      </c>
      <c r="F647" s="198">
        <v>396.9</v>
      </c>
      <c r="G647" s="198"/>
      <c r="H647" s="214" t="s">
        <v>325</v>
      </c>
      <c r="I647" s="214" t="s">
        <v>325</v>
      </c>
      <c r="J647" s="271"/>
      <c r="K647" s="198"/>
      <c r="L647" s="198"/>
      <c r="M647" s="198"/>
      <c r="N647" s="198"/>
      <c r="O647" s="198">
        <v>396.9</v>
      </c>
      <c r="P647" s="198"/>
      <c r="Q647" s="198" t="s">
        <v>329</v>
      </c>
      <c r="R647" s="230">
        <f>DATABASE_Table[[#This Row],[Inicial Asking Price (€) (Total)]]-DATABASE_Table[[#This Row],[Vista membership]]-DATABASE_Table[[#This Row],[FF&amp;E]]</f>
        <v>1000000</v>
      </c>
      <c r="S647" s="234">
        <v>1000000</v>
      </c>
      <c r="T647" s="235">
        <v>840000</v>
      </c>
      <c r="U647" s="198"/>
      <c r="V647" s="198"/>
      <c r="W647" s="233">
        <f>DATABASE_Table[[#This Row],[Current Asking price( Total)]]-DATABASE_Table[[#This Row],[Vista membership]]-DATABASE_Table[[#This Row],[FF&amp;E]]</f>
        <v>840000</v>
      </c>
      <c r="X647" s="236"/>
      <c r="Y647" s="235"/>
      <c r="Z647" s="233">
        <f>DATABASE_Table[[#This Row],[Sell price (Total)]]-DATABASE_Table[[#This Row],[FF&amp;E]]-DATABASE_Table[[#This Row],[Vista membership]]</f>
        <v>0</v>
      </c>
      <c r="AA647" s="315"/>
      <c r="AB647" s="321" t="s">
        <v>32</v>
      </c>
      <c r="AC647" s="198" t="s">
        <v>57</v>
      </c>
      <c r="AD647" s="198"/>
      <c r="AE647" s="279" t="s">
        <v>75</v>
      </c>
      <c r="AF647" s="279" t="s">
        <v>554</v>
      </c>
      <c r="AG647" s="279" t="s">
        <v>76</v>
      </c>
      <c r="AH647" s="279" t="s">
        <v>77</v>
      </c>
      <c r="AI647" s="198" t="s">
        <v>32</v>
      </c>
      <c r="AJ647" s="274" t="s">
        <v>73</v>
      </c>
      <c r="AK647"/>
    </row>
    <row r="648" spans="1:37" ht="15.75" hidden="1" customHeight="1">
      <c r="A648" s="198" t="s">
        <v>778</v>
      </c>
      <c r="B648" s="198" t="s">
        <v>769</v>
      </c>
      <c r="C648" s="214" t="s">
        <v>846</v>
      </c>
      <c r="D648" s="198" t="s">
        <v>74</v>
      </c>
      <c r="E648" s="198" t="s">
        <v>553</v>
      </c>
      <c r="F648" s="198">
        <v>396.9</v>
      </c>
      <c r="G648" s="198"/>
      <c r="H648" s="214" t="s">
        <v>325</v>
      </c>
      <c r="I648" s="214" t="s">
        <v>325</v>
      </c>
      <c r="J648" s="271"/>
      <c r="K648" s="198"/>
      <c r="L648" s="198"/>
      <c r="M648" s="198"/>
      <c r="N648" s="198"/>
      <c r="O648" s="198">
        <v>396.9</v>
      </c>
      <c r="P648" s="198"/>
      <c r="Q648" s="198" t="s">
        <v>329</v>
      </c>
      <c r="R648" s="230">
        <f>DATABASE_Table[[#This Row],[Inicial Asking Price (€) (Total)]]-DATABASE_Table[[#This Row],[Vista membership]]-DATABASE_Table[[#This Row],[FF&amp;E]]</f>
        <v>1000000</v>
      </c>
      <c r="S648" s="234">
        <v>1000000</v>
      </c>
      <c r="T648" s="235">
        <v>860000</v>
      </c>
      <c r="U648" s="198"/>
      <c r="V648" s="198"/>
      <c r="W648" s="233">
        <f>DATABASE_Table[[#This Row],[Current Asking price( Total)]]-DATABASE_Table[[#This Row],[Vista membership]]-DATABASE_Table[[#This Row],[FF&amp;E]]</f>
        <v>860000</v>
      </c>
      <c r="X648" s="236"/>
      <c r="Y648" s="235"/>
      <c r="Z648" s="233">
        <f>DATABASE_Table[[#This Row],[Sell price (Total)]]-DATABASE_Table[[#This Row],[FF&amp;E]]-DATABASE_Table[[#This Row],[Vista membership]]</f>
        <v>0</v>
      </c>
      <c r="AA648" s="315"/>
      <c r="AB648" s="321" t="s">
        <v>32</v>
      </c>
      <c r="AC648" s="198" t="s">
        <v>57</v>
      </c>
      <c r="AD648" s="198"/>
      <c r="AE648" s="279" t="s">
        <v>75</v>
      </c>
      <c r="AF648" s="279" t="s">
        <v>554</v>
      </c>
      <c r="AG648" s="279" t="s">
        <v>76</v>
      </c>
      <c r="AH648" s="279" t="s">
        <v>77</v>
      </c>
      <c r="AI648" s="198" t="s">
        <v>32</v>
      </c>
      <c r="AJ648" s="274" t="s">
        <v>73</v>
      </c>
      <c r="AK648"/>
    </row>
    <row r="649" spans="1:37" ht="15.75" hidden="1" customHeight="1">
      <c r="A649" s="198" t="s">
        <v>773</v>
      </c>
      <c r="B649" s="198" t="s">
        <v>769</v>
      </c>
      <c r="C649" s="214" t="s">
        <v>885</v>
      </c>
      <c r="D649" s="198" t="s">
        <v>67</v>
      </c>
      <c r="E649" s="198" t="s">
        <v>553</v>
      </c>
      <c r="F649" s="198">
        <v>420</v>
      </c>
      <c r="G649" s="198"/>
      <c r="H649" s="214" t="s">
        <v>325</v>
      </c>
      <c r="I649" s="214" t="s">
        <v>325</v>
      </c>
      <c r="J649" s="271"/>
      <c r="K649" s="198"/>
      <c r="L649" s="198"/>
      <c r="M649" s="198"/>
      <c r="N649" s="198"/>
      <c r="O649" s="198">
        <v>420</v>
      </c>
      <c r="P649" s="198"/>
      <c r="Q649" s="198" t="s">
        <v>329</v>
      </c>
      <c r="R649" s="230">
        <f>DATABASE_Table[[#This Row],[Inicial Asking Price (€) (Total)]]-DATABASE_Table[[#This Row],[Vista membership]]-DATABASE_Table[[#This Row],[FF&amp;E]]</f>
        <v>1000000</v>
      </c>
      <c r="S649" s="234">
        <v>1000000</v>
      </c>
      <c r="T649" s="235">
        <v>1300000</v>
      </c>
      <c r="U649" s="198"/>
      <c r="V649" s="198"/>
      <c r="W649" s="233">
        <f>DATABASE_Table[[#This Row],[Current Asking price( Total)]]-DATABASE_Table[[#This Row],[Vista membership]]-DATABASE_Table[[#This Row],[FF&amp;E]]</f>
        <v>1300000</v>
      </c>
      <c r="X649" s="236"/>
      <c r="Y649" s="235">
        <v>1300000</v>
      </c>
      <c r="Z649" s="233">
        <f>DATABASE_Table[[#This Row],[Sell price (Total)]]-DATABASE_Table[[#This Row],[FF&amp;E]]-DATABASE_Table[[#This Row],[Vista membership]]</f>
        <v>1300000</v>
      </c>
      <c r="AA649" s="315"/>
      <c r="AB649" s="321">
        <v>46843</v>
      </c>
      <c r="AC649" s="198" t="s">
        <v>57</v>
      </c>
      <c r="AD649" s="198" t="s">
        <v>68</v>
      </c>
      <c r="AE649" s="279" t="s">
        <v>69</v>
      </c>
      <c r="AF649" s="279" t="s">
        <v>70</v>
      </c>
      <c r="AG649" s="279" t="s">
        <v>71</v>
      </c>
      <c r="AH649" s="279" t="s">
        <v>816</v>
      </c>
      <c r="AI649" s="198" t="s">
        <v>72</v>
      </c>
      <c r="AJ649" s="274" t="s">
        <v>66</v>
      </c>
      <c r="AK649"/>
    </row>
    <row r="650" spans="1:37" ht="15.75" hidden="1" customHeight="1">
      <c r="A650" s="198" t="s">
        <v>630</v>
      </c>
      <c r="B650" s="198" t="s">
        <v>691</v>
      </c>
      <c r="C650" s="214" t="s">
        <v>390</v>
      </c>
      <c r="D650" s="198" t="s">
        <v>9</v>
      </c>
      <c r="E650" s="198" t="s">
        <v>320</v>
      </c>
      <c r="F650" s="198">
        <v>195.86</v>
      </c>
      <c r="G650" s="198"/>
      <c r="H650" s="214" t="s">
        <v>848</v>
      </c>
      <c r="I650" s="214" t="s">
        <v>325</v>
      </c>
      <c r="J650" s="271">
        <v>33</v>
      </c>
      <c r="K650" s="198"/>
      <c r="L650" s="198"/>
      <c r="M650" s="198">
        <v>0</v>
      </c>
      <c r="N650" s="198"/>
      <c r="O650" s="198">
        <v>162.86000000000001</v>
      </c>
      <c r="P650" s="198"/>
      <c r="Q650" s="198" t="s">
        <v>329</v>
      </c>
      <c r="R650" s="230">
        <f>DATABASE_Table[[#This Row],[Inicial Asking Price (€) (Total)]]-DATABASE_Table[[#This Row],[Vista membership]]-DATABASE_Table[[#This Row],[FF&amp;E]]</f>
        <v>1493510.2</v>
      </c>
      <c r="S650" s="231">
        <v>1493510.2</v>
      </c>
      <c r="T650" s="232">
        <v>1575000</v>
      </c>
      <c r="U650" s="198"/>
      <c r="V650" s="198"/>
      <c r="W650" s="233">
        <f>DATABASE_Table[[#This Row],[Current Asking price( Total)]]-DATABASE_Table[[#This Row],[Vista membership]]-DATABASE_Table[[#This Row],[FF&amp;E]]</f>
        <v>1575000</v>
      </c>
      <c r="X650" s="216"/>
      <c r="Y650" s="232">
        <v>1560000</v>
      </c>
      <c r="Z650" s="233">
        <f>DATABASE_Table[[#This Row],[Sell price (Total)]]-DATABASE_Table[[#This Row],[FF&amp;E]]-DATABASE_Table[[#This Row],[Vista membership]]</f>
        <v>1560000</v>
      </c>
      <c r="AA650" s="315"/>
      <c r="AB650" s="321"/>
      <c r="AC650" s="198" t="s">
        <v>10</v>
      </c>
      <c r="AD650" s="198" t="s">
        <v>11</v>
      </c>
      <c r="AE650" s="279" t="s">
        <v>53</v>
      </c>
      <c r="AF650" s="279" t="s">
        <v>54</v>
      </c>
      <c r="AG650" s="279" t="s">
        <v>811</v>
      </c>
      <c r="AH650" s="279" t="s">
        <v>812</v>
      </c>
      <c r="AI650" s="198" t="s">
        <v>36</v>
      </c>
      <c r="AJ650" s="274" t="s">
        <v>52</v>
      </c>
      <c r="AK650"/>
    </row>
    <row r="651" spans="1:37" ht="15.75" hidden="1" customHeight="1">
      <c r="A651" s="198" t="s">
        <v>690</v>
      </c>
      <c r="B651" s="198" t="s">
        <v>691</v>
      </c>
      <c r="C651" s="214" t="s">
        <v>390</v>
      </c>
      <c r="D651" s="198" t="s">
        <v>9</v>
      </c>
      <c r="E651" s="198" t="s">
        <v>765</v>
      </c>
      <c r="F651" s="198">
        <v>330.51</v>
      </c>
      <c r="G651" s="198">
        <v>169.3</v>
      </c>
      <c r="H651" s="214" t="s">
        <v>325</v>
      </c>
      <c r="I651" s="214" t="s">
        <v>325</v>
      </c>
      <c r="J651" s="271">
        <v>25.77</v>
      </c>
      <c r="K651" s="198"/>
      <c r="L651" s="198"/>
      <c r="M651" s="198"/>
      <c r="N651" s="198"/>
      <c r="O651" s="198">
        <v>135.44</v>
      </c>
      <c r="P651" s="198"/>
      <c r="Q651" s="198" t="s">
        <v>329</v>
      </c>
      <c r="R651" s="230">
        <f>DATABASE_Table[[#This Row],[Inicial Asking Price (€) (Total)]]-DATABASE_Table[[#This Row],[Vista membership]]-DATABASE_Table[[#This Row],[FF&amp;E]]</f>
        <v>1537700</v>
      </c>
      <c r="S651" s="231">
        <v>1608850</v>
      </c>
      <c r="T651" s="232">
        <v>1680000</v>
      </c>
      <c r="U651" s="198">
        <v>24600</v>
      </c>
      <c r="V651" s="198">
        <v>46550</v>
      </c>
      <c r="W651" s="233">
        <f>DATABASE_Table[[#This Row],[Current Asking price( Total)]]-DATABASE_Table[[#This Row],[Vista membership]]-DATABASE_Table[[#This Row],[FF&amp;E]]</f>
        <v>1608850</v>
      </c>
      <c r="X651" s="216"/>
      <c r="Y651" s="232">
        <v>1680000</v>
      </c>
      <c r="Z651" s="233">
        <f>DATABASE_Table[[#This Row],[Sell price (Total)]]-DATABASE_Table[[#This Row],[FF&amp;E]]-DATABASE_Table[[#This Row],[Vista membership]]</f>
        <v>1608850</v>
      </c>
      <c r="AA651" s="315"/>
      <c r="AB651" s="321"/>
      <c r="AC651" s="198" t="s">
        <v>10</v>
      </c>
      <c r="AD651" s="198" t="s">
        <v>35</v>
      </c>
      <c r="AE651" s="279" t="s">
        <v>38</v>
      </c>
      <c r="AF651" s="279" t="s">
        <v>39</v>
      </c>
      <c r="AG651" s="279" t="s">
        <v>40</v>
      </c>
      <c r="AH651" s="279" t="s">
        <v>810</v>
      </c>
      <c r="AI651" s="198" t="s">
        <v>41</v>
      </c>
      <c r="AJ651" s="274" t="s">
        <v>37</v>
      </c>
      <c r="AK651"/>
    </row>
    <row r="652" spans="1:37" ht="15.75" hidden="1" customHeight="1">
      <c r="A652" s="198" t="s">
        <v>563</v>
      </c>
      <c r="B652" s="198" t="s">
        <v>691</v>
      </c>
      <c r="C652" s="214" t="s">
        <v>390</v>
      </c>
      <c r="D652" s="198" t="s">
        <v>9</v>
      </c>
      <c r="E652" s="198" t="s">
        <v>319</v>
      </c>
      <c r="F652" s="198">
        <v>78.3</v>
      </c>
      <c r="G652" s="198"/>
      <c r="H652" s="214" t="s">
        <v>325</v>
      </c>
      <c r="I652" s="214" t="s">
        <v>325</v>
      </c>
      <c r="J652" s="271"/>
      <c r="K652" s="198"/>
      <c r="L652" s="198"/>
      <c r="M652" s="198"/>
      <c r="N652" s="198"/>
      <c r="O652" s="198">
        <v>78.3</v>
      </c>
      <c r="P652" s="198"/>
      <c r="Q652" s="198" t="s">
        <v>628</v>
      </c>
      <c r="R652" s="230">
        <f>DATABASE_Table[[#This Row],[Inicial Asking Price (€) (Total)]]-DATABASE_Table[[#This Row],[Vista membership]]-DATABASE_Table[[#This Row],[FF&amp;E]]</f>
        <v>465000</v>
      </c>
      <c r="S652" s="231">
        <v>465000</v>
      </c>
      <c r="T652" s="232">
        <v>465000</v>
      </c>
      <c r="U652" s="198"/>
      <c r="V652" s="198"/>
      <c r="W652" s="233">
        <f>DATABASE_Table[[#This Row],[Current Asking price( Total)]]-DATABASE_Table[[#This Row],[Vista membership]]-DATABASE_Table[[#This Row],[FF&amp;E]]</f>
        <v>465000</v>
      </c>
      <c r="X652" s="216">
        <v>0</v>
      </c>
      <c r="Y652" s="232">
        <v>465000</v>
      </c>
      <c r="Z652" s="233">
        <f>DATABASE_Table[[#This Row],[Sell price (Total)]]-DATABASE_Table[[#This Row],[FF&amp;E]]-DATABASE_Table[[#This Row],[Vista membership]]</f>
        <v>465000</v>
      </c>
      <c r="AA652" s="316">
        <v>45611</v>
      </c>
      <c r="AB652" s="321"/>
      <c r="AC652" s="198" t="s">
        <v>10</v>
      </c>
      <c r="AD652" s="198" t="s">
        <v>11</v>
      </c>
      <c r="AE652" s="279" t="s">
        <v>28</v>
      </c>
      <c r="AF652" s="279" t="s">
        <v>29</v>
      </c>
      <c r="AG652" s="279" t="s">
        <v>805</v>
      </c>
      <c r="AH652" s="279" t="s">
        <v>806</v>
      </c>
      <c r="AI652" s="198" t="s">
        <v>30</v>
      </c>
      <c r="AJ652" s="274" t="s">
        <v>27</v>
      </c>
      <c r="AK652"/>
    </row>
    <row r="653" spans="1:37" ht="15.75" hidden="1" customHeight="1">
      <c r="A653" s="198" t="s">
        <v>564</v>
      </c>
      <c r="B653" s="198" t="s">
        <v>691</v>
      </c>
      <c r="C653" s="214" t="s">
        <v>390</v>
      </c>
      <c r="D653" s="198" t="s">
        <v>9</v>
      </c>
      <c r="E653" s="198" t="s">
        <v>319</v>
      </c>
      <c r="F653" s="198">
        <v>138.88</v>
      </c>
      <c r="G653" s="198"/>
      <c r="H653" s="214" t="s">
        <v>325</v>
      </c>
      <c r="I653" s="214" t="s">
        <v>325</v>
      </c>
      <c r="J653" s="271"/>
      <c r="K653" s="198"/>
      <c r="L653" s="198"/>
      <c r="M653" s="198">
        <v>48.41</v>
      </c>
      <c r="N653" s="198"/>
      <c r="O653" s="198">
        <v>90.47</v>
      </c>
      <c r="P653" s="198"/>
      <c r="Q653" s="198" t="s">
        <v>329</v>
      </c>
      <c r="R653" s="230">
        <f>DATABASE_Table[[#This Row],[Inicial Asking Price (€) (Total)]]-DATABASE_Table[[#This Row],[Vista membership]]-DATABASE_Table[[#This Row],[FF&amp;E]]</f>
        <v>807541.228</v>
      </c>
      <c r="S653" s="231">
        <v>872141.228</v>
      </c>
      <c r="T653" s="232">
        <v>940000</v>
      </c>
      <c r="U653" s="198">
        <v>24600</v>
      </c>
      <c r="V653" s="198">
        <v>40000</v>
      </c>
      <c r="W653" s="233">
        <f>DATABASE_Table[[#This Row],[Current Asking price( Total)]]-DATABASE_Table[[#This Row],[Vista membership]]-DATABASE_Table[[#This Row],[FF&amp;E]]</f>
        <v>875400</v>
      </c>
      <c r="X653" s="216"/>
      <c r="Y653" s="232">
        <v>940000</v>
      </c>
      <c r="Z653" s="233">
        <f>DATABASE_Table[[#This Row],[Sell price (Total)]]-DATABASE_Table[[#This Row],[FF&amp;E]]-DATABASE_Table[[#This Row],[Vista membership]]</f>
        <v>875400</v>
      </c>
      <c r="AA653" s="315"/>
      <c r="AB653" s="321"/>
      <c r="AC653" s="198" t="s">
        <v>10</v>
      </c>
      <c r="AD653" s="198" t="s">
        <v>35</v>
      </c>
      <c r="AE653" s="279" t="s">
        <v>43</v>
      </c>
      <c r="AF653" s="279" t="s">
        <v>44</v>
      </c>
      <c r="AG653" s="279" t="s">
        <v>45</v>
      </c>
      <c r="AH653" s="279" t="s">
        <v>46</v>
      </c>
      <c r="AI653" s="198" t="s">
        <v>47</v>
      </c>
      <c r="AJ653" s="274" t="s">
        <v>42</v>
      </c>
      <c r="AK653"/>
    </row>
    <row r="654" spans="1:37" ht="15.75" hidden="1" customHeight="1">
      <c r="A654" s="198" t="s">
        <v>630</v>
      </c>
      <c r="B654" s="198" t="s">
        <v>691</v>
      </c>
      <c r="C654" s="214" t="s">
        <v>391</v>
      </c>
      <c r="D654" s="198" t="s">
        <v>9</v>
      </c>
      <c r="E654" s="198" t="s">
        <v>319</v>
      </c>
      <c r="F654" s="198">
        <v>151.27000000000001</v>
      </c>
      <c r="G654" s="198"/>
      <c r="H654" s="214" t="s">
        <v>848</v>
      </c>
      <c r="I654" s="214" t="s">
        <v>325</v>
      </c>
      <c r="J654" s="271">
        <v>27.59</v>
      </c>
      <c r="K654" s="198"/>
      <c r="L654" s="198"/>
      <c r="M654" s="198">
        <v>0</v>
      </c>
      <c r="N654" s="198"/>
      <c r="O654" s="198">
        <v>123.68</v>
      </c>
      <c r="P654" s="198"/>
      <c r="Q654" s="198" t="s">
        <v>326</v>
      </c>
      <c r="R654" s="230">
        <f>DATABASE_Table[[#This Row],[Inicial Asking Price (€) (Total)]]-DATABASE_Table[[#This Row],[Vista membership]]-DATABASE_Table[[#This Row],[FF&amp;E]]</f>
        <v>1158318.5460000001</v>
      </c>
      <c r="S654" s="231">
        <v>1158318.5460000001</v>
      </c>
      <c r="T654" s="232">
        <v>1160000</v>
      </c>
      <c r="U654" s="198"/>
      <c r="V654" s="198"/>
      <c r="W654" s="233">
        <f>DATABASE_Table[[#This Row],[Current Asking price( Total)]]-DATABASE_Table[[#This Row],[Vista membership]]-DATABASE_Table[[#This Row],[FF&amp;E]]</f>
        <v>1160000</v>
      </c>
      <c r="X654" s="216">
        <v>0.10958275862069</v>
      </c>
      <c r="Y654" s="232">
        <v>1032884</v>
      </c>
      <c r="Z654" s="233">
        <f>DATABASE_Table[[#This Row],[Sell price (Total)]]-DATABASE_Table[[#This Row],[FF&amp;E]]-DATABASE_Table[[#This Row],[Vista membership]]</f>
        <v>1032884</v>
      </c>
      <c r="AA654" s="315"/>
      <c r="AB654" s="321"/>
      <c r="AC654" s="198" t="s">
        <v>10</v>
      </c>
      <c r="AD654" s="198" t="s">
        <v>11</v>
      </c>
      <c r="AE654" s="279" t="s">
        <v>53</v>
      </c>
      <c r="AF654" s="279" t="s">
        <v>54</v>
      </c>
      <c r="AG654" s="279" t="s">
        <v>811</v>
      </c>
      <c r="AH654" s="279" t="s">
        <v>812</v>
      </c>
      <c r="AI654" s="198" t="s">
        <v>36</v>
      </c>
      <c r="AJ654" s="274" t="s">
        <v>52</v>
      </c>
      <c r="AK654"/>
    </row>
    <row r="655" spans="1:37" ht="15.75" hidden="1" customHeight="1">
      <c r="A655" s="198" t="s">
        <v>690</v>
      </c>
      <c r="B655" s="198" t="s">
        <v>691</v>
      </c>
      <c r="C655" s="214" t="s">
        <v>391</v>
      </c>
      <c r="D655" s="198" t="s">
        <v>9</v>
      </c>
      <c r="E655" s="198" t="s">
        <v>763</v>
      </c>
      <c r="F655" s="198">
        <v>485.91</v>
      </c>
      <c r="G655" s="198">
        <v>289.99</v>
      </c>
      <c r="H655" s="214" t="s">
        <v>325</v>
      </c>
      <c r="I655" s="214" t="s">
        <v>325</v>
      </c>
      <c r="J655" s="271">
        <v>32.840000000000003</v>
      </c>
      <c r="K655" s="198"/>
      <c r="L655" s="198"/>
      <c r="M655" s="198"/>
      <c r="N655" s="198"/>
      <c r="O655" s="198">
        <v>163.08000000000001</v>
      </c>
      <c r="P655" s="198"/>
      <c r="Q655" s="198" t="s">
        <v>329</v>
      </c>
      <c r="R655" s="230">
        <f>DATABASE_Table[[#This Row],[Inicial Asking Price (€) (Total)]]-DATABASE_Table[[#This Row],[Vista membership]]-DATABASE_Table[[#This Row],[FF&amp;E]]</f>
        <v>1758200</v>
      </c>
      <c r="S655" s="231">
        <v>1844100</v>
      </c>
      <c r="T655" s="232">
        <v>1930000</v>
      </c>
      <c r="U655" s="198">
        <v>24600</v>
      </c>
      <c r="V655" s="198">
        <v>61300</v>
      </c>
      <c r="W655" s="233">
        <f>DATABASE_Table[[#This Row],[Current Asking price( Total)]]-DATABASE_Table[[#This Row],[Vista membership]]-DATABASE_Table[[#This Row],[FF&amp;E]]</f>
        <v>1844100</v>
      </c>
      <c r="X655" s="216"/>
      <c r="Y655" s="232">
        <v>1930000</v>
      </c>
      <c r="Z655" s="233">
        <f>DATABASE_Table[[#This Row],[Sell price (Total)]]-DATABASE_Table[[#This Row],[FF&amp;E]]-DATABASE_Table[[#This Row],[Vista membership]]</f>
        <v>1844100</v>
      </c>
      <c r="AA655" s="315"/>
      <c r="AB655" s="321"/>
      <c r="AC655" s="198" t="s">
        <v>10</v>
      </c>
      <c r="AD655" s="198" t="s">
        <v>35</v>
      </c>
      <c r="AE655" s="279" t="s">
        <v>38</v>
      </c>
      <c r="AF655" s="279" t="s">
        <v>39</v>
      </c>
      <c r="AG655" s="279" t="s">
        <v>40</v>
      </c>
      <c r="AH655" s="279" t="s">
        <v>810</v>
      </c>
      <c r="AI655" s="198" t="s">
        <v>41</v>
      </c>
      <c r="AJ655" s="274" t="s">
        <v>37</v>
      </c>
      <c r="AK655"/>
    </row>
    <row r="656" spans="1:37" ht="15.75" hidden="1" customHeight="1">
      <c r="A656" s="198" t="s">
        <v>563</v>
      </c>
      <c r="B656" s="198" t="s">
        <v>691</v>
      </c>
      <c r="C656" s="214" t="s">
        <v>391</v>
      </c>
      <c r="D656" s="198" t="s">
        <v>9</v>
      </c>
      <c r="E656" s="198" t="s">
        <v>319</v>
      </c>
      <c r="F656" s="198">
        <v>78.3</v>
      </c>
      <c r="G656" s="198"/>
      <c r="H656" s="214" t="s">
        <v>325</v>
      </c>
      <c r="I656" s="214" t="s">
        <v>325</v>
      </c>
      <c r="J656" s="271"/>
      <c r="K656" s="198"/>
      <c r="L656" s="198"/>
      <c r="M656" s="198"/>
      <c r="N656" s="198"/>
      <c r="O656" s="198">
        <v>78.3</v>
      </c>
      <c r="P656" s="198"/>
      <c r="Q656" s="198" t="s">
        <v>628</v>
      </c>
      <c r="R656" s="230">
        <f>DATABASE_Table[[#This Row],[Inicial Asking Price (€) (Total)]]-DATABASE_Table[[#This Row],[Vista membership]]-DATABASE_Table[[#This Row],[FF&amp;E]]</f>
        <v>465000</v>
      </c>
      <c r="S656" s="231">
        <v>465000</v>
      </c>
      <c r="T656" s="232">
        <v>465000</v>
      </c>
      <c r="U656" s="198"/>
      <c r="V656" s="198"/>
      <c r="W656" s="233">
        <f>DATABASE_Table[[#This Row],[Current Asking price( Total)]]-DATABASE_Table[[#This Row],[Vista membership]]-DATABASE_Table[[#This Row],[FF&amp;E]]</f>
        <v>465000</v>
      </c>
      <c r="X656" s="216">
        <v>0</v>
      </c>
      <c r="Y656" s="232">
        <v>465000</v>
      </c>
      <c r="Z656" s="233">
        <f>DATABASE_Table[[#This Row],[Sell price (Total)]]-DATABASE_Table[[#This Row],[FF&amp;E]]-DATABASE_Table[[#This Row],[Vista membership]]</f>
        <v>465000</v>
      </c>
      <c r="AA656" s="316">
        <v>45784</v>
      </c>
      <c r="AB656" s="321"/>
      <c r="AC656" s="198" t="s">
        <v>10</v>
      </c>
      <c r="AD656" s="198" t="s">
        <v>11</v>
      </c>
      <c r="AE656" s="279" t="s">
        <v>28</v>
      </c>
      <c r="AF656" s="279" t="s">
        <v>29</v>
      </c>
      <c r="AG656" s="279" t="s">
        <v>805</v>
      </c>
      <c r="AH656" s="279" t="s">
        <v>806</v>
      </c>
      <c r="AI656" s="198" t="s">
        <v>30</v>
      </c>
      <c r="AJ656" s="274" t="s">
        <v>27</v>
      </c>
      <c r="AK656"/>
    </row>
    <row r="657" spans="1:37" ht="15.75" hidden="1" customHeight="1">
      <c r="A657" s="198" t="s">
        <v>777</v>
      </c>
      <c r="B657" s="198" t="s">
        <v>769</v>
      </c>
      <c r="C657" s="214" t="s">
        <v>850</v>
      </c>
      <c r="D657" s="198" t="s">
        <v>74</v>
      </c>
      <c r="E657" s="198" t="s">
        <v>553</v>
      </c>
      <c r="F657" s="198">
        <v>450</v>
      </c>
      <c r="G657" s="198"/>
      <c r="H657" s="214" t="s">
        <v>325</v>
      </c>
      <c r="I657" s="214" t="s">
        <v>325</v>
      </c>
      <c r="J657" s="271"/>
      <c r="K657" s="198"/>
      <c r="L657" s="198"/>
      <c r="M657" s="198"/>
      <c r="N657" s="198"/>
      <c r="O657" s="198">
        <v>450</v>
      </c>
      <c r="P657" s="198"/>
      <c r="Q657" s="198" t="s">
        <v>329</v>
      </c>
      <c r="R657" s="230">
        <f>DATABASE_Table[[#This Row],[Inicial Asking Price (€) (Total)]]-DATABASE_Table[[#This Row],[Vista membership]]-DATABASE_Table[[#This Row],[FF&amp;E]]</f>
        <v>1010000</v>
      </c>
      <c r="S657" s="234">
        <v>1010000</v>
      </c>
      <c r="T657" s="235">
        <v>860000</v>
      </c>
      <c r="U657" s="198"/>
      <c r="V657" s="198"/>
      <c r="W657" s="233">
        <f>DATABASE_Table[[#This Row],[Current Asking price( Total)]]-DATABASE_Table[[#This Row],[Vista membership]]-DATABASE_Table[[#This Row],[FF&amp;E]]</f>
        <v>860000</v>
      </c>
      <c r="X657" s="236"/>
      <c r="Y657" s="235"/>
      <c r="Z657" s="233">
        <f>DATABASE_Table[[#This Row],[Sell price (Total)]]-DATABASE_Table[[#This Row],[FF&amp;E]]-DATABASE_Table[[#This Row],[Vista membership]]</f>
        <v>0</v>
      </c>
      <c r="AA657" s="315"/>
      <c r="AB657" s="321" t="s">
        <v>32</v>
      </c>
      <c r="AC657" s="198" t="s">
        <v>57</v>
      </c>
      <c r="AD657" s="198"/>
      <c r="AE657" s="279" t="s">
        <v>75</v>
      </c>
      <c r="AF657" s="279" t="s">
        <v>554</v>
      </c>
      <c r="AG657" s="279" t="s">
        <v>76</v>
      </c>
      <c r="AH657" s="279" t="s">
        <v>77</v>
      </c>
      <c r="AI657" s="198" t="s">
        <v>32</v>
      </c>
      <c r="AJ657" s="274" t="s">
        <v>73</v>
      </c>
      <c r="AK657"/>
    </row>
    <row r="658" spans="1:37" ht="15.75" hidden="1" customHeight="1">
      <c r="A658" s="198" t="s">
        <v>564</v>
      </c>
      <c r="B658" s="198" t="s">
        <v>691</v>
      </c>
      <c r="C658" s="214" t="s">
        <v>391</v>
      </c>
      <c r="D658" s="198" t="s">
        <v>9</v>
      </c>
      <c r="E658" s="198" t="s">
        <v>416</v>
      </c>
      <c r="F658" s="198">
        <v>131.33000000000001</v>
      </c>
      <c r="G658" s="198"/>
      <c r="H658" s="214" t="s">
        <v>325</v>
      </c>
      <c r="I658" s="214" t="s">
        <v>325</v>
      </c>
      <c r="J658" s="271"/>
      <c r="K658" s="198"/>
      <c r="L658" s="198"/>
      <c r="M658" s="198">
        <v>34.020000000000003</v>
      </c>
      <c r="N658" s="198"/>
      <c r="O658" s="198">
        <v>97.31</v>
      </c>
      <c r="P658" s="198"/>
      <c r="Q658" s="198" t="s">
        <v>329</v>
      </c>
      <c r="R658" s="230">
        <f>DATABASE_Table[[#This Row],[Inicial Asking Price (€) (Total)]]-DATABASE_Table[[#This Row],[Vista membership]]-DATABASE_Table[[#This Row],[FF&amp;E]]</f>
        <v>826897.58559999999</v>
      </c>
      <c r="S658" s="231">
        <v>891497.58559999999</v>
      </c>
      <c r="T658" s="232">
        <v>960000</v>
      </c>
      <c r="U658" s="198">
        <v>24600</v>
      </c>
      <c r="V658" s="198">
        <v>40000</v>
      </c>
      <c r="W658" s="233">
        <f>DATABASE_Table[[#This Row],[Current Asking price( Total)]]-DATABASE_Table[[#This Row],[Vista membership]]-DATABASE_Table[[#This Row],[FF&amp;E]]</f>
        <v>895400</v>
      </c>
      <c r="X658" s="216"/>
      <c r="Y658" s="232">
        <v>960000</v>
      </c>
      <c r="Z658" s="233">
        <f>DATABASE_Table[[#This Row],[Sell price (Total)]]-DATABASE_Table[[#This Row],[FF&amp;E]]-DATABASE_Table[[#This Row],[Vista membership]]</f>
        <v>895400</v>
      </c>
      <c r="AA658" s="315"/>
      <c r="AB658" s="321"/>
      <c r="AC658" s="198" t="s">
        <v>10</v>
      </c>
      <c r="AD658" s="198" t="s">
        <v>35</v>
      </c>
      <c r="AE658" s="279" t="s">
        <v>43</v>
      </c>
      <c r="AF658" s="279" t="s">
        <v>44</v>
      </c>
      <c r="AG658" s="279" t="s">
        <v>45</v>
      </c>
      <c r="AH658" s="279" t="s">
        <v>46</v>
      </c>
      <c r="AI658" s="198" t="s">
        <v>47</v>
      </c>
      <c r="AJ658" s="274" t="s">
        <v>42</v>
      </c>
      <c r="AK658"/>
    </row>
    <row r="659" spans="1:37" ht="15.75" hidden="1" customHeight="1">
      <c r="A659" s="198" t="s">
        <v>630</v>
      </c>
      <c r="B659" s="198" t="s">
        <v>691</v>
      </c>
      <c r="C659" s="214" t="s">
        <v>392</v>
      </c>
      <c r="D659" s="198" t="s">
        <v>9</v>
      </c>
      <c r="E659" s="198" t="s">
        <v>320</v>
      </c>
      <c r="F659" s="198">
        <v>319.63</v>
      </c>
      <c r="G659" s="198"/>
      <c r="H659" s="214" t="s">
        <v>848</v>
      </c>
      <c r="I659" s="214" t="s">
        <v>325</v>
      </c>
      <c r="J659" s="271">
        <v>55.5</v>
      </c>
      <c r="K659" s="198"/>
      <c r="L659" s="198"/>
      <c r="M659" s="198">
        <v>101.74</v>
      </c>
      <c r="N659" s="198"/>
      <c r="O659" s="198">
        <v>162.38999999999999</v>
      </c>
      <c r="P659" s="198"/>
      <c r="Q659" s="198" t="s">
        <v>326</v>
      </c>
      <c r="R659" s="230">
        <f>DATABASE_Table[[#This Row],[Inicial Asking Price (€) (Total)]]-DATABASE_Table[[#This Row],[Vista membership]]-DATABASE_Table[[#This Row],[FF&amp;E]]</f>
        <v>1790881.95</v>
      </c>
      <c r="S659" s="231">
        <v>1790881.95</v>
      </c>
      <c r="T659" s="232">
        <v>1800000</v>
      </c>
      <c r="U659" s="198"/>
      <c r="V659" s="198"/>
      <c r="W659" s="233">
        <f>DATABASE_Table[[#This Row],[Current Asking price( Total)]]-DATABASE_Table[[#This Row],[Vista membership]]-DATABASE_Table[[#This Row],[FF&amp;E]]</f>
        <v>1800000</v>
      </c>
      <c r="X659" s="216">
        <v>0.04</v>
      </c>
      <c r="Y659" s="232">
        <v>1728000</v>
      </c>
      <c r="Z659" s="233">
        <f>DATABASE_Table[[#This Row],[Sell price (Total)]]-DATABASE_Table[[#This Row],[FF&amp;E]]-DATABASE_Table[[#This Row],[Vista membership]]</f>
        <v>1728000</v>
      </c>
      <c r="AA659" s="315"/>
      <c r="AB659" s="321"/>
      <c r="AC659" s="198" t="s">
        <v>10</v>
      </c>
      <c r="AD659" s="198" t="s">
        <v>11</v>
      </c>
      <c r="AE659" s="279" t="s">
        <v>53</v>
      </c>
      <c r="AF659" s="279" t="s">
        <v>54</v>
      </c>
      <c r="AG659" s="279" t="s">
        <v>811</v>
      </c>
      <c r="AH659" s="279" t="s">
        <v>812</v>
      </c>
      <c r="AI659" s="198" t="s">
        <v>36</v>
      </c>
      <c r="AJ659" s="274" t="s">
        <v>52</v>
      </c>
      <c r="AK659"/>
    </row>
    <row r="660" spans="1:37" ht="15.75" hidden="1" customHeight="1">
      <c r="A660" s="198" t="s">
        <v>690</v>
      </c>
      <c r="B660" s="198" t="s">
        <v>691</v>
      </c>
      <c r="C660" s="214" t="s">
        <v>392</v>
      </c>
      <c r="D660" s="198" t="s">
        <v>9</v>
      </c>
      <c r="E660" s="198" t="s">
        <v>763</v>
      </c>
      <c r="F660" s="198">
        <v>577.83000000000004</v>
      </c>
      <c r="G660" s="198">
        <v>382.85</v>
      </c>
      <c r="H660" s="214" t="s">
        <v>325</v>
      </c>
      <c r="I660" s="214" t="s">
        <v>325</v>
      </c>
      <c r="J660" s="271">
        <v>32.840000000000003</v>
      </c>
      <c r="K660" s="198"/>
      <c r="L660" s="198"/>
      <c r="M660" s="198"/>
      <c r="N660" s="198"/>
      <c r="O660" s="198">
        <v>162.13999999999999</v>
      </c>
      <c r="P660" s="198"/>
      <c r="Q660" s="198" t="s">
        <v>329</v>
      </c>
      <c r="R660" s="230">
        <f>DATABASE_Table[[#This Row],[Inicial Asking Price (€) (Total)]]-DATABASE_Table[[#This Row],[Vista membership]]-DATABASE_Table[[#This Row],[FF&amp;E]]</f>
        <v>1818200</v>
      </c>
      <c r="S660" s="231">
        <v>1904100</v>
      </c>
      <c r="T660" s="232">
        <v>1990000</v>
      </c>
      <c r="U660" s="198">
        <v>24600</v>
      </c>
      <c r="V660" s="198">
        <v>61300</v>
      </c>
      <c r="W660" s="233">
        <f>DATABASE_Table[[#This Row],[Current Asking price( Total)]]-DATABASE_Table[[#This Row],[Vista membership]]-DATABASE_Table[[#This Row],[FF&amp;E]]</f>
        <v>1904100</v>
      </c>
      <c r="X660" s="216"/>
      <c r="Y660" s="232">
        <v>1990000</v>
      </c>
      <c r="Z660" s="233">
        <f>DATABASE_Table[[#This Row],[Sell price (Total)]]-DATABASE_Table[[#This Row],[FF&amp;E]]-DATABASE_Table[[#This Row],[Vista membership]]</f>
        <v>1904100</v>
      </c>
      <c r="AA660" s="315"/>
      <c r="AB660" s="321"/>
      <c r="AC660" s="198" t="s">
        <v>10</v>
      </c>
      <c r="AD660" s="198" t="s">
        <v>35</v>
      </c>
      <c r="AE660" s="279" t="s">
        <v>38</v>
      </c>
      <c r="AF660" s="279" t="s">
        <v>39</v>
      </c>
      <c r="AG660" s="279" t="s">
        <v>40</v>
      </c>
      <c r="AH660" s="279" t="s">
        <v>810</v>
      </c>
      <c r="AI660" s="198" t="s">
        <v>41</v>
      </c>
      <c r="AJ660" s="274" t="s">
        <v>37</v>
      </c>
      <c r="AK660"/>
    </row>
    <row r="661" spans="1:37" ht="15.75" hidden="1" customHeight="1">
      <c r="A661" s="198" t="s">
        <v>563</v>
      </c>
      <c r="B661" s="198" t="s">
        <v>691</v>
      </c>
      <c r="C661" s="214" t="s">
        <v>392</v>
      </c>
      <c r="D661" s="198" t="s">
        <v>9</v>
      </c>
      <c r="E661" s="198" t="s">
        <v>319</v>
      </c>
      <c r="F661" s="198">
        <v>104.7</v>
      </c>
      <c r="G661" s="198"/>
      <c r="H661" s="214" t="s">
        <v>325</v>
      </c>
      <c r="I661" s="214" t="s">
        <v>325</v>
      </c>
      <c r="J661" s="271"/>
      <c r="K661" s="198"/>
      <c r="L661" s="198"/>
      <c r="M661" s="198"/>
      <c r="N661" s="198"/>
      <c r="O661" s="198">
        <v>104.7</v>
      </c>
      <c r="P661" s="198"/>
      <c r="Q661" s="198" t="s">
        <v>628</v>
      </c>
      <c r="R661" s="230">
        <f>DATABASE_Table[[#This Row],[Inicial Asking Price (€) (Total)]]-DATABASE_Table[[#This Row],[Vista membership]]-DATABASE_Table[[#This Row],[FF&amp;E]]</f>
        <v>570000</v>
      </c>
      <c r="S661" s="231">
        <v>570000</v>
      </c>
      <c r="T661" s="232">
        <v>585000</v>
      </c>
      <c r="U661" s="198"/>
      <c r="V661" s="198"/>
      <c r="W661" s="233">
        <f>DATABASE_Table[[#This Row],[Current Asking price( Total)]]-DATABASE_Table[[#This Row],[Vista membership]]-DATABASE_Table[[#This Row],[FF&amp;E]]</f>
        <v>585000</v>
      </c>
      <c r="X661" s="216">
        <v>0</v>
      </c>
      <c r="Y661" s="232">
        <v>585000</v>
      </c>
      <c r="Z661" s="233">
        <f>DATABASE_Table[[#This Row],[Sell price (Total)]]-DATABASE_Table[[#This Row],[FF&amp;E]]-DATABASE_Table[[#This Row],[Vista membership]]</f>
        <v>585000</v>
      </c>
      <c r="AA661" s="316">
        <v>46106</v>
      </c>
      <c r="AB661" s="321"/>
      <c r="AC661" s="198" t="s">
        <v>10</v>
      </c>
      <c r="AD661" s="198" t="s">
        <v>11</v>
      </c>
      <c r="AE661" s="279" t="s">
        <v>28</v>
      </c>
      <c r="AF661" s="279" t="s">
        <v>29</v>
      </c>
      <c r="AG661" s="279" t="s">
        <v>805</v>
      </c>
      <c r="AH661" s="279" t="s">
        <v>806</v>
      </c>
      <c r="AI661" s="198" t="s">
        <v>30</v>
      </c>
      <c r="AJ661" s="274" t="s">
        <v>27</v>
      </c>
      <c r="AK661"/>
    </row>
    <row r="662" spans="1:37" ht="15.75" hidden="1" customHeight="1">
      <c r="A662" s="198" t="s">
        <v>777</v>
      </c>
      <c r="B662" s="198" t="s">
        <v>769</v>
      </c>
      <c r="C662" s="214" t="s">
        <v>851</v>
      </c>
      <c r="D662" s="198" t="s">
        <v>74</v>
      </c>
      <c r="E662" s="198" t="s">
        <v>553</v>
      </c>
      <c r="F662" s="198">
        <v>450</v>
      </c>
      <c r="G662" s="198"/>
      <c r="H662" s="214" t="s">
        <v>325</v>
      </c>
      <c r="I662" s="214" t="s">
        <v>325</v>
      </c>
      <c r="J662" s="271"/>
      <c r="K662" s="198"/>
      <c r="L662" s="198"/>
      <c r="M662" s="198"/>
      <c r="N662" s="198"/>
      <c r="O662" s="198">
        <v>450</v>
      </c>
      <c r="P662" s="198"/>
      <c r="Q662" s="198" t="s">
        <v>329</v>
      </c>
      <c r="R662" s="230">
        <f>DATABASE_Table[[#This Row],[Inicial Asking Price (€) (Total)]]-DATABASE_Table[[#This Row],[Vista membership]]-DATABASE_Table[[#This Row],[FF&amp;E]]</f>
        <v>1017000</v>
      </c>
      <c r="S662" s="234">
        <v>1017000</v>
      </c>
      <c r="T662" s="235">
        <v>860000</v>
      </c>
      <c r="U662" s="198"/>
      <c r="V662" s="198"/>
      <c r="W662" s="233">
        <f>DATABASE_Table[[#This Row],[Current Asking price( Total)]]-DATABASE_Table[[#This Row],[Vista membership]]-DATABASE_Table[[#This Row],[FF&amp;E]]</f>
        <v>860000</v>
      </c>
      <c r="X662" s="236"/>
      <c r="Y662" s="235"/>
      <c r="Z662" s="233">
        <f>DATABASE_Table[[#This Row],[Sell price (Total)]]-DATABASE_Table[[#This Row],[FF&amp;E]]-DATABASE_Table[[#This Row],[Vista membership]]</f>
        <v>0</v>
      </c>
      <c r="AA662" s="315"/>
      <c r="AB662" s="321" t="s">
        <v>32</v>
      </c>
      <c r="AC662" s="198" t="s">
        <v>57</v>
      </c>
      <c r="AD662" s="198"/>
      <c r="AE662" s="279" t="s">
        <v>75</v>
      </c>
      <c r="AF662" s="279" t="s">
        <v>554</v>
      </c>
      <c r="AG662" s="279" t="s">
        <v>76</v>
      </c>
      <c r="AH662" s="279" t="s">
        <v>77</v>
      </c>
      <c r="AI662" s="198" t="s">
        <v>32</v>
      </c>
      <c r="AJ662" s="274" t="s">
        <v>73</v>
      </c>
      <c r="AK662"/>
    </row>
    <row r="663" spans="1:37" ht="15.75" hidden="1" customHeight="1">
      <c r="A663" s="198" t="s">
        <v>564</v>
      </c>
      <c r="B663" s="198" t="s">
        <v>691</v>
      </c>
      <c r="C663" s="214" t="s">
        <v>392</v>
      </c>
      <c r="D663" s="198" t="s">
        <v>9</v>
      </c>
      <c r="E663" s="198" t="s">
        <v>319</v>
      </c>
      <c r="F663" s="198">
        <v>281.45999999999998</v>
      </c>
      <c r="G663" s="198"/>
      <c r="H663" s="214" t="s">
        <v>325</v>
      </c>
      <c r="I663" s="214" t="s">
        <v>325</v>
      </c>
      <c r="J663" s="271"/>
      <c r="K663" s="198"/>
      <c r="L663" s="198"/>
      <c r="M663" s="198">
        <v>188.97</v>
      </c>
      <c r="N663" s="198"/>
      <c r="O663" s="198">
        <v>92.49</v>
      </c>
      <c r="P663" s="198"/>
      <c r="Q663" s="198" t="s">
        <v>628</v>
      </c>
      <c r="R663" s="230">
        <f>DATABASE_Table[[#This Row],[Inicial Asking Price (€) (Total)]]-DATABASE_Table[[#This Row],[Vista membership]]-DATABASE_Table[[#This Row],[FF&amp;E]]</f>
        <v>995272.77600000007</v>
      </c>
      <c r="S663" s="231">
        <v>1069872.7760000001</v>
      </c>
      <c r="T663" s="232">
        <v>1240000</v>
      </c>
      <c r="U663" s="198">
        <v>24600</v>
      </c>
      <c r="V663" s="198">
        <v>50000</v>
      </c>
      <c r="W663" s="233">
        <f>DATABASE_Table[[#This Row],[Current Asking price( Total)]]-DATABASE_Table[[#This Row],[Vista membership]]-DATABASE_Table[[#This Row],[FF&amp;E]]</f>
        <v>1165400</v>
      </c>
      <c r="X663" s="216">
        <v>0</v>
      </c>
      <c r="Y663" s="232">
        <v>1240000</v>
      </c>
      <c r="Z663" s="233">
        <f>DATABASE_Table[[#This Row],[Sell price (Total)]]-DATABASE_Table[[#This Row],[FF&amp;E]]-DATABASE_Table[[#This Row],[Vista membership]]</f>
        <v>1165400</v>
      </c>
      <c r="AA663" s="316">
        <v>46058</v>
      </c>
      <c r="AB663" s="321"/>
      <c r="AC663" s="198" t="s">
        <v>10</v>
      </c>
      <c r="AD663" s="198" t="s">
        <v>35</v>
      </c>
      <c r="AE663" s="279" t="s">
        <v>43</v>
      </c>
      <c r="AF663" s="279" t="s">
        <v>44</v>
      </c>
      <c r="AG663" s="279" t="s">
        <v>45</v>
      </c>
      <c r="AH663" s="279" t="s">
        <v>46</v>
      </c>
      <c r="AI663" s="198" t="s">
        <v>47</v>
      </c>
      <c r="AJ663" s="274" t="s">
        <v>42</v>
      </c>
      <c r="AK663"/>
    </row>
    <row r="664" spans="1:37" ht="15.75" hidden="1" customHeight="1">
      <c r="A664" s="198" t="s">
        <v>630</v>
      </c>
      <c r="B664" s="198" t="s">
        <v>691</v>
      </c>
      <c r="C664" s="214" t="s">
        <v>393</v>
      </c>
      <c r="D664" s="198" t="s">
        <v>9</v>
      </c>
      <c r="E664" s="198" t="s">
        <v>319</v>
      </c>
      <c r="F664" s="198">
        <v>215.97</v>
      </c>
      <c r="G664" s="198"/>
      <c r="H664" s="214" t="s">
        <v>848</v>
      </c>
      <c r="I664" s="214" t="s">
        <v>325</v>
      </c>
      <c r="J664" s="271">
        <v>26.62</v>
      </c>
      <c r="K664" s="198"/>
      <c r="L664" s="198"/>
      <c r="M664" s="198">
        <v>73.11</v>
      </c>
      <c r="N664" s="198"/>
      <c r="O664" s="198">
        <v>116.24</v>
      </c>
      <c r="P664" s="198"/>
      <c r="Q664" s="198" t="s">
        <v>329</v>
      </c>
      <c r="R664" s="230">
        <f>DATABASE_Table[[#This Row],[Inicial Asking Price (€) (Total)]]-DATABASE_Table[[#This Row],[Vista membership]]-DATABASE_Table[[#This Row],[FF&amp;E]]</f>
        <v>1166778.6240000001</v>
      </c>
      <c r="S664" s="231">
        <v>1166778.6240000001</v>
      </c>
      <c r="T664" s="232">
        <v>1225000</v>
      </c>
      <c r="U664" s="198"/>
      <c r="V664" s="198"/>
      <c r="W664" s="233">
        <f>DATABASE_Table[[#This Row],[Current Asking price( Total)]]-DATABASE_Table[[#This Row],[Vista membership]]-DATABASE_Table[[#This Row],[FF&amp;E]]</f>
        <v>1225000</v>
      </c>
      <c r="X664" s="216"/>
      <c r="Y664" s="232">
        <v>1205100</v>
      </c>
      <c r="Z664" s="233">
        <f>DATABASE_Table[[#This Row],[Sell price (Total)]]-DATABASE_Table[[#This Row],[FF&amp;E]]-DATABASE_Table[[#This Row],[Vista membership]]</f>
        <v>1205100</v>
      </c>
      <c r="AA664" s="315"/>
      <c r="AB664" s="321"/>
      <c r="AC664" s="198" t="s">
        <v>10</v>
      </c>
      <c r="AD664" s="198" t="s">
        <v>11</v>
      </c>
      <c r="AE664" s="279" t="s">
        <v>53</v>
      </c>
      <c r="AF664" s="279" t="s">
        <v>54</v>
      </c>
      <c r="AG664" s="279" t="s">
        <v>811</v>
      </c>
      <c r="AH664" s="279" t="s">
        <v>812</v>
      </c>
      <c r="AI664" s="198" t="s">
        <v>36</v>
      </c>
      <c r="AJ664" s="274" t="s">
        <v>52</v>
      </c>
      <c r="AK664"/>
    </row>
    <row r="665" spans="1:37" ht="15.75" hidden="1" customHeight="1">
      <c r="A665" s="198" t="s">
        <v>690</v>
      </c>
      <c r="B665" s="198" t="s">
        <v>691</v>
      </c>
      <c r="C665" s="214" t="s">
        <v>393</v>
      </c>
      <c r="D665" s="198" t="s">
        <v>9</v>
      </c>
      <c r="E665" s="198" t="s">
        <v>763</v>
      </c>
      <c r="F665" s="198">
        <v>449.88</v>
      </c>
      <c r="G665" s="198">
        <v>254.9</v>
      </c>
      <c r="H665" s="214" t="s">
        <v>325</v>
      </c>
      <c r="I665" s="214" t="s">
        <v>325</v>
      </c>
      <c r="J665" s="271">
        <v>32.840000000000003</v>
      </c>
      <c r="K665" s="198"/>
      <c r="L665" s="198"/>
      <c r="M665" s="198"/>
      <c r="N665" s="198"/>
      <c r="O665" s="198">
        <v>162.13999999999999</v>
      </c>
      <c r="P665" s="198"/>
      <c r="Q665" s="198" t="s">
        <v>329</v>
      </c>
      <c r="R665" s="230">
        <f>DATABASE_Table[[#This Row],[Inicial Asking Price (€) (Total)]]-DATABASE_Table[[#This Row],[Vista membership]]-DATABASE_Table[[#This Row],[FF&amp;E]]</f>
        <v>1908200</v>
      </c>
      <c r="S665" s="231">
        <v>1994100</v>
      </c>
      <c r="T665" s="232">
        <v>2080000</v>
      </c>
      <c r="U665" s="198">
        <v>24600</v>
      </c>
      <c r="V665" s="198">
        <v>61300</v>
      </c>
      <c r="W665" s="233">
        <f>DATABASE_Table[[#This Row],[Current Asking price( Total)]]-DATABASE_Table[[#This Row],[Vista membership]]-DATABASE_Table[[#This Row],[FF&amp;E]]</f>
        <v>1994100</v>
      </c>
      <c r="X665" s="216"/>
      <c r="Y665" s="232">
        <v>2080000</v>
      </c>
      <c r="Z665" s="233">
        <f>DATABASE_Table[[#This Row],[Sell price (Total)]]-DATABASE_Table[[#This Row],[FF&amp;E]]-DATABASE_Table[[#This Row],[Vista membership]]</f>
        <v>1994100</v>
      </c>
      <c r="AA665" s="315"/>
      <c r="AB665" s="321"/>
      <c r="AC665" s="198" t="s">
        <v>10</v>
      </c>
      <c r="AD665" s="198" t="s">
        <v>35</v>
      </c>
      <c r="AE665" s="279" t="s">
        <v>38</v>
      </c>
      <c r="AF665" s="279" t="s">
        <v>39</v>
      </c>
      <c r="AG665" s="279" t="s">
        <v>40</v>
      </c>
      <c r="AH665" s="279" t="s">
        <v>810</v>
      </c>
      <c r="AI665" s="198" t="s">
        <v>41</v>
      </c>
      <c r="AJ665" s="274" t="s">
        <v>37</v>
      </c>
      <c r="AK665"/>
    </row>
    <row r="666" spans="1:37" ht="15.75" hidden="1" customHeight="1">
      <c r="A666" s="198" t="s">
        <v>563</v>
      </c>
      <c r="B666" s="198" t="s">
        <v>691</v>
      </c>
      <c r="C666" s="214" t="s">
        <v>393</v>
      </c>
      <c r="D666" s="198" t="s">
        <v>9</v>
      </c>
      <c r="E666" s="198" t="s">
        <v>320</v>
      </c>
      <c r="F666" s="198">
        <v>130.91999999999999</v>
      </c>
      <c r="G666" s="198"/>
      <c r="H666" s="214" t="s">
        <v>325</v>
      </c>
      <c r="I666" s="214" t="s">
        <v>325</v>
      </c>
      <c r="J666" s="271"/>
      <c r="K666" s="198"/>
      <c r="L666" s="198"/>
      <c r="M666" s="198"/>
      <c r="N666" s="198"/>
      <c r="O666" s="198">
        <v>130.91999999999999</v>
      </c>
      <c r="P666" s="198"/>
      <c r="Q666" s="198" t="s">
        <v>628</v>
      </c>
      <c r="R666" s="230">
        <f>DATABASE_Table[[#This Row],[Inicial Asking Price (€) (Total)]]-DATABASE_Table[[#This Row],[Vista membership]]-DATABASE_Table[[#This Row],[FF&amp;E]]</f>
        <v>720000</v>
      </c>
      <c r="S666" s="231">
        <v>720000</v>
      </c>
      <c r="T666" s="232">
        <v>720000</v>
      </c>
      <c r="U666" s="198"/>
      <c r="V666" s="198"/>
      <c r="W666" s="233">
        <f>DATABASE_Table[[#This Row],[Current Asking price( Total)]]-DATABASE_Table[[#This Row],[Vista membership]]-DATABASE_Table[[#This Row],[FF&amp;E]]</f>
        <v>720000</v>
      </c>
      <c r="X666" s="216">
        <v>0</v>
      </c>
      <c r="Y666" s="232">
        <v>720000</v>
      </c>
      <c r="Z666" s="233">
        <f>DATABASE_Table[[#This Row],[Sell price (Total)]]-DATABASE_Table[[#This Row],[FF&amp;E]]-DATABASE_Table[[#This Row],[Vista membership]]</f>
        <v>720000</v>
      </c>
      <c r="AA666" s="316">
        <v>45888</v>
      </c>
      <c r="AB666" s="321"/>
      <c r="AC666" s="198" t="s">
        <v>10</v>
      </c>
      <c r="AD666" s="198" t="s">
        <v>11</v>
      </c>
      <c r="AE666" s="279" t="s">
        <v>28</v>
      </c>
      <c r="AF666" s="279" t="s">
        <v>29</v>
      </c>
      <c r="AG666" s="279" t="s">
        <v>805</v>
      </c>
      <c r="AH666" s="279" t="s">
        <v>806</v>
      </c>
      <c r="AI666" s="198" t="s">
        <v>30</v>
      </c>
      <c r="AJ666" s="274" t="s">
        <v>27</v>
      </c>
      <c r="AK666"/>
    </row>
    <row r="667" spans="1:37" ht="15.75" hidden="1" customHeight="1">
      <c r="A667" s="198" t="s">
        <v>564</v>
      </c>
      <c r="B667" s="198" t="s">
        <v>691</v>
      </c>
      <c r="C667" s="214" t="s">
        <v>393</v>
      </c>
      <c r="D667" s="198" t="s">
        <v>9</v>
      </c>
      <c r="E667" s="198" t="s">
        <v>416</v>
      </c>
      <c r="F667" s="198">
        <v>121.24</v>
      </c>
      <c r="G667" s="198"/>
      <c r="H667" s="214" t="s">
        <v>325</v>
      </c>
      <c r="I667" s="214" t="s">
        <v>325</v>
      </c>
      <c r="J667" s="271"/>
      <c r="K667" s="198"/>
      <c r="L667" s="198"/>
      <c r="M667" s="198">
        <v>31.74</v>
      </c>
      <c r="N667" s="198"/>
      <c r="O667" s="198">
        <v>89.5</v>
      </c>
      <c r="P667" s="198"/>
      <c r="Q667" s="198" t="s">
        <v>329</v>
      </c>
      <c r="R667" s="230">
        <f>DATABASE_Table[[#This Row],[Inicial Asking Price (€) (Total)]]-DATABASE_Table[[#This Row],[Vista membership]]-DATABASE_Table[[#This Row],[FF&amp;E]]</f>
        <v>750925.16</v>
      </c>
      <c r="S667" s="231">
        <v>815525.16</v>
      </c>
      <c r="T667" s="232">
        <v>890000</v>
      </c>
      <c r="U667" s="198">
        <v>24600</v>
      </c>
      <c r="V667" s="198">
        <v>40000</v>
      </c>
      <c r="W667" s="233">
        <f>DATABASE_Table[[#This Row],[Current Asking price( Total)]]-DATABASE_Table[[#This Row],[Vista membership]]-DATABASE_Table[[#This Row],[FF&amp;E]]</f>
        <v>825400</v>
      </c>
      <c r="X667" s="216"/>
      <c r="Y667" s="232">
        <v>890000</v>
      </c>
      <c r="Z667" s="233">
        <f>DATABASE_Table[[#This Row],[Sell price (Total)]]-DATABASE_Table[[#This Row],[FF&amp;E]]-DATABASE_Table[[#This Row],[Vista membership]]</f>
        <v>825400</v>
      </c>
      <c r="AA667" s="315"/>
      <c r="AB667" s="321"/>
      <c r="AC667" s="198" t="s">
        <v>10</v>
      </c>
      <c r="AD667" s="198" t="s">
        <v>35</v>
      </c>
      <c r="AE667" s="279" t="s">
        <v>43</v>
      </c>
      <c r="AF667" s="279" t="s">
        <v>44</v>
      </c>
      <c r="AG667" s="279" t="s">
        <v>45</v>
      </c>
      <c r="AH667" s="279" t="s">
        <v>46</v>
      </c>
      <c r="AI667" s="198" t="s">
        <v>47</v>
      </c>
      <c r="AJ667" s="274" t="s">
        <v>42</v>
      </c>
      <c r="AK667"/>
    </row>
    <row r="668" spans="1:37" ht="15.75" hidden="1" customHeight="1">
      <c r="A668" s="198" t="s">
        <v>630</v>
      </c>
      <c r="B668" s="198" t="s">
        <v>691</v>
      </c>
      <c r="C668" s="214" t="s">
        <v>394</v>
      </c>
      <c r="D668" s="198" t="s">
        <v>9</v>
      </c>
      <c r="E668" s="198" t="s">
        <v>319</v>
      </c>
      <c r="F668" s="198">
        <v>212.48</v>
      </c>
      <c r="G668" s="198"/>
      <c r="H668" s="214" t="s">
        <v>848</v>
      </c>
      <c r="I668" s="214" t="s">
        <v>325</v>
      </c>
      <c r="J668" s="271">
        <v>26.62</v>
      </c>
      <c r="K668" s="198"/>
      <c r="L668" s="198"/>
      <c r="M668" s="198">
        <v>72.89</v>
      </c>
      <c r="N668" s="198"/>
      <c r="O668" s="198">
        <v>112.97</v>
      </c>
      <c r="P668" s="198"/>
      <c r="Q668" s="198" t="s">
        <v>329</v>
      </c>
      <c r="R668" s="230">
        <f>DATABASE_Table[[#This Row],[Inicial Asking Price (€) (Total)]]-DATABASE_Table[[#This Row],[Vista membership]]-DATABASE_Table[[#This Row],[FF&amp;E]]</f>
        <v>1192356.9240000001</v>
      </c>
      <c r="S668" s="231">
        <v>1192356.9240000001</v>
      </c>
      <c r="T668" s="232">
        <v>1250000</v>
      </c>
      <c r="U668" s="198"/>
      <c r="V668" s="198"/>
      <c r="W668" s="233">
        <f>DATABASE_Table[[#This Row],[Current Asking price( Total)]]-DATABASE_Table[[#This Row],[Vista membership]]-DATABASE_Table[[#This Row],[FF&amp;E]]</f>
        <v>1250000</v>
      </c>
      <c r="X668" s="216"/>
      <c r="Y668" s="232">
        <v>1248000</v>
      </c>
      <c r="Z668" s="233">
        <f>DATABASE_Table[[#This Row],[Sell price (Total)]]-DATABASE_Table[[#This Row],[FF&amp;E]]-DATABASE_Table[[#This Row],[Vista membership]]</f>
        <v>1248000</v>
      </c>
      <c r="AA668" s="315"/>
      <c r="AB668" s="321"/>
      <c r="AC668" s="198" t="s">
        <v>10</v>
      </c>
      <c r="AD668" s="198" t="s">
        <v>11</v>
      </c>
      <c r="AE668" s="279" t="s">
        <v>53</v>
      </c>
      <c r="AF668" s="279" t="s">
        <v>54</v>
      </c>
      <c r="AG668" s="279" t="s">
        <v>811</v>
      </c>
      <c r="AH668" s="279" t="s">
        <v>812</v>
      </c>
      <c r="AI668" s="198" t="s">
        <v>36</v>
      </c>
      <c r="AJ668" s="274" t="s">
        <v>52</v>
      </c>
      <c r="AK668"/>
    </row>
    <row r="669" spans="1:37" ht="15.75" hidden="1" customHeight="1">
      <c r="A669" s="198" t="s">
        <v>690</v>
      </c>
      <c r="B669" s="198" t="s">
        <v>691</v>
      </c>
      <c r="C669" s="214" t="s">
        <v>394</v>
      </c>
      <c r="D669" s="198" t="s">
        <v>9</v>
      </c>
      <c r="E669" s="198" t="s">
        <v>763</v>
      </c>
      <c r="F669" s="198">
        <v>414.3</v>
      </c>
      <c r="G669" s="198">
        <v>218.38</v>
      </c>
      <c r="H669" s="214" t="s">
        <v>325</v>
      </c>
      <c r="I669" s="214" t="s">
        <v>325</v>
      </c>
      <c r="J669" s="271">
        <v>32.840000000000003</v>
      </c>
      <c r="K669" s="198"/>
      <c r="L669" s="198"/>
      <c r="M669" s="198"/>
      <c r="N669" s="198"/>
      <c r="O669" s="198">
        <v>163.08000000000001</v>
      </c>
      <c r="P669" s="198"/>
      <c r="Q669" s="198" t="s">
        <v>329</v>
      </c>
      <c r="R669" s="230">
        <f>DATABASE_Table[[#This Row],[Inicial Asking Price (€) (Total)]]-DATABASE_Table[[#This Row],[Vista membership]]-DATABASE_Table[[#This Row],[FF&amp;E]]</f>
        <v>1878200</v>
      </c>
      <c r="S669" s="231">
        <v>1964100</v>
      </c>
      <c r="T669" s="232">
        <v>2050000</v>
      </c>
      <c r="U669" s="198">
        <v>24600</v>
      </c>
      <c r="V669" s="198">
        <v>61300</v>
      </c>
      <c r="W669" s="233">
        <f>DATABASE_Table[[#This Row],[Current Asking price( Total)]]-DATABASE_Table[[#This Row],[Vista membership]]-DATABASE_Table[[#This Row],[FF&amp;E]]</f>
        <v>1964100</v>
      </c>
      <c r="X669" s="216"/>
      <c r="Y669" s="232">
        <v>2050000</v>
      </c>
      <c r="Z669" s="233">
        <f>DATABASE_Table[[#This Row],[Sell price (Total)]]-DATABASE_Table[[#This Row],[FF&amp;E]]-DATABASE_Table[[#This Row],[Vista membership]]</f>
        <v>1964100</v>
      </c>
      <c r="AA669" s="315"/>
      <c r="AB669" s="321"/>
      <c r="AC669" s="198" t="s">
        <v>10</v>
      </c>
      <c r="AD669" s="198" t="s">
        <v>35</v>
      </c>
      <c r="AE669" s="279" t="s">
        <v>38</v>
      </c>
      <c r="AF669" s="279" t="s">
        <v>39</v>
      </c>
      <c r="AG669" s="279" t="s">
        <v>40</v>
      </c>
      <c r="AH669" s="279" t="s">
        <v>810</v>
      </c>
      <c r="AI669" s="198" t="s">
        <v>41</v>
      </c>
      <c r="AJ669" s="274" t="s">
        <v>37</v>
      </c>
      <c r="AK669"/>
    </row>
    <row r="670" spans="1:37" ht="15.75" hidden="1" customHeight="1">
      <c r="A670" s="198" t="s">
        <v>563</v>
      </c>
      <c r="B670" s="198" t="s">
        <v>691</v>
      </c>
      <c r="C670" s="214" t="s">
        <v>394</v>
      </c>
      <c r="D670" s="198" t="s">
        <v>9</v>
      </c>
      <c r="E670" s="198" t="s">
        <v>321</v>
      </c>
      <c r="F670" s="198">
        <v>157.13999999999999</v>
      </c>
      <c r="G670" s="198"/>
      <c r="H670" s="214" t="s">
        <v>325</v>
      </c>
      <c r="I670" s="214" t="s">
        <v>325</v>
      </c>
      <c r="J670" s="271"/>
      <c r="K670" s="198"/>
      <c r="L670" s="198"/>
      <c r="M670" s="198"/>
      <c r="N670" s="198"/>
      <c r="O670" s="198">
        <v>157.13999999999999</v>
      </c>
      <c r="P670" s="198"/>
      <c r="Q670" s="198" t="s">
        <v>329</v>
      </c>
      <c r="R670" s="230">
        <f>DATABASE_Table[[#This Row],[Inicial Asking Price (€) (Total)]]-DATABASE_Table[[#This Row],[Vista membership]]-DATABASE_Table[[#This Row],[FF&amp;E]]</f>
        <v>925000</v>
      </c>
      <c r="S670" s="231">
        <v>925000</v>
      </c>
      <c r="T670" s="232">
        <v>925000</v>
      </c>
      <c r="U670" s="198"/>
      <c r="V670" s="198"/>
      <c r="W670" s="233">
        <f>DATABASE_Table[[#This Row],[Current Asking price( Total)]]-DATABASE_Table[[#This Row],[Vista membership]]-DATABASE_Table[[#This Row],[FF&amp;E]]</f>
        <v>925000</v>
      </c>
      <c r="X670" s="216"/>
      <c r="Y670" s="232">
        <v>925000</v>
      </c>
      <c r="Z670" s="233">
        <f>DATABASE_Table[[#This Row],[Sell price (Total)]]-DATABASE_Table[[#This Row],[FF&amp;E]]-DATABASE_Table[[#This Row],[Vista membership]]</f>
        <v>925000</v>
      </c>
      <c r="AA670" s="315"/>
      <c r="AB670" s="321"/>
      <c r="AC670" s="198" t="s">
        <v>10</v>
      </c>
      <c r="AD670" s="198" t="s">
        <v>11</v>
      </c>
      <c r="AE670" s="279" t="s">
        <v>28</v>
      </c>
      <c r="AF670" s="279" t="s">
        <v>29</v>
      </c>
      <c r="AG670" s="279" t="s">
        <v>805</v>
      </c>
      <c r="AH670" s="279" t="s">
        <v>806</v>
      </c>
      <c r="AI670" s="198" t="s">
        <v>30</v>
      </c>
      <c r="AJ670" s="274" t="s">
        <v>27</v>
      </c>
      <c r="AK670"/>
    </row>
    <row r="671" spans="1:37" ht="15.75" hidden="1" customHeight="1">
      <c r="A671" s="198" t="s">
        <v>564</v>
      </c>
      <c r="B671" s="198" t="s">
        <v>691</v>
      </c>
      <c r="C671" s="214" t="s">
        <v>394</v>
      </c>
      <c r="D671" s="198" t="s">
        <v>9</v>
      </c>
      <c r="E671" s="198" t="s">
        <v>416</v>
      </c>
      <c r="F671" s="198">
        <v>117.38</v>
      </c>
      <c r="G671" s="198"/>
      <c r="H671" s="214" t="s">
        <v>325</v>
      </c>
      <c r="I671" s="214" t="s">
        <v>325</v>
      </c>
      <c r="J671" s="271"/>
      <c r="K671" s="198"/>
      <c r="L671" s="198"/>
      <c r="M671" s="198">
        <v>28.5</v>
      </c>
      <c r="N671" s="198"/>
      <c r="O671" s="198">
        <v>88.88</v>
      </c>
      <c r="P671" s="198"/>
      <c r="Q671" s="198" t="s">
        <v>329</v>
      </c>
      <c r="R671" s="230">
        <f>DATABASE_Table[[#This Row],[Inicial Asking Price (€) (Total)]]-DATABASE_Table[[#This Row],[Vista membership]]-DATABASE_Table[[#This Row],[FF&amp;E]]</f>
        <v>741583.81440000003</v>
      </c>
      <c r="S671" s="231">
        <v>806183.81440000003</v>
      </c>
      <c r="T671" s="232">
        <v>890000</v>
      </c>
      <c r="U671" s="198">
        <v>24600</v>
      </c>
      <c r="V671" s="198">
        <v>40000</v>
      </c>
      <c r="W671" s="233">
        <f>DATABASE_Table[[#This Row],[Current Asking price( Total)]]-DATABASE_Table[[#This Row],[Vista membership]]-DATABASE_Table[[#This Row],[FF&amp;E]]</f>
        <v>825400</v>
      </c>
      <c r="X671" s="216"/>
      <c r="Y671" s="232">
        <v>890000</v>
      </c>
      <c r="Z671" s="233">
        <f>DATABASE_Table[[#This Row],[Sell price (Total)]]-DATABASE_Table[[#This Row],[FF&amp;E]]-DATABASE_Table[[#This Row],[Vista membership]]</f>
        <v>825400</v>
      </c>
      <c r="AA671" s="315"/>
      <c r="AB671" s="321"/>
      <c r="AC671" s="198" t="s">
        <v>10</v>
      </c>
      <c r="AD671" s="198" t="s">
        <v>35</v>
      </c>
      <c r="AE671" s="279" t="s">
        <v>43</v>
      </c>
      <c r="AF671" s="279" t="s">
        <v>44</v>
      </c>
      <c r="AG671" s="279" t="s">
        <v>45</v>
      </c>
      <c r="AH671" s="279" t="s">
        <v>46</v>
      </c>
      <c r="AI671" s="198" t="s">
        <v>47</v>
      </c>
      <c r="AJ671" s="274" t="s">
        <v>42</v>
      </c>
      <c r="AK671"/>
    </row>
    <row r="672" spans="1:37" ht="15.75" hidden="1" customHeight="1">
      <c r="A672" s="198" t="s">
        <v>630</v>
      </c>
      <c r="B672" s="198" t="s">
        <v>691</v>
      </c>
      <c r="C672" s="214" t="s">
        <v>395</v>
      </c>
      <c r="D672" s="198" t="s">
        <v>9</v>
      </c>
      <c r="E672" s="198" t="s">
        <v>319</v>
      </c>
      <c r="F672" s="198">
        <v>151.22999999999999</v>
      </c>
      <c r="G672" s="198"/>
      <c r="H672" s="214" t="s">
        <v>848</v>
      </c>
      <c r="I672" s="214" t="s">
        <v>325</v>
      </c>
      <c r="J672" s="271">
        <v>27.59</v>
      </c>
      <c r="K672" s="198"/>
      <c r="L672" s="198"/>
      <c r="M672" s="198">
        <v>0</v>
      </c>
      <c r="N672" s="198"/>
      <c r="O672" s="198">
        <v>123.64</v>
      </c>
      <c r="P672" s="198"/>
      <c r="Q672" s="198" t="s">
        <v>326</v>
      </c>
      <c r="R672" s="230">
        <f>DATABASE_Table[[#This Row],[Inicial Asking Price (€) (Total)]]-DATABASE_Table[[#This Row],[Vista membership]]-DATABASE_Table[[#This Row],[FF&amp;E]]</f>
        <v>1044782.64</v>
      </c>
      <c r="S672" s="231">
        <v>1044782.64</v>
      </c>
      <c r="T672" s="232">
        <v>1050000</v>
      </c>
      <c r="U672" s="198"/>
      <c r="V672" s="198"/>
      <c r="W672" s="233">
        <f>DATABASE_Table[[#This Row],[Current Asking price( Total)]]-DATABASE_Table[[#This Row],[Vista membership]]-DATABASE_Table[[#This Row],[FF&amp;E]]</f>
        <v>1050000</v>
      </c>
      <c r="X672" s="216">
        <v>5.2400000000000002E-2</v>
      </c>
      <c r="Y672" s="232">
        <v>994980</v>
      </c>
      <c r="Z672" s="233">
        <f>DATABASE_Table[[#This Row],[Sell price (Total)]]-DATABASE_Table[[#This Row],[FF&amp;E]]-DATABASE_Table[[#This Row],[Vista membership]]</f>
        <v>994980</v>
      </c>
      <c r="AA672" s="315"/>
      <c r="AB672" s="321"/>
      <c r="AC672" s="198" t="s">
        <v>10</v>
      </c>
      <c r="AD672" s="198" t="s">
        <v>11</v>
      </c>
      <c r="AE672" s="279" t="s">
        <v>53</v>
      </c>
      <c r="AF672" s="279" t="s">
        <v>54</v>
      </c>
      <c r="AG672" s="279" t="s">
        <v>811</v>
      </c>
      <c r="AH672" s="279" t="s">
        <v>812</v>
      </c>
      <c r="AI672" s="198" t="s">
        <v>36</v>
      </c>
      <c r="AJ672" s="274" t="s">
        <v>52</v>
      </c>
      <c r="AK672"/>
    </row>
    <row r="673" spans="1:37" ht="15.75" hidden="1" customHeight="1">
      <c r="A673" s="198" t="s">
        <v>690</v>
      </c>
      <c r="B673" s="198" t="s">
        <v>691</v>
      </c>
      <c r="C673" s="214" t="s">
        <v>395</v>
      </c>
      <c r="D673" s="198" t="s">
        <v>9</v>
      </c>
      <c r="E673" s="198" t="s">
        <v>765</v>
      </c>
      <c r="F673" s="198">
        <v>324.14999999999998</v>
      </c>
      <c r="G673" s="198">
        <v>162.94</v>
      </c>
      <c r="H673" s="214" t="s">
        <v>325</v>
      </c>
      <c r="I673" s="214" t="s">
        <v>325</v>
      </c>
      <c r="J673" s="271">
        <v>25.77</v>
      </c>
      <c r="K673" s="198"/>
      <c r="L673" s="198"/>
      <c r="M673" s="198"/>
      <c r="N673" s="198"/>
      <c r="O673" s="198">
        <v>135.44</v>
      </c>
      <c r="P673" s="198"/>
      <c r="Q673" s="198" t="s">
        <v>329</v>
      </c>
      <c r="R673" s="230">
        <f>DATABASE_Table[[#This Row],[Inicial Asking Price (€) (Total)]]-DATABASE_Table[[#This Row],[Vista membership]]-DATABASE_Table[[#This Row],[FF&amp;E]]</f>
        <v>1687700</v>
      </c>
      <c r="S673" s="231">
        <v>1758850</v>
      </c>
      <c r="T673" s="232">
        <v>1830000</v>
      </c>
      <c r="U673" s="198">
        <v>24600</v>
      </c>
      <c r="V673" s="198">
        <v>46550</v>
      </c>
      <c r="W673" s="233">
        <f>DATABASE_Table[[#This Row],[Current Asking price( Total)]]-DATABASE_Table[[#This Row],[Vista membership]]-DATABASE_Table[[#This Row],[FF&amp;E]]</f>
        <v>1758850</v>
      </c>
      <c r="X673" s="216"/>
      <c r="Y673" s="232">
        <v>1830000</v>
      </c>
      <c r="Z673" s="233">
        <f>DATABASE_Table[[#This Row],[Sell price (Total)]]-DATABASE_Table[[#This Row],[FF&amp;E]]-DATABASE_Table[[#This Row],[Vista membership]]</f>
        <v>1758850</v>
      </c>
      <c r="AA673" s="315"/>
      <c r="AB673" s="321"/>
      <c r="AC673" s="198" t="s">
        <v>10</v>
      </c>
      <c r="AD673" s="198" t="s">
        <v>35</v>
      </c>
      <c r="AE673" s="279" t="s">
        <v>38</v>
      </c>
      <c r="AF673" s="279" t="s">
        <v>39</v>
      </c>
      <c r="AG673" s="279" t="s">
        <v>40</v>
      </c>
      <c r="AH673" s="279" t="s">
        <v>810</v>
      </c>
      <c r="AI673" s="198" t="s">
        <v>41</v>
      </c>
      <c r="AJ673" s="274" t="s">
        <v>37</v>
      </c>
      <c r="AK673"/>
    </row>
    <row r="674" spans="1:37" ht="15.75" hidden="1" customHeight="1">
      <c r="A674" s="198" t="s">
        <v>563</v>
      </c>
      <c r="B674" s="198" t="s">
        <v>691</v>
      </c>
      <c r="C674" s="214" t="s">
        <v>395</v>
      </c>
      <c r="D674" s="198" t="s">
        <v>9</v>
      </c>
      <c r="E674" s="198" t="s">
        <v>319</v>
      </c>
      <c r="F674" s="198">
        <v>104.7</v>
      </c>
      <c r="G674" s="198"/>
      <c r="H674" s="214" t="s">
        <v>325</v>
      </c>
      <c r="I674" s="214" t="s">
        <v>325</v>
      </c>
      <c r="J674" s="271"/>
      <c r="K674" s="198"/>
      <c r="L674" s="198"/>
      <c r="M674" s="198"/>
      <c r="N674" s="198"/>
      <c r="O674" s="198">
        <v>104.7</v>
      </c>
      <c r="P674" s="198"/>
      <c r="Q674" s="198" t="s">
        <v>628</v>
      </c>
      <c r="R674" s="230">
        <f>DATABASE_Table[[#This Row],[Inicial Asking Price (€) (Total)]]-DATABASE_Table[[#This Row],[Vista membership]]-DATABASE_Table[[#This Row],[FF&amp;E]]</f>
        <v>570000</v>
      </c>
      <c r="S674" s="231">
        <v>570000</v>
      </c>
      <c r="T674" s="232">
        <v>587100</v>
      </c>
      <c r="U674" s="198"/>
      <c r="V674" s="198"/>
      <c r="W674" s="233">
        <f>DATABASE_Table[[#This Row],[Current Asking price( Total)]]-DATABASE_Table[[#This Row],[Vista membership]]-DATABASE_Table[[#This Row],[FF&amp;E]]</f>
        <v>587100</v>
      </c>
      <c r="X674" s="216">
        <v>0</v>
      </c>
      <c r="Y674" s="232">
        <v>587100</v>
      </c>
      <c r="Z674" s="233">
        <f>DATABASE_Table[[#This Row],[Sell price (Total)]]-DATABASE_Table[[#This Row],[FF&amp;E]]-DATABASE_Table[[#This Row],[Vista membership]]</f>
        <v>587100</v>
      </c>
      <c r="AA674" s="316">
        <v>46141</v>
      </c>
      <c r="AB674" s="321"/>
      <c r="AC674" s="198" t="s">
        <v>10</v>
      </c>
      <c r="AD674" s="198" t="s">
        <v>11</v>
      </c>
      <c r="AE674" s="279" t="s">
        <v>28</v>
      </c>
      <c r="AF674" s="279" t="s">
        <v>29</v>
      </c>
      <c r="AG674" s="279" t="s">
        <v>805</v>
      </c>
      <c r="AH674" s="279" t="s">
        <v>806</v>
      </c>
      <c r="AI674" s="198" t="s">
        <v>30</v>
      </c>
      <c r="AJ674" s="274" t="s">
        <v>27</v>
      </c>
      <c r="AK674"/>
    </row>
    <row r="675" spans="1:37" ht="15.75" hidden="1" customHeight="1">
      <c r="A675" s="198" t="s">
        <v>564</v>
      </c>
      <c r="B675" s="198" t="s">
        <v>691</v>
      </c>
      <c r="C675" s="214" t="s">
        <v>395</v>
      </c>
      <c r="D675" s="198" t="s">
        <v>9</v>
      </c>
      <c r="E675" s="198" t="s">
        <v>420</v>
      </c>
      <c r="F675" s="198">
        <v>477.84</v>
      </c>
      <c r="G675" s="198"/>
      <c r="H675" s="214" t="s">
        <v>325</v>
      </c>
      <c r="I675" s="214" t="s">
        <v>325</v>
      </c>
      <c r="J675" s="271"/>
      <c r="K675" s="198"/>
      <c r="L675" s="198"/>
      <c r="M675" s="198">
        <v>295.16000000000003</v>
      </c>
      <c r="N675" s="198"/>
      <c r="O675" s="198">
        <v>182.68</v>
      </c>
      <c r="P675" s="198"/>
      <c r="Q675" s="198" t="s">
        <v>329</v>
      </c>
      <c r="R675" s="230">
        <f>DATABASE_Table[[#This Row],[Inicial Asking Price (€) (Total)]]-DATABASE_Table[[#This Row],[Vista membership]]-DATABASE_Table[[#This Row],[FF&amp;E]]</f>
        <v>2125235.7856000001</v>
      </c>
      <c r="S675" s="231">
        <v>2249835.7856000001</v>
      </c>
      <c r="T675" s="232">
        <v>2380000</v>
      </c>
      <c r="U675" s="198">
        <v>24600</v>
      </c>
      <c r="V675" s="198">
        <v>100000</v>
      </c>
      <c r="W675" s="233">
        <f>DATABASE_Table[[#This Row],[Current Asking price( Total)]]-DATABASE_Table[[#This Row],[Vista membership]]-DATABASE_Table[[#This Row],[FF&amp;E]]</f>
        <v>2255400</v>
      </c>
      <c r="X675" s="216"/>
      <c r="Y675" s="232">
        <v>2380000</v>
      </c>
      <c r="Z675" s="233">
        <f>DATABASE_Table[[#This Row],[Sell price (Total)]]-DATABASE_Table[[#This Row],[FF&amp;E]]-DATABASE_Table[[#This Row],[Vista membership]]</f>
        <v>2255400</v>
      </c>
      <c r="AA675" s="315"/>
      <c r="AB675" s="321"/>
      <c r="AC675" s="198" t="s">
        <v>10</v>
      </c>
      <c r="AD675" s="198" t="s">
        <v>35</v>
      </c>
      <c r="AE675" s="279" t="s">
        <v>43</v>
      </c>
      <c r="AF675" s="279" t="s">
        <v>44</v>
      </c>
      <c r="AG675" s="279" t="s">
        <v>45</v>
      </c>
      <c r="AH675" s="279" t="s">
        <v>46</v>
      </c>
      <c r="AI675" s="198" t="s">
        <v>47</v>
      </c>
      <c r="AJ675" s="274" t="s">
        <v>42</v>
      </c>
      <c r="AK675"/>
    </row>
    <row r="676" spans="1:37" ht="15.75" hidden="1" customHeight="1">
      <c r="A676" s="198" t="s">
        <v>630</v>
      </c>
      <c r="B676" s="198" t="s">
        <v>691</v>
      </c>
      <c r="C676" s="214" t="s">
        <v>396</v>
      </c>
      <c r="D676" s="198" t="s">
        <v>9</v>
      </c>
      <c r="E676" s="198" t="s">
        <v>319</v>
      </c>
      <c r="F676" s="198">
        <v>151.22999999999999</v>
      </c>
      <c r="G676" s="198"/>
      <c r="H676" s="214" t="s">
        <v>848</v>
      </c>
      <c r="I676" s="214" t="s">
        <v>325</v>
      </c>
      <c r="J676" s="271">
        <v>27.59</v>
      </c>
      <c r="K676" s="198"/>
      <c r="L676" s="198"/>
      <c r="M676" s="198">
        <v>0</v>
      </c>
      <c r="N676" s="198"/>
      <c r="O676" s="198">
        <v>123.64</v>
      </c>
      <c r="P676" s="198"/>
      <c r="Q676" s="198" t="s">
        <v>628</v>
      </c>
      <c r="R676" s="230">
        <f>DATABASE_Table[[#This Row],[Inicial Asking Price (€) (Total)]]-DATABASE_Table[[#This Row],[Vista membership]]-DATABASE_Table[[#This Row],[FF&amp;E]]</f>
        <v>1044782.64</v>
      </c>
      <c r="S676" s="231">
        <v>1044782.64</v>
      </c>
      <c r="T676" s="232">
        <v>1050000</v>
      </c>
      <c r="U676" s="198"/>
      <c r="V676" s="198"/>
      <c r="W676" s="233">
        <f>DATABASE_Table[[#This Row],[Current Asking price( Total)]]-DATABASE_Table[[#This Row],[Vista membership]]-DATABASE_Table[[#This Row],[FF&amp;E]]</f>
        <v>1050000</v>
      </c>
      <c r="X676" s="216">
        <v>0</v>
      </c>
      <c r="Y676" s="232">
        <v>1050000</v>
      </c>
      <c r="Z676" s="233">
        <f>DATABASE_Table[[#This Row],[Sell price (Total)]]-DATABASE_Table[[#This Row],[FF&amp;E]]-DATABASE_Table[[#This Row],[Vista membership]]</f>
        <v>1050000</v>
      </c>
      <c r="AA676" s="315">
        <v>46139</v>
      </c>
      <c r="AB676" s="321"/>
      <c r="AC676" s="198" t="s">
        <v>10</v>
      </c>
      <c r="AD676" s="198" t="s">
        <v>11</v>
      </c>
      <c r="AE676" s="279" t="s">
        <v>53</v>
      </c>
      <c r="AF676" s="279" t="s">
        <v>54</v>
      </c>
      <c r="AG676" s="279" t="s">
        <v>811</v>
      </c>
      <c r="AH676" s="279" t="s">
        <v>812</v>
      </c>
      <c r="AI676" s="198" t="s">
        <v>36</v>
      </c>
      <c r="AJ676" s="274" t="s">
        <v>52</v>
      </c>
      <c r="AK676"/>
    </row>
    <row r="677" spans="1:37" ht="15.75" hidden="1" customHeight="1">
      <c r="A677" s="198" t="s">
        <v>690</v>
      </c>
      <c r="B677" s="198" t="s">
        <v>691</v>
      </c>
      <c r="C677" s="214" t="s">
        <v>396</v>
      </c>
      <c r="D677" s="198" t="s">
        <v>9</v>
      </c>
      <c r="E677" s="198" t="s">
        <v>765</v>
      </c>
      <c r="F677" s="198">
        <v>333.99</v>
      </c>
      <c r="G677" s="198">
        <v>172.78</v>
      </c>
      <c r="H677" s="214" t="s">
        <v>325</v>
      </c>
      <c r="I677" s="214" t="s">
        <v>325</v>
      </c>
      <c r="J677" s="271">
        <v>25.77</v>
      </c>
      <c r="K677" s="198"/>
      <c r="L677" s="198"/>
      <c r="M677" s="198"/>
      <c r="N677" s="198"/>
      <c r="O677" s="198">
        <v>135.44</v>
      </c>
      <c r="P677" s="198"/>
      <c r="Q677" s="198" t="s">
        <v>329</v>
      </c>
      <c r="R677" s="230">
        <f>DATABASE_Table[[#This Row],[Inicial Asking Price (€) (Total)]]-DATABASE_Table[[#This Row],[Vista membership]]-DATABASE_Table[[#This Row],[FF&amp;E]]</f>
        <v>1667700</v>
      </c>
      <c r="S677" s="231">
        <v>1738850</v>
      </c>
      <c r="T677" s="232">
        <v>1810000</v>
      </c>
      <c r="U677" s="198">
        <v>24600</v>
      </c>
      <c r="V677" s="198">
        <v>46550</v>
      </c>
      <c r="W677" s="233">
        <f>DATABASE_Table[[#This Row],[Current Asking price( Total)]]-DATABASE_Table[[#This Row],[Vista membership]]-DATABASE_Table[[#This Row],[FF&amp;E]]</f>
        <v>1738850</v>
      </c>
      <c r="X677" s="216"/>
      <c r="Y677" s="232">
        <v>1810000</v>
      </c>
      <c r="Z677" s="233">
        <f>DATABASE_Table[[#This Row],[Sell price (Total)]]-DATABASE_Table[[#This Row],[FF&amp;E]]-DATABASE_Table[[#This Row],[Vista membership]]</f>
        <v>1738850</v>
      </c>
      <c r="AA677" s="315"/>
      <c r="AB677" s="321"/>
      <c r="AC677" s="198" t="s">
        <v>10</v>
      </c>
      <c r="AD677" s="198" t="s">
        <v>35</v>
      </c>
      <c r="AE677" s="279" t="s">
        <v>38</v>
      </c>
      <c r="AF677" s="279" t="s">
        <v>39</v>
      </c>
      <c r="AG677" s="279" t="s">
        <v>40</v>
      </c>
      <c r="AH677" s="279" t="s">
        <v>810</v>
      </c>
      <c r="AI677" s="198" t="s">
        <v>41</v>
      </c>
      <c r="AJ677" s="274" t="s">
        <v>37</v>
      </c>
      <c r="AK677"/>
    </row>
    <row r="678" spans="1:37" ht="15.75" hidden="1" customHeight="1">
      <c r="A678" s="198" t="s">
        <v>563</v>
      </c>
      <c r="B678" s="198" t="s">
        <v>691</v>
      </c>
      <c r="C678" s="214" t="s">
        <v>396</v>
      </c>
      <c r="D678" s="198" t="s">
        <v>9</v>
      </c>
      <c r="E678" s="198" t="s">
        <v>321</v>
      </c>
      <c r="F678" s="198">
        <v>157.13999999999999</v>
      </c>
      <c r="G678" s="198"/>
      <c r="H678" s="214" t="s">
        <v>325</v>
      </c>
      <c r="I678" s="214" t="s">
        <v>325</v>
      </c>
      <c r="J678" s="271"/>
      <c r="K678" s="198"/>
      <c r="L678" s="198"/>
      <c r="M678" s="198"/>
      <c r="N678" s="198"/>
      <c r="O678" s="198">
        <v>157.13999999999999</v>
      </c>
      <c r="P678" s="198"/>
      <c r="Q678" s="198" t="s">
        <v>329</v>
      </c>
      <c r="R678" s="230">
        <f>DATABASE_Table[[#This Row],[Inicial Asking Price (€) (Total)]]-DATABASE_Table[[#This Row],[Vista membership]]-DATABASE_Table[[#This Row],[FF&amp;E]]</f>
        <v>925000</v>
      </c>
      <c r="S678" s="231">
        <v>925000</v>
      </c>
      <c r="T678" s="232">
        <v>925000</v>
      </c>
      <c r="U678" s="198"/>
      <c r="V678" s="198"/>
      <c r="W678" s="233">
        <f>DATABASE_Table[[#This Row],[Current Asking price( Total)]]-DATABASE_Table[[#This Row],[Vista membership]]-DATABASE_Table[[#This Row],[FF&amp;E]]</f>
        <v>925000</v>
      </c>
      <c r="X678" s="216"/>
      <c r="Y678" s="232">
        <v>925000</v>
      </c>
      <c r="Z678" s="233">
        <f>DATABASE_Table[[#This Row],[Sell price (Total)]]-DATABASE_Table[[#This Row],[FF&amp;E]]-DATABASE_Table[[#This Row],[Vista membership]]</f>
        <v>925000</v>
      </c>
      <c r="AA678" s="315"/>
      <c r="AB678" s="321"/>
      <c r="AC678" s="198" t="s">
        <v>10</v>
      </c>
      <c r="AD678" s="198" t="s">
        <v>11</v>
      </c>
      <c r="AE678" s="279" t="s">
        <v>28</v>
      </c>
      <c r="AF678" s="279" t="s">
        <v>29</v>
      </c>
      <c r="AG678" s="279" t="s">
        <v>805</v>
      </c>
      <c r="AH678" s="279" t="s">
        <v>806</v>
      </c>
      <c r="AI678" s="198" t="s">
        <v>30</v>
      </c>
      <c r="AJ678" s="274" t="s">
        <v>27</v>
      </c>
      <c r="AK678"/>
    </row>
    <row r="679" spans="1:37" ht="15.75" hidden="1" customHeight="1">
      <c r="A679" s="198" t="s">
        <v>564</v>
      </c>
      <c r="B679" s="198" t="s">
        <v>691</v>
      </c>
      <c r="C679" s="214" t="s">
        <v>396</v>
      </c>
      <c r="D679" s="198" t="s">
        <v>9</v>
      </c>
      <c r="E679" s="198" t="s">
        <v>416</v>
      </c>
      <c r="F679" s="198">
        <v>127.58</v>
      </c>
      <c r="G679" s="198"/>
      <c r="H679" s="214" t="s">
        <v>325</v>
      </c>
      <c r="I679" s="214" t="s">
        <v>325</v>
      </c>
      <c r="J679" s="271"/>
      <c r="K679" s="198"/>
      <c r="L679" s="198"/>
      <c r="M679" s="198">
        <v>38.020000000000003</v>
      </c>
      <c r="N679" s="198"/>
      <c r="O679" s="198">
        <v>89.56</v>
      </c>
      <c r="P679" s="198"/>
      <c r="Q679" s="198" t="s">
        <v>329</v>
      </c>
      <c r="R679" s="230">
        <f>DATABASE_Table[[#This Row],[Inicial Asking Price (€) (Total)]]-DATABASE_Table[[#This Row],[Vista membership]]-DATABASE_Table[[#This Row],[FF&amp;E]]</f>
        <v>765820.94559999998</v>
      </c>
      <c r="S679" s="231">
        <v>830420.94559999998</v>
      </c>
      <c r="T679" s="232">
        <v>900000</v>
      </c>
      <c r="U679" s="198">
        <v>24600</v>
      </c>
      <c r="V679" s="198">
        <v>40000</v>
      </c>
      <c r="W679" s="233">
        <f>DATABASE_Table[[#This Row],[Current Asking price( Total)]]-DATABASE_Table[[#This Row],[Vista membership]]-DATABASE_Table[[#This Row],[FF&amp;E]]</f>
        <v>835400</v>
      </c>
      <c r="X679" s="216"/>
      <c r="Y679" s="232">
        <v>900000</v>
      </c>
      <c r="Z679" s="233">
        <f>DATABASE_Table[[#This Row],[Sell price (Total)]]-DATABASE_Table[[#This Row],[FF&amp;E]]-DATABASE_Table[[#This Row],[Vista membership]]</f>
        <v>835400</v>
      </c>
      <c r="AA679" s="315"/>
      <c r="AB679" s="321"/>
      <c r="AC679" s="198" t="s">
        <v>10</v>
      </c>
      <c r="AD679" s="198" t="s">
        <v>35</v>
      </c>
      <c r="AE679" s="279" t="s">
        <v>43</v>
      </c>
      <c r="AF679" s="279" t="s">
        <v>44</v>
      </c>
      <c r="AG679" s="279" t="s">
        <v>45</v>
      </c>
      <c r="AH679" s="279" t="s">
        <v>46</v>
      </c>
      <c r="AI679" s="198" t="s">
        <v>47</v>
      </c>
      <c r="AJ679" s="274" t="s">
        <v>42</v>
      </c>
      <c r="AK679"/>
    </row>
    <row r="680" spans="1:37" ht="15.75" hidden="1" customHeight="1">
      <c r="A680" s="198" t="s">
        <v>630</v>
      </c>
      <c r="B680" s="198" t="s">
        <v>691</v>
      </c>
      <c r="C680" s="214" t="s">
        <v>397</v>
      </c>
      <c r="D680" s="198" t="s">
        <v>9</v>
      </c>
      <c r="E680" s="198" t="s">
        <v>320</v>
      </c>
      <c r="F680" s="198">
        <v>318.70999999999998</v>
      </c>
      <c r="G680" s="198"/>
      <c r="H680" s="214" t="s">
        <v>848</v>
      </c>
      <c r="I680" s="214" t="s">
        <v>325</v>
      </c>
      <c r="J680" s="271">
        <v>55.52</v>
      </c>
      <c r="K680" s="198"/>
      <c r="L680" s="198"/>
      <c r="M680" s="198">
        <v>102</v>
      </c>
      <c r="N680" s="198"/>
      <c r="O680" s="198">
        <v>161.19</v>
      </c>
      <c r="P680" s="198"/>
      <c r="Q680" s="198" t="s">
        <v>628</v>
      </c>
      <c r="R680" s="230">
        <f>DATABASE_Table[[#This Row],[Inicial Asking Price (€) (Total)]]-DATABASE_Table[[#This Row],[Vista membership]]-DATABASE_Table[[#This Row],[FF&amp;E]]</f>
        <v>1804385.31</v>
      </c>
      <c r="S680" s="231">
        <v>1804385.31</v>
      </c>
      <c r="T680" s="232">
        <v>1810000</v>
      </c>
      <c r="U680" s="198"/>
      <c r="V680" s="198"/>
      <c r="W680" s="233">
        <f>DATABASE_Table[[#This Row],[Current Asking price( Total)]]-DATABASE_Table[[#This Row],[Vista membership]]-DATABASE_Table[[#This Row],[FF&amp;E]]</f>
        <v>1810000</v>
      </c>
      <c r="X680" s="216">
        <v>0</v>
      </c>
      <c r="Y680" s="232">
        <v>1810000</v>
      </c>
      <c r="Z680" s="233">
        <f>DATABASE_Table[[#This Row],[Sell price (Total)]]-DATABASE_Table[[#This Row],[FF&amp;E]]-DATABASE_Table[[#This Row],[Vista membership]]</f>
        <v>1810000</v>
      </c>
      <c r="AA680" s="315">
        <v>46093</v>
      </c>
      <c r="AB680" s="321"/>
      <c r="AC680" s="198" t="s">
        <v>10</v>
      </c>
      <c r="AD680" s="198" t="s">
        <v>11</v>
      </c>
      <c r="AE680" s="279" t="s">
        <v>53</v>
      </c>
      <c r="AF680" s="279" t="s">
        <v>54</v>
      </c>
      <c r="AG680" s="279" t="s">
        <v>811</v>
      </c>
      <c r="AH680" s="279" t="s">
        <v>812</v>
      </c>
      <c r="AI680" s="198" t="s">
        <v>36</v>
      </c>
      <c r="AJ680" s="274" t="s">
        <v>52</v>
      </c>
      <c r="AK680"/>
    </row>
    <row r="681" spans="1:37" ht="15.75" hidden="1" customHeight="1">
      <c r="A681" s="198" t="s">
        <v>781</v>
      </c>
      <c r="B681" s="198" t="s">
        <v>786</v>
      </c>
      <c r="C681" s="214" t="s">
        <v>290</v>
      </c>
      <c r="D681" s="198" t="s">
        <v>79</v>
      </c>
      <c r="E681" s="198" t="s">
        <v>319</v>
      </c>
      <c r="F681" s="198">
        <v>196.8</v>
      </c>
      <c r="G681" s="198"/>
      <c r="H681" s="214" t="s">
        <v>848</v>
      </c>
      <c r="I681" s="214" t="s">
        <v>325</v>
      </c>
      <c r="J681" s="271"/>
      <c r="K681" s="198"/>
      <c r="L681" s="198"/>
      <c r="M681" s="198">
        <v>32</v>
      </c>
      <c r="N681" s="198">
        <v>27</v>
      </c>
      <c r="O681" s="198">
        <v>137.80000000000001</v>
      </c>
      <c r="P681" s="198"/>
      <c r="Q681" s="198" t="s">
        <v>329</v>
      </c>
      <c r="R681" s="230">
        <f>DATABASE_Table[[#This Row],[Inicial Asking Price (€) (Total)]]-DATABASE_Table[[#This Row],[Vista membership]]-DATABASE_Table[[#This Row],[FF&amp;E]]</f>
        <v>1055000</v>
      </c>
      <c r="S681" s="234">
        <v>1055000</v>
      </c>
      <c r="T681" s="235">
        <v>1080000</v>
      </c>
      <c r="U681" s="198"/>
      <c r="V681" s="235">
        <v>0</v>
      </c>
      <c r="W681" s="233">
        <f>DATABASE_Table[[#This Row],[Current Asking price( Total)]]-DATABASE_Table[[#This Row],[Vista membership]]-DATABASE_Table[[#This Row],[FF&amp;E]]</f>
        <v>1080000</v>
      </c>
      <c r="X681" s="236"/>
      <c r="Y681" s="235"/>
      <c r="Z681" s="233">
        <f>DATABASE_Table[[#This Row],[Sell price (Total)]]-DATABASE_Table[[#This Row],[FF&amp;E]]-DATABASE_Table[[#This Row],[Vista membership]]</f>
        <v>0</v>
      </c>
      <c r="AA681" s="315"/>
      <c r="AB681" s="321">
        <v>47118</v>
      </c>
      <c r="AC681" s="198" t="s">
        <v>80</v>
      </c>
      <c r="AD681" s="198" t="s">
        <v>81</v>
      </c>
      <c r="AE681" s="279" t="s">
        <v>82</v>
      </c>
      <c r="AF681" s="279" t="s">
        <v>83</v>
      </c>
      <c r="AG681" s="279" t="s">
        <v>84</v>
      </c>
      <c r="AH681" s="279" t="s">
        <v>85</v>
      </c>
      <c r="AI681" s="198" t="s">
        <v>86</v>
      </c>
      <c r="AJ681" s="274" t="s">
        <v>78</v>
      </c>
      <c r="AK681"/>
    </row>
    <row r="682" spans="1:37" ht="15.75" hidden="1" customHeight="1">
      <c r="A682" s="198" t="s">
        <v>784</v>
      </c>
      <c r="B682" s="198" t="s">
        <v>787</v>
      </c>
      <c r="C682" s="214" t="s">
        <v>455</v>
      </c>
      <c r="D682" s="198" t="s">
        <v>88</v>
      </c>
      <c r="E682" s="198" t="s">
        <v>383</v>
      </c>
      <c r="F682" s="198">
        <v>336.52</v>
      </c>
      <c r="G682" s="198"/>
      <c r="H682" s="214" t="s">
        <v>849</v>
      </c>
      <c r="I682" s="214" t="s">
        <v>590</v>
      </c>
      <c r="J682" s="271">
        <v>0</v>
      </c>
      <c r="K682" s="198">
        <v>130.54</v>
      </c>
      <c r="L682" s="198">
        <v>44.52</v>
      </c>
      <c r="M682" s="198"/>
      <c r="N682" s="198"/>
      <c r="O682" s="198">
        <v>161.46</v>
      </c>
      <c r="P682" s="198"/>
      <c r="Q682" s="198" t="s">
        <v>329</v>
      </c>
      <c r="R682" s="230">
        <f>DATABASE_Table[[#This Row],[Inicial Asking Price (€) (Total)]]-DATABASE_Table[[#This Row],[Vista membership]]-DATABASE_Table[[#This Row],[FF&amp;E]]</f>
        <v>1060000</v>
      </c>
      <c r="S682" s="234">
        <v>1060000</v>
      </c>
      <c r="T682" s="235">
        <v>1090000</v>
      </c>
      <c r="U682" s="198"/>
      <c r="V682" s="198"/>
      <c r="W682" s="233">
        <f>DATABASE_Table[[#This Row],[Current Asking price( Total)]]-DATABASE_Table[[#This Row],[Vista membership]]-DATABASE_Table[[#This Row],[FF&amp;E]]</f>
        <v>1090000</v>
      </c>
      <c r="X682" s="236"/>
      <c r="Y682" s="235"/>
      <c r="Z682" s="233">
        <f>DATABASE_Table[[#This Row],[Sell price (Total)]]-DATABASE_Table[[#This Row],[FF&amp;E]]-DATABASE_Table[[#This Row],[Vista membership]]</f>
        <v>0</v>
      </c>
      <c r="AA682" s="315"/>
      <c r="AB682" s="321">
        <v>47208</v>
      </c>
      <c r="AC682" s="198" t="s">
        <v>80</v>
      </c>
      <c r="AD682" s="198" t="s">
        <v>81</v>
      </c>
      <c r="AE682" s="279" t="s">
        <v>89</v>
      </c>
      <c r="AF682" s="279" t="s">
        <v>90</v>
      </c>
      <c r="AG682" s="279" t="s">
        <v>91</v>
      </c>
      <c r="AH682" s="279" t="s">
        <v>92</v>
      </c>
      <c r="AI682" s="198" t="s">
        <v>30</v>
      </c>
      <c r="AJ682" s="274" t="s">
        <v>87</v>
      </c>
      <c r="AK682"/>
    </row>
    <row r="683" spans="1:37" ht="15.75" hidden="1" customHeight="1">
      <c r="A683" s="198" t="s">
        <v>784</v>
      </c>
      <c r="B683" s="198" t="s">
        <v>787</v>
      </c>
      <c r="C683" s="214" t="s">
        <v>459</v>
      </c>
      <c r="D683" s="198" t="s">
        <v>88</v>
      </c>
      <c r="E683" s="198" t="s">
        <v>383</v>
      </c>
      <c r="F683" s="198">
        <v>297.44</v>
      </c>
      <c r="G683" s="198"/>
      <c r="H683" s="214" t="s">
        <v>849</v>
      </c>
      <c r="I683" s="214" t="s">
        <v>590</v>
      </c>
      <c r="J683" s="271">
        <v>0</v>
      </c>
      <c r="K683" s="198">
        <v>91.46</v>
      </c>
      <c r="L683" s="198">
        <v>44.52</v>
      </c>
      <c r="M683" s="198"/>
      <c r="N683" s="198"/>
      <c r="O683" s="198">
        <v>161.46</v>
      </c>
      <c r="P683" s="198"/>
      <c r="Q683" s="198" t="s">
        <v>329</v>
      </c>
      <c r="R683" s="230">
        <f>DATABASE_Table[[#This Row],[Inicial Asking Price (€) (Total)]]-DATABASE_Table[[#This Row],[Vista membership]]-DATABASE_Table[[#This Row],[FF&amp;E]]</f>
        <v>1060000</v>
      </c>
      <c r="S683" s="234">
        <v>1060000</v>
      </c>
      <c r="T683" s="235">
        <v>1090000</v>
      </c>
      <c r="U683" s="198"/>
      <c r="V683" s="198"/>
      <c r="W683" s="233">
        <f>DATABASE_Table[[#This Row],[Current Asking price( Total)]]-DATABASE_Table[[#This Row],[Vista membership]]-DATABASE_Table[[#This Row],[FF&amp;E]]</f>
        <v>1090000</v>
      </c>
      <c r="X683" s="236"/>
      <c r="Y683" s="235"/>
      <c r="Z683" s="233">
        <f>DATABASE_Table[[#This Row],[Sell price (Total)]]-DATABASE_Table[[#This Row],[FF&amp;E]]-DATABASE_Table[[#This Row],[Vista membership]]</f>
        <v>0</v>
      </c>
      <c r="AA683" s="315"/>
      <c r="AB683" s="321">
        <v>47208</v>
      </c>
      <c r="AC683" s="198" t="s">
        <v>80</v>
      </c>
      <c r="AD683" s="198" t="s">
        <v>81</v>
      </c>
      <c r="AE683" s="279" t="s">
        <v>89</v>
      </c>
      <c r="AF683" s="279" t="s">
        <v>90</v>
      </c>
      <c r="AG683" s="279" t="s">
        <v>91</v>
      </c>
      <c r="AH683" s="279" t="s">
        <v>92</v>
      </c>
      <c r="AI683" s="198" t="s">
        <v>30</v>
      </c>
      <c r="AJ683" s="274" t="s">
        <v>87</v>
      </c>
      <c r="AK683"/>
    </row>
    <row r="684" spans="1:37" ht="15.75" hidden="1" customHeight="1">
      <c r="A684" s="198" t="s">
        <v>784</v>
      </c>
      <c r="B684" s="198" t="s">
        <v>787</v>
      </c>
      <c r="C684" s="214" t="s">
        <v>460</v>
      </c>
      <c r="D684" s="198" t="s">
        <v>88</v>
      </c>
      <c r="E684" s="198" t="s">
        <v>383</v>
      </c>
      <c r="F684" s="198">
        <v>301.74</v>
      </c>
      <c r="G684" s="198"/>
      <c r="H684" s="214" t="s">
        <v>849</v>
      </c>
      <c r="I684" s="214" t="s">
        <v>590</v>
      </c>
      <c r="J684" s="271">
        <v>0</v>
      </c>
      <c r="K684" s="198">
        <v>88.46</v>
      </c>
      <c r="L684" s="198">
        <v>46.1</v>
      </c>
      <c r="M684" s="198"/>
      <c r="N684" s="198"/>
      <c r="O684" s="198">
        <v>167.18</v>
      </c>
      <c r="P684" s="198"/>
      <c r="Q684" s="198" t="s">
        <v>329</v>
      </c>
      <c r="R684" s="230">
        <f>DATABASE_Table[[#This Row],[Inicial Asking Price (€) (Total)]]-DATABASE_Table[[#This Row],[Vista membership]]-DATABASE_Table[[#This Row],[FF&amp;E]]</f>
        <v>1060000</v>
      </c>
      <c r="S684" s="234">
        <v>1060000</v>
      </c>
      <c r="T684" s="235">
        <v>1110000</v>
      </c>
      <c r="U684" s="198"/>
      <c r="V684" s="198"/>
      <c r="W684" s="233">
        <f>DATABASE_Table[[#This Row],[Current Asking price( Total)]]-DATABASE_Table[[#This Row],[Vista membership]]-DATABASE_Table[[#This Row],[FF&amp;E]]</f>
        <v>1110000</v>
      </c>
      <c r="X684" s="236"/>
      <c r="Y684" s="235"/>
      <c r="Z684" s="233">
        <f>DATABASE_Table[[#This Row],[Sell price (Total)]]-DATABASE_Table[[#This Row],[FF&amp;E]]-DATABASE_Table[[#This Row],[Vista membership]]</f>
        <v>0</v>
      </c>
      <c r="AA684" s="315"/>
      <c r="AB684" s="321">
        <v>47208</v>
      </c>
      <c r="AC684" s="198" t="s">
        <v>80</v>
      </c>
      <c r="AD684" s="198" t="s">
        <v>81</v>
      </c>
      <c r="AE684" s="279" t="s">
        <v>89</v>
      </c>
      <c r="AF684" s="279" t="s">
        <v>90</v>
      </c>
      <c r="AG684" s="279" t="s">
        <v>91</v>
      </c>
      <c r="AH684" s="279" t="s">
        <v>92</v>
      </c>
      <c r="AI684" s="198" t="s">
        <v>30</v>
      </c>
      <c r="AJ684" s="274" t="s">
        <v>87</v>
      </c>
      <c r="AK684"/>
    </row>
    <row r="685" spans="1:37" ht="15.75" hidden="1" customHeight="1">
      <c r="A685" s="198" t="s">
        <v>784</v>
      </c>
      <c r="B685" s="198" t="s">
        <v>787</v>
      </c>
      <c r="C685" s="214" t="s">
        <v>456</v>
      </c>
      <c r="D685" s="198" t="s">
        <v>88</v>
      </c>
      <c r="E685" s="198" t="s">
        <v>383</v>
      </c>
      <c r="F685" s="198">
        <v>331.29</v>
      </c>
      <c r="G685" s="198"/>
      <c r="H685" s="214" t="s">
        <v>849</v>
      </c>
      <c r="I685" s="214" t="s">
        <v>590</v>
      </c>
      <c r="J685" s="271">
        <v>0</v>
      </c>
      <c r="K685" s="198">
        <v>125.31</v>
      </c>
      <c r="L685" s="198">
        <v>44.52</v>
      </c>
      <c r="M685" s="198"/>
      <c r="N685" s="198"/>
      <c r="O685" s="198">
        <v>161.46</v>
      </c>
      <c r="P685" s="198"/>
      <c r="Q685" s="198" t="s">
        <v>591</v>
      </c>
      <c r="R685" s="230">
        <f>DATABASE_Table[[#This Row],[Inicial Asking Price (€) (Total)]]-DATABASE_Table[[#This Row],[Vista membership]]-DATABASE_Table[[#This Row],[FF&amp;E]]</f>
        <v>1060000</v>
      </c>
      <c r="S685" s="234">
        <v>1060000</v>
      </c>
      <c r="T685" s="235">
        <v>1090000</v>
      </c>
      <c r="U685" s="198"/>
      <c r="V685" s="198"/>
      <c r="W685" s="233">
        <f>DATABASE_Table[[#This Row],[Current Asking price( Total)]]-DATABASE_Table[[#This Row],[Vista membership]]-DATABASE_Table[[#This Row],[FF&amp;E]]</f>
        <v>1090000</v>
      </c>
      <c r="X685" s="236"/>
      <c r="Y685" s="235"/>
      <c r="Z685" s="233">
        <f>DATABASE_Table[[#This Row],[Sell price (Total)]]-DATABASE_Table[[#This Row],[FF&amp;E]]-DATABASE_Table[[#This Row],[Vista membership]]</f>
        <v>0</v>
      </c>
      <c r="AA685" s="315"/>
      <c r="AB685" s="321">
        <v>47208</v>
      </c>
      <c r="AC685" s="198" t="s">
        <v>80</v>
      </c>
      <c r="AD685" s="198" t="s">
        <v>81</v>
      </c>
      <c r="AE685" s="279" t="s">
        <v>89</v>
      </c>
      <c r="AF685" s="279" t="s">
        <v>90</v>
      </c>
      <c r="AG685" s="279" t="s">
        <v>91</v>
      </c>
      <c r="AH685" s="279" t="s">
        <v>92</v>
      </c>
      <c r="AI685" s="198" t="s">
        <v>30</v>
      </c>
      <c r="AJ685" s="274" t="s">
        <v>87</v>
      </c>
      <c r="AK685"/>
    </row>
    <row r="686" spans="1:37" ht="15.75" hidden="1" customHeight="1">
      <c r="A686" s="198" t="s">
        <v>784</v>
      </c>
      <c r="B686" s="198" t="s">
        <v>787</v>
      </c>
      <c r="C686" s="214" t="s">
        <v>457</v>
      </c>
      <c r="D686" s="198" t="s">
        <v>88</v>
      </c>
      <c r="E686" s="198" t="s">
        <v>383</v>
      </c>
      <c r="F686" s="198">
        <v>321.44</v>
      </c>
      <c r="G686" s="198"/>
      <c r="H686" s="214" t="s">
        <v>849</v>
      </c>
      <c r="I686" s="214" t="s">
        <v>590</v>
      </c>
      <c r="J686" s="271">
        <v>0</v>
      </c>
      <c r="K686" s="198">
        <v>115.46</v>
      </c>
      <c r="L686" s="198">
        <v>44.52</v>
      </c>
      <c r="M686" s="198"/>
      <c r="N686" s="198"/>
      <c r="O686" s="198">
        <v>161.46</v>
      </c>
      <c r="P686" s="198"/>
      <c r="Q686" s="198" t="s">
        <v>591</v>
      </c>
      <c r="R686" s="230">
        <f>DATABASE_Table[[#This Row],[Inicial Asking Price (€) (Total)]]-DATABASE_Table[[#This Row],[Vista membership]]-DATABASE_Table[[#This Row],[FF&amp;E]]</f>
        <v>1060000</v>
      </c>
      <c r="S686" s="234">
        <v>1060000</v>
      </c>
      <c r="T686" s="235">
        <v>1090000</v>
      </c>
      <c r="U686" s="198"/>
      <c r="V686" s="198"/>
      <c r="W686" s="233">
        <f>DATABASE_Table[[#This Row],[Current Asking price( Total)]]-DATABASE_Table[[#This Row],[Vista membership]]-DATABASE_Table[[#This Row],[FF&amp;E]]</f>
        <v>1090000</v>
      </c>
      <c r="X686" s="236"/>
      <c r="Y686" s="235"/>
      <c r="Z686" s="233">
        <f>DATABASE_Table[[#This Row],[Sell price (Total)]]-DATABASE_Table[[#This Row],[FF&amp;E]]-DATABASE_Table[[#This Row],[Vista membership]]</f>
        <v>0</v>
      </c>
      <c r="AA686" s="315"/>
      <c r="AB686" s="321">
        <v>47208</v>
      </c>
      <c r="AC686" s="198" t="s">
        <v>80</v>
      </c>
      <c r="AD686" s="198" t="s">
        <v>81</v>
      </c>
      <c r="AE686" s="279" t="s">
        <v>89</v>
      </c>
      <c r="AF686" s="279" t="s">
        <v>90</v>
      </c>
      <c r="AG686" s="279" t="s">
        <v>91</v>
      </c>
      <c r="AH686" s="279" t="s">
        <v>92</v>
      </c>
      <c r="AI686" s="198" t="s">
        <v>30</v>
      </c>
      <c r="AJ686" s="274" t="s">
        <v>87</v>
      </c>
      <c r="AK686"/>
    </row>
    <row r="687" spans="1:37" ht="15.75" hidden="1" customHeight="1">
      <c r="A687" s="198" t="s">
        <v>784</v>
      </c>
      <c r="B687" s="198" t="s">
        <v>787</v>
      </c>
      <c r="C687" s="214" t="s">
        <v>458</v>
      </c>
      <c r="D687" s="198" t="s">
        <v>88</v>
      </c>
      <c r="E687" s="198" t="s">
        <v>383</v>
      </c>
      <c r="F687" s="198">
        <v>309.29000000000002</v>
      </c>
      <c r="G687" s="198"/>
      <c r="H687" s="214" t="s">
        <v>849</v>
      </c>
      <c r="I687" s="214" t="s">
        <v>590</v>
      </c>
      <c r="J687" s="271">
        <v>0</v>
      </c>
      <c r="K687" s="198">
        <v>103.31</v>
      </c>
      <c r="L687" s="198">
        <v>44.52</v>
      </c>
      <c r="M687" s="198"/>
      <c r="N687" s="198"/>
      <c r="O687" s="198">
        <v>161.46</v>
      </c>
      <c r="P687" s="198"/>
      <c r="Q687" s="198" t="s">
        <v>591</v>
      </c>
      <c r="R687" s="230">
        <f>DATABASE_Table[[#This Row],[Inicial Asking Price (€) (Total)]]-DATABASE_Table[[#This Row],[Vista membership]]-DATABASE_Table[[#This Row],[FF&amp;E]]</f>
        <v>1060000</v>
      </c>
      <c r="S687" s="234">
        <v>1060000</v>
      </c>
      <c r="T687" s="235">
        <v>1110000</v>
      </c>
      <c r="U687" s="198"/>
      <c r="V687" s="198"/>
      <c r="W687" s="233">
        <f>DATABASE_Table[[#This Row],[Current Asking price( Total)]]-DATABASE_Table[[#This Row],[Vista membership]]-DATABASE_Table[[#This Row],[FF&amp;E]]</f>
        <v>1110000</v>
      </c>
      <c r="X687" s="236"/>
      <c r="Y687" s="235"/>
      <c r="Z687" s="233">
        <f>DATABASE_Table[[#This Row],[Sell price (Total)]]-DATABASE_Table[[#This Row],[FF&amp;E]]-DATABASE_Table[[#This Row],[Vista membership]]</f>
        <v>0</v>
      </c>
      <c r="AA687" s="315"/>
      <c r="AB687" s="321">
        <v>47208</v>
      </c>
      <c r="AC687" s="198" t="s">
        <v>80</v>
      </c>
      <c r="AD687" s="198" t="s">
        <v>81</v>
      </c>
      <c r="AE687" s="279" t="s">
        <v>89</v>
      </c>
      <c r="AF687" s="279" t="s">
        <v>90</v>
      </c>
      <c r="AG687" s="279" t="s">
        <v>91</v>
      </c>
      <c r="AH687" s="279" t="s">
        <v>92</v>
      </c>
      <c r="AI687" s="198" t="s">
        <v>30</v>
      </c>
      <c r="AJ687" s="274" t="s">
        <v>87</v>
      </c>
      <c r="AK687"/>
    </row>
    <row r="688" spans="1:37" ht="15.75" hidden="1" customHeight="1">
      <c r="A688" s="198" t="s">
        <v>784</v>
      </c>
      <c r="B688" s="198" t="s">
        <v>787</v>
      </c>
      <c r="C688" s="214" t="s">
        <v>461</v>
      </c>
      <c r="D688" s="198" t="s">
        <v>88</v>
      </c>
      <c r="E688" s="198" t="s">
        <v>462</v>
      </c>
      <c r="F688" s="198">
        <v>346.47</v>
      </c>
      <c r="G688" s="198"/>
      <c r="H688" s="214" t="s">
        <v>849</v>
      </c>
      <c r="I688" s="214" t="s">
        <v>590</v>
      </c>
      <c r="J688" s="271">
        <v>9.4700000000000006</v>
      </c>
      <c r="K688" s="198">
        <v>89.13</v>
      </c>
      <c r="L688" s="198">
        <v>49.45</v>
      </c>
      <c r="M688" s="198"/>
      <c r="N688" s="198"/>
      <c r="O688" s="198">
        <v>198.42</v>
      </c>
      <c r="P688" s="198"/>
      <c r="Q688" s="198" t="s">
        <v>591</v>
      </c>
      <c r="R688" s="230">
        <f>DATABASE_Table[[#This Row],[Inicial Asking Price (€) (Total)]]-DATABASE_Table[[#This Row],[Vista membership]]-DATABASE_Table[[#This Row],[FF&amp;E]]</f>
        <v>1060000</v>
      </c>
      <c r="S688" s="234">
        <v>1060000</v>
      </c>
      <c r="T688" s="235">
        <v>1090000</v>
      </c>
      <c r="U688" s="198"/>
      <c r="V688" s="198"/>
      <c r="W688" s="233">
        <f>DATABASE_Table[[#This Row],[Current Asking price( Total)]]-DATABASE_Table[[#This Row],[Vista membership]]-DATABASE_Table[[#This Row],[FF&amp;E]]</f>
        <v>1090000</v>
      </c>
      <c r="X688" s="236"/>
      <c r="Y688" s="235"/>
      <c r="Z688" s="233">
        <f>DATABASE_Table[[#This Row],[Sell price (Total)]]-DATABASE_Table[[#This Row],[FF&amp;E]]-DATABASE_Table[[#This Row],[Vista membership]]</f>
        <v>0</v>
      </c>
      <c r="AA688" s="315"/>
      <c r="AB688" s="321">
        <v>47208</v>
      </c>
      <c r="AC688" s="198" t="s">
        <v>80</v>
      </c>
      <c r="AD688" s="198" t="s">
        <v>81</v>
      </c>
      <c r="AE688" s="279" t="s">
        <v>89</v>
      </c>
      <c r="AF688" s="279" t="s">
        <v>90</v>
      </c>
      <c r="AG688" s="279" t="s">
        <v>91</v>
      </c>
      <c r="AH688" s="279" t="s">
        <v>92</v>
      </c>
      <c r="AI688" s="198" t="s">
        <v>30</v>
      </c>
      <c r="AJ688" s="274" t="s">
        <v>87</v>
      </c>
      <c r="AK688"/>
    </row>
    <row r="689" spans="1:37" ht="15.75" hidden="1" customHeight="1">
      <c r="A689" s="198" t="s">
        <v>690</v>
      </c>
      <c r="B689" s="198" t="s">
        <v>691</v>
      </c>
      <c r="C689" s="214" t="s">
        <v>397</v>
      </c>
      <c r="D689" s="198" t="s">
        <v>9</v>
      </c>
      <c r="E689" s="198" t="s">
        <v>765</v>
      </c>
      <c r="F689" s="198">
        <v>343.45</v>
      </c>
      <c r="G689" s="198">
        <v>179.37</v>
      </c>
      <c r="H689" s="214" t="s">
        <v>325</v>
      </c>
      <c r="I689" s="214" t="s">
        <v>325</v>
      </c>
      <c r="J689" s="271">
        <v>25.77</v>
      </c>
      <c r="K689" s="198"/>
      <c r="L689" s="198"/>
      <c r="M689" s="198"/>
      <c r="N689" s="198"/>
      <c r="O689" s="198">
        <v>138.31</v>
      </c>
      <c r="P689" s="198"/>
      <c r="Q689" s="198" t="s">
        <v>329</v>
      </c>
      <c r="R689" s="230">
        <f>DATABASE_Table[[#This Row],[Inicial Asking Price (€) (Total)]]-DATABASE_Table[[#This Row],[Vista membership]]-DATABASE_Table[[#This Row],[FF&amp;E]]</f>
        <v>1667700</v>
      </c>
      <c r="S689" s="231">
        <v>1738850</v>
      </c>
      <c r="T689" s="232">
        <v>1810000</v>
      </c>
      <c r="U689" s="198">
        <v>24600</v>
      </c>
      <c r="V689" s="198">
        <v>46550</v>
      </c>
      <c r="W689" s="233">
        <f>DATABASE_Table[[#This Row],[Current Asking price( Total)]]-DATABASE_Table[[#This Row],[Vista membership]]-DATABASE_Table[[#This Row],[FF&amp;E]]</f>
        <v>1738850</v>
      </c>
      <c r="X689" s="216"/>
      <c r="Y689" s="232">
        <v>1810000</v>
      </c>
      <c r="Z689" s="233">
        <f>DATABASE_Table[[#This Row],[Sell price (Total)]]-DATABASE_Table[[#This Row],[FF&amp;E]]-DATABASE_Table[[#This Row],[Vista membership]]</f>
        <v>1738850</v>
      </c>
      <c r="AA689" s="315"/>
      <c r="AB689" s="321"/>
      <c r="AC689" s="198" t="s">
        <v>10</v>
      </c>
      <c r="AD689" s="198" t="s">
        <v>35</v>
      </c>
      <c r="AE689" s="279" t="s">
        <v>38</v>
      </c>
      <c r="AF689" s="279" t="s">
        <v>39</v>
      </c>
      <c r="AG689" s="279" t="s">
        <v>40</v>
      </c>
      <c r="AH689" s="279" t="s">
        <v>810</v>
      </c>
      <c r="AI689" s="198" t="s">
        <v>41</v>
      </c>
      <c r="AJ689" s="274" t="s">
        <v>37</v>
      </c>
      <c r="AK689"/>
    </row>
    <row r="690" spans="1:37" ht="15.75" hidden="1" customHeight="1">
      <c r="A690" s="198" t="s">
        <v>563</v>
      </c>
      <c r="B690" s="198" t="s">
        <v>691</v>
      </c>
      <c r="C690" s="214" t="s">
        <v>397</v>
      </c>
      <c r="D690" s="198" t="s">
        <v>9</v>
      </c>
      <c r="E690" s="198" t="s">
        <v>321</v>
      </c>
      <c r="F690" s="198">
        <v>157.13999999999999</v>
      </c>
      <c r="G690" s="198"/>
      <c r="H690" s="214" t="s">
        <v>325</v>
      </c>
      <c r="I690" s="214" t="s">
        <v>325</v>
      </c>
      <c r="J690" s="271"/>
      <c r="K690" s="198"/>
      <c r="L690" s="198"/>
      <c r="M690" s="198"/>
      <c r="N690" s="198"/>
      <c r="O690" s="198">
        <v>157.13999999999999</v>
      </c>
      <c r="P690" s="198"/>
      <c r="Q690" s="198" t="s">
        <v>329</v>
      </c>
      <c r="R690" s="230">
        <f>DATABASE_Table[[#This Row],[Inicial Asking Price (€) (Total)]]-DATABASE_Table[[#This Row],[Vista membership]]-DATABASE_Table[[#This Row],[FF&amp;E]]</f>
        <v>925000</v>
      </c>
      <c r="S690" s="231">
        <v>925000</v>
      </c>
      <c r="T690" s="232">
        <v>925000</v>
      </c>
      <c r="U690" s="198"/>
      <c r="V690" s="198"/>
      <c r="W690" s="233">
        <f>DATABASE_Table[[#This Row],[Current Asking price( Total)]]-DATABASE_Table[[#This Row],[Vista membership]]-DATABASE_Table[[#This Row],[FF&amp;E]]</f>
        <v>925000</v>
      </c>
      <c r="X690" s="216"/>
      <c r="Y690" s="232">
        <v>925000</v>
      </c>
      <c r="Z690" s="233">
        <f>DATABASE_Table[[#This Row],[Sell price (Total)]]-DATABASE_Table[[#This Row],[FF&amp;E]]-DATABASE_Table[[#This Row],[Vista membership]]</f>
        <v>925000</v>
      </c>
      <c r="AA690" s="315"/>
      <c r="AB690" s="321"/>
      <c r="AC690" s="198" t="s">
        <v>10</v>
      </c>
      <c r="AD690" s="198" t="s">
        <v>11</v>
      </c>
      <c r="AE690" s="279" t="s">
        <v>28</v>
      </c>
      <c r="AF690" s="279" t="s">
        <v>29</v>
      </c>
      <c r="AG690" s="279" t="s">
        <v>805</v>
      </c>
      <c r="AH690" s="279" t="s">
        <v>806</v>
      </c>
      <c r="AI690" s="198" t="s">
        <v>30</v>
      </c>
      <c r="AJ690" s="274" t="s">
        <v>27</v>
      </c>
      <c r="AK690"/>
    </row>
    <row r="691" spans="1:37" ht="15.75" hidden="1" customHeight="1">
      <c r="A691" s="198" t="s">
        <v>564</v>
      </c>
      <c r="B691" s="198" t="s">
        <v>691</v>
      </c>
      <c r="C691" s="214" t="s">
        <v>397</v>
      </c>
      <c r="D691" s="198" t="s">
        <v>9</v>
      </c>
      <c r="E691" s="198" t="s">
        <v>416</v>
      </c>
      <c r="F691" s="198">
        <v>116.75</v>
      </c>
      <c r="G691" s="198"/>
      <c r="H691" s="214" t="s">
        <v>325</v>
      </c>
      <c r="I691" s="214" t="s">
        <v>325</v>
      </c>
      <c r="J691" s="271"/>
      <c r="K691" s="198"/>
      <c r="L691" s="198"/>
      <c r="M691" s="198">
        <v>28.58</v>
      </c>
      <c r="N691" s="198"/>
      <c r="O691" s="198">
        <v>88.17</v>
      </c>
      <c r="P691" s="198"/>
      <c r="Q691" s="198" t="s">
        <v>329</v>
      </c>
      <c r="R691" s="230">
        <f>DATABASE_Table[[#This Row],[Inicial Asking Price (€) (Total)]]-DATABASE_Table[[#This Row],[Vista membership]]-DATABASE_Table[[#This Row],[FF&amp;E]]</f>
        <v>743066.4192</v>
      </c>
      <c r="S691" s="231">
        <v>807666.4192</v>
      </c>
      <c r="T691" s="232">
        <v>900000</v>
      </c>
      <c r="U691" s="198">
        <v>24600</v>
      </c>
      <c r="V691" s="198">
        <v>40000</v>
      </c>
      <c r="W691" s="233">
        <f>DATABASE_Table[[#This Row],[Current Asking price( Total)]]-DATABASE_Table[[#This Row],[Vista membership]]-DATABASE_Table[[#This Row],[FF&amp;E]]</f>
        <v>835400</v>
      </c>
      <c r="X691" s="216"/>
      <c r="Y691" s="232">
        <v>900000</v>
      </c>
      <c r="Z691" s="233">
        <f>DATABASE_Table[[#This Row],[Sell price (Total)]]-DATABASE_Table[[#This Row],[FF&amp;E]]-DATABASE_Table[[#This Row],[Vista membership]]</f>
        <v>835400</v>
      </c>
      <c r="AA691" s="315"/>
      <c r="AB691" s="321"/>
      <c r="AC691" s="198" t="s">
        <v>10</v>
      </c>
      <c r="AD691" s="198" t="s">
        <v>35</v>
      </c>
      <c r="AE691" s="279" t="s">
        <v>43</v>
      </c>
      <c r="AF691" s="279" t="s">
        <v>44</v>
      </c>
      <c r="AG691" s="279" t="s">
        <v>45</v>
      </c>
      <c r="AH691" s="279" t="s">
        <v>46</v>
      </c>
      <c r="AI691" s="198" t="s">
        <v>47</v>
      </c>
      <c r="AJ691" s="274" t="s">
        <v>42</v>
      </c>
      <c r="AK691"/>
    </row>
    <row r="692" spans="1:37" ht="15.75" hidden="1" customHeight="1">
      <c r="A692" s="198" t="s">
        <v>690</v>
      </c>
      <c r="B692" s="198" t="s">
        <v>691</v>
      </c>
      <c r="C692" s="214" t="s">
        <v>398</v>
      </c>
      <c r="D692" s="198" t="s">
        <v>9</v>
      </c>
      <c r="E692" s="198" t="s">
        <v>765</v>
      </c>
      <c r="F692" s="198">
        <v>284.95999999999998</v>
      </c>
      <c r="G692" s="198">
        <v>117.66</v>
      </c>
      <c r="H692" s="214" t="s">
        <v>325</v>
      </c>
      <c r="I692" s="214" t="s">
        <v>325</v>
      </c>
      <c r="J692" s="271">
        <v>25.77</v>
      </c>
      <c r="K692" s="198"/>
      <c r="L692" s="198"/>
      <c r="M692" s="198"/>
      <c r="N692" s="198"/>
      <c r="O692" s="198">
        <v>141.53</v>
      </c>
      <c r="P692" s="198"/>
      <c r="Q692" s="198" t="s">
        <v>329</v>
      </c>
      <c r="R692" s="230">
        <f>DATABASE_Table[[#This Row],[Inicial Asking Price (€) (Total)]]-DATABASE_Table[[#This Row],[Vista membership]]-DATABASE_Table[[#This Row],[FF&amp;E]]</f>
        <v>1457700</v>
      </c>
      <c r="S692" s="231">
        <v>1528850</v>
      </c>
      <c r="T692" s="232">
        <v>1600000</v>
      </c>
      <c r="U692" s="198">
        <v>24600</v>
      </c>
      <c r="V692" s="198">
        <v>46550</v>
      </c>
      <c r="W692" s="233">
        <f>DATABASE_Table[[#This Row],[Current Asking price( Total)]]-DATABASE_Table[[#This Row],[Vista membership]]-DATABASE_Table[[#This Row],[FF&amp;E]]</f>
        <v>1528850</v>
      </c>
      <c r="X692" s="216"/>
      <c r="Y692" s="232">
        <v>1600000</v>
      </c>
      <c r="Z692" s="233">
        <f>DATABASE_Table[[#This Row],[Sell price (Total)]]-DATABASE_Table[[#This Row],[FF&amp;E]]-DATABASE_Table[[#This Row],[Vista membership]]</f>
        <v>1528850</v>
      </c>
      <c r="AA692" s="315"/>
      <c r="AB692" s="321"/>
      <c r="AC692" s="198" t="s">
        <v>10</v>
      </c>
      <c r="AD692" s="198" t="s">
        <v>35</v>
      </c>
      <c r="AE692" s="279" t="s">
        <v>38</v>
      </c>
      <c r="AF692" s="279" t="s">
        <v>39</v>
      </c>
      <c r="AG692" s="279" t="s">
        <v>40</v>
      </c>
      <c r="AH692" s="279" t="s">
        <v>810</v>
      </c>
      <c r="AI692" s="198" t="s">
        <v>41</v>
      </c>
      <c r="AJ692" s="274" t="s">
        <v>37</v>
      </c>
      <c r="AK692"/>
    </row>
    <row r="693" spans="1:37" ht="15.75" hidden="1" customHeight="1">
      <c r="A693" s="198" t="s">
        <v>563</v>
      </c>
      <c r="B693" s="198" t="s">
        <v>691</v>
      </c>
      <c r="C693" s="214" t="s">
        <v>398</v>
      </c>
      <c r="D693" s="198" t="s">
        <v>9</v>
      </c>
      <c r="E693" s="198" t="s">
        <v>320</v>
      </c>
      <c r="F693" s="198">
        <v>130.91999999999999</v>
      </c>
      <c r="G693" s="198"/>
      <c r="H693" s="214" t="s">
        <v>325</v>
      </c>
      <c r="I693" s="214" t="s">
        <v>325</v>
      </c>
      <c r="J693" s="271"/>
      <c r="K693" s="198"/>
      <c r="L693" s="198"/>
      <c r="M693" s="198"/>
      <c r="N693" s="198"/>
      <c r="O693" s="198">
        <v>130.91999999999999</v>
      </c>
      <c r="P693" s="198"/>
      <c r="Q693" s="198" t="s">
        <v>327</v>
      </c>
      <c r="R693" s="230">
        <f>DATABASE_Table[[#This Row],[Inicial Asking Price (€) (Total)]]-DATABASE_Table[[#This Row],[Vista membership]]-DATABASE_Table[[#This Row],[FF&amp;E]]</f>
        <v>750000</v>
      </c>
      <c r="S693" s="231">
        <v>750000</v>
      </c>
      <c r="T693" s="232">
        <v>750000</v>
      </c>
      <c r="U693" s="198"/>
      <c r="V693" s="198"/>
      <c r="W693" s="233">
        <f>DATABASE_Table[[#This Row],[Current Asking price( Total)]]-DATABASE_Table[[#This Row],[Vista membership]]-DATABASE_Table[[#This Row],[FF&amp;E]]</f>
        <v>750000</v>
      </c>
      <c r="X693" s="216">
        <v>0</v>
      </c>
      <c r="Y693" s="232">
        <v>750000</v>
      </c>
      <c r="Z693" s="233">
        <f>DATABASE_Table[[#This Row],[Sell price (Total)]]-DATABASE_Table[[#This Row],[FF&amp;E]]-DATABASE_Table[[#This Row],[Vista membership]]</f>
        <v>750000</v>
      </c>
      <c r="AA693" s="315">
        <v>45781</v>
      </c>
      <c r="AB693" s="321"/>
      <c r="AC693" s="198" t="s">
        <v>10</v>
      </c>
      <c r="AD693" s="198" t="s">
        <v>11</v>
      </c>
      <c r="AE693" s="279" t="s">
        <v>28</v>
      </c>
      <c r="AF693" s="279" t="s">
        <v>29</v>
      </c>
      <c r="AG693" s="279" t="s">
        <v>805</v>
      </c>
      <c r="AH693" s="279" t="s">
        <v>806</v>
      </c>
      <c r="AI693" s="198" t="s">
        <v>30</v>
      </c>
      <c r="AJ693" s="274" t="s">
        <v>27</v>
      </c>
      <c r="AK693"/>
    </row>
    <row r="694" spans="1:37" ht="15.75" hidden="1" customHeight="1">
      <c r="A694" s="198" t="s">
        <v>777</v>
      </c>
      <c r="B694" s="198" t="s">
        <v>769</v>
      </c>
      <c r="C694" s="214" t="s">
        <v>853</v>
      </c>
      <c r="D694" s="198" t="s">
        <v>74</v>
      </c>
      <c r="E694" s="198" t="s">
        <v>553</v>
      </c>
      <c r="F694" s="198">
        <v>500</v>
      </c>
      <c r="G694" s="198"/>
      <c r="H694" s="214" t="s">
        <v>325</v>
      </c>
      <c r="I694" s="214" t="s">
        <v>325</v>
      </c>
      <c r="J694" s="271"/>
      <c r="K694" s="198"/>
      <c r="L694" s="198"/>
      <c r="M694" s="198"/>
      <c r="N694" s="198"/>
      <c r="O694" s="198">
        <v>500</v>
      </c>
      <c r="P694" s="198"/>
      <c r="Q694" s="198" t="s">
        <v>329</v>
      </c>
      <c r="R694" s="230">
        <f>DATABASE_Table[[#This Row],[Inicial Asking Price (€) (Total)]]-DATABASE_Table[[#This Row],[Vista membership]]-DATABASE_Table[[#This Row],[FF&amp;E]]</f>
        <v>1065000</v>
      </c>
      <c r="S694" s="234">
        <v>1065000</v>
      </c>
      <c r="T694" s="235">
        <v>910000</v>
      </c>
      <c r="U694" s="198"/>
      <c r="V694" s="198"/>
      <c r="W694" s="233">
        <f>DATABASE_Table[[#This Row],[Current Asking price( Total)]]-DATABASE_Table[[#This Row],[Vista membership]]-DATABASE_Table[[#This Row],[FF&amp;E]]</f>
        <v>910000</v>
      </c>
      <c r="X694" s="236"/>
      <c r="Y694" s="235"/>
      <c r="Z694" s="233">
        <f>DATABASE_Table[[#This Row],[Sell price (Total)]]-DATABASE_Table[[#This Row],[FF&amp;E]]-DATABASE_Table[[#This Row],[Vista membership]]</f>
        <v>0</v>
      </c>
      <c r="AA694" s="315"/>
      <c r="AB694" s="321" t="s">
        <v>32</v>
      </c>
      <c r="AC694" s="198" t="s">
        <v>57</v>
      </c>
      <c r="AD694" s="198"/>
      <c r="AE694" s="279" t="s">
        <v>75</v>
      </c>
      <c r="AF694" s="279" t="s">
        <v>554</v>
      </c>
      <c r="AG694" s="279" t="s">
        <v>76</v>
      </c>
      <c r="AH694" s="279" t="s">
        <v>77</v>
      </c>
      <c r="AI694" s="198" t="s">
        <v>32</v>
      </c>
      <c r="AJ694" s="274" t="s">
        <v>73</v>
      </c>
      <c r="AK694"/>
    </row>
    <row r="695" spans="1:37" ht="15.75" hidden="1" customHeight="1">
      <c r="A695" s="198" t="s">
        <v>564</v>
      </c>
      <c r="B695" s="198" t="s">
        <v>691</v>
      </c>
      <c r="C695" s="214" t="s">
        <v>398</v>
      </c>
      <c r="D695" s="198" t="s">
        <v>9</v>
      </c>
      <c r="E695" s="198" t="s">
        <v>319</v>
      </c>
      <c r="F695" s="198">
        <v>259.44</v>
      </c>
      <c r="G695" s="198"/>
      <c r="H695" s="214" t="s">
        <v>325</v>
      </c>
      <c r="I695" s="214" t="s">
        <v>325</v>
      </c>
      <c r="J695" s="271"/>
      <c r="K695" s="198"/>
      <c r="L695" s="198"/>
      <c r="M695" s="198">
        <v>164.51</v>
      </c>
      <c r="N695" s="198"/>
      <c r="O695" s="198">
        <v>94.93</v>
      </c>
      <c r="P695" s="198"/>
      <c r="Q695" s="198" t="s">
        <v>329</v>
      </c>
      <c r="R695" s="230">
        <f>DATABASE_Table[[#This Row],[Inicial Asking Price (€) (Total)]]-DATABASE_Table[[#This Row],[Vista membership]]-DATABASE_Table[[#This Row],[FF&amp;E]]</f>
        <v>990538.43360000011</v>
      </c>
      <c r="S695" s="231">
        <v>1065138.4336000001</v>
      </c>
      <c r="T695" s="232">
        <v>1170000</v>
      </c>
      <c r="U695" s="198">
        <v>24600</v>
      </c>
      <c r="V695" s="198">
        <v>50000</v>
      </c>
      <c r="W695" s="233">
        <f>DATABASE_Table[[#This Row],[Current Asking price( Total)]]-DATABASE_Table[[#This Row],[Vista membership]]-DATABASE_Table[[#This Row],[FF&amp;E]]</f>
        <v>1095400</v>
      </c>
      <c r="X695" s="216"/>
      <c r="Y695" s="232">
        <v>1170000</v>
      </c>
      <c r="Z695" s="233">
        <f>DATABASE_Table[[#This Row],[Sell price (Total)]]-DATABASE_Table[[#This Row],[FF&amp;E]]-DATABASE_Table[[#This Row],[Vista membership]]</f>
        <v>1095400</v>
      </c>
      <c r="AA695" s="315"/>
      <c r="AB695" s="321"/>
      <c r="AC695" s="198" t="s">
        <v>10</v>
      </c>
      <c r="AD695" s="198" t="s">
        <v>35</v>
      </c>
      <c r="AE695" s="279" t="s">
        <v>43</v>
      </c>
      <c r="AF695" s="279" t="s">
        <v>44</v>
      </c>
      <c r="AG695" s="279" t="s">
        <v>45</v>
      </c>
      <c r="AH695" s="279" t="s">
        <v>46</v>
      </c>
      <c r="AI695" s="198" t="s">
        <v>47</v>
      </c>
      <c r="AJ695" s="274" t="s">
        <v>42</v>
      </c>
      <c r="AK695"/>
    </row>
    <row r="696" spans="1:37" ht="15.75" hidden="1" customHeight="1">
      <c r="A696" s="198" t="s">
        <v>690</v>
      </c>
      <c r="B696" s="198" t="s">
        <v>691</v>
      </c>
      <c r="C696" s="214" t="s">
        <v>399</v>
      </c>
      <c r="D696" s="198" t="s">
        <v>9</v>
      </c>
      <c r="E696" s="198" t="s">
        <v>765</v>
      </c>
      <c r="F696" s="198">
        <v>278.27</v>
      </c>
      <c r="G696" s="198">
        <v>117.06</v>
      </c>
      <c r="H696" s="214" t="s">
        <v>325</v>
      </c>
      <c r="I696" s="214" t="s">
        <v>325</v>
      </c>
      <c r="J696" s="271">
        <v>25.77</v>
      </c>
      <c r="K696" s="198"/>
      <c r="L696" s="198"/>
      <c r="M696" s="198"/>
      <c r="N696" s="198"/>
      <c r="O696" s="198">
        <v>135.44</v>
      </c>
      <c r="P696" s="198"/>
      <c r="Q696" s="198" t="s">
        <v>329</v>
      </c>
      <c r="R696" s="230">
        <f>DATABASE_Table[[#This Row],[Inicial Asking Price (€) (Total)]]-DATABASE_Table[[#This Row],[Vista membership]]-DATABASE_Table[[#This Row],[FF&amp;E]]</f>
        <v>1347700</v>
      </c>
      <c r="S696" s="231">
        <v>1418850</v>
      </c>
      <c r="T696" s="232">
        <v>1490000</v>
      </c>
      <c r="U696" s="198">
        <v>24600</v>
      </c>
      <c r="V696" s="198">
        <v>46550</v>
      </c>
      <c r="W696" s="233">
        <f>DATABASE_Table[[#This Row],[Current Asking price( Total)]]-DATABASE_Table[[#This Row],[Vista membership]]-DATABASE_Table[[#This Row],[FF&amp;E]]</f>
        <v>1418850</v>
      </c>
      <c r="X696" s="216"/>
      <c r="Y696" s="232">
        <v>1490000</v>
      </c>
      <c r="Z696" s="233">
        <f>DATABASE_Table[[#This Row],[Sell price (Total)]]-DATABASE_Table[[#This Row],[FF&amp;E]]-DATABASE_Table[[#This Row],[Vista membership]]</f>
        <v>1418850</v>
      </c>
      <c r="AA696" s="315"/>
      <c r="AB696" s="321"/>
      <c r="AC696" s="198" t="s">
        <v>10</v>
      </c>
      <c r="AD696" s="198" t="s">
        <v>35</v>
      </c>
      <c r="AE696" s="279" t="s">
        <v>38</v>
      </c>
      <c r="AF696" s="279" t="s">
        <v>39</v>
      </c>
      <c r="AG696" s="279" t="s">
        <v>40</v>
      </c>
      <c r="AH696" s="279" t="s">
        <v>810</v>
      </c>
      <c r="AI696" s="198" t="s">
        <v>41</v>
      </c>
      <c r="AJ696" s="274" t="s">
        <v>37</v>
      </c>
      <c r="AK696"/>
    </row>
    <row r="697" spans="1:37" ht="15.75" hidden="1" customHeight="1">
      <c r="A697" s="198" t="s">
        <v>563</v>
      </c>
      <c r="B697" s="198" t="s">
        <v>691</v>
      </c>
      <c r="C697" s="214" t="s">
        <v>399</v>
      </c>
      <c r="D697" s="198" t="s">
        <v>9</v>
      </c>
      <c r="E697" s="198" t="s">
        <v>321</v>
      </c>
      <c r="F697" s="198">
        <v>157.13999999999999</v>
      </c>
      <c r="G697" s="198"/>
      <c r="H697" s="214" t="s">
        <v>325</v>
      </c>
      <c r="I697" s="214" t="s">
        <v>325</v>
      </c>
      <c r="J697" s="271"/>
      <c r="K697" s="198"/>
      <c r="L697" s="198"/>
      <c r="M697" s="198"/>
      <c r="N697" s="198"/>
      <c r="O697" s="198">
        <v>157.13999999999999</v>
      </c>
      <c r="P697" s="198"/>
      <c r="Q697" s="198" t="s">
        <v>329</v>
      </c>
      <c r="R697" s="230">
        <f>DATABASE_Table[[#This Row],[Inicial Asking Price (€) (Total)]]-DATABASE_Table[[#This Row],[Vista membership]]-DATABASE_Table[[#This Row],[FF&amp;E]]</f>
        <v>925000</v>
      </c>
      <c r="S697" s="231">
        <v>925000</v>
      </c>
      <c r="T697" s="232">
        <v>925000</v>
      </c>
      <c r="U697" s="198"/>
      <c r="V697" s="198"/>
      <c r="W697" s="233">
        <f>DATABASE_Table[[#This Row],[Current Asking price( Total)]]-DATABASE_Table[[#This Row],[Vista membership]]-DATABASE_Table[[#This Row],[FF&amp;E]]</f>
        <v>925000</v>
      </c>
      <c r="X697" s="216"/>
      <c r="Y697" s="232">
        <v>925000</v>
      </c>
      <c r="Z697" s="233">
        <f>DATABASE_Table[[#This Row],[Sell price (Total)]]-DATABASE_Table[[#This Row],[FF&amp;E]]-DATABASE_Table[[#This Row],[Vista membership]]</f>
        <v>925000</v>
      </c>
      <c r="AA697" s="315"/>
      <c r="AB697" s="321"/>
      <c r="AC697" s="198" t="s">
        <v>10</v>
      </c>
      <c r="AD697" s="198" t="s">
        <v>11</v>
      </c>
      <c r="AE697" s="279" t="s">
        <v>28</v>
      </c>
      <c r="AF697" s="279" t="s">
        <v>29</v>
      </c>
      <c r="AG697" s="279" t="s">
        <v>805</v>
      </c>
      <c r="AH697" s="279" t="s">
        <v>806</v>
      </c>
      <c r="AI697" s="198" t="s">
        <v>30</v>
      </c>
      <c r="AJ697" s="274" t="s">
        <v>27</v>
      </c>
      <c r="AK697"/>
    </row>
    <row r="698" spans="1:37" ht="15.75" hidden="1" customHeight="1">
      <c r="A698" s="198" t="s">
        <v>776</v>
      </c>
      <c r="B698" s="198" t="s">
        <v>769</v>
      </c>
      <c r="C698" s="214" t="s">
        <v>888</v>
      </c>
      <c r="D698" s="198" t="s">
        <v>74</v>
      </c>
      <c r="E698" s="198" t="s">
        <v>553</v>
      </c>
      <c r="F698" s="198">
        <v>450</v>
      </c>
      <c r="G698" s="198"/>
      <c r="H698" s="214" t="s">
        <v>325</v>
      </c>
      <c r="I698" s="214" t="s">
        <v>325</v>
      </c>
      <c r="J698" s="271"/>
      <c r="K698" s="198"/>
      <c r="L698" s="198"/>
      <c r="M698" s="198"/>
      <c r="N698" s="198"/>
      <c r="O698" s="198">
        <v>450</v>
      </c>
      <c r="P698" s="198"/>
      <c r="Q698" s="198" t="s">
        <v>329</v>
      </c>
      <c r="R698" s="230">
        <f>DATABASE_Table[[#This Row],[Inicial Asking Price (€) (Total)]]-DATABASE_Table[[#This Row],[Vista membership]]-DATABASE_Table[[#This Row],[FF&amp;E]]</f>
        <v>1070000</v>
      </c>
      <c r="S698" s="234">
        <v>1070000</v>
      </c>
      <c r="T698" s="235">
        <v>960000</v>
      </c>
      <c r="U698" s="198"/>
      <c r="V698" s="198"/>
      <c r="W698" s="233">
        <f>DATABASE_Table[[#This Row],[Current Asking price( Total)]]-DATABASE_Table[[#This Row],[Vista membership]]-DATABASE_Table[[#This Row],[FF&amp;E]]</f>
        <v>960000</v>
      </c>
      <c r="X698" s="236"/>
      <c r="Y698" s="235"/>
      <c r="Z698" s="233">
        <f>DATABASE_Table[[#This Row],[Sell price (Total)]]-DATABASE_Table[[#This Row],[FF&amp;E]]-DATABASE_Table[[#This Row],[Vista membership]]</f>
        <v>0</v>
      </c>
      <c r="AA698" s="315"/>
      <c r="AB698" s="321" t="s">
        <v>32</v>
      </c>
      <c r="AC698" s="198" t="s">
        <v>57</v>
      </c>
      <c r="AD698" s="198"/>
      <c r="AE698" s="279" t="s">
        <v>75</v>
      </c>
      <c r="AF698" s="279" t="s">
        <v>554</v>
      </c>
      <c r="AG698" s="279" t="s">
        <v>76</v>
      </c>
      <c r="AH698" s="279" t="s">
        <v>77</v>
      </c>
      <c r="AI698" s="198" t="s">
        <v>32</v>
      </c>
      <c r="AJ698" s="274" t="s">
        <v>73</v>
      </c>
      <c r="AK698"/>
    </row>
    <row r="699" spans="1:37" ht="15.75" hidden="1" customHeight="1">
      <c r="A699" s="198" t="s">
        <v>564</v>
      </c>
      <c r="B699" s="198" t="s">
        <v>691</v>
      </c>
      <c r="C699" s="214" t="s">
        <v>399</v>
      </c>
      <c r="D699" s="198" t="s">
        <v>9</v>
      </c>
      <c r="E699" s="198" t="s">
        <v>319</v>
      </c>
      <c r="F699" s="198">
        <v>274.99</v>
      </c>
      <c r="G699" s="198"/>
      <c r="H699" s="214" t="s">
        <v>325</v>
      </c>
      <c r="I699" s="214" t="s">
        <v>325</v>
      </c>
      <c r="J699" s="271"/>
      <c r="K699" s="198"/>
      <c r="L699" s="198"/>
      <c r="M699" s="198">
        <v>180.36</v>
      </c>
      <c r="N699" s="198"/>
      <c r="O699" s="198">
        <v>94.63</v>
      </c>
      <c r="P699" s="198"/>
      <c r="Q699" s="198" t="s">
        <v>329</v>
      </c>
      <c r="R699" s="230">
        <f>DATABASE_Table[[#This Row],[Inicial Asking Price (€) (Total)]]-DATABASE_Table[[#This Row],[Vista membership]]-DATABASE_Table[[#This Row],[FF&amp;E]]</f>
        <v>999681.57759999996</v>
      </c>
      <c r="S699" s="231">
        <v>1074281.5776</v>
      </c>
      <c r="T699" s="232">
        <v>1190000</v>
      </c>
      <c r="U699" s="198">
        <v>24600</v>
      </c>
      <c r="V699" s="198">
        <v>50000</v>
      </c>
      <c r="W699" s="233">
        <f>DATABASE_Table[[#This Row],[Current Asking price( Total)]]-DATABASE_Table[[#This Row],[Vista membership]]-DATABASE_Table[[#This Row],[FF&amp;E]]</f>
        <v>1115400</v>
      </c>
      <c r="X699" s="216"/>
      <c r="Y699" s="232">
        <v>1190000</v>
      </c>
      <c r="Z699" s="233">
        <f>DATABASE_Table[[#This Row],[Sell price (Total)]]-DATABASE_Table[[#This Row],[FF&amp;E]]-DATABASE_Table[[#This Row],[Vista membership]]</f>
        <v>1115400</v>
      </c>
      <c r="AA699" s="315"/>
      <c r="AB699" s="321"/>
      <c r="AC699" s="198" t="s">
        <v>10</v>
      </c>
      <c r="AD699" s="198" t="s">
        <v>35</v>
      </c>
      <c r="AE699" s="279" t="s">
        <v>43</v>
      </c>
      <c r="AF699" s="279" t="s">
        <v>44</v>
      </c>
      <c r="AG699" s="279" t="s">
        <v>45</v>
      </c>
      <c r="AH699" s="279" t="s">
        <v>46</v>
      </c>
      <c r="AI699" s="198" t="s">
        <v>47</v>
      </c>
      <c r="AJ699" s="274" t="s">
        <v>42</v>
      </c>
      <c r="AK699"/>
    </row>
    <row r="700" spans="1:37" ht="15.75" hidden="1" customHeight="1">
      <c r="A700" s="198" t="s">
        <v>690</v>
      </c>
      <c r="B700" s="198" t="s">
        <v>691</v>
      </c>
      <c r="C700" s="214" t="s">
        <v>400</v>
      </c>
      <c r="D700" s="198" t="s">
        <v>9</v>
      </c>
      <c r="E700" s="198" t="s">
        <v>765</v>
      </c>
      <c r="F700" s="198">
        <v>280.27</v>
      </c>
      <c r="G700" s="198">
        <v>119.06</v>
      </c>
      <c r="H700" s="214" t="s">
        <v>325</v>
      </c>
      <c r="I700" s="214" t="s">
        <v>325</v>
      </c>
      <c r="J700" s="271">
        <v>25.77</v>
      </c>
      <c r="K700" s="198"/>
      <c r="L700" s="198"/>
      <c r="M700" s="198"/>
      <c r="N700" s="198"/>
      <c r="O700" s="198">
        <v>135.44</v>
      </c>
      <c r="P700" s="198"/>
      <c r="Q700" s="198" t="s">
        <v>329</v>
      </c>
      <c r="R700" s="230">
        <f>DATABASE_Table[[#This Row],[Inicial Asking Price (€) (Total)]]-DATABASE_Table[[#This Row],[Vista membership]]-DATABASE_Table[[#This Row],[FF&amp;E]]</f>
        <v>1347700</v>
      </c>
      <c r="S700" s="231">
        <v>1418850</v>
      </c>
      <c r="T700" s="232">
        <v>1490000</v>
      </c>
      <c r="U700" s="198">
        <v>24600</v>
      </c>
      <c r="V700" s="198">
        <v>46550</v>
      </c>
      <c r="W700" s="233">
        <f>DATABASE_Table[[#This Row],[Current Asking price( Total)]]-DATABASE_Table[[#This Row],[Vista membership]]-DATABASE_Table[[#This Row],[FF&amp;E]]</f>
        <v>1418850</v>
      </c>
      <c r="X700" s="216"/>
      <c r="Y700" s="232">
        <v>1490000</v>
      </c>
      <c r="Z700" s="233">
        <f>DATABASE_Table[[#This Row],[Sell price (Total)]]-DATABASE_Table[[#This Row],[FF&amp;E]]-DATABASE_Table[[#This Row],[Vista membership]]</f>
        <v>1418850</v>
      </c>
      <c r="AA700" s="315"/>
      <c r="AB700" s="321"/>
      <c r="AC700" s="198" t="s">
        <v>10</v>
      </c>
      <c r="AD700" s="198" t="s">
        <v>35</v>
      </c>
      <c r="AE700" s="279" t="s">
        <v>38</v>
      </c>
      <c r="AF700" s="279" t="s">
        <v>39</v>
      </c>
      <c r="AG700" s="279" t="s">
        <v>40</v>
      </c>
      <c r="AH700" s="279" t="s">
        <v>810</v>
      </c>
      <c r="AI700" s="198" t="s">
        <v>41</v>
      </c>
      <c r="AJ700" s="274" t="s">
        <v>37</v>
      </c>
      <c r="AK700"/>
    </row>
    <row r="701" spans="1:37" ht="15.75" hidden="1" customHeight="1">
      <c r="A701" s="198" t="s">
        <v>563</v>
      </c>
      <c r="B701" s="198" t="s">
        <v>691</v>
      </c>
      <c r="C701" s="214" t="s">
        <v>400</v>
      </c>
      <c r="D701" s="198" t="s">
        <v>9</v>
      </c>
      <c r="E701" s="198" t="s">
        <v>320</v>
      </c>
      <c r="F701" s="198">
        <v>130.91999999999999</v>
      </c>
      <c r="G701" s="198"/>
      <c r="H701" s="214" t="s">
        <v>325</v>
      </c>
      <c r="I701" s="214" t="s">
        <v>325</v>
      </c>
      <c r="J701" s="271"/>
      <c r="K701" s="198"/>
      <c r="L701" s="198"/>
      <c r="M701" s="198"/>
      <c r="N701" s="198"/>
      <c r="O701" s="198">
        <v>130.91999999999999</v>
      </c>
      <c r="P701" s="198"/>
      <c r="Q701" s="198" t="s">
        <v>329</v>
      </c>
      <c r="R701" s="230">
        <f>DATABASE_Table[[#This Row],[Inicial Asking Price (€) (Total)]]-DATABASE_Table[[#This Row],[Vista membership]]-DATABASE_Table[[#This Row],[FF&amp;E]]</f>
        <v>700000</v>
      </c>
      <c r="S701" s="231">
        <v>700000</v>
      </c>
      <c r="T701" s="232">
        <v>710000</v>
      </c>
      <c r="U701" s="198"/>
      <c r="V701" s="198"/>
      <c r="W701" s="233">
        <f>DATABASE_Table[[#This Row],[Current Asking price( Total)]]-DATABASE_Table[[#This Row],[Vista membership]]-DATABASE_Table[[#This Row],[FF&amp;E]]</f>
        <v>710000</v>
      </c>
      <c r="X701" s="216"/>
      <c r="Y701" s="232">
        <v>710000</v>
      </c>
      <c r="Z701" s="233">
        <f>DATABASE_Table[[#This Row],[Sell price (Total)]]-DATABASE_Table[[#This Row],[FF&amp;E]]-DATABASE_Table[[#This Row],[Vista membership]]</f>
        <v>710000</v>
      </c>
      <c r="AA701" s="315"/>
      <c r="AB701" s="321"/>
      <c r="AC701" s="198" t="s">
        <v>10</v>
      </c>
      <c r="AD701" s="198" t="s">
        <v>11</v>
      </c>
      <c r="AE701" s="279" t="s">
        <v>28</v>
      </c>
      <c r="AF701" s="279" t="s">
        <v>29</v>
      </c>
      <c r="AG701" s="279" t="s">
        <v>805</v>
      </c>
      <c r="AH701" s="279" t="s">
        <v>806</v>
      </c>
      <c r="AI701" s="198" t="s">
        <v>30</v>
      </c>
      <c r="AJ701" s="274" t="s">
        <v>27</v>
      </c>
      <c r="AK701"/>
    </row>
    <row r="702" spans="1:37" ht="15.75" hidden="1" customHeight="1">
      <c r="A702" s="198" t="s">
        <v>779</v>
      </c>
      <c r="B702" s="198" t="s">
        <v>786</v>
      </c>
      <c r="C702" s="214" t="s">
        <v>160</v>
      </c>
      <c r="D702" s="198" t="s">
        <v>79</v>
      </c>
      <c r="E702" s="198" t="s">
        <v>316</v>
      </c>
      <c r="F702" s="198">
        <v>65</v>
      </c>
      <c r="G702" s="198"/>
      <c r="H702" s="214" t="s">
        <v>848</v>
      </c>
      <c r="I702" s="214" t="s">
        <v>325</v>
      </c>
      <c r="J702" s="271">
        <v>8.6999999999999993</v>
      </c>
      <c r="K702" s="198"/>
      <c r="L702" s="198"/>
      <c r="M702" s="198"/>
      <c r="N702" s="198"/>
      <c r="O702" s="198">
        <v>56.3</v>
      </c>
      <c r="P702" s="198"/>
      <c r="Q702" s="198" t="s">
        <v>628</v>
      </c>
      <c r="R702" s="230">
        <f>DATABASE_Table[[#This Row],[Inicial Asking Price (€) (Total)]]-DATABASE_Table[[#This Row],[Vista membership]]-DATABASE_Table[[#This Row],[FF&amp;E]]</f>
        <v>415000</v>
      </c>
      <c r="S702" s="234">
        <v>450000</v>
      </c>
      <c r="T702" s="235">
        <v>450000</v>
      </c>
      <c r="U702" s="198"/>
      <c r="V702" s="235">
        <v>35000</v>
      </c>
      <c r="W702" s="233">
        <f>DATABASE_Table[[#This Row],[Current Asking price( Total)]]-DATABASE_Table[[#This Row],[Vista membership]]-DATABASE_Table[[#This Row],[FF&amp;E]]</f>
        <v>415000</v>
      </c>
      <c r="X702" s="236">
        <v>0</v>
      </c>
      <c r="Y702" s="235">
        <v>450000</v>
      </c>
      <c r="Z702" s="233">
        <f>DATABASE_Table[[#This Row],[Sell price (Total)]]-DATABASE_Table[[#This Row],[FF&amp;E]]-DATABASE_Table[[#This Row],[Vista membership]]</f>
        <v>415000</v>
      </c>
      <c r="AA702" s="316">
        <v>46142</v>
      </c>
      <c r="AB702" s="321">
        <v>47118</v>
      </c>
      <c r="AC702" s="198" t="s">
        <v>80</v>
      </c>
      <c r="AD702" s="198" t="s">
        <v>81</v>
      </c>
      <c r="AE702" s="279" t="s">
        <v>82</v>
      </c>
      <c r="AF702" s="279" t="s">
        <v>83</v>
      </c>
      <c r="AG702" s="279" t="s">
        <v>84</v>
      </c>
      <c r="AH702" s="279" t="s">
        <v>85</v>
      </c>
      <c r="AI702" s="198" t="s">
        <v>86</v>
      </c>
      <c r="AJ702" s="274" t="s">
        <v>78</v>
      </c>
      <c r="AK702"/>
    </row>
    <row r="703" spans="1:37" ht="15.75" hidden="1" customHeight="1">
      <c r="A703" s="198" t="s">
        <v>781</v>
      </c>
      <c r="B703" s="198" t="s">
        <v>786</v>
      </c>
      <c r="C703" s="214" t="s">
        <v>275</v>
      </c>
      <c r="D703" s="198" t="s">
        <v>79</v>
      </c>
      <c r="E703" s="198" t="s">
        <v>319</v>
      </c>
      <c r="F703" s="198">
        <v>194.4</v>
      </c>
      <c r="G703" s="198"/>
      <c r="H703" s="214" t="s">
        <v>848</v>
      </c>
      <c r="I703" s="214" t="s">
        <v>325</v>
      </c>
      <c r="J703" s="271"/>
      <c r="K703" s="198"/>
      <c r="L703" s="198"/>
      <c r="M703" s="198">
        <v>31</v>
      </c>
      <c r="N703" s="198">
        <v>26</v>
      </c>
      <c r="O703" s="198">
        <v>137.4</v>
      </c>
      <c r="P703" s="198"/>
      <c r="Q703" s="198" t="s">
        <v>329</v>
      </c>
      <c r="R703" s="230">
        <f>DATABASE_Table[[#This Row],[Inicial Asking Price (€) (Total)]]-DATABASE_Table[[#This Row],[Vista membership]]-DATABASE_Table[[#This Row],[FF&amp;E]]</f>
        <v>1080000</v>
      </c>
      <c r="S703" s="234">
        <v>1080000</v>
      </c>
      <c r="T703" s="235">
        <v>1140000</v>
      </c>
      <c r="U703" s="198"/>
      <c r="V703" s="235">
        <v>0</v>
      </c>
      <c r="W703" s="233">
        <f>DATABASE_Table[[#This Row],[Current Asking price( Total)]]-DATABASE_Table[[#This Row],[Vista membership]]-DATABASE_Table[[#This Row],[FF&amp;E]]</f>
        <v>1140000</v>
      </c>
      <c r="X703" s="236"/>
      <c r="Y703" s="235"/>
      <c r="Z703" s="233">
        <f>DATABASE_Table[[#This Row],[Sell price (Total)]]-DATABASE_Table[[#This Row],[FF&amp;E]]-DATABASE_Table[[#This Row],[Vista membership]]</f>
        <v>0</v>
      </c>
      <c r="AA703" s="315"/>
      <c r="AB703" s="321">
        <v>47118</v>
      </c>
      <c r="AC703" s="198" t="s">
        <v>80</v>
      </c>
      <c r="AD703" s="198" t="s">
        <v>81</v>
      </c>
      <c r="AE703" s="279" t="s">
        <v>82</v>
      </c>
      <c r="AF703" s="279" t="s">
        <v>83</v>
      </c>
      <c r="AG703" s="279" t="s">
        <v>84</v>
      </c>
      <c r="AH703" s="279" t="s">
        <v>85</v>
      </c>
      <c r="AI703" s="198" t="s">
        <v>86</v>
      </c>
      <c r="AJ703" s="274" t="s">
        <v>78</v>
      </c>
      <c r="AK703"/>
    </row>
    <row r="704" spans="1:37" ht="15.75" hidden="1" customHeight="1">
      <c r="A704" s="198" t="s">
        <v>778</v>
      </c>
      <c r="B704" s="198" t="s">
        <v>769</v>
      </c>
      <c r="C704" s="214" t="s">
        <v>847</v>
      </c>
      <c r="D704" s="198" t="s">
        <v>74</v>
      </c>
      <c r="E704" s="198" t="s">
        <v>553</v>
      </c>
      <c r="F704" s="198">
        <v>396.9</v>
      </c>
      <c r="G704" s="198"/>
      <c r="H704" s="214" t="s">
        <v>325</v>
      </c>
      <c r="I704" s="214" t="s">
        <v>325</v>
      </c>
      <c r="J704" s="271"/>
      <c r="K704" s="198"/>
      <c r="L704" s="198"/>
      <c r="M704" s="198"/>
      <c r="N704" s="198"/>
      <c r="O704" s="198">
        <v>396.9</v>
      </c>
      <c r="P704" s="198"/>
      <c r="Q704" s="198" t="s">
        <v>329</v>
      </c>
      <c r="R704" s="230">
        <f>DATABASE_Table[[#This Row],[Inicial Asking Price (€) (Total)]]-DATABASE_Table[[#This Row],[Vista membership]]-DATABASE_Table[[#This Row],[FF&amp;E]]</f>
        <v>1080000</v>
      </c>
      <c r="S704" s="234">
        <v>1080000</v>
      </c>
      <c r="T704" s="235">
        <v>900000</v>
      </c>
      <c r="U704" s="198"/>
      <c r="V704" s="198"/>
      <c r="W704" s="233">
        <f>DATABASE_Table[[#This Row],[Current Asking price( Total)]]-DATABASE_Table[[#This Row],[Vista membership]]-DATABASE_Table[[#This Row],[FF&amp;E]]</f>
        <v>900000</v>
      </c>
      <c r="X704" s="236"/>
      <c r="Y704" s="235"/>
      <c r="Z704" s="233">
        <f>DATABASE_Table[[#This Row],[Sell price (Total)]]-DATABASE_Table[[#This Row],[FF&amp;E]]-DATABASE_Table[[#This Row],[Vista membership]]</f>
        <v>0</v>
      </c>
      <c r="AA704" s="315"/>
      <c r="AB704" s="321" t="s">
        <v>32</v>
      </c>
      <c r="AC704" s="198" t="s">
        <v>57</v>
      </c>
      <c r="AD704" s="198"/>
      <c r="AE704" s="279" t="s">
        <v>75</v>
      </c>
      <c r="AF704" s="279" t="s">
        <v>554</v>
      </c>
      <c r="AG704" s="279" t="s">
        <v>76</v>
      </c>
      <c r="AH704" s="279" t="s">
        <v>77</v>
      </c>
      <c r="AI704" s="198" t="s">
        <v>32</v>
      </c>
      <c r="AJ704" s="274" t="s">
        <v>73</v>
      </c>
      <c r="AK704"/>
    </row>
    <row r="705" spans="1:37" ht="15.75" hidden="1" customHeight="1">
      <c r="A705" s="198" t="s">
        <v>778</v>
      </c>
      <c r="B705" s="198" t="s">
        <v>769</v>
      </c>
      <c r="C705" s="214" t="s">
        <v>864</v>
      </c>
      <c r="D705" s="198" t="s">
        <v>74</v>
      </c>
      <c r="E705" s="198" t="s">
        <v>553</v>
      </c>
      <c r="F705" s="198">
        <v>396.9</v>
      </c>
      <c r="G705" s="198"/>
      <c r="H705" s="214" t="s">
        <v>325</v>
      </c>
      <c r="I705" s="214" t="s">
        <v>325</v>
      </c>
      <c r="J705" s="271"/>
      <c r="K705" s="198"/>
      <c r="L705" s="198"/>
      <c r="M705" s="198"/>
      <c r="N705" s="198"/>
      <c r="O705" s="198">
        <v>396.9</v>
      </c>
      <c r="P705" s="198"/>
      <c r="Q705" s="198" t="s">
        <v>329</v>
      </c>
      <c r="R705" s="230">
        <f>DATABASE_Table[[#This Row],[Inicial Asking Price (€) (Total)]]-DATABASE_Table[[#This Row],[Vista membership]]-DATABASE_Table[[#This Row],[FF&amp;E]]</f>
        <v>1080000</v>
      </c>
      <c r="S705" s="234">
        <v>1080000</v>
      </c>
      <c r="T705" s="235">
        <v>910000</v>
      </c>
      <c r="U705" s="198"/>
      <c r="V705" s="198"/>
      <c r="W705" s="233">
        <f>DATABASE_Table[[#This Row],[Current Asking price( Total)]]-DATABASE_Table[[#This Row],[Vista membership]]-DATABASE_Table[[#This Row],[FF&amp;E]]</f>
        <v>910000</v>
      </c>
      <c r="X705" s="236"/>
      <c r="Y705" s="235"/>
      <c r="Z705" s="233">
        <f>DATABASE_Table[[#This Row],[Sell price (Total)]]-DATABASE_Table[[#This Row],[FF&amp;E]]-DATABASE_Table[[#This Row],[Vista membership]]</f>
        <v>0</v>
      </c>
      <c r="AA705" s="315"/>
      <c r="AB705" s="321" t="s">
        <v>32</v>
      </c>
      <c r="AC705" s="198" t="s">
        <v>57</v>
      </c>
      <c r="AD705" s="198"/>
      <c r="AE705" s="279" t="s">
        <v>75</v>
      </c>
      <c r="AF705" s="279" t="s">
        <v>554</v>
      </c>
      <c r="AG705" s="279" t="s">
        <v>76</v>
      </c>
      <c r="AH705" s="279" t="s">
        <v>77</v>
      </c>
      <c r="AI705" s="198" t="s">
        <v>32</v>
      </c>
      <c r="AJ705" s="274" t="s">
        <v>73</v>
      </c>
      <c r="AK705"/>
    </row>
    <row r="706" spans="1:37" ht="15.75" hidden="1" customHeight="1">
      <c r="A706" s="198" t="s">
        <v>778</v>
      </c>
      <c r="B706" s="198" t="s">
        <v>769</v>
      </c>
      <c r="C706" s="214" t="s">
        <v>865</v>
      </c>
      <c r="D706" s="198" t="s">
        <v>74</v>
      </c>
      <c r="E706" s="198" t="s">
        <v>553</v>
      </c>
      <c r="F706" s="198">
        <v>396.9</v>
      </c>
      <c r="G706" s="198"/>
      <c r="H706" s="214" t="s">
        <v>325</v>
      </c>
      <c r="I706" s="214" t="s">
        <v>325</v>
      </c>
      <c r="J706" s="271"/>
      <c r="K706" s="198"/>
      <c r="L706" s="198"/>
      <c r="M706" s="198"/>
      <c r="N706" s="198"/>
      <c r="O706" s="198">
        <v>396.9</v>
      </c>
      <c r="P706" s="198"/>
      <c r="Q706" s="198" t="s">
        <v>329</v>
      </c>
      <c r="R706" s="230">
        <f>DATABASE_Table[[#This Row],[Inicial Asking Price (€) (Total)]]-DATABASE_Table[[#This Row],[Vista membership]]-DATABASE_Table[[#This Row],[FF&amp;E]]</f>
        <v>1080000</v>
      </c>
      <c r="S706" s="234">
        <v>1080000</v>
      </c>
      <c r="T706" s="235">
        <v>900000</v>
      </c>
      <c r="U706" s="198"/>
      <c r="V706" s="198"/>
      <c r="W706" s="233">
        <f>DATABASE_Table[[#This Row],[Current Asking price( Total)]]-DATABASE_Table[[#This Row],[Vista membership]]-DATABASE_Table[[#This Row],[FF&amp;E]]</f>
        <v>900000</v>
      </c>
      <c r="X706" s="236"/>
      <c r="Y706" s="235"/>
      <c r="Z706" s="233">
        <f>DATABASE_Table[[#This Row],[Sell price (Total)]]-DATABASE_Table[[#This Row],[FF&amp;E]]-DATABASE_Table[[#This Row],[Vista membership]]</f>
        <v>0</v>
      </c>
      <c r="AA706" s="315"/>
      <c r="AB706" s="321" t="s">
        <v>32</v>
      </c>
      <c r="AC706" s="198" t="s">
        <v>57</v>
      </c>
      <c r="AD706" s="198"/>
      <c r="AE706" s="279" t="s">
        <v>75</v>
      </c>
      <c r="AF706" s="279" t="s">
        <v>554</v>
      </c>
      <c r="AG706" s="279" t="s">
        <v>76</v>
      </c>
      <c r="AH706" s="279" t="s">
        <v>77</v>
      </c>
      <c r="AI706" s="198" t="s">
        <v>32</v>
      </c>
      <c r="AJ706" s="274" t="s">
        <v>73</v>
      </c>
      <c r="AK706"/>
    </row>
    <row r="707" spans="1:37" ht="15.75" hidden="1" customHeight="1">
      <c r="A707" s="198" t="s">
        <v>778</v>
      </c>
      <c r="B707" s="198" t="s">
        <v>769</v>
      </c>
      <c r="C707" s="214" t="s">
        <v>866</v>
      </c>
      <c r="D707" s="198" t="s">
        <v>74</v>
      </c>
      <c r="E707" s="198" t="s">
        <v>553</v>
      </c>
      <c r="F707" s="198">
        <v>396.9</v>
      </c>
      <c r="G707" s="198"/>
      <c r="H707" s="214" t="s">
        <v>325</v>
      </c>
      <c r="I707" s="214" t="s">
        <v>325</v>
      </c>
      <c r="J707" s="271"/>
      <c r="K707" s="198"/>
      <c r="L707" s="198"/>
      <c r="M707" s="198"/>
      <c r="N707" s="198"/>
      <c r="O707" s="198">
        <v>396.9</v>
      </c>
      <c r="P707" s="198"/>
      <c r="Q707" s="198" t="s">
        <v>329</v>
      </c>
      <c r="R707" s="230">
        <f>DATABASE_Table[[#This Row],[Inicial Asking Price (€) (Total)]]-DATABASE_Table[[#This Row],[Vista membership]]-DATABASE_Table[[#This Row],[FF&amp;E]]</f>
        <v>1080000</v>
      </c>
      <c r="S707" s="234">
        <v>1080000</v>
      </c>
      <c r="T707" s="235">
        <v>870000</v>
      </c>
      <c r="U707" s="198"/>
      <c r="V707" s="198"/>
      <c r="W707" s="233">
        <f>DATABASE_Table[[#This Row],[Current Asking price( Total)]]-DATABASE_Table[[#This Row],[Vista membership]]-DATABASE_Table[[#This Row],[FF&amp;E]]</f>
        <v>870000</v>
      </c>
      <c r="X707" s="236"/>
      <c r="Y707" s="235"/>
      <c r="Z707" s="233">
        <f>DATABASE_Table[[#This Row],[Sell price (Total)]]-DATABASE_Table[[#This Row],[FF&amp;E]]-DATABASE_Table[[#This Row],[Vista membership]]</f>
        <v>0</v>
      </c>
      <c r="AA707" s="315"/>
      <c r="AB707" s="321" t="s">
        <v>32</v>
      </c>
      <c r="AC707" s="198" t="s">
        <v>57</v>
      </c>
      <c r="AD707" s="198"/>
      <c r="AE707" s="279" t="s">
        <v>75</v>
      </c>
      <c r="AF707" s="279" t="s">
        <v>554</v>
      </c>
      <c r="AG707" s="279" t="s">
        <v>76</v>
      </c>
      <c r="AH707" s="279" t="s">
        <v>77</v>
      </c>
      <c r="AI707" s="198" t="s">
        <v>32</v>
      </c>
      <c r="AJ707" s="274" t="s">
        <v>73</v>
      </c>
      <c r="AK707"/>
    </row>
    <row r="708" spans="1:37" ht="15.75" hidden="1" customHeight="1">
      <c r="A708" s="198" t="s">
        <v>778</v>
      </c>
      <c r="B708" s="198" t="s">
        <v>769</v>
      </c>
      <c r="C708" s="214" t="s">
        <v>890</v>
      </c>
      <c r="D708" s="198" t="s">
        <v>74</v>
      </c>
      <c r="E708" s="198" t="s">
        <v>553</v>
      </c>
      <c r="F708" s="198">
        <v>396.9</v>
      </c>
      <c r="G708" s="198"/>
      <c r="H708" s="214" t="s">
        <v>325</v>
      </c>
      <c r="I708" s="214" t="s">
        <v>325</v>
      </c>
      <c r="J708" s="271"/>
      <c r="K708" s="198"/>
      <c r="L708" s="198"/>
      <c r="M708" s="198"/>
      <c r="N708" s="198"/>
      <c r="O708" s="198">
        <v>396.9</v>
      </c>
      <c r="P708" s="198"/>
      <c r="Q708" s="198" t="s">
        <v>329</v>
      </c>
      <c r="R708" s="230">
        <f>DATABASE_Table[[#This Row],[Inicial Asking Price (€) (Total)]]-DATABASE_Table[[#This Row],[Vista membership]]-DATABASE_Table[[#This Row],[FF&amp;E]]</f>
        <v>1080000</v>
      </c>
      <c r="S708" s="234">
        <v>1080000</v>
      </c>
      <c r="T708" s="235">
        <v>870000</v>
      </c>
      <c r="U708" s="198"/>
      <c r="V708" s="198"/>
      <c r="W708" s="233">
        <f>DATABASE_Table[[#This Row],[Current Asking price( Total)]]-DATABASE_Table[[#This Row],[Vista membership]]-DATABASE_Table[[#This Row],[FF&amp;E]]</f>
        <v>870000</v>
      </c>
      <c r="X708" s="236"/>
      <c r="Y708" s="235"/>
      <c r="Z708" s="233">
        <f>DATABASE_Table[[#This Row],[Sell price (Total)]]-DATABASE_Table[[#This Row],[FF&amp;E]]-DATABASE_Table[[#This Row],[Vista membership]]</f>
        <v>0</v>
      </c>
      <c r="AA708" s="315"/>
      <c r="AB708" s="321" t="s">
        <v>32</v>
      </c>
      <c r="AC708" s="198" t="s">
        <v>57</v>
      </c>
      <c r="AD708" s="198"/>
      <c r="AE708" s="279" t="s">
        <v>75</v>
      </c>
      <c r="AF708" s="279" t="s">
        <v>554</v>
      </c>
      <c r="AG708" s="279" t="s">
        <v>76</v>
      </c>
      <c r="AH708" s="279" t="s">
        <v>77</v>
      </c>
      <c r="AI708" s="198" t="s">
        <v>32</v>
      </c>
      <c r="AJ708" s="274" t="s">
        <v>73</v>
      </c>
      <c r="AK708"/>
    </row>
    <row r="709" spans="1:37" ht="15.75" hidden="1" customHeight="1">
      <c r="A709" s="198" t="s">
        <v>778</v>
      </c>
      <c r="B709" s="198" t="s">
        <v>769</v>
      </c>
      <c r="C709" s="214" t="s">
        <v>888</v>
      </c>
      <c r="D709" s="198" t="s">
        <v>74</v>
      </c>
      <c r="E709" s="198" t="s">
        <v>553</v>
      </c>
      <c r="F709" s="198">
        <v>373.55</v>
      </c>
      <c r="G709" s="198"/>
      <c r="H709" s="214" t="s">
        <v>325</v>
      </c>
      <c r="I709" s="214" t="s">
        <v>325</v>
      </c>
      <c r="J709" s="271"/>
      <c r="K709" s="198"/>
      <c r="L709" s="198"/>
      <c r="M709" s="198"/>
      <c r="N709" s="198"/>
      <c r="O709" s="198">
        <v>373.55</v>
      </c>
      <c r="P709" s="198"/>
      <c r="Q709" s="198" t="s">
        <v>329</v>
      </c>
      <c r="R709" s="230">
        <f>DATABASE_Table[[#This Row],[Inicial Asking Price (€) (Total)]]-DATABASE_Table[[#This Row],[Vista membership]]-DATABASE_Table[[#This Row],[FF&amp;E]]</f>
        <v>1080000</v>
      </c>
      <c r="S709" s="234">
        <v>1080000</v>
      </c>
      <c r="T709" s="235">
        <v>810000</v>
      </c>
      <c r="U709" s="198"/>
      <c r="V709" s="198"/>
      <c r="W709" s="233">
        <f>DATABASE_Table[[#This Row],[Current Asking price( Total)]]-DATABASE_Table[[#This Row],[Vista membership]]-DATABASE_Table[[#This Row],[FF&amp;E]]</f>
        <v>810000</v>
      </c>
      <c r="X709" s="236"/>
      <c r="Y709" s="235"/>
      <c r="Z709" s="233">
        <f>DATABASE_Table[[#This Row],[Sell price (Total)]]-DATABASE_Table[[#This Row],[FF&amp;E]]-DATABASE_Table[[#This Row],[Vista membership]]</f>
        <v>0</v>
      </c>
      <c r="AA709" s="315"/>
      <c r="AB709" s="321" t="s">
        <v>32</v>
      </c>
      <c r="AC709" s="198" t="s">
        <v>57</v>
      </c>
      <c r="AD709" s="198"/>
      <c r="AE709" s="279" t="s">
        <v>75</v>
      </c>
      <c r="AF709" s="279" t="s">
        <v>554</v>
      </c>
      <c r="AG709" s="279" t="s">
        <v>76</v>
      </c>
      <c r="AH709" s="279" t="s">
        <v>77</v>
      </c>
      <c r="AI709" s="198" t="s">
        <v>32</v>
      </c>
      <c r="AJ709" s="274" t="s">
        <v>73</v>
      </c>
      <c r="AK709"/>
    </row>
    <row r="710" spans="1:37" ht="15.75" hidden="1" customHeight="1">
      <c r="A710" s="198" t="s">
        <v>690</v>
      </c>
      <c r="B710" s="198" t="s">
        <v>691</v>
      </c>
      <c r="C710" s="214" t="s">
        <v>401</v>
      </c>
      <c r="D710" s="198" t="s">
        <v>9</v>
      </c>
      <c r="E710" s="198" t="s">
        <v>765</v>
      </c>
      <c r="F710" s="198">
        <v>280.27</v>
      </c>
      <c r="G710" s="198">
        <v>119.06</v>
      </c>
      <c r="H710" s="214" t="s">
        <v>325</v>
      </c>
      <c r="I710" s="214" t="s">
        <v>325</v>
      </c>
      <c r="J710" s="271">
        <v>25.77</v>
      </c>
      <c r="K710" s="198"/>
      <c r="L710" s="198"/>
      <c r="M710" s="198"/>
      <c r="N710" s="198"/>
      <c r="O710" s="198">
        <v>135.44</v>
      </c>
      <c r="P710" s="198"/>
      <c r="Q710" s="198" t="s">
        <v>329</v>
      </c>
      <c r="R710" s="230">
        <f>DATABASE_Table[[#This Row],[Inicial Asking Price (€) (Total)]]-DATABASE_Table[[#This Row],[Vista membership]]-DATABASE_Table[[#This Row],[FF&amp;E]]</f>
        <v>1337700</v>
      </c>
      <c r="S710" s="231">
        <v>1408850</v>
      </c>
      <c r="T710" s="232">
        <v>1480000</v>
      </c>
      <c r="U710" s="198">
        <v>24600</v>
      </c>
      <c r="V710" s="198">
        <v>46550</v>
      </c>
      <c r="W710" s="233">
        <f>DATABASE_Table[[#This Row],[Current Asking price( Total)]]-DATABASE_Table[[#This Row],[Vista membership]]-DATABASE_Table[[#This Row],[FF&amp;E]]</f>
        <v>1408850</v>
      </c>
      <c r="X710" s="216"/>
      <c r="Y710" s="232">
        <v>1480000</v>
      </c>
      <c r="Z710" s="233">
        <f>DATABASE_Table[[#This Row],[Sell price (Total)]]-DATABASE_Table[[#This Row],[FF&amp;E]]-DATABASE_Table[[#This Row],[Vista membership]]</f>
        <v>1408850</v>
      </c>
      <c r="AA710" s="315"/>
      <c r="AB710" s="321"/>
      <c r="AC710" s="198" t="s">
        <v>10</v>
      </c>
      <c r="AD710" s="198" t="s">
        <v>35</v>
      </c>
      <c r="AE710" s="279" t="s">
        <v>38</v>
      </c>
      <c r="AF710" s="279" t="s">
        <v>39</v>
      </c>
      <c r="AG710" s="279" t="s">
        <v>40</v>
      </c>
      <c r="AH710" s="279" t="s">
        <v>810</v>
      </c>
      <c r="AI710" s="198" t="s">
        <v>41</v>
      </c>
      <c r="AJ710" s="274" t="s">
        <v>37</v>
      </c>
      <c r="AK710"/>
    </row>
    <row r="711" spans="1:37" ht="15.75" hidden="1" customHeight="1">
      <c r="A711" s="198" t="s">
        <v>563</v>
      </c>
      <c r="B711" s="198" t="s">
        <v>691</v>
      </c>
      <c r="C711" s="214" t="s">
        <v>401</v>
      </c>
      <c r="D711" s="198" t="s">
        <v>9</v>
      </c>
      <c r="E711" s="198" t="s">
        <v>320</v>
      </c>
      <c r="F711" s="198">
        <v>130.91999999999999</v>
      </c>
      <c r="G711" s="198"/>
      <c r="H711" s="214" t="s">
        <v>325</v>
      </c>
      <c r="I711" s="214" t="s">
        <v>325</v>
      </c>
      <c r="J711" s="271"/>
      <c r="K711" s="198"/>
      <c r="L711" s="198"/>
      <c r="M711" s="198"/>
      <c r="N711" s="198"/>
      <c r="O711" s="198">
        <v>130.91999999999999</v>
      </c>
      <c r="P711" s="198"/>
      <c r="Q711" s="198" t="s">
        <v>628</v>
      </c>
      <c r="R711" s="230">
        <f>DATABASE_Table[[#This Row],[Inicial Asking Price (€) (Total)]]-DATABASE_Table[[#This Row],[Vista membership]]-DATABASE_Table[[#This Row],[FF&amp;E]]</f>
        <v>675000</v>
      </c>
      <c r="S711" s="231">
        <v>675000</v>
      </c>
      <c r="T711" s="232">
        <v>675000</v>
      </c>
      <c r="U711" s="198"/>
      <c r="V711" s="198"/>
      <c r="W711" s="233">
        <f>DATABASE_Table[[#This Row],[Current Asking price( Total)]]-DATABASE_Table[[#This Row],[Vista membership]]-DATABASE_Table[[#This Row],[FF&amp;E]]</f>
        <v>675000</v>
      </c>
      <c r="X711" s="216">
        <v>0</v>
      </c>
      <c r="Y711" s="232">
        <v>675000</v>
      </c>
      <c r="Z711" s="233">
        <f>DATABASE_Table[[#This Row],[Sell price (Total)]]-DATABASE_Table[[#This Row],[FF&amp;E]]-DATABASE_Table[[#This Row],[Vista membership]]</f>
        <v>675000</v>
      </c>
      <c r="AA711" s="316">
        <v>46170</v>
      </c>
      <c r="AB711" s="321"/>
      <c r="AC711" s="198" t="s">
        <v>10</v>
      </c>
      <c r="AD711" s="198" t="s">
        <v>11</v>
      </c>
      <c r="AE711" s="279" t="s">
        <v>28</v>
      </c>
      <c r="AF711" s="279" t="s">
        <v>29</v>
      </c>
      <c r="AG711" s="279" t="s">
        <v>805</v>
      </c>
      <c r="AH711" s="279" t="s">
        <v>806</v>
      </c>
      <c r="AI711" s="198" t="s">
        <v>30</v>
      </c>
      <c r="AJ711" s="274" t="s">
        <v>27</v>
      </c>
      <c r="AK711"/>
    </row>
    <row r="712" spans="1:37" ht="15.75" hidden="1" customHeight="1">
      <c r="A712" s="198" t="s">
        <v>690</v>
      </c>
      <c r="B712" s="198" t="s">
        <v>691</v>
      </c>
      <c r="C712" s="214" t="s">
        <v>402</v>
      </c>
      <c r="D712" s="198" t="s">
        <v>9</v>
      </c>
      <c r="E712" s="198" t="s">
        <v>765</v>
      </c>
      <c r="F712" s="198">
        <v>331.16</v>
      </c>
      <c r="G712" s="198">
        <v>167.06</v>
      </c>
      <c r="H712" s="214" t="s">
        <v>325</v>
      </c>
      <c r="I712" s="214" t="s">
        <v>325</v>
      </c>
      <c r="J712" s="271">
        <v>25.77</v>
      </c>
      <c r="K712" s="198"/>
      <c r="L712" s="198"/>
      <c r="M712" s="198"/>
      <c r="N712" s="198"/>
      <c r="O712" s="198">
        <v>138.33000000000001</v>
      </c>
      <c r="P712" s="198"/>
      <c r="Q712" s="198" t="s">
        <v>329</v>
      </c>
      <c r="R712" s="230">
        <f>DATABASE_Table[[#This Row],[Inicial Asking Price (€) (Total)]]-DATABASE_Table[[#This Row],[Vista membership]]-DATABASE_Table[[#This Row],[FF&amp;E]]</f>
        <v>1477700</v>
      </c>
      <c r="S712" s="231">
        <v>1548850</v>
      </c>
      <c r="T712" s="232">
        <v>1620000</v>
      </c>
      <c r="U712" s="198">
        <v>24600</v>
      </c>
      <c r="V712" s="198">
        <v>46550</v>
      </c>
      <c r="W712" s="233">
        <f>DATABASE_Table[[#This Row],[Current Asking price( Total)]]-DATABASE_Table[[#This Row],[Vista membership]]-DATABASE_Table[[#This Row],[FF&amp;E]]</f>
        <v>1548850</v>
      </c>
      <c r="X712" s="216"/>
      <c r="Y712" s="232">
        <v>1620000</v>
      </c>
      <c r="Z712" s="233">
        <f>DATABASE_Table[[#This Row],[Sell price (Total)]]-DATABASE_Table[[#This Row],[FF&amp;E]]-DATABASE_Table[[#This Row],[Vista membership]]</f>
        <v>1548850</v>
      </c>
      <c r="AA712" s="315"/>
      <c r="AB712" s="321"/>
      <c r="AC712" s="198" t="s">
        <v>10</v>
      </c>
      <c r="AD712" s="198" t="s">
        <v>35</v>
      </c>
      <c r="AE712" s="279" t="s">
        <v>38</v>
      </c>
      <c r="AF712" s="279" t="s">
        <v>39</v>
      </c>
      <c r="AG712" s="279" t="s">
        <v>40</v>
      </c>
      <c r="AH712" s="279" t="s">
        <v>810</v>
      </c>
      <c r="AI712" s="198" t="s">
        <v>41</v>
      </c>
      <c r="AJ712" s="274" t="s">
        <v>37</v>
      </c>
      <c r="AK712"/>
    </row>
    <row r="713" spans="1:37" ht="15.75" hidden="1" customHeight="1">
      <c r="A713" s="198" t="s">
        <v>563</v>
      </c>
      <c r="B713" s="198" t="s">
        <v>691</v>
      </c>
      <c r="C713" s="214" t="s">
        <v>402</v>
      </c>
      <c r="D713" s="198" t="s">
        <v>9</v>
      </c>
      <c r="E713" s="198" t="s">
        <v>320</v>
      </c>
      <c r="F713" s="198">
        <v>130.91999999999999</v>
      </c>
      <c r="G713" s="198"/>
      <c r="H713" s="214" t="s">
        <v>325</v>
      </c>
      <c r="I713" s="214" t="s">
        <v>325</v>
      </c>
      <c r="J713" s="271"/>
      <c r="K713" s="198"/>
      <c r="L713" s="198"/>
      <c r="M713" s="198"/>
      <c r="N713" s="198"/>
      <c r="O713" s="198">
        <v>130.91999999999999</v>
      </c>
      <c r="P713" s="198"/>
      <c r="Q713" s="198" t="s">
        <v>628</v>
      </c>
      <c r="R713" s="230">
        <f>DATABASE_Table[[#This Row],[Inicial Asking Price (€) (Total)]]-DATABASE_Table[[#This Row],[Vista membership]]-DATABASE_Table[[#This Row],[FF&amp;E]]</f>
        <v>750000</v>
      </c>
      <c r="S713" s="231">
        <v>750000</v>
      </c>
      <c r="T713" s="232">
        <v>750000</v>
      </c>
      <c r="U713" s="198"/>
      <c r="V713" s="198"/>
      <c r="W713" s="233">
        <f>DATABASE_Table[[#This Row],[Current Asking price( Total)]]-DATABASE_Table[[#This Row],[Vista membership]]-DATABASE_Table[[#This Row],[FF&amp;E]]</f>
        <v>750000</v>
      </c>
      <c r="X713" s="216">
        <v>0</v>
      </c>
      <c r="Y713" s="232">
        <v>750000</v>
      </c>
      <c r="Z713" s="233">
        <f>DATABASE_Table[[#This Row],[Sell price (Total)]]-DATABASE_Table[[#This Row],[FF&amp;E]]-DATABASE_Table[[#This Row],[Vista membership]]</f>
        <v>750000</v>
      </c>
      <c r="AA713" s="316">
        <v>45950</v>
      </c>
      <c r="AB713" s="321"/>
      <c r="AC713" s="198" t="s">
        <v>10</v>
      </c>
      <c r="AD713" s="198" t="s">
        <v>11</v>
      </c>
      <c r="AE713" s="279" t="s">
        <v>28</v>
      </c>
      <c r="AF713" s="279" t="s">
        <v>29</v>
      </c>
      <c r="AG713" s="279" t="s">
        <v>805</v>
      </c>
      <c r="AH713" s="279" t="s">
        <v>806</v>
      </c>
      <c r="AI713" s="198" t="s">
        <v>30</v>
      </c>
      <c r="AJ713" s="274" t="s">
        <v>27</v>
      </c>
      <c r="AK713"/>
    </row>
    <row r="714" spans="1:37" ht="15.75" hidden="1" customHeight="1">
      <c r="A714" s="198" t="s">
        <v>690</v>
      </c>
      <c r="B714" s="198" t="s">
        <v>691</v>
      </c>
      <c r="C714" s="214" t="s">
        <v>403</v>
      </c>
      <c r="D714" s="198" t="s">
        <v>9</v>
      </c>
      <c r="E714" s="198" t="s">
        <v>765</v>
      </c>
      <c r="F714" s="198">
        <v>287.45999999999998</v>
      </c>
      <c r="G714" s="198">
        <v>121.28</v>
      </c>
      <c r="H714" s="214" t="s">
        <v>325</v>
      </c>
      <c r="I714" s="214" t="s">
        <v>325</v>
      </c>
      <c r="J714" s="271">
        <v>25.77</v>
      </c>
      <c r="K714" s="198"/>
      <c r="L714" s="198"/>
      <c r="M714" s="198"/>
      <c r="N714" s="198"/>
      <c r="O714" s="198">
        <v>140.41</v>
      </c>
      <c r="P714" s="198"/>
      <c r="Q714" s="198" t="s">
        <v>329</v>
      </c>
      <c r="R714" s="230">
        <f>DATABASE_Table[[#This Row],[Inicial Asking Price (€) (Total)]]-DATABASE_Table[[#This Row],[Vista membership]]-DATABASE_Table[[#This Row],[FF&amp;E]]</f>
        <v>1177700</v>
      </c>
      <c r="S714" s="231">
        <v>1248850</v>
      </c>
      <c r="T714" s="232">
        <v>1320000</v>
      </c>
      <c r="U714" s="198">
        <v>24600</v>
      </c>
      <c r="V714" s="198">
        <v>46550</v>
      </c>
      <c r="W714" s="233">
        <f>DATABASE_Table[[#This Row],[Current Asking price( Total)]]-DATABASE_Table[[#This Row],[Vista membership]]-DATABASE_Table[[#This Row],[FF&amp;E]]</f>
        <v>1248850</v>
      </c>
      <c r="X714" s="216"/>
      <c r="Y714" s="232">
        <v>1320000</v>
      </c>
      <c r="Z714" s="233">
        <f>DATABASE_Table[[#This Row],[Sell price (Total)]]-DATABASE_Table[[#This Row],[FF&amp;E]]-DATABASE_Table[[#This Row],[Vista membership]]</f>
        <v>1248850</v>
      </c>
      <c r="AA714" s="315"/>
      <c r="AB714" s="321"/>
      <c r="AC714" s="198" t="s">
        <v>10</v>
      </c>
      <c r="AD714" s="198" t="s">
        <v>35</v>
      </c>
      <c r="AE714" s="279" t="s">
        <v>38</v>
      </c>
      <c r="AF714" s="279" t="s">
        <v>39</v>
      </c>
      <c r="AG714" s="279" t="s">
        <v>40</v>
      </c>
      <c r="AH714" s="279" t="s">
        <v>810</v>
      </c>
      <c r="AI714" s="198" t="s">
        <v>41</v>
      </c>
      <c r="AJ714" s="274" t="s">
        <v>37</v>
      </c>
      <c r="AK714"/>
    </row>
    <row r="715" spans="1:37" ht="15.75" hidden="1" customHeight="1">
      <c r="A715" s="198" t="s">
        <v>563</v>
      </c>
      <c r="B715" s="198" t="s">
        <v>691</v>
      </c>
      <c r="C715" s="214" t="s">
        <v>403</v>
      </c>
      <c r="D715" s="198" t="s">
        <v>9</v>
      </c>
      <c r="E715" s="198" t="s">
        <v>320</v>
      </c>
      <c r="F715" s="198">
        <v>130.91999999999999</v>
      </c>
      <c r="G715" s="198"/>
      <c r="H715" s="214" t="s">
        <v>325</v>
      </c>
      <c r="I715" s="214" t="s">
        <v>325</v>
      </c>
      <c r="J715" s="271"/>
      <c r="K715" s="198"/>
      <c r="L715" s="198"/>
      <c r="M715" s="198"/>
      <c r="N715" s="198"/>
      <c r="O715" s="198">
        <v>130.91999999999999</v>
      </c>
      <c r="P715" s="198"/>
      <c r="Q715" s="198" t="s">
        <v>628</v>
      </c>
      <c r="R715" s="230">
        <f>DATABASE_Table[[#This Row],[Inicial Asking Price (€) (Total)]]-DATABASE_Table[[#This Row],[Vista membership]]-DATABASE_Table[[#This Row],[FF&amp;E]]</f>
        <v>670000</v>
      </c>
      <c r="S715" s="231">
        <v>670000</v>
      </c>
      <c r="T715" s="232">
        <v>670000</v>
      </c>
      <c r="U715" s="198"/>
      <c r="V715" s="198"/>
      <c r="W715" s="233">
        <f>DATABASE_Table[[#This Row],[Current Asking price( Total)]]-DATABASE_Table[[#This Row],[Vista membership]]-DATABASE_Table[[#This Row],[FF&amp;E]]</f>
        <v>670000</v>
      </c>
      <c r="X715" s="216">
        <v>0</v>
      </c>
      <c r="Y715" s="232">
        <v>670000</v>
      </c>
      <c r="Z715" s="233">
        <f>DATABASE_Table[[#This Row],[Sell price (Total)]]-DATABASE_Table[[#This Row],[FF&amp;E]]-DATABASE_Table[[#This Row],[Vista membership]]</f>
        <v>670000</v>
      </c>
      <c r="AA715" s="316">
        <v>46176</v>
      </c>
      <c r="AB715" s="321"/>
      <c r="AC715" s="198" t="s">
        <v>10</v>
      </c>
      <c r="AD715" s="198" t="s">
        <v>11</v>
      </c>
      <c r="AE715" s="279" t="s">
        <v>28</v>
      </c>
      <c r="AF715" s="279" t="s">
        <v>29</v>
      </c>
      <c r="AG715" s="279" t="s">
        <v>805</v>
      </c>
      <c r="AH715" s="279" t="s">
        <v>806</v>
      </c>
      <c r="AI715" s="198" t="s">
        <v>30</v>
      </c>
      <c r="AJ715" s="274" t="s">
        <v>27</v>
      </c>
      <c r="AK715"/>
    </row>
    <row r="716" spans="1:37" ht="15.75" hidden="1" customHeight="1">
      <c r="A716" s="198" t="s">
        <v>781</v>
      </c>
      <c r="B716" s="198" t="s">
        <v>786</v>
      </c>
      <c r="C716" s="214" t="s">
        <v>288</v>
      </c>
      <c r="D716" s="198" t="s">
        <v>79</v>
      </c>
      <c r="E716" s="198" t="s">
        <v>319</v>
      </c>
      <c r="F716" s="198">
        <v>195.8</v>
      </c>
      <c r="G716" s="198"/>
      <c r="H716" s="214" t="s">
        <v>848</v>
      </c>
      <c r="I716" s="214" t="s">
        <v>325</v>
      </c>
      <c r="J716" s="271"/>
      <c r="K716" s="198"/>
      <c r="L716" s="198"/>
      <c r="M716" s="198">
        <v>30</v>
      </c>
      <c r="N716" s="198">
        <v>28</v>
      </c>
      <c r="O716" s="198">
        <v>137.80000000000001</v>
      </c>
      <c r="P716" s="198"/>
      <c r="Q716" s="198" t="s">
        <v>329</v>
      </c>
      <c r="R716" s="230">
        <f>DATABASE_Table[[#This Row],[Inicial Asking Price (€) (Total)]]-DATABASE_Table[[#This Row],[Vista membership]]-DATABASE_Table[[#This Row],[FF&amp;E]]</f>
        <v>1090000</v>
      </c>
      <c r="S716" s="234">
        <v>1090000</v>
      </c>
      <c r="T716" s="235">
        <v>1150000</v>
      </c>
      <c r="U716" s="198"/>
      <c r="V716" s="235">
        <v>0</v>
      </c>
      <c r="W716" s="233">
        <f>DATABASE_Table[[#This Row],[Current Asking price( Total)]]-DATABASE_Table[[#This Row],[Vista membership]]-DATABASE_Table[[#This Row],[FF&amp;E]]</f>
        <v>1150000</v>
      </c>
      <c r="X716" s="236"/>
      <c r="Y716" s="235"/>
      <c r="Z716" s="233">
        <f>DATABASE_Table[[#This Row],[Sell price (Total)]]-DATABASE_Table[[#This Row],[FF&amp;E]]-DATABASE_Table[[#This Row],[Vista membership]]</f>
        <v>0</v>
      </c>
      <c r="AA716" s="315"/>
      <c r="AB716" s="321">
        <v>47118</v>
      </c>
      <c r="AC716" s="198" t="s">
        <v>80</v>
      </c>
      <c r="AD716" s="198" t="s">
        <v>81</v>
      </c>
      <c r="AE716" s="279" t="s">
        <v>82</v>
      </c>
      <c r="AF716" s="279" t="s">
        <v>83</v>
      </c>
      <c r="AG716" s="279" t="s">
        <v>84</v>
      </c>
      <c r="AH716" s="279" t="s">
        <v>85</v>
      </c>
      <c r="AI716" s="198" t="s">
        <v>86</v>
      </c>
      <c r="AJ716" s="274" t="s">
        <v>78</v>
      </c>
      <c r="AK716"/>
    </row>
    <row r="717" spans="1:37" ht="15.75" hidden="1" customHeight="1">
      <c r="A717" s="198" t="s">
        <v>690</v>
      </c>
      <c r="B717" s="198" t="s">
        <v>691</v>
      </c>
      <c r="C717" s="214" t="s">
        <v>404</v>
      </c>
      <c r="D717" s="198" t="s">
        <v>9</v>
      </c>
      <c r="E717" s="198" t="s">
        <v>765</v>
      </c>
      <c r="F717" s="198">
        <v>295.31</v>
      </c>
      <c r="G717" s="198">
        <v>135.54</v>
      </c>
      <c r="H717" s="214" t="s">
        <v>849</v>
      </c>
      <c r="I717" s="214" t="s">
        <v>325</v>
      </c>
      <c r="J717" s="271">
        <v>25.77</v>
      </c>
      <c r="K717" s="198"/>
      <c r="L717" s="198"/>
      <c r="M717" s="198"/>
      <c r="N717" s="198"/>
      <c r="O717" s="198">
        <v>134</v>
      </c>
      <c r="P717" s="198"/>
      <c r="Q717" s="198" t="s">
        <v>628</v>
      </c>
      <c r="R717" s="230">
        <f>DATABASE_Table[[#This Row],[Inicial Asking Price (€) (Total)]]-DATABASE_Table[[#This Row],[Vista membership]]-DATABASE_Table[[#This Row],[FF&amp;E]]</f>
        <v>1137700</v>
      </c>
      <c r="S717" s="231">
        <v>1208850</v>
      </c>
      <c r="T717" s="232">
        <v>1280000</v>
      </c>
      <c r="U717" s="198">
        <v>24600</v>
      </c>
      <c r="V717" s="198">
        <v>46550</v>
      </c>
      <c r="W717" s="233">
        <f>DATABASE_Table[[#This Row],[Current Asking price( Total)]]-DATABASE_Table[[#This Row],[Vista membership]]-DATABASE_Table[[#This Row],[FF&amp;E]]</f>
        <v>1208850</v>
      </c>
      <c r="X717" s="216">
        <v>2.34375E-2</v>
      </c>
      <c r="Y717" s="232">
        <v>1250000</v>
      </c>
      <c r="Z717" s="233">
        <f>DATABASE_Table[[#This Row],[Sell price (Total)]]-DATABASE_Table[[#This Row],[FF&amp;E]]-DATABASE_Table[[#This Row],[Vista membership]]</f>
        <v>1178850</v>
      </c>
      <c r="AA717" s="316">
        <v>46171</v>
      </c>
      <c r="AB717" s="321"/>
      <c r="AC717" s="198" t="s">
        <v>10</v>
      </c>
      <c r="AD717" s="198" t="s">
        <v>35</v>
      </c>
      <c r="AE717" s="279" t="s">
        <v>38</v>
      </c>
      <c r="AF717" s="279" t="s">
        <v>39</v>
      </c>
      <c r="AG717" s="279" t="s">
        <v>40</v>
      </c>
      <c r="AH717" s="279" t="s">
        <v>810</v>
      </c>
      <c r="AI717" s="198" t="s">
        <v>41</v>
      </c>
      <c r="AJ717" s="274" t="s">
        <v>37</v>
      </c>
      <c r="AK717"/>
    </row>
    <row r="718" spans="1:37" ht="15.75" hidden="1" customHeight="1">
      <c r="A718" s="198" t="s">
        <v>563</v>
      </c>
      <c r="B718" s="198" t="s">
        <v>691</v>
      </c>
      <c r="C718" s="214" t="s">
        <v>404</v>
      </c>
      <c r="D718" s="198" t="s">
        <v>9</v>
      </c>
      <c r="E718" s="198" t="s">
        <v>319</v>
      </c>
      <c r="F718" s="198">
        <v>104.7</v>
      </c>
      <c r="G718" s="198"/>
      <c r="H718" s="214" t="s">
        <v>325</v>
      </c>
      <c r="I718" s="214" t="s">
        <v>325</v>
      </c>
      <c r="J718" s="271"/>
      <c r="K718" s="198"/>
      <c r="L718" s="198"/>
      <c r="M718" s="198"/>
      <c r="N718" s="198"/>
      <c r="O718" s="198">
        <v>104.7</v>
      </c>
      <c r="P718" s="198"/>
      <c r="Q718" s="198" t="s">
        <v>628</v>
      </c>
      <c r="R718" s="230">
        <f>DATABASE_Table[[#This Row],[Inicial Asking Price (€) (Total)]]-DATABASE_Table[[#This Row],[Vista membership]]-DATABASE_Table[[#This Row],[FF&amp;E]]</f>
        <v>590000</v>
      </c>
      <c r="S718" s="231">
        <v>590000</v>
      </c>
      <c r="T718" s="232">
        <v>590000</v>
      </c>
      <c r="U718" s="198"/>
      <c r="V718" s="198"/>
      <c r="W718" s="233">
        <f>DATABASE_Table[[#This Row],[Current Asking price( Total)]]-DATABASE_Table[[#This Row],[Vista membership]]-DATABASE_Table[[#This Row],[FF&amp;E]]</f>
        <v>590000</v>
      </c>
      <c r="X718" s="216">
        <v>0</v>
      </c>
      <c r="Y718" s="232">
        <v>590000</v>
      </c>
      <c r="Z718" s="233">
        <f>DATABASE_Table[[#This Row],[Sell price (Total)]]-DATABASE_Table[[#This Row],[FF&amp;E]]-DATABASE_Table[[#This Row],[Vista membership]]</f>
        <v>590000</v>
      </c>
      <c r="AA718" s="316">
        <v>45960</v>
      </c>
      <c r="AB718" s="321"/>
      <c r="AC718" s="198" t="s">
        <v>10</v>
      </c>
      <c r="AD718" s="198" t="s">
        <v>11</v>
      </c>
      <c r="AE718" s="279" t="s">
        <v>28</v>
      </c>
      <c r="AF718" s="279" t="s">
        <v>29</v>
      </c>
      <c r="AG718" s="279" t="s">
        <v>805</v>
      </c>
      <c r="AH718" s="279" t="s">
        <v>806</v>
      </c>
      <c r="AI718" s="198" t="s">
        <v>30</v>
      </c>
      <c r="AJ718" s="274" t="s">
        <v>27</v>
      </c>
      <c r="AK718"/>
    </row>
    <row r="719" spans="1:37" ht="15.75" hidden="1" customHeight="1">
      <c r="A719" s="198" t="s">
        <v>784</v>
      </c>
      <c r="B719" s="198" t="s">
        <v>787</v>
      </c>
      <c r="C719" s="214" t="s">
        <v>463</v>
      </c>
      <c r="D719" s="198" t="s">
        <v>88</v>
      </c>
      <c r="E719" s="198" t="s">
        <v>462</v>
      </c>
      <c r="F719" s="198">
        <v>349.32</v>
      </c>
      <c r="G719" s="198"/>
      <c r="H719" s="214" t="s">
        <v>849</v>
      </c>
      <c r="I719" s="214" t="s">
        <v>590</v>
      </c>
      <c r="J719" s="271">
        <v>9.57</v>
      </c>
      <c r="K719" s="198">
        <v>88.24</v>
      </c>
      <c r="L719" s="198">
        <v>51.75</v>
      </c>
      <c r="M719" s="198"/>
      <c r="N719" s="198"/>
      <c r="O719" s="198">
        <v>199.76</v>
      </c>
      <c r="P719" s="198"/>
      <c r="Q719" s="198" t="s">
        <v>327</v>
      </c>
      <c r="R719" s="230">
        <f>DATABASE_Table[[#This Row],[Inicial Asking Price (€) (Total)]]-DATABASE_Table[[#This Row],[Vista membership]]-DATABASE_Table[[#This Row],[FF&amp;E]]</f>
        <v>1090000</v>
      </c>
      <c r="S719" s="234">
        <v>1090000</v>
      </c>
      <c r="T719" s="235">
        <v>1120000</v>
      </c>
      <c r="U719" s="198"/>
      <c r="V719" s="198"/>
      <c r="W719" s="233">
        <f>DATABASE_Table[[#This Row],[Current Asking price( Total)]]-DATABASE_Table[[#This Row],[Vista membership]]-DATABASE_Table[[#This Row],[FF&amp;E]]</f>
        <v>1120000</v>
      </c>
      <c r="X719" s="236">
        <v>0</v>
      </c>
      <c r="Y719" s="235">
        <v>970000</v>
      </c>
      <c r="Z719" s="233">
        <f>DATABASE_Table[[#This Row],[Sell price (Total)]]-DATABASE_Table[[#This Row],[FF&amp;E]]-DATABASE_Table[[#This Row],[Vista membership]]</f>
        <v>970000</v>
      </c>
      <c r="AA719" s="315">
        <v>46185</v>
      </c>
      <c r="AB719" s="321">
        <v>47208</v>
      </c>
      <c r="AC719" s="198" t="s">
        <v>80</v>
      </c>
      <c r="AD719" s="198" t="s">
        <v>81</v>
      </c>
      <c r="AE719" s="279" t="s">
        <v>89</v>
      </c>
      <c r="AF719" s="279" t="s">
        <v>90</v>
      </c>
      <c r="AG719" s="279" t="s">
        <v>91</v>
      </c>
      <c r="AH719" s="279" t="s">
        <v>92</v>
      </c>
      <c r="AI719" s="198" t="s">
        <v>30</v>
      </c>
      <c r="AJ719" s="274" t="s">
        <v>87</v>
      </c>
      <c r="AK719"/>
    </row>
    <row r="720" spans="1:37" ht="15.75" hidden="1" customHeight="1">
      <c r="A720" s="198" t="s">
        <v>690</v>
      </c>
      <c r="B720" s="198" t="s">
        <v>691</v>
      </c>
      <c r="C720" s="214" t="s">
        <v>405</v>
      </c>
      <c r="D720" s="198" t="s">
        <v>9</v>
      </c>
      <c r="E720" s="198" t="s">
        <v>765</v>
      </c>
      <c r="F720" s="198">
        <v>315.94</v>
      </c>
      <c r="G720" s="198">
        <v>156.16999999999999</v>
      </c>
      <c r="H720" s="214" t="s">
        <v>849</v>
      </c>
      <c r="I720" s="214" t="s">
        <v>325</v>
      </c>
      <c r="J720" s="271">
        <v>25.77</v>
      </c>
      <c r="K720" s="198"/>
      <c r="L720" s="198"/>
      <c r="M720" s="198"/>
      <c r="N720" s="198"/>
      <c r="O720" s="198">
        <v>134</v>
      </c>
      <c r="P720" s="198"/>
      <c r="Q720" s="198" t="s">
        <v>329</v>
      </c>
      <c r="R720" s="230">
        <f>DATABASE_Table[[#This Row],[Inicial Asking Price (€) (Total)]]-DATABASE_Table[[#This Row],[Vista membership]]-DATABASE_Table[[#This Row],[FF&amp;E]]</f>
        <v>1147700</v>
      </c>
      <c r="S720" s="231">
        <v>1218850</v>
      </c>
      <c r="T720" s="232">
        <v>1290000</v>
      </c>
      <c r="U720" s="198">
        <v>24600</v>
      </c>
      <c r="V720" s="198">
        <v>46550</v>
      </c>
      <c r="W720" s="233">
        <f>DATABASE_Table[[#This Row],[Current Asking price( Total)]]-DATABASE_Table[[#This Row],[Vista membership]]-DATABASE_Table[[#This Row],[FF&amp;E]]</f>
        <v>1218850</v>
      </c>
      <c r="X720" s="216"/>
      <c r="Y720" s="232">
        <v>1290000</v>
      </c>
      <c r="Z720" s="233">
        <f>DATABASE_Table[[#This Row],[Sell price (Total)]]-DATABASE_Table[[#This Row],[FF&amp;E]]-DATABASE_Table[[#This Row],[Vista membership]]</f>
        <v>1218850</v>
      </c>
      <c r="AA720" s="315"/>
      <c r="AB720" s="321"/>
      <c r="AC720" s="198" t="s">
        <v>10</v>
      </c>
      <c r="AD720" s="198" t="s">
        <v>35</v>
      </c>
      <c r="AE720" s="279" t="s">
        <v>38</v>
      </c>
      <c r="AF720" s="279" t="s">
        <v>39</v>
      </c>
      <c r="AG720" s="279" t="s">
        <v>40</v>
      </c>
      <c r="AH720" s="279" t="s">
        <v>810</v>
      </c>
      <c r="AI720" s="198" t="s">
        <v>41</v>
      </c>
      <c r="AJ720" s="274" t="s">
        <v>37</v>
      </c>
      <c r="AK720"/>
    </row>
    <row r="721" spans="1:37" ht="15.75" hidden="1" customHeight="1">
      <c r="A721" s="198" t="s">
        <v>563</v>
      </c>
      <c r="B721" s="198" t="s">
        <v>691</v>
      </c>
      <c r="C721" s="214" t="s">
        <v>405</v>
      </c>
      <c r="D721" s="198" t="s">
        <v>9</v>
      </c>
      <c r="E721" s="198" t="s">
        <v>320</v>
      </c>
      <c r="F721" s="198">
        <v>130.91999999999999</v>
      </c>
      <c r="G721" s="198"/>
      <c r="H721" s="214" t="s">
        <v>325</v>
      </c>
      <c r="I721" s="214" t="s">
        <v>325</v>
      </c>
      <c r="J721" s="271"/>
      <c r="K721" s="198"/>
      <c r="L721" s="198"/>
      <c r="M721" s="198"/>
      <c r="N721" s="198"/>
      <c r="O721" s="198">
        <v>130.91999999999999</v>
      </c>
      <c r="P721" s="198"/>
      <c r="Q721" s="198" t="s">
        <v>628</v>
      </c>
      <c r="R721" s="230">
        <f>DATABASE_Table[[#This Row],[Inicial Asking Price (€) (Total)]]-DATABASE_Table[[#This Row],[Vista membership]]-DATABASE_Table[[#This Row],[FF&amp;E]]</f>
        <v>660000</v>
      </c>
      <c r="S721" s="231">
        <v>660000</v>
      </c>
      <c r="T721" s="232">
        <v>690000</v>
      </c>
      <c r="U721" s="198"/>
      <c r="V721" s="198"/>
      <c r="W721" s="233">
        <f>DATABASE_Table[[#This Row],[Current Asking price( Total)]]-DATABASE_Table[[#This Row],[Vista membership]]-DATABASE_Table[[#This Row],[FF&amp;E]]</f>
        <v>690000</v>
      </c>
      <c r="X721" s="216">
        <v>0</v>
      </c>
      <c r="Y721" s="232">
        <v>690000</v>
      </c>
      <c r="Z721" s="233">
        <f>DATABASE_Table[[#This Row],[Sell price (Total)]]-DATABASE_Table[[#This Row],[FF&amp;E]]-DATABASE_Table[[#This Row],[Vista membership]]</f>
        <v>690000</v>
      </c>
      <c r="AA721" s="316">
        <v>46171</v>
      </c>
      <c r="AB721" s="321"/>
      <c r="AC721" s="198" t="s">
        <v>10</v>
      </c>
      <c r="AD721" s="198" t="s">
        <v>11</v>
      </c>
      <c r="AE721" s="279" t="s">
        <v>28</v>
      </c>
      <c r="AF721" s="279" t="s">
        <v>29</v>
      </c>
      <c r="AG721" s="279" t="s">
        <v>805</v>
      </c>
      <c r="AH721" s="279" t="s">
        <v>806</v>
      </c>
      <c r="AI721" s="198" t="s">
        <v>30</v>
      </c>
      <c r="AJ721" s="274" t="s">
        <v>27</v>
      </c>
      <c r="AK721"/>
    </row>
    <row r="722" spans="1:37" ht="15.75" hidden="1" customHeight="1">
      <c r="A722" s="198" t="s">
        <v>690</v>
      </c>
      <c r="B722" s="198" t="s">
        <v>691</v>
      </c>
      <c r="C722" s="214" t="s">
        <v>406</v>
      </c>
      <c r="D722" s="198" t="s">
        <v>9</v>
      </c>
      <c r="E722" s="198" t="s">
        <v>765</v>
      </c>
      <c r="F722" s="198">
        <v>325.83</v>
      </c>
      <c r="G722" s="198">
        <v>166.06</v>
      </c>
      <c r="H722" s="214" t="s">
        <v>849</v>
      </c>
      <c r="I722" s="214" t="s">
        <v>325</v>
      </c>
      <c r="J722" s="271">
        <v>25.77</v>
      </c>
      <c r="K722" s="198"/>
      <c r="L722" s="198"/>
      <c r="M722" s="198"/>
      <c r="N722" s="198"/>
      <c r="O722" s="198">
        <v>134</v>
      </c>
      <c r="P722" s="198"/>
      <c r="Q722" s="198" t="s">
        <v>329</v>
      </c>
      <c r="R722" s="230">
        <f>DATABASE_Table[[#This Row],[Inicial Asking Price (€) (Total)]]-DATABASE_Table[[#This Row],[Vista membership]]-DATABASE_Table[[#This Row],[FF&amp;E]]</f>
        <v>1157700</v>
      </c>
      <c r="S722" s="231">
        <v>1228850</v>
      </c>
      <c r="T722" s="232">
        <v>1300000</v>
      </c>
      <c r="U722" s="198">
        <v>24600</v>
      </c>
      <c r="V722" s="198">
        <v>46550</v>
      </c>
      <c r="W722" s="233">
        <f>DATABASE_Table[[#This Row],[Current Asking price( Total)]]-DATABASE_Table[[#This Row],[Vista membership]]-DATABASE_Table[[#This Row],[FF&amp;E]]</f>
        <v>1228850</v>
      </c>
      <c r="X722" s="216"/>
      <c r="Y722" s="232">
        <v>1300000</v>
      </c>
      <c r="Z722" s="233">
        <f>DATABASE_Table[[#This Row],[Sell price (Total)]]-DATABASE_Table[[#This Row],[FF&amp;E]]-DATABASE_Table[[#This Row],[Vista membership]]</f>
        <v>1228850</v>
      </c>
      <c r="AA722" s="315"/>
      <c r="AB722" s="321"/>
      <c r="AC722" s="198" t="s">
        <v>10</v>
      </c>
      <c r="AD722" s="198" t="s">
        <v>35</v>
      </c>
      <c r="AE722" s="279" t="s">
        <v>38</v>
      </c>
      <c r="AF722" s="279" t="s">
        <v>39</v>
      </c>
      <c r="AG722" s="279" t="s">
        <v>40</v>
      </c>
      <c r="AH722" s="279" t="s">
        <v>810</v>
      </c>
      <c r="AI722" s="198" t="s">
        <v>41</v>
      </c>
      <c r="AJ722" s="274" t="s">
        <v>37</v>
      </c>
      <c r="AK722"/>
    </row>
    <row r="723" spans="1:37" ht="15.75" hidden="1" customHeight="1">
      <c r="A723" s="198" t="s">
        <v>780</v>
      </c>
      <c r="B723" s="198" t="s">
        <v>786</v>
      </c>
      <c r="C723" s="214" t="s">
        <v>264</v>
      </c>
      <c r="D723" s="198" t="s">
        <v>79</v>
      </c>
      <c r="E723" s="198" t="s">
        <v>318</v>
      </c>
      <c r="F723" s="198">
        <v>146.5</v>
      </c>
      <c r="G723" s="198"/>
      <c r="H723" s="214" t="s">
        <v>849</v>
      </c>
      <c r="I723" s="214" t="s">
        <v>325</v>
      </c>
      <c r="J723" s="271">
        <v>29.74</v>
      </c>
      <c r="K723" s="198"/>
      <c r="L723" s="198"/>
      <c r="M723" s="198"/>
      <c r="N723" s="198"/>
      <c r="O723" s="198">
        <v>116.76</v>
      </c>
      <c r="P723" s="198"/>
      <c r="Q723" s="198" t="s">
        <v>628</v>
      </c>
      <c r="R723" s="230">
        <f>DATABASE_Table[[#This Row],[Inicial Asking Price (€) (Total)]]-DATABASE_Table[[#This Row],[Vista membership]]-DATABASE_Table[[#This Row],[FF&amp;E]]</f>
        <v>885000</v>
      </c>
      <c r="S723" s="234">
        <v>935000</v>
      </c>
      <c r="T723" s="235">
        <v>935000</v>
      </c>
      <c r="U723" s="198"/>
      <c r="V723" s="235">
        <v>50000</v>
      </c>
      <c r="W723" s="233">
        <f>DATABASE_Table[[#This Row],[Current Asking price( Total)]]-DATABASE_Table[[#This Row],[Vista membership]]-DATABASE_Table[[#This Row],[FF&amp;E]]</f>
        <v>885000</v>
      </c>
      <c r="X723" s="236">
        <v>0</v>
      </c>
      <c r="Y723" s="235">
        <v>935000</v>
      </c>
      <c r="Z723" s="233">
        <f>DATABASE_Table[[#This Row],[Sell price (Total)]]-DATABASE_Table[[#This Row],[FF&amp;E]]-DATABASE_Table[[#This Row],[Vista membership]]</f>
        <v>885000</v>
      </c>
      <c r="AA723" s="316">
        <v>45971</v>
      </c>
      <c r="AB723" s="321">
        <v>47118</v>
      </c>
      <c r="AC723" s="198" t="s">
        <v>80</v>
      </c>
      <c r="AD723" s="198" t="s">
        <v>81</v>
      </c>
      <c r="AE723" s="279" t="s">
        <v>82</v>
      </c>
      <c r="AF723" s="279" t="s">
        <v>83</v>
      </c>
      <c r="AG723" s="279" t="s">
        <v>84</v>
      </c>
      <c r="AH723" s="279" t="s">
        <v>85</v>
      </c>
      <c r="AI723" s="198" t="s">
        <v>86</v>
      </c>
      <c r="AJ723" s="274" t="s">
        <v>78</v>
      </c>
      <c r="AK723"/>
    </row>
    <row r="724" spans="1:37" ht="15.75" hidden="1" customHeight="1">
      <c r="A724" s="198" t="s">
        <v>781</v>
      </c>
      <c r="B724" s="198" t="s">
        <v>786</v>
      </c>
      <c r="C724" s="214" t="s">
        <v>272</v>
      </c>
      <c r="D724" s="198" t="s">
        <v>79</v>
      </c>
      <c r="E724" s="198" t="s">
        <v>319</v>
      </c>
      <c r="F724" s="198">
        <v>194.4</v>
      </c>
      <c r="G724" s="198"/>
      <c r="H724" s="214" t="s">
        <v>848</v>
      </c>
      <c r="I724" s="214" t="s">
        <v>325</v>
      </c>
      <c r="J724" s="271"/>
      <c r="K724" s="198"/>
      <c r="L724" s="198"/>
      <c r="M724" s="198">
        <v>31</v>
      </c>
      <c r="N724" s="198">
        <v>26</v>
      </c>
      <c r="O724" s="198">
        <v>137.4</v>
      </c>
      <c r="P724" s="198"/>
      <c r="Q724" s="198" t="s">
        <v>326</v>
      </c>
      <c r="R724" s="230">
        <f>DATABASE_Table[[#This Row],[Inicial Asking Price (€) (Total)]]-DATABASE_Table[[#This Row],[Vista membership]]-DATABASE_Table[[#This Row],[FF&amp;E]]</f>
        <v>1100000</v>
      </c>
      <c r="S724" s="234">
        <v>1100000</v>
      </c>
      <c r="T724" s="235">
        <v>1160000</v>
      </c>
      <c r="U724" s="198"/>
      <c r="V724" s="235">
        <v>0</v>
      </c>
      <c r="W724" s="233">
        <f>DATABASE_Table[[#This Row],[Current Asking price( Total)]]-DATABASE_Table[[#This Row],[Vista membership]]-DATABASE_Table[[#This Row],[FF&amp;E]]</f>
        <v>1160000</v>
      </c>
      <c r="X724" s="236">
        <v>0</v>
      </c>
      <c r="Y724" s="235">
        <v>1160000</v>
      </c>
      <c r="Z724" s="233">
        <f>DATABASE_Table[[#This Row],[Sell price (Total)]]-DATABASE_Table[[#This Row],[FF&amp;E]]-DATABASE_Table[[#This Row],[Vista membership]]</f>
        <v>1160000</v>
      </c>
      <c r="AA724" s="315">
        <v>45968</v>
      </c>
      <c r="AB724" s="321">
        <v>47118</v>
      </c>
      <c r="AC724" s="198" t="s">
        <v>80</v>
      </c>
      <c r="AD724" s="198" t="s">
        <v>81</v>
      </c>
      <c r="AE724" s="279" t="s">
        <v>82</v>
      </c>
      <c r="AF724" s="279" t="s">
        <v>83</v>
      </c>
      <c r="AG724" s="279" t="s">
        <v>84</v>
      </c>
      <c r="AH724" s="279" t="s">
        <v>85</v>
      </c>
      <c r="AI724" s="198" t="s">
        <v>86</v>
      </c>
      <c r="AJ724" s="274" t="s">
        <v>78</v>
      </c>
      <c r="AK724"/>
    </row>
    <row r="725" spans="1:37" ht="15.75" hidden="1" customHeight="1">
      <c r="A725" s="198" t="s">
        <v>781</v>
      </c>
      <c r="B725" s="198" t="s">
        <v>786</v>
      </c>
      <c r="C725" s="214" t="s">
        <v>289</v>
      </c>
      <c r="D725" s="198" t="s">
        <v>79</v>
      </c>
      <c r="E725" s="198" t="s">
        <v>319</v>
      </c>
      <c r="F725" s="198">
        <v>170</v>
      </c>
      <c r="G725" s="198"/>
      <c r="H725" s="214" t="s">
        <v>848</v>
      </c>
      <c r="I725" s="214" t="s">
        <v>325</v>
      </c>
      <c r="J725" s="271"/>
      <c r="K725" s="198"/>
      <c r="L725" s="198"/>
      <c r="M725" s="198">
        <v>30</v>
      </c>
      <c r="N725" s="198">
        <v>24</v>
      </c>
      <c r="O725" s="198">
        <v>116</v>
      </c>
      <c r="P725" s="198"/>
      <c r="Q725" s="198" t="s">
        <v>628</v>
      </c>
      <c r="R725" s="230">
        <f>DATABASE_Table[[#This Row],[Inicial Asking Price (€) (Total)]]-DATABASE_Table[[#This Row],[Vista membership]]-DATABASE_Table[[#This Row],[FF&amp;E]]</f>
        <v>795000</v>
      </c>
      <c r="S725" s="234">
        <v>795000</v>
      </c>
      <c r="T725" s="235">
        <v>795000</v>
      </c>
      <c r="U725" s="198"/>
      <c r="V725" s="235">
        <v>0</v>
      </c>
      <c r="W725" s="233">
        <f>DATABASE_Table[[#This Row],[Current Asking price( Total)]]-DATABASE_Table[[#This Row],[Vista membership]]-DATABASE_Table[[#This Row],[FF&amp;E]]</f>
        <v>795000</v>
      </c>
      <c r="X725" s="236">
        <v>0</v>
      </c>
      <c r="Y725" s="235">
        <v>795000</v>
      </c>
      <c r="Z725" s="233">
        <f>DATABASE_Table[[#This Row],[Sell price (Total)]]-DATABASE_Table[[#This Row],[FF&amp;E]]-DATABASE_Table[[#This Row],[Vista membership]]</f>
        <v>795000</v>
      </c>
      <c r="AA725" s="316">
        <v>45946</v>
      </c>
      <c r="AB725" s="321">
        <v>47118</v>
      </c>
      <c r="AC725" s="198" t="s">
        <v>80</v>
      </c>
      <c r="AD725" s="198" t="s">
        <v>81</v>
      </c>
      <c r="AE725" s="279" t="s">
        <v>82</v>
      </c>
      <c r="AF725" s="279" t="s">
        <v>83</v>
      </c>
      <c r="AG725" s="279" t="s">
        <v>84</v>
      </c>
      <c r="AH725" s="279" t="s">
        <v>85</v>
      </c>
      <c r="AI725" s="198" t="s">
        <v>86</v>
      </c>
      <c r="AJ725" s="274" t="s">
        <v>78</v>
      </c>
      <c r="AK725"/>
    </row>
    <row r="726" spans="1:37" ht="15.75" hidden="1" customHeight="1">
      <c r="A726" s="198" t="s">
        <v>563</v>
      </c>
      <c r="B726" s="198" t="s">
        <v>691</v>
      </c>
      <c r="C726" s="214" t="s">
        <v>406</v>
      </c>
      <c r="D726" s="198" t="s">
        <v>9</v>
      </c>
      <c r="E726" s="198" t="s">
        <v>320</v>
      </c>
      <c r="F726" s="198">
        <v>130.91999999999999</v>
      </c>
      <c r="G726" s="198"/>
      <c r="H726" s="214" t="s">
        <v>325</v>
      </c>
      <c r="I726" s="214" t="s">
        <v>325</v>
      </c>
      <c r="J726" s="271"/>
      <c r="K726" s="198"/>
      <c r="L726" s="198"/>
      <c r="M726" s="198"/>
      <c r="N726" s="198"/>
      <c r="O726" s="198">
        <v>130.91999999999999</v>
      </c>
      <c r="P726" s="198"/>
      <c r="Q726" s="198" t="s">
        <v>628</v>
      </c>
      <c r="R726" s="230">
        <f>DATABASE_Table[[#This Row],[Inicial Asking Price (€) (Total)]]-DATABASE_Table[[#This Row],[Vista membership]]-DATABASE_Table[[#This Row],[FF&amp;E]]</f>
        <v>660000</v>
      </c>
      <c r="S726" s="231">
        <v>660000</v>
      </c>
      <c r="T726" s="232">
        <v>690000</v>
      </c>
      <c r="U726" s="198"/>
      <c r="V726" s="198"/>
      <c r="W726" s="233">
        <f>DATABASE_Table[[#This Row],[Current Asking price( Total)]]-DATABASE_Table[[#This Row],[Vista membership]]-DATABASE_Table[[#This Row],[FF&amp;E]]</f>
        <v>690000</v>
      </c>
      <c r="X726" s="216">
        <v>0</v>
      </c>
      <c r="Y726" s="232">
        <v>690000</v>
      </c>
      <c r="Z726" s="233">
        <f>DATABASE_Table[[#This Row],[Sell price (Total)]]-DATABASE_Table[[#This Row],[FF&amp;E]]-DATABASE_Table[[#This Row],[Vista membership]]</f>
        <v>690000</v>
      </c>
      <c r="AA726" s="316">
        <v>46120</v>
      </c>
      <c r="AB726" s="321"/>
      <c r="AC726" s="198" t="s">
        <v>10</v>
      </c>
      <c r="AD726" s="198" t="s">
        <v>11</v>
      </c>
      <c r="AE726" s="279" t="s">
        <v>28</v>
      </c>
      <c r="AF726" s="279" t="s">
        <v>29</v>
      </c>
      <c r="AG726" s="279" t="s">
        <v>805</v>
      </c>
      <c r="AH726" s="279" t="s">
        <v>806</v>
      </c>
      <c r="AI726" s="198" t="s">
        <v>30</v>
      </c>
      <c r="AJ726" s="274" t="s">
        <v>27</v>
      </c>
      <c r="AK726"/>
    </row>
    <row r="727" spans="1:37" ht="15.75" hidden="1" customHeight="1">
      <c r="A727" s="198" t="s">
        <v>690</v>
      </c>
      <c r="B727" s="198" t="s">
        <v>691</v>
      </c>
      <c r="C727" s="214" t="s">
        <v>407</v>
      </c>
      <c r="D727" s="198" t="s">
        <v>9</v>
      </c>
      <c r="E727" s="198" t="s">
        <v>765</v>
      </c>
      <c r="F727" s="198">
        <v>336.85</v>
      </c>
      <c r="G727" s="198">
        <v>177.08</v>
      </c>
      <c r="H727" s="214" t="s">
        <v>849</v>
      </c>
      <c r="I727" s="214" t="s">
        <v>325</v>
      </c>
      <c r="J727" s="271">
        <v>25.77</v>
      </c>
      <c r="K727" s="198"/>
      <c r="L727" s="198"/>
      <c r="M727" s="198"/>
      <c r="N727" s="198"/>
      <c r="O727" s="198">
        <v>134</v>
      </c>
      <c r="P727" s="198"/>
      <c r="Q727" s="198" t="s">
        <v>329</v>
      </c>
      <c r="R727" s="230">
        <f>DATABASE_Table[[#This Row],[Inicial Asking Price (€) (Total)]]-DATABASE_Table[[#This Row],[Vista membership]]-DATABASE_Table[[#This Row],[FF&amp;E]]</f>
        <v>1177700</v>
      </c>
      <c r="S727" s="231">
        <v>1248850</v>
      </c>
      <c r="T727" s="232">
        <v>1320000</v>
      </c>
      <c r="U727" s="198">
        <v>24600</v>
      </c>
      <c r="V727" s="198">
        <v>46550</v>
      </c>
      <c r="W727" s="233">
        <f>DATABASE_Table[[#This Row],[Current Asking price( Total)]]-DATABASE_Table[[#This Row],[Vista membership]]-DATABASE_Table[[#This Row],[FF&amp;E]]</f>
        <v>1248850</v>
      </c>
      <c r="X727" s="216"/>
      <c r="Y727" s="232">
        <v>1320000</v>
      </c>
      <c r="Z727" s="233">
        <f>DATABASE_Table[[#This Row],[Sell price (Total)]]-DATABASE_Table[[#This Row],[FF&amp;E]]-DATABASE_Table[[#This Row],[Vista membership]]</f>
        <v>1248850</v>
      </c>
      <c r="AA727" s="315"/>
      <c r="AB727" s="321"/>
      <c r="AC727" s="198" t="s">
        <v>10</v>
      </c>
      <c r="AD727" s="198" t="s">
        <v>35</v>
      </c>
      <c r="AE727" s="279" t="s">
        <v>38</v>
      </c>
      <c r="AF727" s="279" t="s">
        <v>39</v>
      </c>
      <c r="AG727" s="279" t="s">
        <v>40</v>
      </c>
      <c r="AH727" s="279" t="s">
        <v>810</v>
      </c>
      <c r="AI727" s="198" t="s">
        <v>41</v>
      </c>
      <c r="AJ727" s="274" t="s">
        <v>37</v>
      </c>
      <c r="AK727"/>
    </row>
    <row r="728" spans="1:37" ht="15.75" hidden="1" customHeight="1">
      <c r="A728" s="198" t="s">
        <v>563</v>
      </c>
      <c r="B728" s="198" t="s">
        <v>691</v>
      </c>
      <c r="C728" s="214" t="s">
        <v>407</v>
      </c>
      <c r="D728" s="198" t="s">
        <v>9</v>
      </c>
      <c r="E728" s="198" t="s">
        <v>320</v>
      </c>
      <c r="F728" s="198">
        <v>130.91999999999999</v>
      </c>
      <c r="G728" s="198"/>
      <c r="H728" s="214" t="s">
        <v>325</v>
      </c>
      <c r="I728" s="214" t="s">
        <v>325</v>
      </c>
      <c r="J728" s="271"/>
      <c r="K728" s="198"/>
      <c r="L728" s="198"/>
      <c r="M728" s="198"/>
      <c r="N728" s="198"/>
      <c r="O728" s="198">
        <v>130.91999999999999</v>
      </c>
      <c r="P728" s="198"/>
      <c r="Q728" s="198" t="s">
        <v>329</v>
      </c>
      <c r="R728" s="230">
        <f>DATABASE_Table[[#This Row],[Inicial Asking Price (€) (Total)]]-DATABASE_Table[[#This Row],[Vista membership]]-DATABASE_Table[[#This Row],[FF&amp;E]]</f>
        <v>630000</v>
      </c>
      <c r="S728" s="231">
        <v>630000</v>
      </c>
      <c r="T728" s="232">
        <v>660000</v>
      </c>
      <c r="U728" s="198"/>
      <c r="V728" s="198"/>
      <c r="W728" s="233">
        <f>DATABASE_Table[[#This Row],[Current Asking price( Total)]]-DATABASE_Table[[#This Row],[Vista membership]]-DATABASE_Table[[#This Row],[FF&amp;E]]</f>
        <v>660000</v>
      </c>
      <c r="X728" s="216"/>
      <c r="Y728" s="232">
        <v>660000</v>
      </c>
      <c r="Z728" s="233">
        <f>DATABASE_Table[[#This Row],[Sell price (Total)]]-DATABASE_Table[[#This Row],[FF&amp;E]]-DATABASE_Table[[#This Row],[Vista membership]]</f>
        <v>660000</v>
      </c>
      <c r="AA728" s="315"/>
      <c r="AB728" s="321"/>
      <c r="AC728" s="198" t="s">
        <v>10</v>
      </c>
      <c r="AD728" s="198" t="s">
        <v>11</v>
      </c>
      <c r="AE728" s="279" t="s">
        <v>28</v>
      </c>
      <c r="AF728" s="279" t="s">
        <v>29</v>
      </c>
      <c r="AG728" s="279" t="s">
        <v>805</v>
      </c>
      <c r="AH728" s="279" t="s">
        <v>806</v>
      </c>
      <c r="AI728" s="198" t="s">
        <v>30</v>
      </c>
      <c r="AJ728" s="274" t="s">
        <v>27</v>
      </c>
      <c r="AK728"/>
    </row>
    <row r="729" spans="1:37" ht="15.75" hidden="1" customHeight="1">
      <c r="A729" s="198" t="s">
        <v>690</v>
      </c>
      <c r="B729" s="198" t="s">
        <v>691</v>
      </c>
      <c r="C729" s="214" t="s">
        <v>408</v>
      </c>
      <c r="D729" s="198" t="s">
        <v>9</v>
      </c>
      <c r="E729" s="198" t="s">
        <v>765</v>
      </c>
      <c r="F729" s="198">
        <v>343.23</v>
      </c>
      <c r="G729" s="198">
        <v>183.46</v>
      </c>
      <c r="H729" s="214" t="s">
        <v>849</v>
      </c>
      <c r="I729" s="214" t="s">
        <v>325</v>
      </c>
      <c r="J729" s="271">
        <v>25.77</v>
      </c>
      <c r="K729" s="198"/>
      <c r="L729" s="198"/>
      <c r="M729" s="198"/>
      <c r="N729" s="198"/>
      <c r="O729" s="198">
        <v>134</v>
      </c>
      <c r="P729" s="198"/>
      <c r="Q729" s="198" t="s">
        <v>329</v>
      </c>
      <c r="R729" s="230">
        <f>DATABASE_Table[[#This Row],[Inicial Asking Price (€) (Total)]]-DATABASE_Table[[#This Row],[Vista membership]]-DATABASE_Table[[#This Row],[FF&amp;E]]</f>
        <v>1187700</v>
      </c>
      <c r="S729" s="231">
        <v>1258850</v>
      </c>
      <c r="T729" s="232">
        <v>1330000</v>
      </c>
      <c r="U729" s="198">
        <v>24600</v>
      </c>
      <c r="V729" s="198">
        <v>46550</v>
      </c>
      <c r="W729" s="233">
        <f>DATABASE_Table[[#This Row],[Current Asking price( Total)]]-DATABASE_Table[[#This Row],[Vista membership]]-DATABASE_Table[[#This Row],[FF&amp;E]]</f>
        <v>1258850</v>
      </c>
      <c r="X729" s="216"/>
      <c r="Y729" s="232">
        <v>1330000</v>
      </c>
      <c r="Z729" s="233">
        <f>DATABASE_Table[[#This Row],[Sell price (Total)]]-DATABASE_Table[[#This Row],[FF&amp;E]]-DATABASE_Table[[#This Row],[Vista membership]]</f>
        <v>1258850</v>
      </c>
      <c r="AA729" s="315"/>
      <c r="AB729" s="321"/>
      <c r="AC729" s="198" t="s">
        <v>10</v>
      </c>
      <c r="AD729" s="198" t="s">
        <v>35</v>
      </c>
      <c r="AE729" s="279" t="s">
        <v>38</v>
      </c>
      <c r="AF729" s="279" t="s">
        <v>39</v>
      </c>
      <c r="AG729" s="279" t="s">
        <v>40</v>
      </c>
      <c r="AH729" s="279" t="s">
        <v>810</v>
      </c>
      <c r="AI729" s="198" t="s">
        <v>41</v>
      </c>
      <c r="AJ729" s="274" t="s">
        <v>37</v>
      </c>
      <c r="AK729"/>
    </row>
    <row r="730" spans="1:37" ht="15.75" hidden="1" customHeight="1">
      <c r="A730" s="198" t="s">
        <v>563</v>
      </c>
      <c r="B730" s="198" t="s">
        <v>691</v>
      </c>
      <c r="C730" s="214" t="s">
        <v>408</v>
      </c>
      <c r="D730" s="198" t="s">
        <v>9</v>
      </c>
      <c r="E730" s="198" t="s">
        <v>320</v>
      </c>
      <c r="F730" s="198">
        <v>130.91999999999999</v>
      </c>
      <c r="G730" s="198"/>
      <c r="H730" s="214" t="s">
        <v>325</v>
      </c>
      <c r="I730" s="214" t="s">
        <v>325</v>
      </c>
      <c r="J730" s="271"/>
      <c r="K730" s="198"/>
      <c r="L730" s="198"/>
      <c r="M730" s="198"/>
      <c r="N730" s="198"/>
      <c r="O730" s="198">
        <v>130.91999999999999</v>
      </c>
      <c r="P730" s="198"/>
      <c r="Q730" s="198" t="s">
        <v>628</v>
      </c>
      <c r="R730" s="230">
        <f>DATABASE_Table[[#This Row],[Inicial Asking Price (€) (Total)]]-DATABASE_Table[[#This Row],[Vista membership]]-DATABASE_Table[[#This Row],[FF&amp;E]]</f>
        <v>630000</v>
      </c>
      <c r="S730" s="231">
        <v>630000</v>
      </c>
      <c r="T730" s="232">
        <v>650000</v>
      </c>
      <c r="U730" s="198"/>
      <c r="V730" s="198"/>
      <c r="W730" s="233">
        <f>DATABASE_Table[[#This Row],[Current Asking price( Total)]]-DATABASE_Table[[#This Row],[Vista membership]]-DATABASE_Table[[#This Row],[FF&amp;E]]</f>
        <v>650000</v>
      </c>
      <c r="X730" s="216">
        <v>0</v>
      </c>
      <c r="Y730" s="232">
        <v>650000</v>
      </c>
      <c r="Z730" s="233">
        <f>DATABASE_Table[[#This Row],[Sell price (Total)]]-DATABASE_Table[[#This Row],[FF&amp;E]]-DATABASE_Table[[#This Row],[Vista membership]]</f>
        <v>650000</v>
      </c>
      <c r="AA730" s="316">
        <v>46156</v>
      </c>
      <c r="AB730" s="321"/>
      <c r="AC730" s="198" t="s">
        <v>10</v>
      </c>
      <c r="AD730" s="198" t="s">
        <v>11</v>
      </c>
      <c r="AE730" s="279" t="s">
        <v>28</v>
      </c>
      <c r="AF730" s="279" t="s">
        <v>29</v>
      </c>
      <c r="AG730" s="279" t="s">
        <v>805</v>
      </c>
      <c r="AH730" s="279" t="s">
        <v>806</v>
      </c>
      <c r="AI730" s="198" t="s">
        <v>30</v>
      </c>
      <c r="AJ730" s="274" t="s">
        <v>27</v>
      </c>
      <c r="AK730"/>
    </row>
    <row r="731" spans="1:37" ht="15.75" hidden="1" customHeight="1">
      <c r="A731" s="198" t="s">
        <v>690</v>
      </c>
      <c r="B731" s="198" t="s">
        <v>691</v>
      </c>
      <c r="C731" s="214" t="s">
        <v>409</v>
      </c>
      <c r="D731" s="198" t="s">
        <v>9</v>
      </c>
      <c r="E731" s="198" t="s">
        <v>765</v>
      </c>
      <c r="F731" s="198">
        <v>354.02</v>
      </c>
      <c r="G731" s="198">
        <v>187.84</v>
      </c>
      <c r="H731" s="214" t="s">
        <v>849</v>
      </c>
      <c r="I731" s="214" t="s">
        <v>325</v>
      </c>
      <c r="J731" s="271">
        <v>25.77</v>
      </c>
      <c r="K731" s="198"/>
      <c r="L731" s="198"/>
      <c r="M731" s="198"/>
      <c r="N731" s="198"/>
      <c r="O731" s="198">
        <v>140.41</v>
      </c>
      <c r="P731" s="198"/>
      <c r="Q731" s="198" t="s">
        <v>329</v>
      </c>
      <c r="R731" s="230">
        <f>DATABASE_Table[[#This Row],[Inicial Asking Price (€) (Total)]]-DATABASE_Table[[#This Row],[Vista membership]]-DATABASE_Table[[#This Row],[FF&amp;E]]</f>
        <v>1297700</v>
      </c>
      <c r="S731" s="231">
        <v>1368850</v>
      </c>
      <c r="T731" s="232">
        <v>1440000</v>
      </c>
      <c r="U731" s="198">
        <v>24600</v>
      </c>
      <c r="V731" s="198">
        <v>46550</v>
      </c>
      <c r="W731" s="233">
        <f>DATABASE_Table[[#This Row],[Current Asking price( Total)]]-DATABASE_Table[[#This Row],[Vista membership]]-DATABASE_Table[[#This Row],[FF&amp;E]]</f>
        <v>1368850</v>
      </c>
      <c r="X731" s="216"/>
      <c r="Y731" s="232">
        <v>1440000</v>
      </c>
      <c r="Z731" s="233">
        <f>DATABASE_Table[[#This Row],[Sell price (Total)]]-DATABASE_Table[[#This Row],[FF&amp;E]]-DATABASE_Table[[#This Row],[Vista membership]]</f>
        <v>1368850</v>
      </c>
      <c r="AA731" s="315"/>
      <c r="AB731" s="321"/>
      <c r="AC731" s="198" t="s">
        <v>10</v>
      </c>
      <c r="AD731" s="198" t="s">
        <v>35</v>
      </c>
      <c r="AE731" s="279" t="s">
        <v>38</v>
      </c>
      <c r="AF731" s="279" t="s">
        <v>39</v>
      </c>
      <c r="AG731" s="279" t="s">
        <v>40</v>
      </c>
      <c r="AH731" s="279" t="s">
        <v>810</v>
      </c>
      <c r="AI731" s="198" t="s">
        <v>41</v>
      </c>
      <c r="AJ731" s="274" t="s">
        <v>37</v>
      </c>
      <c r="AK731"/>
    </row>
    <row r="732" spans="1:37" ht="15.75" hidden="1" customHeight="1">
      <c r="A732" s="198" t="s">
        <v>563</v>
      </c>
      <c r="B732" s="198" t="s">
        <v>691</v>
      </c>
      <c r="C732" s="214" t="s">
        <v>409</v>
      </c>
      <c r="D732" s="198" t="s">
        <v>9</v>
      </c>
      <c r="E732" s="198" t="s">
        <v>320</v>
      </c>
      <c r="F732" s="198">
        <v>130.91999999999999</v>
      </c>
      <c r="G732" s="198"/>
      <c r="H732" s="214" t="s">
        <v>325</v>
      </c>
      <c r="I732" s="214" t="s">
        <v>325</v>
      </c>
      <c r="J732" s="271"/>
      <c r="K732" s="198"/>
      <c r="L732" s="198"/>
      <c r="M732" s="198"/>
      <c r="N732" s="198"/>
      <c r="O732" s="198">
        <v>130.91999999999999</v>
      </c>
      <c r="P732" s="198"/>
      <c r="Q732" s="198" t="s">
        <v>329</v>
      </c>
      <c r="R732" s="230">
        <f>DATABASE_Table[[#This Row],[Inicial Asking Price (€) (Total)]]-DATABASE_Table[[#This Row],[Vista membership]]-DATABASE_Table[[#This Row],[FF&amp;E]]</f>
        <v>660000</v>
      </c>
      <c r="S732" s="231">
        <v>660000</v>
      </c>
      <c r="T732" s="232">
        <v>690000</v>
      </c>
      <c r="U732" s="198"/>
      <c r="V732" s="198"/>
      <c r="W732" s="233">
        <f>DATABASE_Table[[#This Row],[Current Asking price( Total)]]-DATABASE_Table[[#This Row],[Vista membership]]-DATABASE_Table[[#This Row],[FF&amp;E]]</f>
        <v>690000</v>
      </c>
      <c r="X732" s="216"/>
      <c r="Y732" s="232">
        <v>690000</v>
      </c>
      <c r="Z732" s="233">
        <f>DATABASE_Table[[#This Row],[Sell price (Total)]]-DATABASE_Table[[#This Row],[FF&amp;E]]-DATABASE_Table[[#This Row],[Vista membership]]</f>
        <v>690000</v>
      </c>
      <c r="AA732" s="315"/>
      <c r="AB732" s="321"/>
      <c r="AC732" s="198" t="s">
        <v>10</v>
      </c>
      <c r="AD732" s="198" t="s">
        <v>11</v>
      </c>
      <c r="AE732" s="279" t="s">
        <v>28</v>
      </c>
      <c r="AF732" s="279" t="s">
        <v>29</v>
      </c>
      <c r="AG732" s="279" t="s">
        <v>805</v>
      </c>
      <c r="AH732" s="279" t="s">
        <v>806</v>
      </c>
      <c r="AI732" s="198" t="s">
        <v>30</v>
      </c>
      <c r="AJ732" s="274" t="s">
        <v>27</v>
      </c>
      <c r="AK732"/>
    </row>
    <row r="733" spans="1:37" ht="15.75" hidden="1" customHeight="1">
      <c r="A733" s="198" t="s">
        <v>690</v>
      </c>
      <c r="B733" s="198" t="s">
        <v>691</v>
      </c>
      <c r="C733" s="214" t="s">
        <v>410</v>
      </c>
      <c r="D733" s="198" t="s">
        <v>9</v>
      </c>
      <c r="E733" s="198" t="s">
        <v>765</v>
      </c>
      <c r="F733" s="198">
        <v>409.3</v>
      </c>
      <c r="G733" s="198">
        <v>243.12</v>
      </c>
      <c r="H733" s="214" t="s">
        <v>849</v>
      </c>
      <c r="I733" s="214" t="s">
        <v>325</v>
      </c>
      <c r="J733" s="271">
        <v>25.77</v>
      </c>
      <c r="K733" s="198"/>
      <c r="L733" s="198"/>
      <c r="M733" s="198"/>
      <c r="N733" s="198"/>
      <c r="O733" s="198">
        <v>140.41</v>
      </c>
      <c r="P733" s="198"/>
      <c r="Q733" s="198" t="s">
        <v>329</v>
      </c>
      <c r="R733" s="230">
        <f>DATABASE_Table[[#This Row],[Inicial Asking Price (€) (Total)]]-DATABASE_Table[[#This Row],[Vista membership]]-DATABASE_Table[[#This Row],[FF&amp;E]]</f>
        <v>1487700</v>
      </c>
      <c r="S733" s="231">
        <v>1558850</v>
      </c>
      <c r="T733" s="232">
        <v>1630000</v>
      </c>
      <c r="U733" s="198">
        <v>24600</v>
      </c>
      <c r="V733" s="198">
        <v>46550</v>
      </c>
      <c r="W733" s="233">
        <f>DATABASE_Table[[#This Row],[Current Asking price( Total)]]-DATABASE_Table[[#This Row],[Vista membership]]-DATABASE_Table[[#This Row],[FF&amp;E]]</f>
        <v>1558850</v>
      </c>
      <c r="X733" s="216"/>
      <c r="Y733" s="232">
        <v>1630000</v>
      </c>
      <c r="Z733" s="233">
        <f>DATABASE_Table[[#This Row],[Sell price (Total)]]-DATABASE_Table[[#This Row],[FF&amp;E]]-DATABASE_Table[[#This Row],[Vista membership]]</f>
        <v>1558850</v>
      </c>
      <c r="AA733" s="315"/>
      <c r="AB733" s="321"/>
      <c r="AC733" s="198" t="s">
        <v>10</v>
      </c>
      <c r="AD733" s="198" t="s">
        <v>35</v>
      </c>
      <c r="AE733" s="279" t="s">
        <v>38</v>
      </c>
      <c r="AF733" s="279" t="s">
        <v>39</v>
      </c>
      <c r="AG733" s="279" t="s">
        <v>40</v>
      </c>
      <c r="AH733" s="279" t="s">
        <v>810</v>
      </c>
      <c r="AI733" s="198" t="s">
        <v>41</v>
      </c>
      <c r="AJ733" s="274" t="s">
        <v>37</v>
      </c>
      <c r="AK733"/>
    </row>
    <row r="734" spans="1:37" ht="15.75" hidden="1" customHeight="1">
      <c r="A734" s="198" t="s">
        <v>563</v>
      </c>
      <c r="B734" s="198" t="s">
        <v>691</v>
      </c>
      <c r="C734" s="214" t="s">
        <v>410</v>
      </c>
      <c r="D734" s="198" t="s">
        <v>9</v>
      </c>
      <c r="E734" s="198" t="s">
        <v>320</v>
      </c>
      <c r="F734" s="198">
        <v>130.91999999999999</v>
      </c>
      <c r="G734" s="198"/>
      <c r="H734" s="214" t="s">
        <v>325</v>
      </c>
      <c r="I734" s="214" t="s">
        <v>325</v>
      </c>
      <c r="J734" s="271"/>
      <c r="K734" s="198"/>
      <c r="L734" s="198"/>
      <c r="M734" s="198"/>
      <c r="N734" s="198"/>
      <c r="O734" s="198">
        <v>130.91999999999999</v>
      </c>
      <c r="P734" s="198"/>
      <c r="Q734" s="198" t="s">
        <v>329</v>
      </c>
      <c r="R734" s="230">
        <f>DATABASE_Table[[#This Row],[Inicial Asking Price (€) (Total)]]-DATABASE_Table[[#This Row],[Vista membership]]-DATABASE_Table[[#This Row],[FF&amp;E]]</f>
        <v>660000</v>
      </c>
      <c r="S734" s="231">
        <v>660000</v>
      </c>
      <c r="T734" s="232">
        <v>690000</v>
      </c>
      <c r="U734" s="198"/>
      <c r="V734" s="198"/>
      <c r="W734" s="233">
        <f>DATABASE_Table[[#This Row],[Current Asking price( Total)]]-DATABASE_Table[[#This Row],[Vista membership]]-DATABASE_Table[[#This Row],[FF&amp;E]]</f>
        <v>690000</v>
      </c>
      <c r="X734" s="216"/>
      <c r="Y734" s="232">
        <v>690000</v>
      </c>
      <c r="Z734" s="233">
        <f>DATABASE_Table[[#This Row],[Sell price (Total)]]-DATABASE_Table[[#This Row],[FF&amp;E]]-DATABASE_Table[[#This Row],[Vista membership]]</f>
        <v>690000</v>
      </c>
      <c r="AA734" s="315"/>
      <c r="AB734" s="321"/>
      <c r="AC734" s="198" t="s">
        <v>10</v>
      </c>
      <c r="AD734" s="198" t="s">
        <v>11</v>
      </c>
      <c r="AE734" s="279" t="s">
        <v>28</v>
      </c>
      <c r="AF734" s="279" t="s">
        <v>29</v>
      </c>
      <c r="AG734" s="279" t="s">
        <v>805</v>
      </c>
      <c r="AH734" s="279" t="s">
        <v>806</v>
      </c>
      <c r="AI734" s="198" t="s">
        <v>30</v>
      </c>
      <c r="AJ734" s="274" t="s">
        <v>27</v>
      </c>
      <c r="AK734"/>
    </row>
    <row r="735" spans="1:37" ht="15.75" hidden="1" customHeight="1">
      <c r="A735" s="198" t="s">
        <v>690</v>
      </c>
      <c r="B735" s="198" t="s">
        <v>691</v>
      </c>
      <c r="C735" s="214" t="s">
        <v>411</v>
      </c>
      <c r="D735" s="198" t="s">
        <v>9</v>
      </c>
      <c r="E735" s="198" t="s">
        <v>765</v>
      </c>
      <c r="F735" s="198">
        <v>394.6</v>
      </c>
      <c r="G735" s="198">
        <v>234.83</v>
      </c>
      <c r="H735" s="214" t="s">
        <v>849</v>
      </c>
      <c r="I735" s="214" t="s">
        <v>325</v>
      </c>
      <c r="J735" s="271">
        <v>25.77</v>
      </c>
      <c r="K735" s="198"/>
      <c r="L735" s="198"/>
      <c r="M735" s="198"/>
      <c r="N735" s="198"/>
      <c r="O735" s="198">
        <v>134</v>
      </c>
      <c r="P735" s="198"/>
      <c r="Q735" s="198" t="s">
        <v>329</v>
      </c>
      <c r="R735" s="230">
        <f>DATABASE_Table[[#This Row],[Inicial Asking Price (€) (Total)]]-DATABASE_Table[[#This Row],[Vista membership]]-DATABASE_Table[[#This Row],[FF&amp;E]]</f>
        <v>1467700</v>
      </c>
      <c r="S735" s="231">
        <v>1538850</v>
      </c>
      <c r="T735" s="232">
        <v>1610000</v>
      </c>
      <c r="U735" s="198">
        <v>24600</v>
      </c>
      <c r="V735" s="198">
        <v>46550</v>
      </c>
      <c r="W735" s="233">
        <f>DATABASE_Table[[#This Row],[Current Asking price( Total)]]-DATABASE_Table[[#This Row],[Vista membership]]-DATABASE_Table[[#This Row],[FF&amp;E]]</f>
        <v>1538850</v>
      </c>
      <c r="X735" s="216"/>
      <c r="Y735" s="232">
        <v>1610000</v>
      </c>
      <c r="Z735" s="233">
        <f>DATABASE_Table[[#This Row],[Sell price (Total)]]-DATABASE_Table[[#This Row],[FF&amp;E]]-DATABASE_Table[[#This Row],[Vista membership]]</f>
        <v>1538850</v>
      </c>
      <c r="AA735" s="315"/>
      <c r="AB735" s="321"/>
      <c r="AC735" s="198" t="s">
        <v>10</v>
      </c>
      <c r="AD735" s="198" t="s">
        <v>35</v>
      </c>
      <c r="AE735" s="279" t="s">
        <v>38</v>
      </c>
      <c r="AF735" s="279" t="s">
        <v>39</v>
      </c>
      <c r="AG735" s="279" t="s">
        <v>40</v>
      </c>
      <c r="AH735" s="279" t="s">
        <v>810</v>
      </c>
      <c r="AI735" s="198" t="s">
        <v>41</v>
      </c>
      <c r="AJ735" s="274" t="s">
        <v>37</v>
      </c>
      <c r="AK735"/>
    </row>
    <row r="736" spans="1:37" ht="15.75" hidden="1" customHeight="1">
      <c r="A736" s="198" t="s">
        <v>563</v>
      </c>
      <c r="B736" s="198" t="s">
        <v>691</v>
      </c>
      <c r="C736" s="214" t="s">
        <v>411</v>
      </c>
      <c r="D736" s="198" t="s">
        <v>9</v>
      </c>
      <c r="E736" s="198" t="s">
        <v>319</v>
      </c>
      <c r="F736" s="198">
        <v>78.3</v>
      </c>
      <c r="G736" s="198"/>
      <c r="H736" s="214" t="s">
        <v>325</v>
      </c>
      <c r="I736" s="214" t="s">
        <v>325</v>
      </c>
      <c r="J736" s="271"/>
      <c r="K736" s="198"/>
      <c r="L736" s="198"/>
      <c r="M736" s="198"/>
      <c r="N736" s="198"/>
      <c r="O736" s="198">
        <v>78.3</v>
      </c>
      <c r="P736" s="198"/>
      <c r="Q736" s="198" t="s">
        <v>628</v>
      </c>
      <c r="R736" s="230">
        <f>DATABASE_Table[[#This Row],[Inicial Asking Price (€) (Total)]]-DATABASE_Table[[#This Row],[Vista membership]]-DATABASE_Table[[#This Row],[FF&amp;E]]</f>
        <v>435000</v>
      </c>
      <c r="S736" s="231">
        <v>435000</v>
      </c>
      <c r="T736" s="232">
        <v>435000</v>
      </c>
      <c r="U736" s="198"/>
      <c r="V736" s="198"/>
      <c r="W736" s="233">
        <f>DATABASE_Table[[#This Row],[Current Asking price( Total)]]-DATABASE_Table[[#This Row],[Vista membership]]-DATABASE_Table[[#This Row],[FF&amp;E]]</f>
        <v>435000</v>
      </c>
      <c r="X736" s="216">
        <v>0</v>
      </c>
      <c r="Y736" s="232">
        <v>435000</v>
      </c>
      <c r="Z736" s="233">
        <f>DATABASE_Table[[#This Row],[Sell price (Total)]]-DATABASE_Table[[#This Row],[FF&amp;E]]-DATABASE_Table[[#This Row],[Vista membership]]</f>
        <v>435000</v>
      </c>
      <c r="AA736" s="316">
        <v>45862</v>
      </c>
      <c r="AB736" s="321"/>
      <c r="AC736" s="198" t="s">
        <v>10</v>
      </c>
      <c r="AD736" s="198" t="s">
        <v>11</v>
      </c>
      <c r="AE736" s="279" t="s">
        <v>28</v>
      </c>
      <c r="AF736" s="279" t="s">
        <v>29</v>
      </c>
      <c r="AG736" s="279" t="s">
        <v>805</v>
      </c>
      <c r="AH736" s="279" t="s">
        <v>806</v>
      </c>
      <c r="AI736" s="198" t="s">
        <v>30</v>
      </c>
      <c r="AJ736" s="274" t="s">
        <v>27</v>
      </c>
      <c r="AK736"/>
    </row>
    <row r="737" spans="1:37" ht="15.75" hidden="1" customHeight="1">
      <c r="A737" s="198" t="s">
        <v>784</v>
      </c>
      <c r="B737" s="198" t="s">
        <v>787</v>
      </c>
      <c r="C737" s="214" t="s">
        <v>454</v>
      </c>
      <c r="D737" s="198" t="s">
        <v>88</v>
      </c>
      <c r="E737" s="198" t="s">
        <v>383</v>
      </c>
      <c r="F737" s="198">
        <v>338.53</v>
      </c>
      <c r="G737" s="198"/>
      <c r="H737" s="214" t="s">
        <v>849</v>
      </c>
      <c r="I737" s="214" t="s">
        <v>590</v>
      </c>
      <c r="J737" s="271">
        <v>0</v>
      </c>
      <c r="K737" s="198">
        <v>132.55000000000001</v>
      </c>
      <c r="L737" s="198">
        <v>44.52</v>
      </c>
      <c r="M737" s="198"/>
      <c r="N737" s="198"/>
      <c r="O737" s="198">
        <v>161.46</v>
      </c>
      <c r="P737" s="198"/>
      <c r="Q737" s="198" t="s">
        <v>591</v>
      </c>
      <c r="R737" s="230">
        <f>DATABASE_Table[[#This Row],[Inicial Asking Price (€) (Total)]]-DATABASE_Table[[#This Row],[Vista membership]]-DATABASE_Table[[#This Row],[FF&amp;E]]</f>
        <v>1120000</v>
      </c>
      <c r="S737" s="234">
        <v>1120000</v>
      </c>
      <c r="T737" s="235">
        <v>1190000</v>
      </c>
      <c r="U737" s="198"/>
      <c r="V737" s="198"/>
      <c r="W737" s="233">
        <f>DATABASE_Table[[#This Row],[Current Asking price( Total)]]-DATABASE_Table[[#This Row],[Vista membership]]-DATABASE_Table[[#This Row],[FF&amp;E]]</f>
        <v>1190000</v>
      </c>
      <c r="X737" s="236"/>
      <c r="Y737" s="235"/>
      <c r="Z737" s="233">
        <f>DATABASE_Table[[#This Row],[Sell price (Total)]]-DATABASE_Table[[#This Row],[FF&amp;E]]-DATABASE_Table[[#This Row],[Vista membership]]</f>
        <v>0</v>
      </c>
      <c r="AA737" s="315"/>
      <c r="AB737" s="321">
        <v>47208</v>
      </c>
      <c r="AC737" s="198" t="s">
        <v>80</v>
      </c>
      <c r="AD737" s="198" t="s">
        <v>81</v>
      </c>
      <c r="AE737" s="279" t="s">
        <v>89</v>
      </c>
      <c r="AF737" s="279" t="s">
        <v>90</v>
      </c>
      <c r="AG737" s="279" t="s">
        <v>91</v>
      </c>
      <c r="AH737" s="279" t="s">
        <v>92</v>
      </c>
      <c r="AI737" s="198" t="s">
        <v>30</v>
      </c>
      <c r="AJ737" s="274" t="s">
        <v>87</v>
      </c>
      <c r="AK737"/>
    </row>
    <row r="738" spans="1:37" ht="15.75" hidden="1" customHeight="1">
      <c r="A738" s="198" t="s">
        <v>690</v>
      </c>
      <c r="B738" s="198" t="s">
        <v>691</v>
      </c>
      <c r="C738" s="214" t="s">
        <v>412</v>
      </c>
      <c r="D738" s="198" t="s">
        <v>9</v>
      </c>
      <c r="E738" s="198" t="s">
        <v>765</v>
      </c>
      <c r="F738" s="198">
        <v>396.13</v>
      </c>
      <c r="G738" s="198">
        <v>236.36</v>
      </c>
      <c r="H738" s="214" t="s">
        <v>849</v>
      </c>
      <c r="I738" s="214" t="s">
        <v>325</v>
      </c>
      <c r="J738" s="271">
        <v>25.77</v>
      </c>
      <c r="K738" s="198"/>
      <c r="L738" s="198"/>
      <c r="M738" s="198"/>
      <c r="N738" s="198"/>
      <c r="O738" s="198">
        <v>134</v>
      </c>
      <c r="P738" s="198"/>
      <c r="Q738" s="198" t="s">
        <v>329</v>
      </c>
      <c r="R738" s="230">
        <f>DATABASE_Table[[#This Row],[Inicial Asking Price (€) (Total)]]-DATABASE_Table[[#This Row],[Vista membership]]-DATABASE_Table[[#This Row],[FF&amp;E]]</f>
        <v>1487700</v>
      </c>
      <c r="S738" s="231">
        <v>1558850</v>
      </c>
      <c r="T738" s="232">
        <v>1630000</v>
      </c>
      <c r="U738" s="198">
        <v>24600</v>
      </c>
      <c r="V738" s="198">
        <v>46550</v>
      </c>
      <c r="W738" s="233">
        <f>DATABASE_Table[[#This Row],[Current Asking price( Total)]]-DATABASE_Table[[#This Row],[Vista membership]]-DATABASE_Table[[#This Row],[FF&amp;E]]</f>
        <v>1558850</v>
      </c>
      <c r="X738" s="216"/>
      <c r="Y738" s="232">
        <v>1630000</v>
      </c>
      <c r="Z738" s="233">
        <f>DATABASE_Table[[#This Row],[Sell price (Total)]]-DATABASE_Table[[#This Row],[FF&amp;E]]-DATABASE_Table[[#This Row],[Vista membership]]</f>
        <v>1558850</v>
      </c>
      <c r="AA738" s="315"/>
      <c r="AB738" s="321"/>
      <c r="AC738" s="198" t="s">
        <v>10</v>
      </c>
      <c r="AD738" s="198" t="s">
        <v>35</v>
      </c>
      <c r="AE738" s="279" t="s">
        <v>38</v>
      </c>
      <c r="AF738" s="279" t="s">
        <v>39</v>
      </c>
      <c r="AG738" s="279" t="s">
        <v>40</v>
      </c>
      <c r="AH738" s="279" t="s">
        <v>810</v>
      </c>
      <c r="AI738" s="198" t="s">
        <v>41</v>
      </c>
      <c r="AJ738" s="274" t="s">
        <v>37</v>
      </c>
      <c r="AK738"/>
    </row>
    <row r="739" spans="1:37" ht="15.75" hidden="1" customHeight="1">
      <c r="A739" s="198" t="s">
        <v>563</v>
      </c>
      <c r="B739" s="198" t="s">
        <v>691</v>
      </c>
      <c r="C739" s="214" t="s">
        <v>412</v>
      </c>
      <c r="D739" s="198" t="s">
        <v>9</v>
      </c>
      <c r="E739" s="198" t="s">
        <v>319</v>
      </c>
      <c r="F739" s="198">
        <v>78.3</v>
      </c>
      <c r="G739" s="198"/>
      <c r="H739" s="214" t="s">
        <v>325</v>
      </c>
      <c r="I739" s="214" t="s">
        <v>325</v>
      </c>
      <c r="J739" s="271"/>
      <c r="K739" s="198"/>
      <c r="L739" s="198"/>
      <c r="M739" s="198"/>
      <c r="N739" s="198"/>
      <c r="O739" s="198">
        <v>78.3</v>
      </c>
      <c r="P739" s="198"/>
      <c r="Q739" s="198" t="s">
        <v>628</v>
      </c>
      <c r="R739" s="230">
        <f>DATABASE_Table[[#This Row],[Inicial Asking Price (€) (Total)]]-DATABASE_Table[[#This Row],[Vista membership]]-DATABASE_Table[[#This Row],[FF&amp;E]]</f>
        <v>435000</v>
      </c>
      <c r="S739" s="231">
        <v>435000</v>
      </c>
      <c r="T739" s="232">
        <v>413250</v>
      </c>
      <c r="U739" s="198"/>
      <c r="V739" s="198"/>
      <c r="W739" s="233">
        <f>DATABASE_Table[[#This Row],[Current Asking price( Total)]]-DATABASE_Table[[#This Row],[Vista membership]]-DATABASE_Table[[#This Row],[FF&amp;E]]</f>
        <v>413250</v>
      </c>
      <c r="X739" s="216">
        <v>0</v>
      </c>
      <c r="Y739" s="232">
        <v>413250</v>
      </c>
      <c r="Z739" s="233">
        <f>DATABASE_Table[[#This Row],[Sell price (Total)]]-DATABASE_Table[[#This Row],[FF&amp;E]]-DATABASE_Table[[#This Row],[Vista membership]]</f>
        <v>413250</v>
      </c>
      <c r="AA739" s="316">
        <v>45510</v>
      </c>
      <c r="AB739" s="321"/>
      <c r="AC739" s="198" t="s">
        <v>10</v>
      </c>
      <c r="AD739" s="198" t="s">
        <v>11</v>
      </c>
      <c r="AE739" s="279" t="s">
        <v>28</v>
      </c>
      <c r="AF739" s="279" t="s">
        <v>29</v>
      </c>
      <c r="AG739" s="279" t="s">
        <v>805</v>
      </c>
      <c r="AH739" s="279" t="s">
        <v>806</v>
      </c>
      <c r="AI739" s="198" t="s">
        <v>30</v>
      </c>
      <c r="AJ739" s="274" t="s">
        <v>27</v>
      </c>
      <c r="AK739"/>
    </row>
    <row r="740" spans="1:37" ht="15.75" hidden="1" customHeight="1">
      <c r="A740" s="198" t="s">
        <v>690</v>
      </c>
      <c r="B740" s="198" t="s">
        <v>691</v>
      </c>
      <c r="C740" s="214" t="s">
        <v>413</v>
      </c>
      <c r="D740" s="198" t="s">
        <v>9</v>
      </c>
      <c r="E740" s="198" t="s">
        <v>765</v>
      </c>
      <c r="F740" s="198">
        <v>342.41</v>
      </c>
      <c r="G740" s="198">
        <v>181.96</v>
      </c>
      <c r="H740" s="214" t="s">
        <v>849</v>
      </c>
      <c r="I740" s="214" t="s">
        <v>325</v>
      </c>
      <c r="J740" s="271">
        <v>25.77</v>
      </c>
      <c r="K740" s="198"/>
      <c r="L740" s="198"/>
      <c r="M740" s="198"/>
      <c r="N740" s="198"/>
      <c r="O740" s="198">
        <v>134.68</v>
      </c>
      <c r="P740" s="198"/>
      <c r="Q740" s="198" t="s">
        <v>329</v>
      </c>
      <c r="R740" s="230">
        <f>DATABASE_Table[[#This Row],[Inicial Asking Price (€) (Total)]]-DATABASE_Table[[#This Row],[Vista membership]]-DATABASE_Table[[#This Row],[FF&amp;E]]</f>
        <v>1497700</v>
      </c>
      <c r="S740" s="231">
        <v>1568850</v>
      </c>
      <c r="T740" s="232">
        <v>1640000</v>
      </c>
      <c r="U740" s="198">
        <v>24600</v>
      </c>
      <c r="V740" s="198">
        <v>46550</v>
      </c>
      <c r="W740" s="233">
        <f>DATABASE_Table[[#This Row],[Current Asking price( Total)]]-DATABASE_Table[[#This Row],[Vista membership]]-DATABASE_Table[[#This Row],[FF&amp;E]]</f>
        <v>1568850</v>
      </c>
      <c r="X740" s="216"/>
      <c r="Y740" s="232">
        <v>1640000</v>
      </c>
      <c r="Z740" s="233">
        <f>DATABASE_Table[[#This Row],[Sell price (Total)]]-DATABASE_Table[[#This Row],[FF&amp;E]]-DATABASE_Table[[#This Row],[Vista membership]]</f>
        <v>1568850</v>
      </c>
      <c r="AA740" s="315"/>
      <c r="AB740" s="321"/>
      <c r="AC740" s="198" t="s">
        <v>10</v>
      </c>
      <c r="AD740" s="198" t="s">
        <v>35</v>
      </c>
      <c r="AE740" s="279" t="s">
        <v>38</v>
      </c>
      <c r="AF740" s="279" t="s">
        <v>39</v>
      </c>
      <c r="AG740" s="279" t="s">
        <v>40</v>
      </c>
      <c r="AH740" s="279" t="s">
        <v>810</v>
      </c>
      <c r="AI740" s="198" t="s">
        <v>41</v>
      </c>
      <c r="AJ740" s="274" t="s">
        <v>37</v>
      </c>
      <c r="AK740"/>
    </row>
    <row r="741" spans="1:37" ht="15.75" hidden="1" customHeight="1">
      <c r="A741" s="198" t="s">
        <v>563</v>
      </c>
      <c r="B741" s="198" t="s">
        <v>691</v>
      </c>
      <c r="C741" s="214" t="s">
        <v>413</v>
      </c>
      <c r="D741" s="198" t="s">
        <v>9</v>
      </c>
      <c r="E741" s="198" t="s">
        <v>319</v>
      </c>
      <c r="F741" s="198">
        <v>104.7</v>
      </c>
      <c r="G741" s="198"/>
      <c r="H741" s="214" t="s">
        <v>325</v>
      </c>
      <c r="I741" s="214" t="s">
        <v>325</v>
      </c>
      <c r="J741" s="271"/>
      <c r="K741" s="198"/>
      <c r="L741" s="198"/>
      <c r="M741" s="198"/>
      <c r="N741" s="198"/>
      <c r="O741" s="198">
        <v>104.7</v>
      </c>
      <c r="P741" s="198"/>
      <c r="Q741" s="198" t="s">
        <v>628</v>
      </c>
      <c r="R741" s="230">
        <f>DATABASE_Table[[#This Row],[Inicial Asking Price (€) (Total)]]-DATABASE_Table[[#This Row],[Vista membership]]-DATABASE_Table[[#This Row],[FF&amp;E]]</f>
        <v>530000</v>
      </c>
      <c r="S741" s="231">
        <v>530000</v>
      </c>
      <c r="T741" s="232">
        <v>530000</v>
      </c>
      <c r="U741" s="198"/>
      <c r="V741" s="198"/>
      <c r="W741" s="233">
        <f>DATABASE_Table[[#This Row],[Current Asking price( Total)]]-DATABASE_Table[[#This Row],[Vista membership]]-DATABASE_Table[[#This Row],[FF&amp;E]]</f>
        <v>530000</v>
      </c>
      <c r="X741" s="216">
        <v>0</v>
      </c>
      <c r="Y741" s="232">
        <v>530000</v>
      </c>
      <c r="Z741" s="233">
        <f>DATABASE_Table[[#This Row],[Sell price (Total)]]-DATABASE_Table[[#This Row],[FF&amp;E]]-DATABASE_Table[[#This Row],[Vista membership]]</f>
        <v>530000</v>
      </c>
      <c r="AA741" s="316">
        <v>45891</v>
      </c>
      <c r="AB741" s="321"/>
      <c r="AC741" s="198" t="s">
        <v>10</v>
      </c>
      <c r="AD741" s="198" t="s">
        <v>11</v>
      </c>
      <c r="AE741" s="279" t="s">
        <v>28</v>
      </c>
      <c r="AF741" s="279" t="s">
        <v>29</v>
      </c>
      <c r="AG741" s="279" t="s">
        <v>805</v>
      </c>
      <c r="AH741" s="279" t="s">
        <v>806</v>
      </c>
      <c r="AI741" s="198" t="s">
        <v>30</v>
      </c>
      <c r="AJ741" s="274" t="s">
        <v>27</v>
      </c>
      <c r="AK741"/>
    </row>
    <row r="742" spans="1:37" ht="15.75" hidden="1" customHeight="1">
      <c r="A742" s="198" t="s">
        <v>690</v>
      </c>
      <c r="B742" s="198" t="s">
        <v>691</v>
      </c>
      <c r="C742" s="214" t="s">
        <v>414</v>
      </c>
      <c r="D742" s="198" t="s">
        <v>9</v>
      </c>
      <c r="E742" s="198" t="s">
        <v>763</v>
      </c>
      <c r="F742" s="198">
        <v>523.07000000000005</v>
      </c>
      <c r="G742" s="198">
        <v>328.71</v>
      </c>
      <c r="H742" s="214" t="s">
        <v>849</v>
      </c>
      <c r="I742" s="214" t="s">
        <v>325</v>
      </c>
      <c r="J742" s="271">
        <v>31.95</v>
      </c>
      <c r="K742" s="198"/>
      <c r="L742" s="198"/>
      <c r="M742" s="198"/>
      <c r="N742" s="198"/>
      <c r="O742" s="198">
        <v>162.41</v>
      </c>
      <c r="P742" s="198"/>
      <c r="Q742" s="198" t="s">
        <v>329</v>
      </c>
      <c r="R742" s="230">
        <f>DATABASE_Table[[#This Row],[Inicial Asking Price (€) (Total)]]-DATABASE_Table[[#This Row],[Vista membership]]-DATABASE_Table[[#This Row],[FF&amp;E]]</f>
        <v>1708200</v>
      </c>
      <c r="S742" s="231">
        <v>1794100</v>
      </c>
      <c r="T742" s="232">
        <v>1880000</v>
      </c>
      <c r="U742" s="198">
        <v>24600</v>
      </c>
      <c r="V742" s="198">
        <v>61300</v>
      </c>
      <c r="W742" s="233">
        <f>DATABASE_Table[[#This Row],[Current Asking price( Total)]]-DATABASE_Table[[#This Row],[Vista membership]]-DATABASE_Table[[#This Row],[FF&amp;E]]</f>
        <v>1794100</v>
      </c>
      <c r="X742" s="216"/>
      <c r="Y742" s="232">
        <v>1880000</v>
      </c>
      <c r="Z742" s="233">
        <f>DATABASE_Table[[#This Row],[Sell price (Total)]]-DATABASE_Table[[#This Row],[FF&amp;E]]-DATABASE_Table[[#This Row],[Vista membership]]</f>
        <v>1794100</v>
      </c>
      <c r="AA742" s="315"/>
      <c r="AB742" s="321"/>
      <c r="AC742" s="198" t="s">
        <v>10</v>
      </c>
      <c r="AD742" s="198" t="s">
        <v>35</v>
      </c>
      <c r="AE742" s="279" t="s">
        <v>38</v>
      </c>
      <c r="AF742" s="279" t="s">
        <v>39</v>
      </c>
      <c r="AG742" s="279" t="s">
        <v>40</v>
      </c>
      <c r="AH742" s="279" t="s">
        <v>810</v>
      </c>
      <c r="AI742" s="198" t="s">
        <v>41</v>
      </c>
      <c r="AJ742" s="274" t="s">
        <v>37</v>
      </c>
      <c r="AK742"/>
    </row>
    <row r="743" spans="1:37" ht="15.75" hidden="1" customHeight="1">
      <c r="A743" s="198" t="s">
        <v>563</v>
      </c>
      <c r="B743" s="198" t="s">
        <v>691</v>
      </c>
      <c r="C743" s="214" t="s">
        <v>414</v>
      </c>
      <c r="D743" s="198" t="s">
        <v>9</v>
      </c>
      <c r="E743" s="198" t="s">
        <v>319</v>
      </c>
      <c r="F743" s="198">
        <v>104.7</v>
      </c>
      <c r="G743" s="198"/>
      <c r="H743" s="214" t="s">
        <v>325</v>
      </c>
      <c r="I743" s="214" t="s">
        <v>325</v>
      </c>
      <c r="J743" s="271"/>
      <c r="K743" s="198"/>
      <c r="L743" s="198"/>
      <c r="M743" s="198"/>
      <c r="N743" s="198"/>
      <c r="O743" s="198">
        <v>104.7</v>
      </c>
      <c r="P743" s="198"/>
      <c r="Q743" s="198" t="s">
        <v>628</v>
      </c>
      <c r="R743" s="230">
        <f>DATABASE_Table[[#This Row],[Inicial Asking Price (€) (Total)]]-DATABASE_Table[[#This Row],[Vista membership]]-DATABASE_Table[[#This Row],[FF&amp;E]]</f>
        <v>530000</v>
      </c>
      <c r="S743" s="231">
        <v>530000</v>
      </c>
      <c r="T743" s="232">
        <v>530000</v>
      </c>
      <c r="U743" s="198"/>
      <c r="V743" s="198"/>
      <c r="W743" s="233">
        <f>DATABASE_Table[[#This Row],[Current Asking price( Total)]]-DATABASE_Table[[#This Row],[Vista membership]]-DATABASE_Table[[#This Row],[FF&amp;E]]</f>
        <v>530000</v>
      </c>
      <c r="X743" s="216">
        <v>0</v>
      </c>
      <c r="Y743" s="232">
        <v>530000</v>
      </c>
      <c r="Z743" s="233">
        <f>DATABASE_Table[[#This Row],[Sell price (Total)]]-DATABASE_Table[[#This Row],[FF&amp;E]]-DATABASE_Table[[#This Row],[Vista membership]]</f>
        <v>530000</v>
      </c>
      <c r="AA743" s="316">
        <v>45931</v>
      </c>
      <c r="AB743" s="321"/>
      <c r="AC743" s="198" t="s">
        <v>10</v>
      </c>
      <c r="AD743" s="198" t="s">
        <v>11</v>
      </c>
      <c r="AE743" s="279" t="s">
        <v>28</v>
      </c>
      <c r="AF743" s="279" t="s">
        <v>29</v>
      </c>
      <c r="AG743" s="279" t="s">
        <v>805</v>
      </c>
      <c r="AH743" s="279" t="s">
        <v>806</v>
      </c>
      <c r="AI743" s="198" t="s">
        <v>30</v>
      </c>
      <c r="AJ743" s="274" t="s">
        <v>27</v>
      </c>
      <c r="AK743"/>
    </row>
    <row r="744" spans="1:37" ht="15.75" hidden="1" customHeight="1">
      <c r="A744" s="198" t="s">
        <v>690</v>
      </c>
      <c r="B744" s="198" t="s">
        <v>691</v>
      </c>
      <c r="C744" s="214" t="s">
        <v>415</v>
      </c>
      <c r="D744" s="198" t="s">
        <v>9</v>
      </c>
      <c r="E744" s="198" t="s">
        <v>763</v>
      </c>
      <c r="F744" s="198">
        <v>749.44</v>
      </c>
      <c r="G744" s="198">
        <v>555.95000000000005</v>
      </c>
      <c r="H744" s="214" t="s">
        <v>849</v>
      </c>
      <c r="I744" s="214" t="s">
        <v>325</v>
      </c>
      <c r="J744" s="271">
        <v>31.95</v>
      </c>
      <c r="K744" s="198"/>
      <c r="L744" s="198"/>
      <c r="M744" s="198"/>
      <c r="N744" s="198"/>
      <c r="O744" s="198">
        <v>161.54</v>
      </c>
      <c r="P744" s="198"/>
      <c r="Q744" s="198" t="s">
        <v>329</v>
      </c>
      <c r="R744" s="230">
        <f>DATABASE_Table[[#This Row],[Inicial Asking Price (€) (Total)]]-DATABASE_Table[[#This Row],[Vista membership]]-DATABASE_Table[[#This Row],[FF&amp;E]]</f>
        <v>1858200</v>
      </c>
      <c r="S744" s="231">
        <v>1944100</v>
      </c>
      <c r="T744" s="232">
        <v>2030000</v>
      </c>
      <c r="U744" s="198">
        <v>24600</v>
      </c>
      <c r="V744" s="198">
        <v>61300</v>
      </c>
      <c r="W744" s="233">
        <f>DATABASE_Table[[#This Row],[Current Asking price( Total)]]-DATABASE_Table[[#This Row],[Vista membership]]-DATABASE_Table[[#This Row],[FF&amp;E]]</f>
        <v>1944100</v>
      </c>
      <c r="X744" s="216"/>
      <c r="Y744" s="232">
        <v>2030000</v>
      </c>
      <c r="Z744" s="233">
        <f>DATABASE_Table[[#This Row],[Sell price (Total)]]-DATABASE_Table[[#This Row],[FF&amp;E]]-DATABASE_Table[[#This Row],[Vista membership]]</f>
        <v>1944100</v>
      </c>
      <c r="AA744" s="315"/>
      <c r="AB744" s="321"/>
      <c r="AC744" s="198" t="s">
        <v>10</v>
      </c>
      <c r="AD744" s="198" t="s">
        <v>35</v>
      </c>
      <c r="AE744" s="279" t="s">
        <v>38</v>
      </c>
      <c r="AF744" s="279" t="s">
        <v>39</v>
      </c>
      <c r="AG744" s="279" t="s">
        <v>40</v>
      </c>
      <c r="AH744" s="279" t="s">
        <v>810</v>
      </c>
      <c r="AI744" s="198" t="s">
        <v>41</v>
      </c>
      <c r="AJ744" s="274" t="s">
        <v>37</v>
      </c>
      <c r="AK744"/>
    </row>
    <row r="745" spans="1:37" ht="15.75" hidden="1" customHeight="1">
      <c r="A745" s="198" t="s">
        <v>778</v>
      </c>
      <c r="B745" s="198" t="s">
        <v>769</v>
      </c>
      <c r="C745" s="214" t="s">
        <v>889</v>
      </c>
      <c r="D745" s="198" t="s">
        <v>74</v>
      </c>
      <c r="E745" s="198" t="s">
        <v>553</v>
      </c>
      <c r="F745" s="198">
        <v>373.55</v>
      </c>
      <c r="G745" s="198"/>
      <c r="H745" s="214" t="s">
        <v>325</v>
      </c>
      <c r="I745" s="214" t="s">
        <v>325</v>
      </c>
      <c r="J745" s="271"/>
      <c r="K745" s="198"/>
      <c r="L745" s="198"/>
      <c r="M745" s="198"/>
      <c r="N745" s="198"/>
      <c r="O745" s="198">
        <v>373.55</v>
      </c>
      <c r="P745" s="198"/>
      <c r="Q745" s="198" t="s">
        <v>329</v>
      </c>
      <c r="R745" s="230">
        <f>DATABASE_Table[[#This Row],[Inicial Asking Price (€) (Total)]]-DATABASE_Table[[#This Row],[Vista membership]]-DATABASE_Table[[#This Row],[FF&amp;E]]</f>
        <v>1140000</v>
      </c>
      <c r="S745" s="234">
        <v>1140000</v>
      </c>
      <c r="T745" s="235">
        <v>840000</v>
      </c>
      <c r="U745" s="198"/>
      <c r="V745" s="198"/>
      <c r="W745" s="233">
        <f>DATABASE_Table[[#This Row],[Current Asking price( Total)]]-DATABASE_Table[[#This Row],[Vista membership]]-DATABASE_Table[[#This Row],[FF&amp;E]]</f>
        <v>840000</v>
      </c>
      <c r="X745" s="236"/>
      <c r="Y745" s="235"/>
      <c r="Z745" s="233">
        <f>DATABASE_Table[[#This Row],[Sell price (Total)]]-DATABASE_Table[[#This Row],[FF&amp;E]]-DATABASE_Table[[#This Row],[Vista membership]]</f>
        <v>0</v>
      </c>
      <c r="AA745" s="315"/>
      <c r="AB745" s="321" t="s">
        <v>32</v>
      </c>
      <c r="AC745" s="198" t="s">
        <v>57</v>
      </c>
      <c r="AD745" s="198"/>
      <c r="AE745" s="279" t="s">
        <v>75</v>
      </c>
      <c r="AF745" s="279" t="s">
        <v>554</v>
      </c>
      <c r="AG745" s="279" t="s">
        <v>76</v>
      </c>
      <c r="AH745" s="279" t="s">
        <v>77</v>
      </c>
      <c r="AI745" s="198" t="s">
        <v>32</v>
      </c>
      <c r="AJ745" s="274" t="s">
        <v>73</v>
      </c>
      <c r="AK745"/>
    </row>
    <row r="746" spans="1:37" ht="15.75" hidden="1" customHeight="1">
      <c r="A746" s="198" t="s">
        <v>778</v>
      </c>
      <c r="B746" s="198" t="s">
        <v>769</v>
      </c>
      <c r="C746" s="214" t="s">
        <v>893</v>
      </c>
      <c r="D746" s="198" t="s">
        <v>74</v>
      </c>
      <c r="E746" s="198" t="s">
        <v>553</v>
      </c>
      <c r="F746" s="198">
        <v>396.9</v>
      </c>
      <c r="G746" s="198"/>
      <c r="H746" s="214" t="s">
        <v>325</v>
      </c>
      <c r="I746" s="214" t="s">
        <v>325</v>
      </c>
      <c r="J746" s="271"/>
      <c r="K746" s="198"/>
      <c r="L746" s="198"/>
      <c r="M746" s="198"/>
      <c r="N746" s="198"/>
      <c r="O746" s="198">
        <v>396.9</v>
      </c>
      <c r="P746" s="198"/>
      <c r="Q746" s="198" t="s">
        <v>329</v>
      </c>
      <c r="R746" s="230">
        <f>DATABASE_Table[[#This Row],[Inicial Asking Price (€) (Total)]]-DATABASE_Table[[#This Row],[Vista membership]]-DATABASE_Table[[#This Row],[FF&amp;E]]</f>
        <v>1140000</v>
      </c>
      <c r="S746" s="234">
        <v>1140000</v>
      </c>
      <c r="T746" s="235">
        <v>850000</v>
      </c>
      <c r="U746" s="198"/>
      <c r="V746" s="198"/>
      <c r="W746" s="233">
        <f>DATABASE_Table[[#This Row],[Current Asking price( Total)]]-DATABASE_Table[[#This Row],[Vista membership]]-DATABASE_Table[[#This Row],[FF&amp;E]]</f>
        <v>850000</v>
      </c>
      <c r="X746" s="236"/>
      <c r="Y746" s="235"/>
      <c r="Z746" s="233">
        <f>DATABASE_Table[[#This Row],[Sell price (Total)]]-DATABASE_Table[[#This Row],[FF&amp;E]]-DATABASE_Table[[#This Row],[Vista membership]]</f>
        <v>0</v>
      </c>
      <c r="AA746" s="315"/>
      <c r="AB746" s="321" t="s">
        <v>32</v>
      </c>
      <c r="AC746" s="198" t="s">
        <v>57</v>
      </c>
      <c r="AD746" s="198"/>
      <c r="AE746" s="279" t="s">
        <v>75</v>
      </c>
      <c r="AF746" s="279" t="s">
        <v>554</v>
      </c>
      <c r="AG746" s="279" t="s">
        <v>76</v>
      </c>
      <c r="AH746" s="279" t="s">
        <v>77</v>
      </c>
      <c r="AI746" s="198" t="s">
        <v>32</v>
      </c>
      <c r="AJ746" s="274" t="s">
        <v>73</v>
      </c>
      <c r="AK746"/>
    </row>
    <row r="747" spans="1:37" ht="15.75" hidden="1" customHeight="1">
      <c r="A747" s="198" t="s">
        <v>778</v>
      </c>
      <c r="B747" s="198" t="s">
        <v>769</v>
      </c>
      <c r="C747" s="214" t="s">
        <v>894</v>
      </c>
      <c r="D747" s="198" t="s">
        <v>74</v>
      </c>
      <c r="E747" s="198" t="s">
        <v>553</v>
      </c>
      <c r="F747" s="198">
        <v>396.9</v>
      </c>
      <c r="G747" s="198"/>
      <c r="H747" s="214" t="s">
        <v>325</v>
      </c>
      <c r="I747" s="214" t="s">
        <v>325</v>
      </c>
      <c r="J747" s="271"/>
      <c r="K747" s="198"/>
      <c r="L747" s="198"/>
      <c r="M747" s="198"/>
      <c r="N747" s="198"/>
      <c r="O747" s="198">
        <v>396.9</v>
      </c>
      <c r="P747" s="198"/>
      <c r="Q747" s="198" t="s">
        <v>329</v>
      </c>
      <c r="R747" s="230">
        <f>DATABASE_Table[[#This Row],[Inicial Asking Price (€) (Total)]]-DATABASE_Table[[#This Row],[Vista membership]]-DATABASE_Table[[#This Row],[FF&amp;E]]</f>
        <v>1140000</v>
      </c>
      <c r="S747" s="234">
        <v>1140000</v>
      </c>
      <c r="T747" s="235">
        <v>850000</v>
      </c>
      <c r="U747" s="198"/>
      <c r="V747" s="198"/>
      <c r="W747" s="233">
        <f>DATABASE_Table[[#This Row],[Current Asking price( Total)]]-DATABASE_Table[[#This Row],[Vista membership]]-DATABASE_Table[[#This Row],[FF&amp;E]]</f>
        <v>850000</v>
      </c>
      <c r="X747" s="236"/>
      <c r="Y747" s="235"/>
      <c r="Z747" s="233">
        <f>DATABASE_Table[[#This Row],[Sell price (Total)]]-DATABASE_Table[[#This Row],[FF&amp;E]]-DATABASE_Table[[#This Row],[Vista membership]]</f>
        <v>0</v>
      </c>
      <c r="AA747" s="315"/>
      <c r="AB747" s="321" t="s">
        <v>32</v>
      </c>
      <c r="AC747" s="198" t="s">
        <v>57</v>
      </c>
      <c r="AD747" s="198"/>
      <c r="AE747" s="279" t="s">
        <v>75</v>
      </c>
      <c r="AF747" s="279" t="s">
        <v>554</v>
      </c>
      <c r="AG747" s="279" t="s">
        <v>76</v>
      </c>
      <c r="AH747" s="279" t="s">
        <v>77</v>
      </c>
      <c r="AI747" s="198" t="s">
        <v>32</v>
      </c>
      <c r="AJ747" s="274" t="s">
        <v>73</v>
      </c>
      <c r="AK747"/>
    </row>
    <row r="748" spans="1:37" ht="15.75" hidden="1" customHeight="1">
      <c r="A748" s="198" t="s">
        <v>778</v>
      </c>
      <c r="B748" s="198" t="s">
        <v>769</v>
      </c>
      <c r="C748" s="214" t="s">
        <v>895</v>
      </c>
      <c r="D748" s="198" t="s">
        <v>74</v>
      </c>
      <c r="E748" s="198" t="s">
        <v>553</v>
      </c>
      <c r="F748" s="198">
        <v>396.9</v>
      </c>
      <c r="G748" s="198"/>
      <c r="H748" s="214" t="s">
        <v>325</v>
      </c>
      <c r="I748" s="214" t="s">
        <v>325</v>
      </c>
      <c r="J748" s="271"/>
      <c r="K748" s="198"/>
      <c r="L748" s="198"/>
      <c r="M748" s="198"/>
      <c r="N748" s="198"/>
      <c r="O748" s="198">
        <v>396.9</v>
      </c>
      <c r="P748" s="198"/>
      <c r="Q748" s="198" t="s">
        <v>329</v>
      </c>
      <c r="R748" s="230">
        <f>DATABASE_Table[[#This Row],[Inicial Asking Price (€) (Total)]]-DATABASE_Table[[#This Row],[Vista membership]]-DATABASE_Table[[#This Row],[FF&amp;E]]</f>
        <v>1140000</v>
      </c>
      <c r="S748" s="234">
        <v>1140000</v>
      </c>
      <c r="T748" s="235">
        <v>930000</v>
      </c>
      <c r="U748" s="198"/>
      <c r="V748" s="198"/>
      <c r="W748" s="233">
        <f>DATABASE_Table[[#This Row],[Current Asking price( Total)]]-DATABASE_Table[[#This Row],[Vista membership]]-DATABASE_Table[[#This Row],[FF&amp;E]]</f>
        <v>930000</v>
      </c>
      <c r="X748" s="236"/>
      <c r="Y748" s="235"/>
      <c r="Z748" s="233">
        <f>DATABASE_Table[[#This Row],[Sell price (Total)]]-DATABASE_Table[[#This Row],[FF&amp;E]]-DATABASE_Table[[#This Row],[Vista membership]]</f>
        <v>0</v>
      </c>
      <c r="AA748" s="315"/>
      <c r="AB748" s="321" t="s">
        <v>32</v>
      </c>
      <c r="AC748" s="198" t="s">
        <v>57</v>
      </c>
      <c r="AD748" s="198"/>
      <c r="AE748" s="279" t="s">
        <v>75</v>
      </c>
      <c r="AF748" s="279" t="s">
        <v>554</v>
      </c>
      <c r="AG748" s="279" t="s">
        <v>76</v>
      </c>
      <c r="AH748" s="279" t="s">
        <v>77</v>
      </c>
      <c r="AI748" s="198" t="s">
        <v>32</v>
      </c>
      <c r="AJ748" s="274" t="s">
        <v>73</v>
      </c>
      <c r="AK748"/>
    </row>
    <row r="749" spans="1:37" ht="15.75" hidden="1" customHeight="1">
      <c r="A749" s="198" t="s">
        <v>563</v>
      </c>
      <c r="B749" s="198" t="s">
        <v>691</v>
      </c>
      <c r="C749" s="214" t="s">
        <v>415</v>
      </c>
      <c r="D749" s="198" t="s">
        <v>9</v>
      </c>
      <c r="E749" s="198" t="s">
        <v>320</v>
      </c>
      <c r="F749" s="198">
        <v>130.91999999999999</v>
      </c>
      <c r="G749" s="198"/>
      <c r="H749" s="214" t="s">
        <v>325</v>
      </c>
      <c r="I749" s="214" t="s">
        <v>325</v>
      </c>
      <c r="J749" s="271"/>
      <c r="K749" s="198"/>
      <c r="L749" s="198"/>
      <c r="M749" s="198"/>
      <c r="N749" s="198"/>
      <c r="O749" s="198">
        <v>130.91999999999999</v>
      </c>
      <c r="P749" s="198"/>
      <c r="Q749" s="198" t="s">
        <v>326</v>
      </c>
      <c r="R749" s="230">
        <f>DATABASE_Table[[#This Row],[Inicial Asking Price (€) (Total)]]-DATABASE_Table[[#This Row],[Vista membership]]-DATABASE_Table[[#This Row],[FF&amp;E]]</f>
        <v>660000</v>
      </c>
      <c r="S749" s="231">
        <v>660000</v>
      </c>
      <c r="T749" s="232">
        <v>680000</v>
      </c>
      <c r="U749" s="198"/>
      <c r="V749" s="198"/>
      <c r="W749" s="233">
        <f>DATABASE_Table[[#This Row],[Current Asking price( Total)]]-DATABASE_Table[[#This Row],[Vista membership]]-DATABASE_Table[[#This Row],[FF&amp;E]]</f>
        <v>680000</v>
      </c>
      <c r="X749" s="216">
        <v>0</v>
      </c>
      <c r="Y749" s="232">
        <v>680000</v>
      </c>
      <c r="Z749" s="233">
        <f>DATABASE_Table[[#This Row],[Sell price (Total)]]-DATABASE_Table[[#This Row],[FF&amp;E]]-DATABASE_Table[[#This Row],[Vista membership]]</f>
        <v>680000</v>
      </c>
      <c r="AA749" s="315">
        <v>46190</v>
      </c>
      <c r="AB749" s="321"/>
      <c r="AC749" s="198" t="s">
        <v>10</v>
      </c>
      <c r="AD749" s="198" t="s">
        <v>11</v>
      </c>
      <c r="AE749" s="279" t="s">
        <v>28</v>
      </c>
      <c r="AF749" s="279" t="s">
        <v>29</v>
      </c>
      <c r="AG749" s="279" t="s">
        <v>805</v>
      </c>
      <c r="AH749" s="279" t="s">
        <v>806</v>
      </c>
      <c r="AI749" s="198" t="s">
        <v>30</v>
      </c>
      <c r="AJ749" s="274" t="s">
        <v>27</v>
      </c>
      <c r="AK749"/>
    </row>
    <row r="750" spans="1:37" ht="15.75" hidden="1" customHeight="1">
      <c r="A750" s="198" t="s">
        <v>559</v>
      </c>
      <c r="B750" s="198" t="s">
        <v>691</v>
      </c>
      <c r="C750" s="214" t="s">
        <v>338</v>
      </c>
      <c r="D750" s="198" t="s">
        <v>9</v>
      </c>
      <c r="E750" s="198" t="s">
        <v>383</v>
      </c>
      <c r="F750" s="198">
        <v>177.48</v>
      </c>
      <c r="G750" s="198"/>
      <c r="H750" s="214" t="s">
        <v>325</v>
      </c>
      <c r="I750" s="214" t="s">
        <v>325</v>
      </c>
      <c r="J750" s="271"/>
      <c r="K750" s="198"/>
      <c r="L750" s="198"/>
      <c r="M750" s="198"/>
      <c r="N750" s="198"/>
      <c r="O750" s="198">
        <v>177.48</v>
      </c>
      <c r="P750" s="198"/>
      <c r="Q750" s="198" t="s">
        <v>929</v>
      </c>
      <c r="R750" s="230">
        <f>DATABASE_Table[[#This Row],[Inicial Asking Price (€) (Total)]]-DATABASE_Table[[#This Row],[Vista membership]]-DATABASE_Table[[#This Row],[FF&amp;E]]</f>
        <v>980000</v>
      </c>
      <c r="S750" s="231">
        <v>980000</v>
      </c>
      <c r="T750" s="232">
        <v>931000</v>
      </c>
      <c r="U750" s="198"/>
      <c r="V750" s="198"/>
      <c r="W750" s="233">
        <f>DATABASE_Table[[#This Row],[Current Asking price( Total)]]-DATABASE_Table[[#This Row],[Vista membership]]-DATABASE_Table[[#This Row],[FF&amp;E]]</f>
        <v>931000</v>
      </c>
      <c r="X750" s="216">
        <v>0</v>
      </c>
      <c r="Y750" s="232">
        <v>931000</v>
      </c>
      <c r="Z750" s="233">
        <f>DATABASE_Table[[#This Row],[Sell price (Total)]]-DATABASE_Table[[#This Row],[FF&amp;E]]-DATABASE_Table[[#This Row],[Vista membership]]</f>
        <v>931000</v>
      </c>
      <c r="AA750" s="315">
        <v>45086</v>
      </c>
      <c r="AB750" s="321"/>
      <c r="AC750" s="198" t="s">
        <v>10</v>
      </c>
      <c r="AD750" s="198" t="s">
        <v>802</v>
      </c>
      <c r="AE750" s="279" t="s">
        <v>17</v>
      </c>
      <c r="AF750" s="279" t="s">
        <v>18</v>
      </c>
      <c r="AG750" s="279" t="s">
        <v>19</v>
      </c>
      <c r="AH750" s="279" t="s">
        <v>20</v>
      </c>
      <c r="AI750" s="198" t="s">
        <v>21</v>
      </c>
      <c r="AJ750" s="274" t="s">
        <v>16</v>
      </c>
      <c r="AK750"/>
    </row>
    <row r="751" spans="1:37" ht="15.75" hidden="1" customHeight="1">
      <c r="A751" s="198" t="s">
        <v>560</v>
      </c>
      <c r="B751" s="198" t="s">
        <v>691</v>
      </c>
      <c r="C751" s="214" t="s">
        <v>338</v>
      </c>
      <c r="D751" s="198" t="s">
        <v>9</v>
      </c>
      <c r="E751" s="198" t="s">
        <v>384</v>
      </c>
      <c r="F751" s="198">
        <v>139.57</v>
      </c>
      <c r="G751" s="198"/>
      <c r="H751" s="214" t="s">
        <v>325</v>
      </c>
      <c r="I751" s="214" t="s">
        <v>325</v>
      </c>
      <c r="J751" s="271"/>
      <c r="K751" s="198"/>
      <c r="L751" s="198"/>
      <c r="M751" s="198"/>
      <c r="N751" s="198"/>
      <c r="O751" s="198">
        <v>139.57</v>
      </c>
      <c r="P751" s="198"/>
      <c r="Q751" s="198" t="s">
        <v>929</v>
      </c>
      <c r="R751" s="230">
        <f>DATABASE_Table[[#This Row],[Inicial Asking Price (€) (Total)]]-DATABASE_Table[[#This Row],[Vista membership]]-DATABASE_Table[[#This Row],[FF&amp;E]]</f>
        <v>760000</v>
      </c>
      <c r="S751" s="231">
        <v>760000</v>
      </c>
      <c r="T751" s="232">
        <v>780000</v>
      </c>
      <c r="U751" s="198"/>
      <c r="V751" s="198"/>
      <c r="W751" s="233">
        <f>DATABASE_Table[[#This Row],[Current Asking price( Total)]]-DATABASE_Table[[#This Row],[Vista membership]]-DATABASE_Table[[#This Row],[FF&amp;E]]</f>
        <v>780000</v>
      </c>
      <c r="X751" s="216">
        <v>0</v>
      </c>
      <c r="Y751" s="232">
        <v>780000</v>
      </c>
      <c r="Z751" s="233">
        <f>DATABASE_Table[[#This Row],[Sell price (Total)]]-DATABASE_Table[[#This Row],[FF&amp;E]]-DATABASE_Table[[#This Row],[Vista membership]]</f>
        <v>780000</v>
      </c>
      <c r="AA751" s="315">
        <v>45548</v>
      </c>
      <c r="AB751" s="321"/>
      <c r="AC751" s="198" t="s">
        <v>10</v>
      </c>
      <c r="AD751" s="198" t="s">
        <v>802</v>
      </c>
      <c r="AE751" s="279" t="s">
        <v>17</v>
      </c>
      <c r="AF751" s="279" t="s">
        <v>18</v>
      </c>
      <c r="AG751" s="279" t="s">
        <v>19</v>
      </c>
      <c r="AH751" s="279" t="s">
        <v>20</v>
      </c>
      <c r="AI751" s="198" t="s">
        <v>21</v>
      </c>
      <c r="AJ751" s="274" t="s">
        <v>16</v>
      </c>
      <c r="AK751"/>
    </row>
    <row r="752" spans="1:37" ht="15.75" hidden="1" customHeight="1">
      <c r="A752" s="198" t="s">
        <v>561</v>
      </c>
      <c r="B752" s="198" t="s">
        <v>691</v>
      </c>
      <c r="C752" s="214" t="s">
        <v>338</v>
      </c>
      <c r="D752" s="198" t="s">
        <v>9</v>
      </c>
      <c r="E752" s="198" t="s">
        <v>383</v>
      </c>
      <c r="F752" s="198">
        <v>183.29</v>
      </c>
      <c r="G752" s="198"/>
      <c r="H752" s="214" t="s">
        <v>325</v>
      </c>
      <c r="I752" s="214" t="s">
        <v>325</v>
      </c>
      <c r="J752" s="271"/>
      <c r="K752" s="198"/>
      <c r="L752" s="198"/>
      <c r="M752" s="198"/>
      <c r="N752" s="198"/>
      <c r="O752" s="198">
        <v>183.29</v>
      </c>
      <c r="P752" s="198"/>
      <c r="Q752" s="198" t="s">
        <v>327</v>
      </c>
      <c r="R752" s="230">
        <f>DATABASE_Table[[#This Row],[Inicial Asking Price (€) (Total)]]-DATABASE_Table[[#This Row],[Vista membership]]-DATABASE_Table[[#This Row],[FF&amp;E]]</f>
        <v>1290000</v>
      </c>
      <c r="S752" s="231">
        <v>1290000</v>
      </c>
      <c r="T752" s="232">
        <v>1290000</v>
      </c>
      <c r="U752" s="198"/>
      <c r="V752" s="198"/>
      <c r="W752" s="233">
        <f>DATABASE_Table[[#This Row],[Current Asking price( Total)]]-DATABASE_Table[[#This Row],[Vista membership]]-DATABASE_Table[[#This Row],[FF&amp;E]]</f>
        <v>1290000</v>
      </c>
      <c r="X752" s="216">
        <v>0</v>
      </c>
      <c r="Y752" s="232">
        <v>1290000</v>
      </c>
      <c r="Z752" s="233">
        <f>DATABASE_Table[[#This Row],[Sell price (Total)]]-DATABASE_Table[[#This Row],[FF&amp;E]]-DATABASE_Table[[#This Row],[Vista membership]]</f>
        <v>1290000</v>
      </c>
      <c r="AA752" s="315">
        <v>46132</v>
      </c>
      <c r="AB752" s="321"/>
      <c r="AC752" s="198" t="s">
        <v>10</v>
      </c>
      <c r="AD752" s="198" t="s">
        <v>802</v>
      </c>
      <c r="AE752" s="279" t="s">
        <v>17</v>
      </c>
      <c r="AF752" s="279" t="s">
        <v>18</v>
      </c>
      <c r="AG752" s="279" t="s">
        <v>19</v>
      </c>
      <c r="AH752" s="279" t="s">
        <v>20</v>
      </c>
      <c r="AI752" s="198" t="s">
        <v>21</v>
      </c>
      <c r="AJ752" s="274" t="s">
        <v>16</v>
      </c>
      <c r="AK752"/>
    </row>
    <row r="753" spans="1:37" ht="15.75" hidden="1" customHeight="1">
      <c r="A753" s="198" t="s">
        <v>776</v>
      </c>
      <c r="B753" s="198" t="s">
        <v>769</v>
      </c>
      <c r="C753" s="214" t="s">
        <v>853</v>
      </c>
      <c r="D753" s="198" t="s">
        <v>74</v>
      </c>
      <c r="E753" s="198" t="s">
        <v>553</v>
      </c>
      <c r="F753" s="198">
        <v>420</v>
      </c>
      <c r="G753" s="198"/>
      <c r="H753" s="214" t="s">
        <v>325</v>
      </c>
      <c r="I753" s="214" t="s">
        <v>325</v>
      </c>
      <c r="J753" s="271"/>
      <c r="K753" s="198"/>
      <c r="L753" s="198"/>
      <c r="M753" s="198"/>
      <c r="N753" s="198"/>
      <c r="O753" s="198">
        <v>420</v>
      </c>
      <c r="P753" s="198"/>
      <c r="Q753" s="198" t="s">
        <v>329</v>
      </c>
      <c r="R753" s="230">
        <f>DATABASE_Table[[#This Row],[Inicial Asking Price (€) (Total)]]-DATABASE_Table[[#This Row],[Vista membership]]-DATABASE_Table[[#This Row],[FF&amp;E]]</f>
        <v>1143000</v>
      </c>
      <c r="S753" s="234">
        <v>1143000</v>
      </c>
      <c r="T753" s="235">
        <v>980000</v>
      </c>
      <c r="U753" s="198"/>
      <c r="V753" s="198"/>
      <c r="W753" s="233">
        <f>DATABASE_Table[[#This Row],[Current Asking price( Total)]]-DATABASE_Table[[#This Row],[Vista membership]]-DATABASE_Table[[#This Row],[FF&amp;E]]</f>
        <v>980000</v>
      </c>
      <c r="X753" s="236"/>
      <c r="Y753" s="235"/>
      <c r="Z753" s="233">
        <f>DATABASE_Table[[#This Row],[Sell price (Total)]]-DATABASE_Table[[#This Row],[FF&amp;E]]-DATABASE_Table[[#This Row],[Vista membership]]</f>
        <v>0</v>
      </c>
      <c r="AA753" s="315"/>
      <c r="AB753" s="321" t="s">
        <v>32</v>
      </c>
      <c r="AC753" s="198" t="s">
        <v>57</v>
      </c>
      <c r="AD753" s="198"/>
      <c r="AE753" s="279" t="s">
        <v>75</v>
      </c>
      <c r="AF753" s="279" t="s">
        <v>554</v>
      </c>
      <c r="AG753" s="279" t="s">
        <v>76</v>
      </c>
      <c r="AH753" s="279" t="s">
        <v>77</v>
      </c>
      <c r="AI753" s="198" t="s">
        <v>32</v>
      </c>
      <c r="AJ753" s="274" t="s">
        <v>73</v>
      </c>
      <c r="AK753"/>
    </row>
    <row r="754" spans="1:37" ht="15.75" hidden="1" customHeight="1">
      <c r="A754" s="198" t="s">
        <v>558</v>
      </c>
      <c r="B754" s="198" t="s">
        <v>691</v>
      </c>
      <c r="C754" s="214" t="s">
        <v>338</v>
      </c>
      <c r="D754" s="198" t="s">
        <v>9</v>
      </c>
      <c r="E754" s="198" t="s">
        <v>319</v>
      </c>
      <c r="F754" s="198">
        <v>112.9</v>
      </c>
      <c r="G754" s="198"/>
      <c r="H754" s="214" t="s">
        <v>902</v>
      </c>
      <c r="I754" s="214" t="s">
        <v>325</v>
      </c>
      <c r="J754" s="271">
        <v>27.51</v>
      </c>
      <c r="K754" s="198"/>
      <c r="L754" s="198"/>
      <c r="M754" s="198"/>
      <c r="N754" s="198"/>
      <c r="O754" s="198">
        <v>112.9</v>
      </c>
      <c r="P754" s="198"/>
      <c r="Q754" s="198" t="s">
        <v>329</v>
      </c>
      <c r="R754" s="230">
        <f>DATABASE_Table[[#This Row],[Inicial Asking Price (€) (Total)]]-DATABASE_Table[[#This Row],[Vista membership]]-DATABASE_Table[[#This Row],[FF&amp;E]]</f>
        <v>695000</v>
      </c>
      <c r="S754" s="231">
        <v>695000</v>
      </c>
      <c r="T754" s="232">
        <v>695000</v>
      </c>
      <c r="U754" s="198"/>
      <c r="V754" s="198"/>
      <c r="W754" s="233">
        <f>DATABASE_Table[[#This Row],[Current Asking price( Total)]]-DATABASE_Table[[#This Row],[Vista membership]]-DATABASE_Table[[#This Row],[FF&amp;E]]</f>
        <v>695000</v>
      </c>
      <c r="X754" s="216"/>
      <c r="Y754" s="232">
        <v>695000</v>
      </c>
      <c r="Z754" s="233">
        <f>DATABASE_Table[[#This Row],[Sell price (Total)]]-DATABASE_Table[[#This Row],[FF&amp;E]]-DATABASE_Table[[#This Row],[Vista membership]]</f>
        <v>695000</v>
      </c>
      <c r="AA754" s="315"/>
      <c r="AB754" s="321"/>
      <c r="AC754" s="198" t="s">
        <v>10</v>
      </c>
      <c r="AD754" s="198" t="s">
        <v>11</v>
      </c>
      <c r="AE754" s="279" t="s">
        <v>12</v>
      </c>
      <c r="AF754" s="279" t="s">
        <v>801</v>
      </c>
      <c r="AG754" s="279" t="s">
        <v>13</v>
      </c>
      <c r="AH754" s="279" t="s">
        <v>14</v>
      </c>
      <c r="AI754" s="198" t="s">
        <v>15</v>
      </c>
      <c r="AJ754" s="274" t="s">
        <v>8</v>
      </c>
      <c r="AK754"/>
    </row>
    <row r="755" spans="1:37" ht="15.75" hidden="1" customHeight="1">
      <c r="A755" s="198" t="s">
        <v>31</v>
      </c>
      <c r="B755" s="198" t="s">
        <v>691</v>
      </c>
      <c r="C755" s="214" t="s">
        <v>338</v>
      </c>
      <c r="D755" s="198" t="s">
        <v>9</v>
      </c>
      <c r="E755" s="198" t="s">
        <v>319</v>
      </c>
      <c r="F755" s="198"/>
      <c r="G755" s="198"/>
      <c r="H755" s="214" t="s">
        <v>325</v>
      </c>
      <c r="I755" s="214" t="s">
        <v>325</v>
      </c>
      <c r="J755" s="271"/>
      <c r="K755" s="198">
        <v>73</v>
      </c>
      <c r="L755" s="198"/>
      <c r="M755" s="198">
        <v>0</v>
      </c>
      <c r="N755" s="198"/>
      <c r="O755" s="198">
        <v>106</v>
      </c>
      <c r="P755" s="198"/>
      <c r="Q755" s="198" t="s">
        <v>329</v>
      </c>
      <c r="R755" s="230">
        <f>DATABASE_Table[[#This Row],[Inicial Asking Price (€) (Total)]]-DATABASE_Table[[#This Row],[Vista membership]]-DATABASE_Table[[#This Row],[FF&amp;E]]</f>
        <v>790000</v>
      </c>
      <c r="S755" s="232">
        <v>790000</v>
      </c>
      <c r="T755" s="232">
        <v>790000</v>
      </c>
      <c r="U755" s="198"/>
      <c r="V755" s="198"/>
      <c r="W755" s="233">
        <f>DATABASE_Table[[#This Row],[Current Asking price( Total)]]-DATABASE_Table[[#This Row],[Vista membership]]-DATABASE_Table[[#This Row],[FF&amp;E]]</f>
        <v>790000</v>
      </c>
      <c r="X755" s="216"/>
      <c r="Y755" s="232">
        <v>780000</v>
      </c>
      <c r="Z755" s="233">
        <f>DATABASE_Table[[#This Row],[Sell price (Total)]]-DATABASE_Table[[#This Row],[FF&amp;E]]-DATABASE_Table[[#This Row],[Vista membership]]</f>
        <v>780000</v>
      </c>
      <c r="AA755" s="315"/>
      <c r="AB755" s="321"/>
      <c r="AC755" s="198" t="s">
        <v>10</v>
      </c>
      <c r="AD755" s="198" t="s">
        <v>807</v>
      </c>
      <c r="AE755" s="279" t="s">
        <v>32</v>
      </c>
      <c r="AF755" s="279" t="s">
        <v>808</v>
      </c>
      <c r="AG755" s="279" t="s">
        <v>33</v>
      </c>
      <c r="AH755" s="279" t="s">
        <v>809</v>
      </c>
      <c r="AI755" s="198" t="s">
        <v>15</v>
      </c>
      <c r="AJ755" s="274" t="s">
        <v>31</v>
      </c>
      <c r="AK755"/>
    </row>
    <row r="756" spans="1:37" ht="15.75" hidden="1" customHeight="1">
      <c r="A756" s="198" t="s">
        <v>690</v>
      </c>
      <c r="B756" s="198" t="s">
        <v>691</v>
      </c>
      <c r="C756" s="214" t="s">
        <v>338</v>
      </c>
      <c r="D756" s="198" t="s">
        <v>9</v>
      </c>
      <c r="E756" s="198" t="s">
        <v>383</v>
      </c>
      <c r="F756" s="198">
        <v>323.58999999999997</v>
      </c>
      <c r="G756" s="198">
        <v>165.79</v>
      </c>
      <c r="H756" s="214" t="s">
        <v>325</v>
      </c>
      <c r="I756" s="214" t="s">
        <v>325</v>
      </c>
      <c r="J756" s="271"/>
      <c r="K756" s="198"/>
      <c r="L756" s="198"/>
      <c r="M756" s="198"/>
      <c r="N756" s="198"/>
      <c r="O756" s="198">
        <v>157.80000000000001</v>
      </c>
      <c r="P756" s="198"/>
      <c r="Q756" s="198" t="s">
        <v>329</v>
      </c>
      <c r="R756" s="230">
        <f>DATABASE_Table[[#This Row],[Inicial Asking Price (€) (Total)]]-DATABASE_Table[[#This Row],[Vista membership]]-DATABASE_Table[[#This Row],[FF&amp;E]]</f>
        <v>1652100</v>
      </c>
      <c r="S756" s="231">
        <v>1741050</v>
      </c>
      <c r="T756" s="232">
        <v>1830000</v>
      </c>
      <c r="U756" s="198">
        <v>24600</v>
      </c>
      <c r="V756" s="198">
        <v>64350</v>
      </c>
      <c r="W756" s="233">
        <f>DATABASE_Table[[#This Row],[Current Asking price( Total)]]-DATABASE_Table[[#This Row],[Vista membership]]-DATABASE_Table[[#This Row],[FF&amp;E]]</f>
        <v>1741050</v>
      </c>
      <c r="X756" s="216"/>
      <c r="Y756" s="232">
        <v>1830000</v>
      </c>
      <c r="Z756" s="233">
        <f>DATABASE_Table[[#This Row],[Sell price (Total)]]-DATABASE_Table[[#This Row],[FF&amp;E]]-DATABASE_Table[[#This Row],[Vista membership]]</f>
        <v>1741050</v>
      </c>
      <c r="AA756" s="315"/>
      <c r="AB756" s="321"/>
      <c r="AC756" s="198" t="s">
        <v>10</v>
      </c>
      <c r="AD756" s="198" t="s">
        <v>35</v>
      </c>
      <c r="AE756" s="279" t="s">
        <v>38</v>
      </c>
      <c r="AF756" s="279" t="s">
        <v>39</v>
      </c>
      <c r="AG756" s="279" t="s">
        <v>40</v>
      </c>
      <c r="AH756" s="279" t="s">
        <v>810</v>
      </c>
      <c r="AI756" s="198" t="s">
        <v>41</v>
      </c>
      <c r="AJ756" s="274" t="s">
        <v>37</v>
      </c>
      <c r="AK756"/>
    </row>
    <row r="757" spans="1:37" ht="15.75" hidden="1" customHeight="1">
      <c r="A757" s="198" t="s">
        <v>562</v>
      </c>
      <c r="B757" s="198" t="s">
        <v>691</v>
      </c>
      <c r="C757" s="214" t="s">
        <v>338</v>
      </c>
      <c r="D757" s="198" t="s">
        <v>9</v>
      </c>
      <c r="E757" s="198" t="s">
        <v>319</v>
      </c>
      <c r="F757" s="198">
        <v>111</v>
      </c>
      <c r="G757" s="198"/>
      <c r="H757" s="214" t="s">
        <v>325</v>
      </c>
      <c r="I757" s="214" t="s">
        <v>325</v>
      </c>
      <c r="J757" s="271"/>
      <c r="K757" s="198"/>
      <c r="L757" s="198"/>
      <c r="M757" s="198"/>
      <c r="N757" s="198"/>
      <c r="O757" s="198">
        <v>111</v>
      </c>
      <c r="P757" s="198"/>
      <c r="Q757" s="198" t="s">
        <v>929</v>
      </c>
      <c r="R757" s="230">
        <f>DATABASE_Table[[#This Row],[Inicial Asking Price (€) (Total)]]-DATABASE_Table[[#This Row],[Vista membership]]-DATABASE_Table[[#This Row],[FF&amp;E]]</f>
        <v>570000</v>
      </c>
      <c r="S757" s="231">
        <v>570000</v>
      </c>
      <c r="T757" s="232">
        <v>570000</v>
      </c>
      <c r="U757" s="198"/>
      <c r="V757" s="198"/>
      <c r="W757" s="233">
        <f>DATABASE_Table[[#This Row],[Current Asking price( Total)]]-DATABASE_Table[[#This Row],[Vista membership]]-DATABASE_Table[[#This Row],[FF&amp;E]]</f>
        <v>570000</v>
      </c>
      <c r="X757" s="216">
        <v>0</v>
      </c>
      <c r="Y757" s="232">
        <v>570000</v>
      </c>
      <c r="Z757" s="233">
        <f>DATABASE_Table[[#This Row],[Sell price (Total)]]-DATABASE_Table[[#This Row],[FF&amp;E]]-DATABASE_Table[[#This Row],[Vista membership]]</f>
        <v>570000</v>
      </c>
      <c r="AA757" s="315">
        <v>45096</v>
      </c>
      <c r="AB757" s="321"/>
      <c r="AC757" s="198" t="s">
        <v>10</v>
      </c>
      <c r="AD757" s="198" t="s">
        <v>23</v>
      </c>
      <c r="AE757" s="279" t="s">
        <v>24</v>
      </c>
      <c r="AF757" s="279" t="s">
        <v>803</v>
      </c>
      <c r="AG757" s="279" t="s">
        <v>25</v>
      </c>
      <c r="AH757" s="279" t="s">
        <v>804</v>
      </c>
      <c r="AI757" s="198" t="s">
        <v>26</v>
      </c>
      <c r="AJ757" s="274" t="s">
        <v>22</v>
      </c>
      <c r="AK757"/>
    </row>
    <row r="758" spans="1:37" ht="15.75" hidden="1" customHeight="1">
      <c r="A758" s="198" t="s">
        <v>689</v>
      </c>
      <c r="B758" s="198" t="s">
        <v>691</v>
      </c>
      <c r="C758" s="214" t="s">
        <v>338</v>
      </c>
      <c r="D758" s="198"/>
      <c r="E758" s="198" t="s">
        <v>384</v>
      </c>
      <c r="F758" s="198">
        <v>152.87280000000001</v>
      </c>
      <c r="G758" s="198"/>
      <c r="H758" s="214" t="s">
        <v>325</v>
      </c>
      <c r="I758" s="214" t="s">
        <v>325</v>
      </c>
      <c r="J758" s="271"/>
      <c r="K758" s="198"/>
      <c r="L758" s="198"/>
      <c r="M758" s="198"/>
      <c r="N758" s="198"/>
      <c r="O758" s="198">
        <v>152.87280000000001</v>
      </c>
      <c r="P758" s="198"/>
      <c r="Q758" s="198" t="s">
        <v>929</v>
      </c>
      <c r="R758" s="230">
        <f>DATABASE_Table[[#This Row],[Inicial Asking Price (€) (Total)]]-DATABASE_Table[[#This Row],[Vista membership]]-DATABASE_Table[[#This Row],[FF&amp;E]]</f>
        <v>956250</v>
      </c>
      <c r="S758" s="231">
        <v>956250</v>
      </c>
      <c r="T758" s="232">
        <v>1040000</v>
      </c>
      <c r="U758" s="198"/>
      <c r="V758" s="198"/>
      <c r="W758" s="233">
        <f>DATABASE_Table[[#This Row],[Current Asking price( Total)]]-DATABASE_Table[[#This Row],[Vista membership]]-DATABASE_Table[[#This Row],[FF&amp;E]]</f>
        <v>1040000</v>
      </c>
      <c r="X758" s="216">
        <v>0</v>
      </c>
      <c r="Y758" s="232">
        <v>1040000</v>
      </c>
      <c r="Z758" s="233">
        <f>DATABASE_Table[[#This Row],[Sell price (Total)]]-DATABASE_Table[[#This Row],[FF&amp;E]]-DATABASE_Table[[#This Row],[Vista membership]]</f>
        <v>1040000</v>
      </c>
      <c r="AA758" s="315">
        <v>45163</v>
      </c>
      <c r="AB758" s="321"/>
      <c r="AC758" s="198"/>
      <c r="AD758" s="198"/>
      <c r="AE758" s="279"/>
      <c r="AF758" s="279"/>
      <c r="AG758" s="279"/>
      <c r="AH758" s="279"/>
      <c r="AI758" s="198"/>
      <c r="AJ758" s="274" t="s">
        <v>689</v>
      </c>
      <c r="AK758"/>
    </row>
    <row r="759" spans="1:37" ht="15.75" hidden="1" customHeight="1">
      <c r="A759" s="198" t="s">
        <v>564</v>
      </c>
      <c r="B759" s="198" t="s">
        <v>691</v>
      </c>
      <c r="C759" s="214" t="s">
        <v>338</v>
      </c>
      <c r="D759" s="198" t="s">
        <v>9</v>
      </c>
      <c r="E759" s="198" t="s">
        <v>319</v>
      </c>
      <c r="F759" s="198">
        <v>117.29</v>
      </c>
      <c r="G759" s="198"/>
      <c r="H759" s="214" t="s">
        <v>325</v>
      </c>
      <c r="I759" s="214" t="s">
        <v>325</v>
      </c>
      <c r="J759" s="271">
        <v>28.25</v>
      </c>
      <c r="K759" s="198"/>
      <c r="L759" s="198"/>
      <c r="M759" s="198"/>
      <c r="N759" s="198"/>
      <c r="O759" s="198">
        <v>89.04</v>
      </c>
      <c r="P759" s="198"/>
      <c r="Q759" s="198" t="s">
        <v>329</v>
      </c>
      <c r="R759" s="230">
        <f>DATABASE_Table[[#This Row],[Inicial Asking Price (€) (Total)]]-DATABASE_Table[[#This Row],[Vista membership]]-DATABASE_Table[[#This Row],[FF&amp;E]]</f>
        <v>662694.96</v>
      </c>
      <c r="S759" s="231">
        <v>727294.96</v>
      </c>
      <c r="T759" s="232">
        <v>790000</v>
      </c>
      <c r="U759" s="198">
        <v>24600</v>
      </c>
      <c r="V759" s="198">
        <v>40000</v>
      </c>
      <c r="W759" s="233">
        <f>DATABASE_Table[[#This Row],[Current Asking price( Total)]]-DATABASE_Table[[#This Row],[Vista membership]]-DATABASE_Table[[#This Row],[FF&amp;E]]</f>
        <v>725400</v>
      </c>
      <c r="X759" s="216"/>
      <c r="Y759" s="232">
        <v>790000</v>
      </c>
      <c r="Z759" s="233">
        <f>DATABASE_Table[[#This Row],[Sell price (Total)]]-DATABASE_Table[[#This Row],[FF&amp;E]]-DATABASE_Table[[#This Row],[Vista membership]]</f>
        <v>725400</v>
      </c>
      <c r="AA759" s="315"/>
      <c r="AB759" s="321"/>
      <c r="AC759" s="198" t="s">
        <v>10</v>
      </c>
      <c r="AD759" s="198" t="s">
        <v>35</v>
      </c>
      <c r="AE759" s="279" t="s">
        <v>43</v>
      </c>
      <c r="AF759" s="279" t="s">
        <v>44</v>
      </c>
      <c r="AG759" s="279" t="s">
        <v>45</v>
      </c>
      <c r="AH759" s="279" t="s">
        <v>46</v>
      </c>
      <c r="AI759" s="198" t="s">
        <v>47</v>
      </c>
      <c r="AJ759" s="274" t="s">
        <v>42</v>
      </c>
      <c r="AK759"/>
    </row>
    <row r="760" spans="1:37" ht="15.75" hidden="1" customHeight="1">
      <c r="A760" s="198" t="s">
        <v>563</v>
      </c>
      <c r="B760" s="198" t="s">
        <v>691</v>
      </c>
      <c r="C760" s="214" t="s">
        <v>422</v>
      </c>
      <c r="D760" s="198" t="s">
        <v>9</v>
      </c>
      <c r="E760" s="198" t="s">
        <v>320</v>
      </c>
      <c r="F760" s="198">
        <v>130.91999999999999</v>
      </c>
      <c r="G760" s="198"/>
      <c r="H760" s="214" t="s">
        <v>897</v>
      </c>
      <c r="I760" s="214" t="s">
        <v>325</v>
      </c>
      <c r="J760" s="271"/>
      <c r="K760" s="198"/>
      <c r="L760" s="198"/>
      <c r="M760" s="198"/>
      <c r="N760" s="198"/>
      <c r="O760" s="198">
        <v>130.91999999999999</v>
      </c>
      <c r="P760" s="198"/>
      <c r="Q760" s="198" t="s">
        <v>628</v>
      </c>
      <c r="R760" s="230">
        <f>DATABASE_Table[[#This Row],[Inicial Asking Price (€) (Total)]]-DATABASE_Table[[#This Row],[Vista membership]]-DATABASE_Table[[#This Row],[FF&amp;E]]</f>
        <v>660000</v>
      </c>
      <c r="S760" s="231">
        <v>660000</v>
      </c>
      <c r="T760" s="232">
        <v>670000</v>
      </c>
      <c r="U760" s="198"/>
      <c r="V760" s="198"/>
      <c r="W760" s="233">
        <f>DATABASE_Table[[#This Row],[Current Asking price( Total)]]-DATABASE_Table[[#This Row],[Vista membership]]-DATABASE_Table[[#This Row],[FF&amp;E]]</f>
        <v>670000</v>
      </c>
      <c r="X760" s="216">
        <v>0</v>
      </c>
      <c r="Y760" s="232">
        <v>670000</v>
      </c>
      <c r="Z760" s="233">
        <f>DATABASE_Table[[#This Row],[Sell price (Total)]]-DATABASE_Table[[#This Row],[FF&amp;E]]-DATABASE_Table[[#This Row],[Vista membership]]</f>
        <v>670000</v>
      </c>
      <c r="AA760" s="316">
        <v>46133</v>
      </c>
      <c r="AB760" s="321"/>
      <c r="AC760" s="198" t="s">
        <v>10</v>
      </c>
      <c r="AD760" s="198" t="s">
        <v>11</v>
      </c>
      <c r="AE760" s="279" t="s">
        <v>28</v>
      </c>
      <c r="AF760" s="279" t="s">
        <v>29</v>
      </c>
      <c r="AG760" s="279" t="s">
        <v>805</v>
      </c>
      <c r="AH760" s="279" t="s">
        <v>806</v>
      </c>
      <c r="AI760" s="198" t="s">
        <v>30</v>
      </c>
      <c r="AJ760" s="274" t="s">
        <v>27</v>
      </c>
      <c r="AK760"/>
    </row>
    <row r="761" spans="1:37" ht="15.75" hidden="1" customHeight="1">
      <c r="A761" s="198" t="s">
        <v>563</v>
      </c>
      <c r="B761" s="198" t="s">
        <v>691</v>
      </c>
      <c r="C761" s="214" t="s">
        <v>423</v>
      </c>
      <c r="D761" s="198" t="s">
        <v>9</v>
      </c>
      <c r="E761" s="198" t="s">
        <v>320</v>
      </c>
      <c r="F761" s="198">
        <v>130.91999999999999</v>
      </c>
      <c r="G761" s="198"/>
      <c r="H761" s="214" t="s">
        <v>898</v>
      </c>
      <c r="I761" s="214" t="s">
        <v>325</v>
      </c>
      <c r="J761" s="271"/>
      <c r="K761" s="198"/>
      <c r="L761" s="198"/>
      <c r="M761" s="198"/>
      <c r="N761" s="198"/>
      <c r="O761" s="198">
        <v>130.91999999999999</v>
      </c>
      <c r="P761" s="198"/>
      <c r="Q761" s="198" t="s">
        <v>329</v>
      </c>
      <c r="R761" s="230">
        <f>DATABASE_Table[[#This Row],[Inicial Asking Price (€) (Total)]]-DATABASE_Table[[#This Row],[Vista membership]]-DATABASE_Table[[#This Row],[FF&amp;E]]</f>
        <v>700000</v>
      </c>
      <c r="S761" s="231">
        <v>700000</v>
      </c>
      <c r="T761" s="232">
        <v>730000</v>
      </c>
      <c r="U761" s="198"/>
      <c r="V761" s="198"/>
      <c r="W761" s="233">
        <f>DATABASE_Table[[#This Row],[Current Asking price( Total)]]-DATABASE_Table[[#This Row],[Vista membership]]-DATABASE_Table[[#This Row],[FF&amp;E]]</f>
        <v>730000</v>
      </c>
      <c r="X761" s="216"/>
      <c r="Y761" s="232">
        <v>730000</v>
      </c>
      <c r="Z761" s="233">
        <f>DATABASE_Table[[#This Row],[Sell price (Total)]]-DATABASE_Table[[#This Row],[FF&amp;E]]-DATABASE_Table[[#This Row],[Vista membership]]</f>
        <v>730000</v>
      </c>
      <c r="AA761" s="315"/>
      <c r="AB761" s="321"/>
      <c r="AC761" s="198" t="s">
        <v>10</v>
      </c>
      <c r="AD761" s="198" t="s">
        <v>11</v>
      </c>
      <c r="AE761" s="279" t="s">
        <v>28</v>
      </c>
      <c r="AF761" s="279" t="s">
        <v>29</v>
      </c>
      <c r="AG761" s="279" t="s">
        <v>805</v>
      </c>
      <c r="AH761" s="279" t="s">
        <v>806</v>
      </c>
      <c r="AI761" s="198" t="s">
        <v>30</v>
      </c>
      <c r="AJ761" s="274" t="s">
        <v>27</v>
      </c>
      <c r="AK761"/>
    </row>
    <row r="762" spans="1:37" ht="15.75" hidden="1" customHeight="1">
      <c r="A762" s="198" t="s">
        <v>563</v>
      </c>
      <c r="B762" s="198" t="s">
        <v>691</v>
      </c>
      <c r="C762" s="214" t="s">
        <v>424</v>
      </c>
      <c r="D762" s="198" t="s">
        <v>9</v>
      </c>
      <c r="E762" s="198" t="s">
        <v>320</v>
      </c>
      <c r="F762" s="198">
        <v>130.91999999999999</v>
      </c>
      <c r="G762" s="198"/>
      <c r="H762" s="214" t="s">
        <v>592</v>
      </c>
      <c r="I762" s="214" t="s">
        <v>325</v>
      </c>
      <c r="J762" s="271"/>
      <c r="K762" s="198"/>
      <c r="L762" s="198"/>
      <c r="M762" s="198"/>
      <c r="N762" s="198"/>
      <c r="O762" s="198">
        <v>130.91999999999999</v>
      </c>
      <c r="P762" s="198"/>
      <c r="Q762" s="198" t="s">
        <v>329</v>
      </c>
      <c r="R762" s="230">
        <f>DATABASE_Table[[#This Row],[Inicial Asking Price (€) (Total)]]-DATABASE_Table[[#This Row],[Vista membership]]-DATABASE_Table[[#This Row],[FF&amp;E]]</f>
        <v>700000</v>
      </c>
      <c r="S762" s="231">
        <v>700000</v>
      </c>
      <c r="T762" s="232">
        <v>730000</v>
      </c>
      <c r="U762" s="198"/>
      <c r="V762" s="198"/>
      <c r="W762" s="233">
        <f>DATABASE_Table[[#This Row],[Current Asking price( Total)]]-DATABASE_Table[[#This Row],[Vista membership]]-DATABASE_Table[[#This Row],[FF&amp;E]]</f>
        <v>730000</v>
      </c>
      <c r="X762" s="216"/>
      <c r="Y762" s="232">
        <v>730000</v>
      </c>
      <c r="Z762" s="233">
        <f>DATABASE_Table[[#This Row],[Sell price (Total)]]-DATABASE_Table[[#This Row],[FF&amp;E]]-DATABASE_Table[[#This Row],[Vista membership]]</f>
        <v>730000</v>
      </c>
      <c r="AA762" s="315"/>
      <c r="AB762" s="321"/>
      <c r="AC762" s="198" t="s">
        <v>10</v>
      </c>
      <c r="AD762" s="198" t="s">
        <v>11</v>
      </c>
      <c r="AE762" s="279" t="s">
        <v>28</v>
      </c>
      <c r="AF762" s="279" t="s">
        <v>29</v>
      </c>
      <c r="AG762" s="279" t="s">
        <v>805</v>
      </c>
      <c r="AH762" s="279" t="s">
        <v>806</v>
      </c>
      <c r="AI762" s="198" t="s">
        <v>30</v>
      </c>
      <c r="AJ762" s="274" t="s">
        <v>27</v>
      </c>
      <c r="AK762"/>
    </row>
    <row r="763" spans="1:37" ht="15.75" hidden="1" customHeight="1">
      <c r="A763" s="198" t="s">
        <v>563</v>
      </c>
      <c r="B763" s="198" t="s">
        <v>691</v>
      </c>
      <c r="C763" s="214" t="s">
        <v>425</v>
      </c>
      <c r="D763" s="198" t="s">
        <v>9</v>
      </c>
      <c r="E763" s="198" t="s">
        <v>319</v>
      </c>
      <c r="F763" s="198">
        <v>78.3</v>
      </c>
      <c r="G763" s="198"/>
      <c r="H763" s="214" t="s">
        <v>593</v>
      </c>
      <c r="I763" s="214" t="s">
        <v>325</v>
      </c>
      <c r="J763" s="271"/>
      <c r="K763" s="198"/>
      <c r="L763" s="198"/>
      <c r="M763" s="198"/>
      <c r="N763" s="198"/>
      <c r="O763" s="198">
        <v>78.3</v>
      </c>
      <c r="P763" s="198"/>
      <c r="Q763" s="198" t="s">
        <v>628</v>
      </c>
      <c r="R763" s="230">
        <f>DATABASE_Table[[#This Row],[Inicial Asking Price (€) (Total)]]-DATABASE_Table[[#This Row],[Vista membership]]-DATABASE_Table[[#This Row],[FF&amp;E]]</f>
        <v>455000</v>
      </c>
      <c r="S763" s="231">
        <v>455000</v>
      </c>
      <c r="T763" s="232">
        <v>455000</v>
      </c>
      <c r="U763" s="198"/>
      <c r="V763" s="198"/>
      <c r="W763" s="233">
        <f>DATABASE_Table[[#This Row],[Current Asking price( Total)]]-DATABASE_Table[[#This Row],[Vista membership]]-DATABASE_Table[[#This Row],[FF&amp;E]]</f>
        <v>455000</v>
      </c>
      <c r="X763" s="216">
        <v>0</v>
      </c>
      <c r="Y763" s="232">
        <v>455000</v>
      </c>
      <c r="Z763" s="233">
        <f>DATABASE_Table[[#This Row],[Sell price (Total)]]-DATABASE_Table[[#This Row],[FF&amp;E]]-DATABASE_Table[[#This Row],[Vista membership]]</f>
        <v>455000</v>
      </c>
      <c r="AA763" s="316">
        <v>45834</v>
      </c>
      <c r="AB763" s="321"/>
      <c r="AC763" s="198" t="s">
        <v>10</v>
      </c>
      <c r="AD763" s="198" t="s">
        <v>11</v>
      </c>
      <c r="AE763" s="279" t="s">
        <v>28</v>
      </c>
      <c r="AF763" s="279" t="s">
        <v>29</v>
      </c>
      <c r="AG763" s="279" t="s">
        <v>805</v>
      </c>
      <c r="AH763" s="279" t="s">
        <v>806</v>
      </c>
      <c r="AI763" s="198" t="s">
        <v>30</v>
      </c>
      <c r="AJ763" s="274" t="s">
        <v>27</v>
      </c>
      <c r="AK763"/>
    </row>
    <row r="764" spans="1:37" ht="15.75" hidden="1" customHeight="1">
      <c r="A764" s="198" t="s">
        <v>563</v>
      </c>
      <c r="B764" s="198" t="s">
        <v>691</v>
      </c>
      <c r="C764" s="214" t="s">
        <v>426</v>
      </c>
      <c r="D764" s="198" t="s">
        <v>9</v>
      </c>
      <c r="E764" s="198" t="s">
        <v>320</v>
      </c>
      <c r="F764" s="198">
        <v>130.91999999999999</v>
      </c>
      <c r="G764" s="198"/>
      <c r="H764" s="214" t="s">
        <v>594</v>
      </c>
      <c r="I764" s="214" t="s">
        <v>325</v>
      </c>
      <c r="J764" s="271"/>
      <c r="K764" s="198"/>
      <c r="L764" s="198"/>
      <c r="M764" s="198"/>
      <c r="N764" s="198"/>
      <c r="O764" s="198">
        <v>130.91999999999999</v>
      </c>
      <c r="P764" s="198"/>
      <c r="Q764" s="198" t="s">
        <v>329</v>
      </c>
      <c r="R764" s="230">
        <f>DATABASE_Table[[#This Row],[Inicial Asking Price (€) (Total)]]-DATABASE_Table[[#This Row],[Vista membership]]-DATABASE_Table[[#This Row],[FF&amp;E]]</f>
        <v>700000</v>
      </c>
      <c r="S764" s="231">
        <v>700000</v>
      </c>
      <c r="T764" s="232">
        <v>730000</v>
      </c>
      <c r="U764" s="198"/>
      <c r="V764" s="198"/>
      <c r="W764" s="233">
        <f>DATABASE_Table[[#This Row],[Current Asking price( Total)]]-DATABASE_Table[[#This Row],[Vista membership]]-DATABASE_Table[[#This Row],[FF&amp;E]]</f>
        <v>730000</v>
      </c>
      <c r="X764" s="216"/>
      <c r="Y764" s="232">
        <v>730000</v>
      </c>
      <c r="Z764" s="233">
        <f>DATABASE_Table[[#This Row],[Sell price (Total)]]-DATABASE_Table[[#This Row],[FF&amp;E]]-DATABASE_Table[[#This Row],[Vista membership]]</f>
        <v>730000</v>
      </c>
      <c r="AA764" s="315"/>
      <c r="AB764" s="321"/>
      <c r="AC764" s="198" t="s">
        <v>10</v>
      </c>
      <c r="AD764" s="198" t="s">
        <v>11</v>
      </c>
      <c r="AE764" s="279" t="s">
        <v>28</v>
      </c>
      <c r="AF764" s="279" t="s">
        <v>29</v>
      </c>
      <c r="AG764" s="279" t="s">
        <v>805</v>
      </c>
      <c r="AH764" s="279" t="s">
        <v>806</v>
      </c>
      <c r="AI764" s="198" t="s">
        <v>30</v>
      </c>
      <c r="AJ764" s="274" t="s">
        <v>27</v>
      </c>
      <c r="AK764"/>
    </row>
    <row r="765" spans="1:37" ht="15.75" hidden="1" customHeight="1">
      <c r="A765" s="198" t="s">
        <v>563</v>
      </c>
      <c r="B765" s="198" t="s">
        <v>691</v>
      </c>
      <c r="C765" s="214" t="s">
        <v>427</v>
      </c>
      <c r="D765" s="198" t="s">
        <v>9</v>
      </c>
      <c r="E765" s="198" t="s">
        <v>319</v>
      </c>
      <c r="F765" s="198">
        <v>78.3</v>
      </c>
      <c r="G765" s="198"/>
      <c r="H765" s="214" t="s">
        <v>899</v>
      </c>
      <c r="I765" s="214" t="s">
        <v>325</v>
      </c>
      <c r="J765" s="271"/>
      <c r="K765" s="198"/>
      <c r="L765" s="198"/>
      <c r="M765" s="198"/>
      <c r="N765" s="198"/>
      <c r="O765" s="198">
        <v>78.3</v>
      </c>
      <c r="P765" s="198"/>
      <c r="Q765" s="198" t="s">
        <v>628</v>
      </c>
      <c r="R765" s="230">
        <f>DATABASE_Table[[#This Row],[Inicial Asking Price (€) (Total)]]-DATABASE_Table[[#This Row],[Vista membership]]-DATABASE_Table[[#This Row],[FF&amp;E]]</f>
        <v>455000</v>
      </c>
      <c r="S765" s="231">
        <v>455000</v>
      </c>
      <c r="T765" s="232">
        <v>455000</v>
      </c>
      <c r="U765" s="198"/>
      <c r="V765" s="198"/>
      <c r="W765" s="233">
        <f>DATABASE_Table[[#This Row],[Current Asking price( Total)]]-DATABASE_Table[[#This Row],[Vista membership]]-DATABASE_Table[[#This Row],[FF&amp;E]]</f>
        <v>455000</v>
      </c>
      <c r="X765" s="216">
        <v>0</v>
      </c>
      <c r="Y765" s="232">
        <v>455000</v>
      </c>
      <c r="Z765" s="233">
        <f>DATABASE_Table[[#This Row],[Sell price (Total)]]-DATABASE_Table[[#This Row],[FF&amp;E]]-DATABASE_Table[[#This Row],[Vista membership]]</f>
        <v>455000</v>
      </c>
      <c r="AA765" s="316">
        <v>45898</v>
      </c>
      <c r="AB765" s="321"/>
      <c r="AC765" s="198" t="s">
        <v>10</v>
      </c>
      <c r="AD765" s="198" t="s">
        <v>11</v>
      </c>
      <c r="AE765" s="279" t="s">
        <v>28</v>
      </c>
      <c r="AF765" s="279" t="s">
        <v>29</v>
      </c>
      <c r="AG765" s="279" t="s">
        <v>805</v>
      </c>
      <c r="AH765" s="279" t="s">
        <v>806</v>
      </c>
      <c r="AI765" s="198" t="s">
        <v>30</v>
      </c>
      <c r="AJ765" s="274" t="s">
        <v>27</v>
      </c>
      <c r="AK765"/>
    </row>
    <row r="766" spans="1:37" ht="15.75" hidden="1" customHeight="1">
      <c r="A766" s="198" t="s">
        <v>784</v>
      </c>
      <c r="B766" s="198" t="s">
        <v>787</v>
      </c>
      <c r="C766" s="214" t="s">
        <v>465</v>
      </c>
      <c r="D766" s="198" t="s">
        <v>88</v>
      </c>
      <c r="E766" s="198" t="s">
        <v>462</v>
      </c>
      <c r="F766" s="198">
        <v>360.04</v>
      </c>
      <c r="G766" s="198"/>
      <c r="H766" s="214" t="s">
        <v>849</v>
      </c>
      <c r="I766" s="214" t="s">
        <v>590</v>
      </c>
      <c r="J766" s="271">
        <v>9.57</v>
      </c>
      <c r="K766" s="198">
        <v>98.96</v>
      </c>
      <c r="L766" s="198">
        <v>51.75</v>
      </c>
      <c r="M766" s="198"/>
      <c r="N766" s="198"/>
      <c r="O766" s="198">
        <v>199.76</v>
      </c>
      <c r="P766" s="198"/>
      <c r="Q766" s="198" t="s">
        <v>591</v>
      </c>
      <c r="R766" s="230">
        <f>DATABASE_Table[[#This Row],[Inicial Asking Price (€) (Total)]]-DATABASE_Table[[#This Row],[Vista membership]]-DATABASE_Table[[#This Row],[FF&amp;E]]</f>
        <v>1190000</v>
      </c>
      <c r="S766" s="234">
        <v>1190000</v>
      </c>
      <c r="T766" s="235">
        <v>1220000</v>
      </c>
      <c r="U766" s="198"/>
      <c r="V766" s="198"/>
      <c r="W766" s="233">
        <f>DATABASE_Table[[#This Row],[Current Asking price( Total)]]-DATABASE_Table[[#This Row],[Vista membership]]-DATABASE_Table[[#This Row],[FF&amp;E]]</f>
        <v>1220000</v>
      </c>
      <c r="X766" s="236"/>
      <c r="Y766" s="235"/>
      <c r="Z766" s="233">
        <f>DATABASE_Table[[#This Row],[Sell price (Total)]]-DATABASE_Table[[#This Row],[FF&amp;E]]-DATABASE_Table[[#This Row],[Vista membership]]</f>
        <v>0</v>
      </c>
      <c r="AA766" s="315"/>
      <c r="AB766" s="321">
        <v>47208</v>
      </c>
      <c r="AC766" s="198" t="s">
        <v>80</v>
      </c>
      <c r="AD766" s="198" t="s">
        <v>81</v>
      </c>
      <c r="AE766" s="279" t="s">
        <v>89</v>
      </c>
      <c r="AF766" s="279" t="s">
        <v>90</v>
      </c>
      <c r="AG766" s="279" t="s">
        <v>91</v>
      </c>
      <c r="AH766" s="279" t="s">
        <v>92</v>
      </c>
      <c r="AI766" s="198" t="s">
        <v>30</v>
      </c>
      <c r="AJ766" s="274" t="s">
        <v>87</v>
      </c>
      <c r="AK766"/>
    </row>
    <row r="767" spans="1:37" ht="15.75" hidden="1" customHeight="1">
      <c r="A767" s="198" t="s">
        <v>784</v>
      </c>
      <c r="B767" s="198" t="s">
        <v>787</v>
      </c>
      <c r="C767" s="214" t="s">
        <v>466</v>
      </c>
      <c r="D767" s="198" t="s">
        <v>88</v>
      </c>
      <c r="E767" s="198" t="s">
        <v>462</v>
      </c>
      <c r="F767" s="198">
        <v>373.34</v>
      </c>
      <c r="G767" s="198"/>
      <c r="H767" s="214" t="s">
        <v>849</v>
      </c>
      <c r="I767" s="214" t="s">
        <v>590</v>
      </c>
      <c r="J767" s="271">
        <v>9.57</v>
      </c>
      <c r="K767" s="198">
        <v>103.98</v>
      </c>
      <c r="L767" s="198">
        <v>53.31</v>
      </c>
      <c r="M767" s="198"/>
      <c r="N767" s="198"/>
      <c r="O767" s="198">
        <v>206.48</v>
      </c>
      <c r="P767" s="198"/>
      <c r="Q767" s="198" t="s">
        <v>591</v>
      </c>
      <c r="R767" s="230">
        <f>DATABASE_Table[[#This Row],[Inicial Asking Price (€) (Total)]]-DATABASE_Table[[#This Row],[Vista membership]]-DATABASE_Table[[#This Row],[FF&amp;E]]</f>
        <v>1190000</v>
      </c>
      <c r="S767" s="234">
        <v>1190000</v>
      </c>
      <c r="T767" s="235">
        <v>1220000</v>
      </c>
      <c r="U767" s="198"/>
      <c r="V767" s="198"/>
      <c r="W767" s="233">
        <f>DATABASE_Table[[#This Row],[Current Asking price( Total)]]-DATABASE_Table[[#This Row],[Vista membership]]-DATABASE_Table[[#This Row],[FF&amp;E]]</f>
        <v>1220000</v>
      </c>
      <c r="X767" s="236"/>
      <c r="Y767" s="235"/>
      <c r="Z767" s="233">
        <f>DATABASE_Table[[#This Row],[Sell price (Total)]]-DATABASE_Table[[#This Row],[FF&amp;E]]-DATABASE_Table[[#This Row],[Vista membership]]</f>
        <v>0</v>
      </c>
      <c r="AA767" s="315"/>
      <c r="AB767" s="321">
        <v>47208</v>
      </c>
      <c r="AC767" s="198" t="s">
        <v>80</v>
      </c>
      <c r="AD767" s="198" t="s">
        <v>81</v>
      </c>
      <c r="AE767" s="279" t="s">
        <v>89</v>
      </c>
      <c r="AF767" s="279" t="s">
        <v>90</v>
      </c>
      <c r="AG767" s="279" t="s">
        <v>91</v>
      </c>
      <c r="AH767" s="279" t="s">
        <v>92</v>
      </c>
      <c r="AI767" s="198" t="s">
        <v>30</v>
      </c>
      <c r="AJ767" s="274" t="s">
        <v>87</v>
      </c>
      <c r="AK767"/>
    </row>
    <row r="768" spans="1:37" ht="15.75" hidden="1" customHeight="1">
      <c r="A768" s="198" t="s">
        <v>563</v>
      </c>
      <c r="B768" s="198" t="s">
        <v>691</v>
      </c>
      <c r="C768" s="214" t="s">
        <v>428</v>
      </c>
      <c r="D768" s="198" t="s">
        <v>9</v>
      </c>
      <c r="E768" s="198" t="s">
        <v>319</v>
      </c>
      <c r="F768" s="198">
        <v>78.3</v>
      </c>
      <c r="G768" s="198"/>
      <c r="H768" s="214" t="s">
        <v>595</v>
      </c>
      <c r="I768" s="214" t="s">
        <v>325</v>
      </c>
      <c r="J768" s="271"/>
      <c r="K768" s="198"/>
      <c r="L768" s="198"/>
      <c r="M768" s="198"/>
      <c r="N768" s="198"/>
      <c r="O768" s="198">
        <v>78.3</v>
      </c>
      <c r="P768" s="198"/>
      <c r="Q768" s="198" t="s">
        <v>628</v>
      </c>
      <c r="R768" s="230">
        <f>DATABASE_Table[[#This Row],[Inicial Asking Price (€) (Total)]]-DATABASE_Table[[#This Row],[Vista membership]]-DATABASE_Table[[#This Row],[FF&amp;E]]</f>
        <v>455000</v>
      </c>
      <c r="S768" s="231">
        <v>455000</v>
      </c>
      <c r="T768" s="232">
        <v>455000</v>
      </c>
      <c r="U768" s="198"/>
      <c r="V768" s="198"/>
      <c r="W768" s="233">
        <f>DATABASE_Table[[#This Row],[Current Asking price( Total)]]-DATABASE_Table[[#This Row],[Vista membership]]-DATABASE_Table[[#This Row],[FF&amp;E]]</f>
        <v>455000</v>
      </c>
      <c r="X768" s="216">
        <v>0</v>
      </c>
      <c r="Y768" s="232">
        <v>455000</v>
      </c>
      <c r="Z768" s="233">
        <f>DATABASE_Table[[#This Row],[Sell price (Total)]]-DATABASE_Table[[#This Row],[FF&amp;E]]-DATABASE_Table[[#This Row],[Vista membership]]</f>
        <v>455000</v>
      </c>
      <c r="AA768" s="316">
        <v>45869</v>
      </c>
      <c r="AB768" s="321"/>
      <c r="AC768" s="198" t="s">
        <v>10</v>
      </c>
      <c r="AD768" s="198" t="s">
        <v>11</v>
      </c>
      <c r="AE768" s="279" t="s">
        <v>28</v>
      </c>
      <c r="AF768" s="279" t="s">
        <v>29</v>
      </c>
      <c r="AG768" s="279" t="s">
        <v>805</v>
      </c>
      <c r="AH768" s="279" t="s">
        <v>806</v>
      </c>
      <c r="AI768" s="198" t="s">
        <v>30</v>
      </c>
      <c r="AJ768" s="274" t="s">
        <v>27</v>
      </c>
      <c r="AK768"/>
    </row>
    <row r="769" spans="1:37" ht="15.75" hidden="1" customHeight="1">
      <c r="A769" s="198" t="s">
        <v>563</v>
      </c>
      <c r="B769" s="198" t="s">
        <v>691</v>
      </c>
      <c r="C769" s="214" t="s">
        <v>429</v>
      </c>
      <c r="D769" s="198" t="s">
        <v>9</v>
      </c>
      <c r="E769" s="198" t="s">
        <v>319</v>
      </c>
      <c r="F769" s="198">
        <v>78.3</v>
      </c>
      <c r="G769" s="198"/>
      <c r="H769" s="214" t="s">
        <v>596</v>
      </c>
      <c r="I769" s="214" t="s">
        <v>325</v>
      </c>
      <c r="J769" s="271"/>
      <c r="K769" s="198"/>
      <c r="L769" s="198"/>
      <c r="M769" s="198"/>
      <c r="N769" s="198"/>
      <c r="O769" s="198">
        <v>78.3</v>
      </c>
      <c r="P769" s="198"/>
      <c r="Q769" s="198" t="s">
        <v>628</v>
      </c>
      <c r="R769" s="230">
        <f>DATABASE_Table[[#This Row],[Inicial Asking Price (€) (Total)]]-DATABASE_Table[[#This Row],[Vista membership]]-DATABASE_Table[[#This Row],[FF&amp;E]]</f>
        <v>455000</v>
      </c>
      <c r="S769" s="231">
        <v>455000</v>
      </c>
      <c r="T769" s="232">
        <v>455000</v>
      </c>
      <c r="U769" s="198"/>
      <c r="V769" s="198"/>
      <c r="W769" s="233">
        <f>DATABASE_Table[[#This Row],[Current Asking price( Total)]]-DATABASE_Table[[#This Row],[Vista membership]]-DATABASE_Table[[#This Row],[FF&amp;E]]</f>
        <v>455000</v>
      </c>
      <c r="X769" s="216">
        <v>0</v>
      </c>
      <c r="Y769" s="232">
        <v>455000</v>
      </c>
      <c r="Z769" s="233">
        <f>DATABASE_Table[[#This Row],[Sell price (Total)]]-DATABASE_Table[[#This Row],[FF&amp;E]]-DATABASE_Table[[#This Row],[Vista membership]]</f>
        <v>455000</v>
      </c>
      <c r="AA769" s="316">
        <v>45891</v>
      </c>
      <c r="AB769" s="321"/>
      <c r="AC769" s="198" t="s">
        <v>10</v>
      </c>
      <c r="AD769" s="198" t="s">
        <v>11</v>
      </c>
      <c r="AE769" s="279" t="s">
        <v>28</v>
      </c>
      <c r="AF769" s="279" t="s">
        <v>29</v>
      </c>
      <c r="AG769" s="279" t="s">
        <v>805</v>
      </c>
      <c r="AH769" s="279" t="s">
        <v>806</v>
      </c>
      <c r="AI769" s="198" t="s">
        <v>30</v>
      </c>
      <c r="AJ769" s="274" t="s">
        <v>27</v>
      </c>
      <c r="AK769"/>
    </row>
    <row r="770" spans="1:37" ht="15.75" hidden="1" customHeight="1">
      <c r="A770" s="198" t="s">
        <v>776</v>
      </c>
      <c r="B770" s="198" t="s">
        <v>769</v>
      </c>
      <c r="C770" s="214" t="s">
        <v>887</v>
      </c>
      <c r="D770" s="198" t="s">
        <v>74</v>
      </c>
      <c r="E770" s="198" t="s">
        <v>553</v>
      </c>
      <c r="F770" s="198">
        <v>500</v>
      </c>
      <c r="G770" s="198"/>
      <c r="H770" s="214" t="s">
        <v>325</v>
      </c>
      <c r="I770" s="214" t="s">
        <v>325</v>
      </c>
      <c r="J770" s="271"/>
      <c r="K770" s="198"/>
      <c r="L770" s="198"/>
      <c r="M770" s="198"/>
      <c r="N770" s="198"/>
      <c r="O770" s="198">
        <v>500</v>
      </c>
      <c r="P770" s="198"/>
      <c r="Q770" s="198" t="s">
        <v>329</v>
      </c>
      <c r="R770" s="230">
        <f>DATABASE_Table[[#This Row],[Inicial Asking Price (€) (Total)]]-DATABASE_Table[[#This Row],[Vista membership]]-DATABASE_Table[[#This Row],[FF&amp;E]]</f>
        <v>1200000</v>
      </c>
      <c r="S770" s="234">
        <v>1200000</v>
      </c>
      <c r="T770" s="235">
        <v>1040000</v>
      </c>
      <c r="U770" s="198"/>
      <c r="V770" s="198"/>
      <c r="W770" s="233">
        <f>DATABASE_Table[[#This Row],[Current Asking price( Total)]]-DATABASE_Table[[#This Row],[Vista membership]]-DATABASE_Table[[#This Row],[FF&amp;E]]</f>
        <v>1040000</v>
      </c>
      <c r="X770" s="236"/>
      <c r="Y770" s="235"/>
      <c r="Z770" s="233">
        <f>DATABASE_Table[[#This Row],[Sell price (Total)]]-DATABASE_Table[[#This Row],[FF&amp;E]]-DATABASE_Table[[#This Row],[Vista membership]]</f>
        <v>0</v>
      </c>
      <c r="AA770" s="315"/>
      <c r="AB770" s="321" t="s">
        <v>32</v>
      </c>
      <c r="AC770" s="198" t="s">
        <v>57</v>
      </c>
      <c r="AD770" s="198"/>
      <c r="AE770" s="279" t="s">
        <v>75</v>
      </c>
      <c r="AF770" s="279" t="s">
        <v>554</v>
      </c>
      <c r="AG770" s="279" t="s">
        <v>76</v>
      </c>
      <c r="AH770" s="279" t="s">
        <v>77</v>
      </c>
      <c r="AI770" s="198" t="s">
        <v>32</v>
      </c>
      <c r="AJ770" s="274" t="s">
        <v>73</v>
      </c>
      <c r="AK770"/>
    </row>
    <row r="771" spans="1:37" ht="15.75" hidden="1" customHeight="1">
      <c r="A771" s="198" t="s">
        <v>778</v>
      </c>
      <c r="B771" s="198" t="s">
        <v>769</v>
      </c>
      <c r="C771" s="214" t="s">
        <v>891</v>
      </c>
      <c r="D771" s="198" t="s">
        <v>74</v>
      </c>
      <c r="E771" s="198" t="s">
        <v>553</v>
      </c>
      <c r="F771" s="198">
        <v>396.9</v>
      </c>
      <c r="G771" s="198"/>
      <c r="H771" s="214" t="s">
        <v>325</v>
      </c>
      <c r="I771" s="214" t="s">
        <v>325</v>
      </c>
      <c r="J771" s="271"/>
      <c r="K771" s="198"/>
      <c r="L771" s="198"/>
      <c r="M771" s="198"/>
      <c r="N771" s="198"/>
      <c r="O771" s="198">
        <v>396.9</v>
      </c>
      <c r="P771" s="198"/>
      <c r="Q771" s="198" t="s">
        <v>329</v>
      </c>
      <c r="R771" s="230">
        <f>DATABASE_Table[[#This Row],[Inicial Asking Price (€) (Total)]]-DATABASE_Table[[#This Row],[Vista membership]]-DATABASE_Table[[#This Row],[FF&amp;E]]</f>
        <v>1200000</v>
      </c>
      <c r="S771" s="234">
        <v>1200000</v>
      </c>
      <c r="T771" s="235">
        <v>890000</v>
      </c>
      <c r="U771" s="198"/>
      <c r="V771" s="198"/>
      <c r="W771" s="233">
        <f>DATABASE_Table[[#This Row],[Current Asking price( Total)]]-DATABASE_Table[[#This Row],[Vista membership]]-DATABASE_Table[[#This Row],[FF&amp;E]]</f>
        <v>890000</v>
      </c>
      <c r="X771" s="236"/>
      <c r="Y771" s="235"/>
      <c r="Z771" s="233">
        <f>DATABASE_Table[[#This Row],[Sell price (Total)]]-DATABASE_Table[[#This Row],[FF&amp;E]]-DATABASE_Table[[#This Row],[Vista membership]]</f>
        <v>0</v>
      </c>
      <c r="AA771" s="315"/>
      <c r="AB771" s="321" t="s">
        <v>32</v>
      </c>
      <c r="AC771" s="198" t="s">
        <v>57</v>
      </c>
      <c r="AD771" s="198"/>
      <c r="AE771" s="279" t="s">
        <v>75</v>
      </c>
      <c r="AF771" s="279" t="s">
        <v>554</v>
      </c>
      <c r="AG771" s="279" t="s">
        <v>76</v>
      </c>
      <c r="AH771" s="279" t="s">
        <v>77</v>
      </c>
      <c r="AI771" s="198" t="s">
        <v>32</v>
      </c>
      <c r="AJ771" s="274" t="s">
        <v>73</v>
      </c>
      <c r="AK771"/>
    </row>
    <row r="772" spans="1:37" ht="15.75" hidden="1" customHeight="1">
      <c r="A772" s="198" t="s">
        <v>778</v>
      </c>
      <c r="B772" s="198" t="s">
        <v>769</v>
      </c>
      <c r="C772" s="214" t="s">
        <v>896</v>
      </c>
      <c r="D772" s="198" t="s">
        <v>74</v>
      </c>
      <c r="E772" s="198" t="s">
        <v>553</v>
      </c>
      <c r="F772" s="198">
        <v>396.9</v>
      </c>
      <c r="G772" s="198"/>
      <c r="H772" s="214" t="s">
        <v>325</v>
      </c>
      <c r="I772" s="214" t="s">
        <v>325</v>
      </c>
      <c r="J772" s="271"/>
      <c r="K772" s="198"/>
      <c r="L772" s="198"/>
      <c r="M772" s="198"/>
      <c r="N772" s="198"/>
      <c r="O772" s="198">
        <v>396.9</v>
      </c>
      <c r="P772" s="198"/>
      <c r="Q772" s="198" t="s">
        <v>329</v>
      </c>
      <c r="R772" s="230">
        <f>DATABASE_Table[[#This Row],[Inicial Asking Price (€) (Total)]]-DATABASE_Table[[#This Row],[Vista membership]]-DATABASE_Table[[#This Row],[FF&amp;E]]</f>
        <v>1200000</v>
      </c>
      <c r="S772" s="234">
        <v>1200000</v>
      </c>
      <c r="T772" s="235">
        <v>1030000</v>
      </c>
      <c r="U772" s="198"/>
      <c r="V772" s="198"/>
      <c r="W772" s="233">
        <f>DATABASE_Table[[#This Row],[Current Asking price( Total)]]-DATABASE_Table[[#This Row],[Vista membership]]-DATABASE_Table[[#This Row],[FF&amp;E]]</f>
        <v>1030000</v>
      </c>
      <c r="X772" s="236"/>
      <c r="Y772" s="235"/>
      <c r="Z772" s="233">
        <f>DATABASE_Table[[#This Row],[Sell price (Total)]]-DATABASE_Table[[#This Row],[FF&amp;E]]-DATABASE_Table[[#This Row],[Vista membership]]</f>
        <v>0</v>
      </c>
      <c r="AA772" s="315"/>
      <c r="AB772" s="321" t="s">
        <v>32</v>
      </c>
      <c r="AC772" s="198" t="s">
        <v>57</v>
      </c>
      <c r="AD772" s="198"/>
      <c r="AE772" s="279" t="s">
        <v>75</v>
      </c>
      <c r="AF772" s="279" t="s">
        <v>554</v>
      </c>
      <c r="AG772" s="279" t="s">
        <v>76</v>
      </c>
      <c r="AH772" s="279" t="s">
        <v>77</v>
      </c>
      <c r="AI772" s="198" t="s">
        <v>32</v>
      </c>
      <c r="AJ772" s="274" t="s">
        <v>73</v>
      </c>
      <c r="AK772"/>
    </row>
    <row r="773" spans="1:37" ht="15.75" hidden="1" customHeight="1">
      <c r="A773" s="198" t="s">
        <v>563</v>
      </c>
      <c r="B773" s="198" t="s">
        <v>691</v>
      </c>
      <c r="C773" s="214" t="s">
        <v>430</v>
      </c>
      <c r="D773" s="198" t="s">
        <v>9</v>
      </c>
      <c r="E773" s="198" t="s">
        <v>319</v>
      </c>
      <c r="F773" s="198">
        <v>104.7</v>
      </c>
      <c r="G773" s="198"/>
      <c r="H773" s="214" t="s">
        <v>900</v>
      </c>
      <c r="I773" s="214" t="s">
        <v>325</v>
      </c>
      <c r="J773" s="271"/>
      <c r="K773" s="198"/>
      <c r="L773" s="198"/>
      <c r="M773" s="198"/>
      <c r="N773" s="198"/>
      <c r="O773" s="198">
        <v>104.7</v>
      </c>
      <c r="P773" s="198"/>
      <c r="Q773" s="198" t="s">
        <v>628</v>
      </c>
      <c r="R773" s="230">
        <f>DATABASE_Table[[#This Row],[Inicial Asking Price (€) (Total)]]-DATABASE_Table[[#This Row],[Vista membership]]-DATABASE_Table[[#This Row],[FF&amp;E]]</f>
        <v>600000</v>
      </c>
      <c r="S773" s="231">
        <v>600000</v>
      </c>
      <c r="T773" s="232">
        <v>570000</v>
      </c>
      <c r="U773" s="198"/>
      <c r="V773" s="198"/>
      <c r="W773" s="233">
        <f>DATABASE_Table[[#This Row],[Current Asking price( Total)]]-DATABASE_Table[[#This Row],[Vista membership]]-DATABASE_Table[[#This Row],[FF&amp;E]]</f>
        <v>570000</v>
      </c>
      <c r="X773" s="216">
        <v>0</v>
      </c>
      <c r="Y773" s="232">
        <v>570000</v>
      </c>
      <c r="Z773" s="233">
        <f>DATABASE_Table[[#This Row],[Sell price (Total)]]-DATABASE_Table[[#This Row],[FF&amp;E]]-DATABASE_Table[[#This Row],[Vista membership]]</f>
        <v>570000</v>
      </c>
      <c r="AA773" s="316">
        <v>45574</v>
      </c>
      <c r="AB773" s="321"/>
      <c r="AC773" s="198" t="s">
        <v>10</v>
      </c>
      <c r="AD773" s="198" t="s">
        <v>11</v>
      </c>
      <c r="AE773" s="279" t="s">
        <v>28</v>
      </c>
      <c r="AF773" s="279" t="s">
        <v>29</v>
      </c>
      <c r="AG773" s="279" t="s">
        <v>805</v>
      </c>
      <c r="AH773" s="279" t="s">
        <v>806</v>
      </c>
      <c r="AI773" s="198" t="s">
        <v>30</v>
      </c>
      <c r="AJ773" s="274" t="s">
        <v>27</v>
      </c>
      <c r="AK773"/>
    </row>
    <row r="774" spans="1:37" ht="15.75" hidden="1" customHeight="1">
      <c r="A774" s="198" t="s">
        <v>563</v>
      </c>
      <c r="B774" s="198" t="s">
        <v>691</v>
      </c>
      <c r="C774" s="214" t="s">
        <v>431</v>
      </c>
      <c r="D774" s="198" t="s">
        <v>9</v>
      </c>
      <c r="E774" s="198" t="s">
        <v>320</v>
      </c>
      <c r="F774" s="198">
        <v>130.91999999999999</v>
      </c>
      <c r="G774" s="198"/>
      <c r="H774" s="214" t="s">
        <v>597</v>
      </c>
      <c r="I774" s="214" t="s">
        <v>325</v>
      </c>
      <c r="J774" s="271"/>
      <c r="K774" s="198"/>
      <c r="L774" s="198"/>
      <c r="M774" s="198"/>
      <c r="N774" s="198"/>
      <c r="O774" s="198">
        <v>130.91999999999999</v>
      </c>
      <c r="P774" s="198"/>
      <c r="Q774" s="198" t="s">
        <v>628</v>
      </c>
      <c r="R774" s="230">
        <f>DATABASE_Table[[#This Row],[Inicial Asking Price (€) (Total)]]-DATABASE_Table[[#This Row],[Vista membership]]-DATABASE_Table[[#This Row],[FF&amp;E]]</f>
        <v>740000</v>
      </c>
      <c r="S774" s="231">
        <v>740000</v>
      </c>
      <c r="T774" s="232">
        <v>703000</v>
      </c>
      <c r="U774" s="198"/>
      <c r="V774" s="198"/>
      <c r="W774" s="233">
        <f>DATABASE_Table[[#This Row],[Current Asking price( Total)]]-DATABASE_Table[[#This Row],[Vista membership]]-DATABASE_Table[[#This Row],[FF&amp;E]]</f>
        <v>703000</v>
      </c>
      <c r="X774" s="216">
        <v>0</v>
      </c>
      <c r="Y774" s="232">
        <v>703000</v>
      </c>
      <c r="Z774" s="233">
        <f>DATABASE_Table[[#This Row],[Sell price (Total)]]-DATABASE_Table[[#This Row],[FF&amp;E]]-DATABASE_Table[[#This Row],[Vista membership]]</f>
        <v>703000</v>
      </c>
      <c r="AA774" s="316">
        <v>45574</v>
      </c>
      <c r="AB774" s="321"/>
      <c r="AC774" s="198" t="s">
        <v>10</v>
      </c>
      <c r="AD774" s="198" t="s">
        <v>11</v>
      </c>
      <c r="AE774" s="279" t="s">
        <v>28</v>
      </c>
      <c r="AF774" s="279" t="s">
        <v>29</v>
      </c>
      <c r="AG774" s="279" t="s">
        <v>805</v>
      </c>
      <c r="AH774" s="279" t="s">
        <v>806</v>
      </c>
      <c r="AI774" s="198" t="s">
        <v>30</v>
      </c>
      <c r="AJ774" s="274" t="s">
        <v>27</v>
      </c>
      <c r="AK774"/>
    </row>
    <row r="775" spans="1:37" ht="15.75" hidden="1" customHeight="1">
      <c r="A775" s="198" t="s">
        <v>563</v>
      </c>
      <c r="B775" s="198" t="s">
        <v>691</v>
      </c>
      <c r="C775" s="214" t="s">
        <v>432</v>
      </c>
      <c r="D775" s="198" t="s">
        <v>9</v>
      </c>
      <c r="E775" s="198" t="s">
        <v>320</v>
      </c>
      <c r="F775" s="198">
        <v>130.91999999999999</v>
      </c>
      <c r="G775" s="198"/>
      <c r="H775" s="214" t="s">
        <v>598</v>
      </c>
      <c r="I775" s="214" t="s">
        <v>325</v>
      </c>
      <c r="J775" s="271"/>
      <c r="K775" s="198"/>
      <c r="L775" s="198"/>
      <c r="M775" s="198"/>
      <c r="N775" s="198"/>
      <c r="O775" s="198">
        <v>130.91999999999999</v>
      </c>
      <c r="P775" s="198"/>
      <c r="Q775" s="198" t="s">
        <v>628</v>
      </c>
      <c r="R775" s="230">
        <f>DATABASE_Table[[#This Row],[Inicial Asking Price (€) (Total)]]-DATABASE_Table[[#This Row],[Vista membership]]-DATABASE_Table[[#This Row],[FF&amp;E]]</f>
        <v>740000</v>
      </c>
      <c r="S775" s="231">
        <v>740000</v>
      </c>
      <c r="T775" s="232">
        <v>740000</v>
      </c>
      <c r="U775" s="198"/>
      <c r="V775" s="198"/>
      <c r="W775" s="233">
        <f>DATABASE_Table[[#This Row],[Current Asking price( Total)]]-DATABASE_Table[[#This Row],[Vista membership]]-DATABASE_Table[[#This Row],[FF&amp;E]]</f>
        <v>740000</v>
      </c>
      <c r="X775" s="216">
        <v>0</v>
      </c>
      <c r="Y775" s="232">
        <v>740000</v>
      </c>
      <c r="Z775" s="233">
        <f>DATABASE_Table[[#This Row],[Sell price (Total)]]-DATABASE_Table[[#This Row],[FF&amp;E]]-DATABASE_Table[[#This Row],[Vista membership]]</f>
        <v>740000</v>
      </c>
      <c r="AA775" s="316">
        <v>45887</v>
      </c>
      <c r="AB775" s="321"/>
      <c r="AC775" s="198" t="s">
        <v>10</v>
      </c>
      <c r="AD775" s="198" t="s">
        <v>11</v>
      </c>
      <c r="AE775" s="279" t="s">
        <v>28</v>
      </c>
      <c r="AF775" s="279" t="s">
        <v>29</v>
      </c>
      <c r="AG775" s="279" t="s">
        <v>805</v>
      </c>
      <c r="AH775" s="279" t="s">
        <v>806</v>
      </c>
      <c r="AI775" s="198" t="s">
        <v>30</v>
      </c>
      <c r="AJ775" s="274" t="s">
        <v>27</v>
      </c>
      <c r="AK775"/>
    </row>
    <row r="776" spans="1:37" ht="15.75" hidden="1" customHeight="1">
      <c r="A776" s="198" t="s">
        <v>563</v>
      </c>
      <c r="B776" s="198" t="s">
        <v>691</v>
      </c>
      <c r="C776" s="214" t="s">
        <v>433</v>
      </c>
      <c r="D776" s="198" t="s">
        <v>9</v>
      </c>
      <c r="E776" s="198" t="s">
        <v>320</v>
      </c>
      <c r="F776" s="198">
        <v>130.91999999999999</v>
      </c>
      <c r="G776" s="198"/>
      <c r="H776" s="214" t="s">
        <v>901</v>
      </c>
      <c r="I776" s="214" t="s">
        <v>325</v>
      </c>
      <c r="J776" s="271"/>
      <c r="K776" s="198"/>
      <c r="L776" s="198"/>
      <c r="M776" s="198"/>
      <c r="N776" s="198"/>
      <c r="O776" s="198">
        <v>130.91999999999999</v>
      </c>
      <c r="P776" s="198"/>
      <c r="Q776" s="198" t="s">
        <v>628</v>
      </c>
      <c r="R776" s="230">
        <f>DATABASE_Table[[#This Row],[Inicial Asking Price (€) (Total)]]-DATABASE_Table[[#This Row],[Vista membership]]-DATABASE_Table[[#This Row],[FF&amp;E]]</f>
        <v>730000</v>
      </c>
      <c r="S776" s="231">
        <v>730000</v>
      </c>
      <c r="T776" s="232">
        <v>770000</v>
      </c>
      <c r="U776" s="198"/>
      <c r="V776" s="198"/>
      <c r="W776" s="233">
        <f>DATABASE_Table[[#This Row],[Current Asking price( Total)]]-DATABASE_Table[[#This Row],[Vista membership]]-DATABASE_Table[[#This Row],[FF&amp;E]]</f>
        <v>770000</v>
      </c>
      <c r="X776" s="216">
        <v>5.1948051948052E-2</v>
      </c>
      <c r="Y776" s="232">
        <v>730000</v>
      </c>
      <c r="Z776" s="233">
        <f>DATABASE_Table[[#This Row],[Sell price (Total)]]-DATABASE_Table[[#This Row],[FF&amp;E]]-DATABASE_Table[[#This Row],[Vista membership]]</f>
        <v>730000</v>
      </c>
      <c r="AA776" s="316">
        <v>45939</v>
      </c>
      <c r="AB776" s="321"/>
      <c r="AC776" s="198" t="s">
        <v>10</v>
      </c>
      <c r="AD776" s="198" t="s">
        <v>11</v>
      </c>
      <c r="AE776" s="279" t="s">
        <v>28</v>
      </c>
      <c r="AF776" s="279" t="s">
        <v>29</v>
      </c>
      <c r="AG776" s="279" t="s">
        <v>805</v>
      </c>
      <c r="AH776" s="279" t="s">
        <v>806</v>
      </c>
      <c r="AI776" s="198" t="s">
        <v>30</v>
      </c>
      <c r="AJ776" s="274" t="s">
        <v>27</v>
      </c>
      <c r="AK776"/>
    </row>
    <row r="777" spans="1:37" ht="15.75" hidden="1" customHeight="1">
      <c r="A777" s="198" t="s">
        <v>559</v>
      </c>
      <c r="B777" s="198" t="s">
        <v>691</v>
      </c>
      <c r="C777" s="214" t="s">
        <v>339</v>
      </c>
      <c r="D777" s="198" t="s">
        <v>9</v>
      </c>
      <c r="E777" s="198" t="s">
        <v>383</v>
      </c>
      <c r="F777" s="198">
        <v>169.89</v>
      </c>
      <c r="G777" s="198"/>
      <c r="H777" s="214" t="s">
        <v>325</v>
      </c>
      <c r="I777" s="214" t="s">
        <v>325</v>
      </c>
      <c r="J777" s="271"/>
      <c r="K777" s="198"/>
      <c r="L777" s="198"/>
      <c r="M777" s="198"/>
      <c r="N777" s="198"/>
      <c r="O777" s="198">
        <v>169.89</v>
      </c>
      <c r="P777" s="198"/>
      <c r="Q777" s="198" t="s">
        <v>929</v>
      </c>
      <c r="R777" s="230">
        <f>DATABASE_Table[[#This Row],[Inicial Asking Price (€) (Total)]]-DATABASE_Table[[#This Row],[Vista membership]]-DATABASE_Table[[#This Row],[FF&amp;E]]</f>
        <v>960000</v>
      </c>
      <c r="S777" s="231">
        <v>960000</v>
      </c>
      <c r="T777" s="232">
        <v>960000</v>
      </c>
      <c r="U777" s="198"/>
      <c r="V777" s="198"/>
      <c r="W777" s="233">
        <f>DATABASE_Table[[#This Row],[Current Asking price( Total)]]-DATABASE_Table[[#This Row],[Vista membership]]-DATABASE_Table[[#This Row],[FF&amp;E]]</f>
        <v>960000</v>
      </c>
      <c r="X777" s="216">
        <v>0</v>
      </c>
      <c r="Y777" s="232">
        <v>960000</v>
      </c>
      <c r="Z777" s="233">
        <f>DATABASE_Table[[#This Row],[Sell price (Total)]]-DATABASE_Table[[#This Row],[FF&amp;E]]-DATABASE_Table[[#This Row],[Vista membership]]</f>
        <v>960000</v>
      </c>
      <c r="AA777" s="315">
        <v>45131</v>
      </c>
      <c r="AB777" s="321"/>
      <c r="AC777" s="198" t="s">
        <v>10</v>
      </c>
      <c r="AD777" s="198" t="s">
        <v>802</v>
      </c>
      <c r="AE777" s="279" t="s">
        <v>17</v>
      </c>
      <c r="AF777" s="279" t="s">
        <v>18</v>
      </c>
      <c r="AG777" s="279" t="s">
        <v>19</v>
      </c>
      <c r="AH777" s="279" t="s">
        <v>20</v>
      </c>
      <c r="AI777" s="198" t="s">
        <v>21</v>
      </c>
      <c r="AJ777" s="274" t="s">
        <v>16</v>
      </c>
      <c r="AK777"/>
    </row>
    <row r="778" spans="1:37" ht="15.75" hidden="1" customHeight="1">
      <c r="A778" s="198" t="s">
        <v>776</v>
      </c>
      <c r="B778" s="198" t="s">
        <v>769</v>
      </c>
      <c r="C778" s="214" t="s">
        <v>850</v>
      </c>
      <c r="D778" s="198" t="s">
        <v>74</v>
      </c>
      <c r="E778" s="198" t="s">
        <v>553</v>
      </c>
      <c r="F778" s="198">
        <v>500</v>
      </c>
      <c r="G778" s="198"/>
      <c r="H778" s="214" t="s">
        <v>325</v>
      </c>
      <c r="I778" s="214" t="s">
        <v>325</v>
      </c>
      <c r="J778" s="271"/>
      <c r="K778" s="198"/>
      <c r="L778" s="198"/>
      <c r="M778" s="198"/>
      <c r="N778" s="198"/>
      <c r="O778" s="198">
        <v>500</v>
      </c>
      <c r="P778" s="198"/>
      <c r="Q778" s="198" t="s">
        <v>329</v>
      </c>
      <c r="R778" s="230">
        <f>DATABASE_Table[[#This Row],[Inicial Asking Price (€) (Total)]]-DATABASE_Table[[#This Row],[Vista membership]]-DATABASE_Table[[#This Row],[FF&amp;E]]</f>
        <v>1215000</v>
      </c>
      <c r="S778" s="234">
        <v>1215000</v>
      </c>
      <c r="T778" s="235">
        <v>1010000</v>
      </c>
      <c r="U778" s="198"/>
      <c r="V778" s="198"/>
      <c r="W778" s="233">
        <f>DATABASE_Table[[#This Row],[Current Asking price( Total)]]-DATABASE_Table[[#This Row],[Vista membership]]-DATABASE_Table[[#This Row],[FF&amp;E]]</f>
        <v>1010000</v>
      </c>
      <c r="X778" s="236"/>
      <c r="Y778" s="235"/>
      <c r="Z778" s="233">
        <f>DATABASE_Table[[#This Row],[Sell price (Total)]]-DATABASE_Table[[#This Row],[FF&amp;E]]-DATABASE_Table[[#This Row],[Vista membership]]</f>
        <v>0</v>
      </c>
      <c r="AA778" s="315"/>
      <c r="AB778" s="321" t="s">
        <v>32</v>
      </c>
      <c r="AC778" s="198" t="s">
        <v>57</v>
      </c>
      <c r="AD778" s="198"/>
      <c r="AE778" s="279" t="s">
        <v>75</v>
      </c>
      <c r="AF778" s="279" t="s">
        <v>554</v>
      </c>
      <c r="AG778" s="279" t="s">
        <v>76</v>
      </c>
      <c r="AH778" s="279" t="s">
        <v>77</v>
      </c>
      <c r="AI778" s="198" t="s">
        <v>32</v>
      </c>
      <c r="AJ778" s="274" t="s">
        <v>73</v>
      </c>
      <c r="AK778"/>
    </row>
    <row r="779" spans="1:37" ht="15.75" hidden="1" customHeight="1">
      <c r="A779" s="198" t="s">
        <v>560</v>
      </c>
      <c r="B779" s="198" t="s">
        <v>691</v>
      </c>
      <c r="C779" s="214" t="s">
        <v>339</v>
      </c>
      <c r="D779" s="198" t="s">
        <v>9</v>
      </c>
      <c r="E779" s="198" t="s">
        <v>383</v>
      </c>
      <c r="F779" s="198">
        <v>170.86</v>
      </c>
      <c r="G779" s="198"/>
      <c r="H779" s="214" t="s">
        <v>325</v>
      </c>
      <c r="I779" s="214" t="s">
        <v>325</v>
      </c>
      <c r="J779" s="271"/>
      <c r="K779" s="198"/>
      <c r="L779" s="198"/>
      <c r="M779" s="198"/>
      <c r="N779" s="198"/>
      <c r="O779" s="198">
        <v>170.86</v>
      </c>
      <c r="P779" s="198"/>
      <c r="Q779" s="198" t="s">
        <v>929</v>
      </c>
      <c r="R779" s="230">
        <f>DATABASE_Table[[#This Row],[Inicial Asking Price (€) (Total)]]-DATABASE_Table[[#This Row],[Vista membership]]-DATABASE_Table[[#This Row],[FF&amp;E]]</f>
        <v>930000</v>
      </c>
      <c r="S779" s="231">
        <v>930000</v>
      </c>
      <c r="T779" s="232">
        <v>883500</v>
      </c>
      <c r="U779" s="198"/>
      <c r="V779" s="198"/>
      <c r="W779" s="233">
        <f>DATABASE_Table[[#This Row],[Current Asking price( Total)]]-DATABASE_Table[[#This Row],[Vista membership]]-DATABASE_Table[[#This Row],[FF&amp;E]]</f>
        <v>883500</v>
      </c>
      <c r="X779" s="216">
        <v>0</v>
      </c>
      <c r="Y779" s="232">
        <v>883500</v>
      </c>
      <c r="Z779" s="233">
        <f>DATABASE_Table[[#This Row],[Sell price (Total)]]-DATABASE_Table[[#This Row],[FF&amp;E]]-DATABASE_Table[[#This Row],[Vista membership]]</f>
        <v>883500</v>
      </c>
      <c r="AA779" s="315">
        <v>45019</v>
      </c>
      <c r="AB779" s="321"/>
      <c r="AC779" s="198" t="s">
        <v>10</v>
      </c>
      <c r="AD779" s="198" t="s">
        <v>802</v>
      </c>
      <c r="AE779" s="279" t="s">
        <v>17</v>
      </c>
      <c r="AF779" s="279" t="s">
        <v>18</v>
      </c>
      <c r="AG779" s="279" t="s">
        <v>19</v>
      </c>
      <c r="AH779" s="279" t="s">
        <v>20</v>
      </c>
      <c r="AI779" s="198" t="s">
        <v>21</v>
      </c>
      <c r="AJ779" s="274" t="s">
        <v>16</v>
      </c>
      <c r="AK779"/>
    </row>
    <row r="780" spans="1:37" ht="15.75" hidden="1" customHeight="1">
      <c r="A780" s="198" t="s">
        <v>561</v>
      </c>
      <c r="B780" s="198" t="s">
        <v>691</v>
      </c>
      <c r="C780" s="214" t="s">
        <v>339</v>
      </c>
      <c r="D780" s="198" t="s">
        <v>9</v>
      </c>
      <c r="E780" s="198" t="s">
        <v>383</v>
      </c>
      <c r="F780" s="198">
        <v>192.67</v>
      </c>
      <c r="G780" s="198"/>
      <c r="H780" s="214" t="s">
        <v>325</v>
      </c>
      <c r="I780" s="214" t="s">
        <v>325</v>
      </c>
      <c r="J780" s="271"/>
      <c r="K780" s="198"/>
      <c r="L780" s="198"/>
      <c r="M780" s="198"/>
      <c r="N780" s="198"/>
      <c r="O780" s="198">
        <v>192.67</v>
      </c>
      <c r="P780" s="198"/>
      <c r="Q780" s="198" t="s">
        <v>329</v>
      </c>
      <c r="R780" s="230">
        <f>DATABASE_Table[[#This Row],[Inicial Asking Price (€) (Total)]]-DATABASE_Table[[#This Row],[Vista membership]]-DATABASE_Table[[#This Row],[FF&amp;E]]</f>
        <v>1280000</v>
      </c>
      <c r="S780" s="231">
        <v>1280000</v>
      </c>
      <c r="T780" s="232">
        <v>1280000</v>
      </c>
      <c r="U780" s="198"/>
      <c r="V780" s="198"/>
      <c r="W780" s="233">
        <f>DATABASE_Table[[#This Row],[Current Asking price( Total)]]-DATABASE_Table[[#This Row],[Vista membership]]-DATABASE_Table[[#This Row],[FF&amp;E]]</f>
        <v>1280000</v>
      </c>
      <c r="X780" s="216"/>
      <c r="Y780" s="232">
        <v>1280000</v>
      </c>
      <c r="Z780" s="233">
        <f>DATABASE_Table[[#This Row],[Sell price (Total)]]-DATABASE_Table[[#This Row],[FF&amp;E]]-DATABASE_Table[[#This Row],[Vista membership]]</f>
        <v>1280000</v>
      </c>
      <c r="AA780" s="315"/>
      <c r="AB780" s="321"/>
      <c r="AC780" s="198" t="s">
        <v>10</v>
      </c>
      <c r="AD780" s="198" t="s">
        <v>802</v>
      </c>
      <c r="AE780" s="279" t="s">
        <v>17</v>
      </c>
      <c r="AF780" s="279" t="s">
        <v>18</v>
      </c>
      <c r="AG780" s="279" t="s">
        <v>19</v>
      </c>
      <c r="AH780" s="279" t="s">
        <v>20</v>
      </c>
      <c r="AI780" s="198" t="s">
        <v>21</v>
      </c>
      <c r="AJ780" s="274" t="s">
        <v>16</v>
      </c>
      <c r="AK780"/>
    </row>
    <row r="781" spans="1:37" ht="15.75" hidden="1" customHeight="1">
      <c r="A781" s="198" t="s">
        <v>780</v>
      </c>
      <c r="B781" s="198" t="s">
        <v>786</v>
      </c>
      <c r="C781" s="214" t="s">
        <v>244</v>
      </c>
      <c r="D781" s="198" t="s">
        <v>79</v>
      </c>
      <c r="E781" s="198" t="s">
        <v>318</v>
      </c>
      <c r="F781" s="198">
        <v>314.93</v>
      </c>
      <c r="G781" s="198"/>
      <c r="H781" s="214" t="s">
        <v>849</v>
      </c>
      <c r="I781" s="214" t="s">
        <v>848</v>
      </c>
      <c r="J781" s="271">
        <v>6.02</v>
      </c>
      <c r="K781" s="198">
        <v>168.31</v>
      </c>
      <c r="L781" s="198"/>
      <c r="M781" s="198"/>
      <c r="N781" s="198"/>
      <c r="O781" s="198">
        <v>140.6</v>
      </c>
      <c r="P781" s="198"/>
      <c r="Q781" s="198" t="s">
        <v>329</v>
      </c>
      <c r="R781" s="230">
        <f>DATABASE_Table[[#This Row],[Inicial Asking Price (€) (Total)]]-DATABASE_Table[[#This Row],[Vista membership]]-DATABASE_Table[[#This Row],[FF&amp;E]]</f>
        <v>1170000</v>
      </c>
      <c r="S781" s="234">
        <v>1220000</v>
      </c>
      <c r="T781" s="235">
        <v>1220000</v>
      </c>
      <c r="U781" s="198"/>
      <c r="V781" s="235">
        <v>50000</v>
      </c>
      <c r="W781" s="233">
        <f>DATABASE_Table[[#This Row],[Current Asking price( Total)]]-DATABASE_Table[[#This Row],[Vista membership]]-DATABASE_Table[[#This Row],[FF&amp;E]]</f>
        <v>1170000</v>
      </c>
      <c r="X781" s="236"/>
      <c r="Y781" s="235"/>
      <c r="Z781" s="233">
        <f>DATABASE_Table[[#This Row],[Sell price (Total)]]-DATABASE_Table[[#This Row],[FF&amp;E]]-DATABASE_Table[[#This Row],[Vista membership]]</f>
        <v>-50000</v>
      </c>
      <c r="AA781" s="315"/>
      <c r="AB781" s="321">
        <v>47118</v>
      </c>
      <c r="AC781" s="198" t="s">
        <v>80</v>
      </c>
      <c r="AD781" s="198" t="s">
        <v>81</v>
      </c>
      <c r="AE781" s="279" t="s">
        <v>82</v>
      </c>
      <c r="AF781" s="279" t="s">
        <v>83</v>
      </c>
      <c r="AG781" s="279" t="s">
        <v>84</v>
      </c>
      <c r="AH781" s="279" t="s">
        <v>85</v>
      </c>
      <c r="AI781" s="198" t="s">
        <v>86</v>
      </c>
      <c r="AJ781" s="274" t="s">
        <v>78</v>
      </c>
      <c r="AK781"/>
    </row>
    <row r="782" spans="1:37" ht="15.75" hidden="1" customHeight="1">
      <c r="A782" s="198" t="s">
        <v>775</v>
      </c>
      <c r="B782" s="198" t="s">
        <v>769</v>
      </c>
      <c r="C782" s="214" t="s">
        <v>336</v>
      </c>
      <c r="D782" s="198" t="s">
        <v>74</v>
      </c>
      <c r="E782" s="198" t="s">
        <v>320</v>
      </c>
      <c r="F782" s="198">
        <v>433.99</v>
      </c>
      <c r="G782" s="198">
        <v>45.83</v>
      </c>
      <c r="H782" s="214" t="s">
        <v>325</v>
      </c>
      <c r="I782" s="214" t="s">
        <v>325</v>
      </c>
      <c r="J782" s="271">
        <v>136.16</v>
      </c>
      <c r="K782" s="198"/>
      <c r="L782" s="198"/>
      <c r="M782" s="198"/>
      <c r="N782" s="198"/>
      <c r="O782" s="198">
        <v>252</v>
      </c>
      <c r="P782" s="198"/>
      <c r="Q782" s="198" t="s">
        <v>329</v>
      </c>
      <c r="R782" s="230">
        <f>DATABASE_Table[[#This Row],[Inicial Asking Price (€) (Total)]]-DATABASE_Table[[#This Row],[Vista membership]]-DATABASE_Table[[#This Row],[FF&amp;E]]</f>
        <v>1220000</v>
      </c>
      <c r="S782" s="234">
        <v>1220000</v>
      </c>
      <c r="T782" s="235">
        <v>1220000</v>
      </c>
      <c r="U782" s="198"/>
      <c r="V782" s="198"/>
      <c r="W782" s="233">
        <f>DATABASE_Table[[#This Row],[Current Asking price( Total)]]-DATABASE_Table[[#This Row],[Vista membership]]-DATABASE_Table[[#This Row],[FF&amp;E]]</f>
        <v>1220000</v>
      </c>
      <c r="X782" s="236"/>
      <c r="Y782" s="235"/>
      <c r="Z782" s="233">
        <f>DATABASE_Table[[#This Row],[Sell price (Total)]]-DATABASE_Table[[#This Row],[FF&amp;E]]-DATABASE_Table[[#This Row],[Vista membership]]</f>
        <v>0</v>
      </c>
      <c r="AA782" s="315"/>
      <c r="AB782" s="321" t="s">
        <v>32</v>
      </c>
      <c r="AC782" s="198" t="s">
        <v>57</v>
      </c>
      <c r="AD782" s="198"/>
      <c r="AE782" s="279" t="s">
        <v>75</v>
      </c>
      <c r="AF782" s="279" t="s">
        <v>554</v>
      </c>
      <c r="AG782" s="279" t="s">
        <v>76</v>
      </c>
      <c r="AH782" s="279" t="s">
        <v>77</v>
      </c>
      <c r="AI782" s="198" t="s">
        <v>32</v>
      </c>
      <c r="AJ782" s="274" t="s">
        <v>73</v>
      </c>
      <c r="AK782"/>
    </row>
    <row r="783" spans="1:37" ht="15.75" hidden="1" customHeight="1">
      <c r="A783" s="198" t="s">
        <v>558</v>
      </c>
      <c r="B783" s="198" t="s">
        <v>691</v>
      </c>
      <c r="C783" s="214" t="s">
        <v>339</v>
      </c>
      <c r="D783" s="198" t="s">
        <v>9</v>
      </c>
      <c r="E783" s="198" t="s">
        <v>319</v>
      </c>
      <c r="F783" s="198">
        <v>112.9</v>
      </c>
      <c r="G783" s="198"/>
      <c r="H783" s="214" t="s">
        <v>879</v>
      </c>
      <c r="I783" s="214" t="s">
        <v>325</v>
      </c>
      <c r="J783" s="271">
        <v>32.36</v>
      </c>
      <c r="K783" s="198"/>
      <c r="L783" s="198"/>
      <c r="M783" s="198"/>
      <c r="N783" s="198"/>
      <c r="O783" s="198">
        <v>112.9</v>
      </c>
      <c r="P783" s="198"/>
      <c r="Q783" s="198" t="s">
        <v>628</v>
      </c>
      <c r="R783" s="230">
        <f>DATABASE_Table[[#This Row],[Inicial Asking Price (€) (Total)]]-DATABASE_Table[[#This Row],[Vista membership]]-DATABASE_Table[[#This Row],[FF&amp;E]]</f>
        <v>780000</v>
      </c>
      <c r="S783" s="231">
        <v>780000</v>
      </c>
      <c r="T783" s="232">
        <v>780000</v>
      </c>
      <c r="U783" s="198"/>
      <c r="V783" s="198"/>
      <c r="W783" s="233">
        <f>DATABASE_Table[[#This Row],[Current Asking price( Total)]]-DATABASE_Table[[#This Row],[Vista membership]]-DATABASE_Table[[#This Row],[FF&amp;E]]</f>
        <v>780000</v>
      </c>
      <c r="X783" s="216">
        <v>0</v>
      </c>
      <c r="Y783" s="232">
        <v>780000</v>
      </c>
      <c r="Z783" s="233">
        <f>DATABASE_Table[[#This Row],[Sell price (Total)]]-DATABASE_Table[[#This Row],[FF&amp;E]]-DATABASE_Table[[#This Row],[Vista membership]]</f>
        <v>780000</v>
      </c>
      <c r="AA783" s="317">
        <v>45988</v>
      </c>
      <c r="AB783" s="321"/>
      <c r="AC783" s="198" t="s">
        <v>10</v>
      </c>
      <c r="AD783" s="198" t="s">
        <v>11</v>
      </c>
      <c r="AE783" s="279" t="s">
        <v>12</v>
      </c>
      <c r="AF783" s="279" t="s">
        <v>801</v>
      </c>
      <c r="AG783" s="279" t="s">
        <v>13</v>
      </c>
      <c r="AH783" s="279" t="s">
        <v>14</v>
      </c>
      <c r="AI783" s="198" t="s">
        <v>15</v>
      </c>
      <c r="AJ783" s="274" t="s">
        <v>8</v>
      </c>
      <c r="AK783"/>
    </row>
    <row r="784" spans="1:37" ht="15.75" hidden="1" customHeight="1">
      <c r="A784" s="198" t="s">
        <v>773</v>
      </c>
      <c r="B784" s="198" t="s">
        <v>769</v>
      </c>
      <c r="C784" s="214" t="s">
        <v>867</v>
      </c>
      <c r="D784" s="198" t="s">
        <v>67</v>
      </c>
      <c r="E784" s="198" t="s">
        <v>553</v>
      </c>
      <c r="F784" s="198">
        <v>4186</v>
      </c>
      <c r="G784" s="198"/>
      <c r="H784" s="214" t="s">
        <v>325</v>
      </c>
      <c r="I784" s="214" t="s">
        <v>325</v>
      </c>
      <c r="J784" s="271"/>
      <c r="K784" s="198"/>
      <c r="L784" s="198"/>
      <c r="M784" s="198"/>
      <c r="N784" s="198"/>
      <c r="O784" s="198">
        <v>500</v>
      </c>
      <c r="P784" s="198"/>
      <c r="Q784" s="198" t="s">
        <v>329</v>
      </c>
      <c r="R784" s="230">
        <f>DATABASE_Table[[#This Row],[Inicial Asking Price (€) (Total)]]-DATABASE_Table[[#This Row],[Vista membership]]-DATABASE_Table[[#This Row],[FF&amp;E]]</f>
        <v>1220000</v>
      </c>
      <c r="S784" s="234">
        <v>1220000</v>
      </c>
      <c r="T784" s="235">
        <v>1250000</v>
      </c>
      <c r="U784" s="198"/>
      <c r="V784" s="198"/>
      <c r="W784" s="233">
        <f>DATABASE_Table[[#This Row],[Current Asking price( Total)]]-DATABASE_Table[[#This Row],[Vista membership]]-DATABASE_Table[[#This Row],[FF&amp;E]]</f>
        <v>1250000</v>
      </c>
      <c r="X784" s="236"/>
      <c r="Y784" s="235">
        <v>1250000</v>
      </c>
      <c r="Z784" s="233">
        <f>DATABASE_Table[[#This Row],[Sell price (Total)]]-DATABASE_Table[[#This Row],[FF&amp;E]]-DATABASE_Table[[#This Row],[Vista membership]]</f>
        <v>1250000</v>
      </c>
      <c r="AA784" s="315"/>
      <c r="AB784" s="321">
        <v>46843</v>
      </c>
      <c r="AC784" s="198" t="s">
        <v>57</v>
      </c>
      <c r="AD784" s="198" t="s">
        <v>68</v>
      </c>
      <c r="AE784" s="279" t="s">
        <v>69</v>
      </c>
      <c r="AF784" s="279" t="s">
        <v>70</v>
      </c>
      <c r="AG784" s="279" t="s">
        <v>71</v>
      </c>
      <c r="AH784" s="279" t="s">
        <v>816</v>
      </c>
      <c r="AI784" s="198" t="s">
        <v>72</v>
      </c>
      <c r="AJ784" s="274" t="s">
        <v>66</v>
      </c>
      <c r="AK784"/>
    </row>
    <row r="785" spans="1:37" ht="15.75" hidden="1" customHeight="1">
      <c r="A785" s="198" t="s">
        <v>31</v>
      </c>
      <c r="B785" s="198" t="s">
        <v>691</v>
      </c>
      <c r="C785" s="214" t="s">
        <v>339</v>
      </c>
      <c r="D785" s="198" t="s">
        <v>9</v>
      </c>
      <c r="E785" s="198" t="s">
        <v>320</v>
      </c>
      <c r="F785" s="198"/>
      <c r="G785" s="198"/>
      <c r="H785" s="214" t="s">
        <v>325</v>
      </c>
      <c r="I785" s="214" t="s">
        <v>325</v>
      </c>
      <c r="J785" s="271"/>
      <c r="K785" s="198">
        <v>102</v>
      </c>
      <c r="L785" s="198"/>
      <c r="M785" s="198">
        <v>0</v>
      </c>
      <c r="N785" s="198"/>
      <c r="O785" s="198">
        <v>139</v>
      </c>
      <c r="P785" s="198"/>
      <c r="Q785" s="198" t="s">
        <v>628</v>
      </c>
      <c r="R785" s="230">
        <f>DATABASE_Table[[#This Row],[Inicial Asking Price (€) (Total)]]-DATABASE_Table[[#This Row],[Vista membership]]-DATABASE_Table[[#This Row],[FF&amp;E]]</f>
        <v>920000</v>
      </c>
      <c r="S785" s="232">
        <v>920000</v>
      </c>
      <c r="T785" s="232">
        <v>920000</v>
      </c>
      <c r="U785" s="198"/>
      <c r="V785" s="198"/>
      <c r="W785" s="233">
        <f>DATABASE_Table[[#This Row],[Current Asking price( Total)]]-DATABASE_Table[[#This Row],[Vista membership]]-DATABASE_Table[[#This Row],[FF&amp;E]]</f>
        <v>920000</v>
      </c>
      <c r="X785" s="216">
        <v>2.1739130434782601E-2</v>
      </c>
      <c r="Y785" s="232">
        <v>900000</v>
      </c>
      <c r="Z785" s="233">
        <f>DATABASE_Table[[#This Row],[Sell price (Total)]]-DATABASE_Table[[#This Row],[FF&amp;E]]-DATABASE_Table[[#This Row],[Vista membership]]</f>
        <v>900000</v>
      </c>
      <c r="AA785" s="316">
        <v>46154</v>
      </c>
      <c r="AB785" s="321"/>
      <c r="AC785" s="198" t="s">
        <v>10</v>
      </c>
      <c r="AD785" s="198" t="s">
        <v>807</v>
      </c>
      <c r="AE785" s="279" t="s">
        <v>32</v>
      </c>
      <c r="AF785" s="279" t="s">
        <v>808</v>
      </c>
      <c r="AG785" s="279" t="s">
        <v>33</v>
      </c>
      <c r="AH785" s="279" t="s">
        <v>809</v>
      </c>
      <c r="AI785" s="198" t="s">
        <v>15</v>
      </c>
      <c r="AJ785" s="274" t="s">
        <v>31</v>
      </c>
      <c r="AK785"/>
    </row>
    <row r="786" spans="1:37" ht="15.75" hidden="1" customHeight="1">
      <c r="A786" s="198" t="s">
        <v>690</v>
      </c>
      <c r="B786" s="198" t="s">
        <v>691</v>
      </c>
      <c r="C786" s="214" t="s">
        <v>339</v>
      </c>
      <c r="D786" s="198" t="s">
        <v>9</v>
      </c>
      <c r="E786" s="198" t="s">
        <v>383</v>
      </c>
      <c r="F786" s="198">
        <v>321.57</v>
      </c>
      <c r="G786" s="198">
        <v>163.77000000000001</v>
      </c>
      <c r="H786" s="214" t="s">
        <v>325</v>
      </c>
      <c r="I786" s="214" t="s">
        <v>325</v>
      </c>
      <c r="J786" s="271"/>
      <c r="K786" s="198"/>
      <c r="L786" s="198"/>
      <c r="M786" s="198"/>
      <c r="N786" s="198"/>
      <c r="O786" s="198">
        <v>157.80000000000001</v>
      </c>
      <c r="P786" s="198"/>
      <c r="Q786" s="198" t="s">
        <v>329</v>
      </c>
      <c r="R786" s="230">
        <f>DATABASE_Table[[#This Row],[Inicial Asking Price (€) (Total)]]-DATABASE_Table[[#This Row],[Vista membership]]-DATABASE_Table[[#This Row],[FF&amp;E]]</f>
        <v>1702100</v>
      </c>
      <c r="S786" s="231">
        <v>1791050</v>
      </c>
      <c r="T786" s="232">
        <v>1880000</v>
      </c>
      <c r="U786" s="198">
        <v>24600</v>
      </c>
      <c r="V786" s="198">
        <v>64350</v>
      </c>
      <c r="W786" s="233">
        <f>DATABASE_Table[[#This Row],[Current Asking price( Total)]]-DATABASE_Table[[#This Row],[Vista membership]]-DATABASE_Table[[#This Row],[FF&amp;E]]</f>
        <v>1791050</v>
      </c>
      <c r="X786" s="216"/>
      <c r="Y786" s="232">
        <v>1880000</v>
      </c>
      <c r="Z786" s="233">
        <f>DATABASE_Table[[#This Row],[Sell price (Total)]]-DATABASE_Table[[#This Row],[FF&amp;E]]-DATABASE_Table[[#This Row],[Vista membership]]</f>
        <v>1791050</v>
      </c>
      <c r="AA786" s="315"/>
      <c r="AB786" s="321"/>
      <c r="AC786" s="198" t="s">
        <v>10</v>
      </c>
      <c r="AD786" s="198" t="s">
        <v>35</v>
      </c>
      <c r="AE786" s="279" t="s">
        <v>38</v>
      </c>
      <c r="AF786" s="279" t="s">
        <v>39</v>
      </c>
      <c r="AG786" s="279" t="s">
        <v>40</v>
      </c>
      <c r="AH786" s="279" t="s">
        <v>810</v>
      </c>
      <c r="AI786" s="198" t="s">
        <v>41</v>
      </c>
      <c r="AJ786" s="274" t="s">
        <v>37</v>
      </c>
      <c r="AK786"/>
    </row>
    <row r="787" spans="1:37" ht="15.75" hidden="1" customHeight="1">
      <c r="A787" s="198" t="s">
        <v>563</v>
      </c>
      <c r="B787" s="198" t="s">
        <v>691</v>
      </c>
      <c r="C787" s="214" t="s">
        <v>339</v>
      </c>
      <c r="D787" s="198" t="s">
        <v>9</v>
      </c>
      <c r="E787" s="198" t="s">
        <v>319</v>
      </c>
      <c r="F787" s="198">
        <v>78.3</v>
      </c>
      <c r="G787" s="198"/>
      <c r="H787" s="214" t="s">
        <v>325</v>
      </c>
      <c r="I787" s="214" t="s">
        <v>325</v>
      </c>
      <c r="J787" s="271"/>
      <c r="K787" s="198"/>
      <c r="L787" s="198"/>
      <c r="M787" s="198"/>
      <c r="N787" s="198"/>
      <c r="O787" s="198">
        <v>78.3</v>
      </c>
      <c r="P787" s="198"/>
      <c r="Q787" s="198" t="s">
        <v>628</v>
      </c>
      <c r="R787" s="230">
        <f>DATABASE_Table[[#This Row],[Inicial Asking Price (€) (Total)]]-DATABASE_Table[[#This Row],[Vista membership]]-DATABASE_Table[[#This Row],[FF&amp;E]]</f>
        <v>460000</v>
      </c>
      <c r="S787" s="231">
        <v>460000</v>
      </c>
      <c r="T787" s="232">
        <v>437000</v>
      </c>
      <c r="U787" s="198"/>
      <c r="V787" s="198"/>
      <c r="W787" s="233">
        <f>DATABASE_Table[[#This Row],[Current Asking price( Total)]]-DATABASE_Table[[#This Row],[Vista membership]]-DATABASE_Table[[#This Row],[FF&amp;E]]</f>
        <v>437000</v>
      </c>
      <c r="X787" s="216">
        <v>0</v>
      </c>
      <c r="Y787" s="232">
        <v>437000</v>
      </c>
      <c r="Z787" s="233">
        <f>DATABASE_Table[[#This Row],[Sell price (Total)]]-DATABASE_Table[[#This Row],[FF&amp;E]]-DATABASE_Table[[#This Row],[Vista membership]]</f>
        <v>437000</v>
      </c>
      <c r="AA787" s="316">
        <v>45714</v>
      </c>
      <c r="AB787" s="321"/>
      <c r="AC787" s="198" t="s">
        <v>10</v>
      </c>
      <c r="AD787" s="198" t="s">
        <v>11</v>
      </c>
      <c r="AE787" s="279" t="s">
        <v>28</v>
      </c>
      <c r="AF787" s="279" t="s">
        <v>29</v>
      </c>
      <c r="AG787" s="279" t="s">
        <v>805</v>
      </c>
      <c r="AH787" s="279" t="s">
        <v>806</v>
      </c>
      <c r="AI787" s="198" t="s">
        <v>30</v>
      </c>
      <c r="AJ787" s="274" t="s">
        <v>27</v>
      </c>
      <c r="AK787"/>
    </row>
    <row r="788" spans="1:37" ht="15.75" hidden="1" customHeight="1">
      <c r="A788" s="198" t="s">
        <v>562</v>
      </c>
      <c r="B788" s="198" t="s">
        <v>691</v>
      </c>
      <c r="C788" s="214" t="s">
        <v>339</v>
      </c>
      <c r="D788" s="198" t="s">
        <v>9</v>
      </c>
      <c r="E788" s="198" t="s">
        <v>319</v>
      </c>
      <c r="F788" s="198">
        <v>111</v>
      </c>
      <c r="G788" s="198"/>
      <c r="H788" s="214" t="s">
        <v>325</v>
      </c>
      <c r="I788" s="214" t="s">
        <v>325</v>
      </c>
      <c r="J788" s="271"/>
      <c r="K788" s="198"/>
      <c r="L788" s="198"/>
      <c r="M788" s="198"/>
      <c r="N788" s="198"/>
      <c r="O788" s="198">
        <v>111</v>
      </c>
      <c r="P788" s="198"/>
      <c r="Q788" s="198" t="s">
        <v>929</v>
      </c>
      <c r="R788" s="230">
        <f>DATABASE_Table[[#This Row],[Inicial Asking Price (€) (Total)]]-DATABASE_Table[[#This Row],[Vista membership]]-DATABASE_Table[[#This Row],[FF&amp;E]]</f>
        <v>570000</v>
      </c>
      <c r="S788" s="231">
        <v>570000</v>
      </c>
      <c r="T788" s="232">
        <v>570000</v>
      </c>
      <c r="U788" s="198"/>
      <c r="V788" s="198"/>
      <c r="W788" s="233">
        <f>DATABASE_Table[[#This Row],[Current Asking price( Total)]]-DATABASE_Table[[#This Row],[Vista membership]]-DATABASE_Table[[#This Row],[FF&amp;E]]</f>
        <v>570000</v>
      </c>
      <c r="X788" s="216">
        <v>0</v>
      </c>
      <c r="Y788" s="232">
        <v>570000</v>
      </c>
      <c r="Z788" s="233">
        <f>DATABASE_Table[[#This Row],[Sell price (Total)]]-DATABASE_Table[[#This Row],[FF&amp;E]]-DATABASE_Table[[#This Row],[Vista membership]]</f>
        <v>570000</v>
      </c>
      <c r="AA788" s="315">
        <v>45106</v>
      </c>
      <c r="AB788" s="321"/>
      <c r="AC788" s="198" t="s">
        <v>10</v>
      </c>
      <c r="AD788" s="198" t="s">
        <v>23</v>
      </c>
      <c r="AE788" s="279" t="s">
        <v>24</v>
      </c>
      <c r="AF788" s="279" t="s">
        <v>803</v>
      </c>
      <c r="AG788" s="279" t="s">
        <v>25</v>
      </c>
      <c r="AH788" s="279" t="s">
        <v>804</v>
      </c>
      <c r="AI788" s="198" t="s">
        <v>26</v>
      </c>
      <c r="AJ788" s="274" t="s">
        <v>22</v>
      </c>
      <c r="AK788"/>
    </row>
    <row r="789" spans="1:37" ht="15.75" hidden="1" customHeight="1">
      <c r="A789" s="198" t="s">
        <v>780</v>
      </c>
      <c r="B789" s="198" t="s">
        <v>786</v>
      </c>
      <c r="C789" s="214" t="s">
        <v>246</v>
      </c>
      <c r="D789" s="198" t="s">
        <v>79</v>
      </c>
      <c r="E789" s="198" t="s">
        <v>318</v>
      </c>
      <c r="F789" s="198">
        <v>331.7</v>
      </c>
      <c r="G789" s="198"/>
      <c r="H789" s="214" t="s">
        <v>849</v>
      </c>
      <c r="I789" s="214" t="s">
        <v>848</v>
      </c>
      <c r="J789" s="271">
        <v>6.02</v>
      </c>
      <c r="K789" s="198">
        <v>185.07</v>
      </c>
      <c r="L789" s="198"/>
      <c r="M789" s="198"/>
      <c r="N789" s="198"/>
      <c r="O789" s="198">
        <v>140.61000000000001</v>
      </c>
      <c r="P789" s="198"/>
      <c r="Q789" s="198" t="s">
        <v>328</v>
      </c>
      <c r="R789" s="230">
        <f>DATABASE_Table[[#This Row],[Inicial Asking Price (€) (Total)]]-DATABASE_Table[[#This Row],[Vista membership]]-DATABASE_Table[[#This Row],[FF&amp;E]]</f>
        <v>1180000</v>
      </c>
      <c r="S789" s="234">
        <v>1230000</v>
      </c>
      <c r="T789" s="235">
        <v>1280000</v>
      </c>
      <c r="U789" s="198"/>
      <c r="V789" s="235">
        <v>50000</v>
      </c>
      <c r="W789" s="233">
        <f>DATABASE_Table[[#This Row],[Current Asking price( Total)]]-DATABASE_Table[[#This Row],[Vista membership]]-DATABASE_Table[[#This Row],[FF&amp;E]]</f>
        <v>1230000</v>
      </c>
      <c r="X789" s="236"/>
      <c r="Y789" s="235"/>
      <c r="Z789" s="233">
        <f>DATABASE_Table[[#This Row],[Sell price (Total)]]-DATABASE_Table[[#This Row],[FF&amp;E]]-DATABASE_Table[[#This Row],[Vista membership]]</f>
        <v>-50000</v>
      </c>
      <c r="AA789" s="315"/>
      <c r="AB789" s="321">
        <v>47118</v>
      </c>
      <c r="AC789" s="198" t="s">
        <v>80</v>
      </c>
      <c r="AD789" s="198" t="s">
        <v>81</v>
      </c>
      <c r="AE789" s="279" t="s">
        <v>82</v>
      </c>
      <c r="AF789" s="279" t="s">
        <v>83</v>
      </c>
      <c r="AG789" s="279" t="s">
        <v>84</v>
      </c>
      <c r="AH789" s="279" t="s">
        <v>85</v>
      </c>
      <c r="AI789" s="198" t="s">
        <v>86</v>
      </c>
      <c r="AJ789" s="274" t="s">
        <v>78</v>
      </c>
      <c r="AK789"/>
    </row>
    <row r="790" spans="1:37" ht="15.75" hidden="1" customHeight="1">
      <c r="A790" s="198" t="s">
        <v>689</v>
      </c>
      <c r="B790" s="198" t="s">
        <v>691</v>
      </c>
      <c r="C790" s="214" t="s">
        <v>339</v>
      </c>
      <c r="D790" s="198"/>
      <c r="E790" s="198" t="s">
        <v>384</v>
      </c>
      <c r="F790" s="198">
        <v>156.83949999999999</v>
      </c>
      <c r="G790" s="198"/>
      <c r="H790" s="214" t="s">
        <v>325</v>
      </c>
      <c r="I790" s="214" t="s">
        <v>325</v>
      </c>
      <c r="J790" s="271"/>
      <c r="K790" s="198"/>
      <c r="L790" s="198"/>
      <c r="M790" s="198"/>
      <c r="N790" s="198"/>
      <c r="O790" s="198">
        <v>156.83949999999999</v>
      </c>
      <c r="P790" s="198"/>
      <c r="Q790" s="198" t="s">
        <v>929</v>
      </c>
      <c r="R790" s="230">
        <f>DATABASE_Table[[#This Row],[Inicial Asking Price (€) (Total)]]-DATABASE_Table[[#This Row],[Vista membership]]-DATABASE_Table[[#This Row],[FF&amp;E]]</f>
        <v>973488</v>
      </c>
      <c r="S790" s="231">
        <v>973488</v>
      </c>
      <c r="T790" s="232">
        <v>1060000</v>
      </c>
      <c r="U790" s="198"/>
      <c r="V790" s="198"/>
      <c r="W790" s="233">
        <f>DATABASE_Table[[#This Row],[Current Asking price( Total)]]-DATABASE_Table[[#This Row],[Vista membership]]-DATABASE_Table[[#This Row],[FF&amp;E]]</f>
        <v>1060000</v>
      </c>
      <c r="X790" s="216">
        <v>0</v>
      </c>
      <c r="Y790" s="232">
        <v>1060000</v>
      </c>
      <c r="Z790" s="233">
        <f>DATABASE_Table[[#This Row],[Sell price (Total)]]-DATABASE_Table[[#This Row],[FF&amp;E]]-DATABASE_Table[[#This Row],[Vista membership]]</f>
        <v>1060000</v>
      </c>
      <c r="AA790" s="315">
        <v>45133</v>
      </c>
      <c r="AB790" s="321"/>
      <c r="AC790" s="198"/>
      <c r="AD790" s="198"/>
      <c r="AE790" s="279"/>
      <c r="AF790" s="279"/>
      <c r="AG790" s="279"/>
      <c r="AH790" s="279"/>
      <c r="AI790" s="198"/>
      <c r="AJ790" s="274" t="s">
        <v>689</v>
      </c>
      <c r="AK790"/>
    </row>
    <row r="791" spans="1:37" ht="15.75" hidden="1" customHeight="1">
      <c r="A791" s="198" t="s">
        <v>564</v>
      </c>
      <c r="B791" s="198" t="s">
        <v>691</v>
      </c>
      <c r="C791" s="214" t="s">
        <v>339</v>
      </c>
      <c r="D791" s="198" t="s">
        <v>9</v>
      </c>
      <c r="E791" s="198" t="s">
        <v>416</v>
      </c>
      <c r="F791" s="198">
        <v>118.14</v>
      </c>
      <c r="G791" s="198"/>
      <c r="H791" s="214" t="s">
        <v>325</v>
      </c>
      <c r="I791" s="214" t="s">
        <v>325</v>
      </c>
      <c r="J791" s="271">
        <v>28.84</v>
      </c>
      <c r="K791" s="198"/>
      <c r="L791" s="198"/>
      <c r="M791" s="198"/>
      <c r="N791" s="198"/>
      <c r="O791" s="198">
        <v>89.3</v>
      </c>
      <c r="P791" s="198"/>
      <c r="Q791" s="198" t="s">
        <v>329</v>
      </c>
      <c r="R791" s="230">
        <f>DATABASE_Table[[#This Row],[Inicial Asking Price (€) (Total)]]-DATABASE_Table[[#This Row],[Vista membership]]-DATABASE_Table[[#This Row],[FF&amp;E]]</f>
        <v>665511.4</v>
      </c>
      <c r="S791" s="231">
        <v>730111.4</v>
      </c>
      <c r="T791" s="232">
        <v>790000</v>
      </c>
      <c r="U791" s="198">
        <v>24600</v>
      </c>
      <c r="V791" s="198">
        <v>40000</v>
      </c>
      <c r="W791" s="233">
        <f>DATABASE_Table[[#This Row],[Current Asking price( Total)]]-DATABASE_Table[[#This Row],[Vista membership]]-DATABASE_Table[[#This Row],[FF&amp;E]]</f>
        <v>725400</v>
      </c>
      <c r="X791" s="216"/>
      <c r="Y791" s="232">
        <v>790000</v>
      </c>
      <c r="Z791" s="233">
        <f>DATABASE_Table[[#This Row],[Sell price (Total)]]-DATABASE_Table[[#This Row],[FF&amp;E]]-DATABASE_Table[[#This Row],[Vista membership]]</f>
        <v>725400</v>
      </c>
      <c r="AA791" s="315"/>
      <c r="AB791" s="321"/>
      <c r="AC791" s="198" t="s">
        <v>10</v>
      </c>
      <c r="AD791" s="198" t="s">
        <v>35</v>
      </c>
      <c r="AE791" s="279" t="s">
        <v>43</v>
      </c>
      <c r="AF791" s="279" t="s">
        <v>44</v>
      </c>
      <c r="AG791" s="279" t="s">
        <v>45</v>
      </c>
      <c r="AH791" s="279" t="s">
        <v>46</v>
      </c>
      <c r="AI791" s="198" t="s">
        <v>47</v>
      </c>
      <c r="AJ791" s="274" t="s">
        <v>42</v>
      </c>
      <c r="AK791"/>
    </row>
    <row r="792" spans="1:37" ht="15.75" hidden="1" customHeight="1">
      <c r="A792" s="198" t="s">
        <v>559</v>
      </c>
      <c r="B792" s="198" t="s">
        <v>691</v>
      </c>
      <c r="C792" s="214" t="s">
        <v>340</v>
      </c>
      <c r="D792" s="198" t="s">
        <v>9</v>
      </c>
      <c r="E792" s="198" t="s">
        <v>383</v>
      </c>
      <c r="F792" s="198">
        <v>170</v>
      </c>
      <c r="G792" s="198"/>
      <c r="H792" s="214" t="s">
        <v>325</v>
      </c>
      <c r="I792" s="214" t="s">
        <v>325</v>
      </c>
      <c r="J792" s="271"/>
      <c r="K792" s="198"/>
      <c r="L792" s="198"/>
      <c r="M792" s="198"/>
      <c r="N792" s="198"/>
      <c r="O792" s="198">
        <v>170</v>
      </c>
      <c r="P792" s="198"/>
      <c r="Q792" s="198" t="s">
        <v>929</v>
      </c>
      <c r="R792" s="230">
        <f>DATABASE_Table[[#This Row],[Inicial Asking Price (€) (Total)]]-DATABASE_Table[[#This Row],[Vista membership]]-DATABASE_Table[[#This Row],[FF&amp;E]]</f>
        <v>940000</v>
      </c>
      <c r="S792" s="231">
        <v>940000</v>
      </c>
      <c r="T792" s="232">
        <v>960000</v>
      </c>
      <c r="U792" s="198"/>
      <c r="V792" s="198"/>
      <c r="W792" s="233">
        <f>DATABASE_Table[[#This Row],[Current Asking price( Total)]]-DATABASE_Table[[#This Row],[Vista membership]]-DATABASE_Table[[#This Row],[FF&amp;E]]</f>
        <v>960000</v>
      </c>
      <c r="X792" s="216">
        <v>0</v>
      </c>
      <c r="Y792" s="232">
        <v>960000</v>
      </c>
      <c r="Z792" s="233">
        <f>DATABASE_Table[[#This Row],[Sell price (Total)]]-DATABASE_Table[[#This Row],[FF&amp;E]]-DATABASE_Table[[#This Row],[Vista membership]]</f>
        <v>960000</v>
      </c>
      <c r="AA792" s="315">
        <v>45133</v>
      </c>
      <c r="AB792" s="321"/>
      <c r="AC792" s="198" t="s">
        <v>10</v>
      </c>
      <c r="AD792" s="198" t="s">
        <v>802</v>
      </c>
      <c r="AE792" s="279" t="s">
        <v>17</v>
      </c>
      <c r="AF792" s="279" t="s">
        <v>18</v>
      </c>
      <c r="AG792" s="279" t="s">
        <v>19</v>
      </c>
      <c r="AH792" s="279" t="s">
        <v>20</v>
      </c>
      <c r="AI792" s="198" t="s">
        <v>21</v>
      </c>
      <c r="AJ792" s="274" t="s">
        <v>16</v>
      </c>
      <c r="AK792"/>
    </row>
    <row r="793" spans="1:37" ht="15.75" hidden="1" customHeight="1">
      <c r="A793" s="198" t="s">
        <v>560</v>
      </c>
      <c r="B793" s="198" t="s">
        <v>691</v>
      </c>
      <c r="C793" s="214" t="s">
        <v>340</v>
      </c>
      <c r="D793" s="198" t="s">
        <v>9</v>
      </c>
      <c r="E793" s="198" t="s">
        <v>383</v>
      </c>
      <c r="F793" s="198">
        <v>170.86</v>
      </c>
      <c r="G793" s="198"/>
      <c r="H793" s="214" t="s">
        <v>325</v>
      </c>
      <c r="I793" s="214" t="s">
        <v>325</v>
      </c>
      <c r="J793" s="271"/>
      <c r="K793" s="198"/>
      <c r="L793" s="198"/>
      <c r="M793" s="198"/>
      <c r="N793" s="198"/>
      <c r="O793" s="198">
        <v>170.86</v>
      </c>
      <c r="P793" s="198"/>
      <c r="Q793" s="198" t="s">
        <v>929</v>
      </c>
      <c r="R793" s="230">
        <f>DATABASE_Table[[#This Row],[Inicial Asking Price (€) (Total)]]-DATABASE_Table[[#This Row],[Vista membership]]-DATABASE_Table[[#This Row],[FF&amp;E]]</f>
        <v>940000</v>
      </c>
      <c r="S793" s="231">
        <v>940000</v>
      </c>
      <c r="T793" s="232">
        <v>960000</v>
      </c>
      <c r="U793" s="198"/>
      <c r="V793" s="198"/>
      <c r="W793" s="233">
        <f>DATABASE_Table[[#This Row],[Current Asking price( Total)]]-DATABASE_Table[[#This Row],[Vista membership]]-DATABASE_Table[[#This Row],[FF&amp;E]]</f>
        <v>960000</v>
      </c>
      <c r="X793" s="216">
        <v>6.25E-2</v>
      </c>
      <c r="Y793" s="232">
        <v>900000</v>
      </c>
      <c r="Z793" s="233">
        <f>DATABASE_Table[[#This Row],[Sell price (Total)]]-DATABASE_Table[[#This Row],[FF&amp;E]]-DATABASE_Table[[#This Row],[Vista membership]]</f>
        <v>900000</v>
      </c>
      <c r="AA793" s="315">
        <v>46102</v>
      </c>
      <c r="AB793" s="321"/>
      <c r="AC793" s="198" t="s">
        <v>10</v>
      </c>
      <c r="AD793" s="198" t="s">
        <v>802</v>
      </c>
      <c r="AE793" s="279" t="s">
        <v>17</v>
      </c>
      <c r="AF793" s="279" t="s">
        <v>18</v>
      </c>
      <c r="AG793" s="279" t="s">
        <v>19</v>
      </c>
      <c r="AH793" s="279" t="s">
        <v>20</v>
      </c>
      <c r="AI793" s="198" t="s">
        <v>21</v>
      </c>
      <c r="AJ793" s="274" t="s">
        <v>16</v>
      </c>
      <c r="AK793"/>
    </row>
    <row r="794" spans="1:37" ht="15.75" hidden="1" customHeight="1">
      <c r="A794" s="198" t="s">
        <v>784</v>
      </c>
      <c r="B794" s="198" t="s">
        <v>787</v>
      </c>
      <c r="C794" s="214" t="s">
        <v>464</v>
      </c>
      <c r="D794" s="198" t="s">
        <v>88</v>
      </c>
      <c r="E794" s="198" t="s">
        <v>462</v>
      </c>
      <c r="F794" s="198">
        <v>355.86</v>
      </c>
      <c r="G794" s="198"/>
      <c r="H794" s="214" t="s">
        <v>849</v>
      </c>
      <c r="I794" s="214" t="s">
        <v>590</v>
      </c>
      <c r="J794" s="271">
        <v>9.57</v>
      </c>
      <c r="K794" s="198">
        <v>94.78</v>
      </c>
      <c r="L794" s="198">
        <v>51.75</v>
      </c>
      <c r="M794" s="198"/>
      <c r="N794" s="198"/>
      <c r="O794" s="198">
        <v>199.76</v>
      </c>
      <c r="P794" s="198"/>
      <c r="Q794" s="198" t="s">
        <v>329</v>
      </c>
      <c r="R794" s="230">
        <f>DATABASE_Table[[#This Row],[Inicial Asking Price (€) (Total)]]-DATABASE_Table[[#This Row],[Vista membership]]-DATABASE_Table[[#This Row],[FF&amp;E]]</f>
        <v>1240000</v>
      </c>
      <c r="S794" s="234">
        <v>1240000</v>
      </c>
      <c r="T794" s="235">
        <v>1270000</v>
      </c>
      <c r="U794" s="198"/>
      <c r="V794" s="198"/>
      <c r="W794" s="233">
        <f>DATABASE_Table[[#This Row],[Current Asking price( Total)]]-DATABASE_Table[[#This Row],[Vista membership]]-DATABASE_Table[[#This Row],[FF&amp;E]]</f>
        <v>1270000</v>
      </c>
      <c r="X794" s="236"/>
      <c r="Y794" s="235"/>
      <c r="Z794" s="233">
        <f>DATABASE_Table[[#This Row],[Sell price (Total)]]-DATABASE_Table[[#This Row],[FF&amp;E]]-DATABASE_Table[[#This Row],[Vista membership]]</f>
        <v>0</v>
      </c>
      <c r="AA794" s="315"/>
      <c r="AB794" s="321">
        <v>47208</v>
      </c>
      <c r="AC794" s="198" t="s">
        <v>80</v>
      </c>
      <c r="AD794" s="198" t="s">
        <v>81</v>
      </c>
      <c r="AE794" s="279" t="s">
        <v>89</v>
      </c>
      <c r="AF794" s="279" t="s">
        <v>90</v>
      </c>
      <c r="AG794" s="279" t="s">
        <v>91</v>
      </c>
      <c r="AH794" s="279" t="s">
        <v>92</v>
      </c>
      <c r="AI794" s="198" t="s">
        <v>30</v>
      </c>
      <c r="AJ794" s="274" t="s">
        <v>87</v>
      </c>
      <c r="AK794"/>
    </row>
    <row r="795" spans="1:37" ht="15.75" hidden="1" customHeight="1">
      <c r="A795" s="198" t="s">
        <v>561</v>
      </c>
      <c r="B795" s="198" t="s">
        <v>691</v>
      </c>
      <c r="C795" s="214" t="s">
        <v>340</v>
      </c>
      <c r="D795" s="198" t="s">
        <v>9</v>
      </c>
      <c r="E795" s="198" t="s">
        <v>383</v>
      </c>
      <c r="F795" s="198">
        <v>192.99</v>
      </c>
      <c r="G795" s="198"/>
      <c r="H795" s="214" t="s">
        <v>325</v>
      </c>
      <c r="I795" s="214" t="s">
        <v>325</v>
      </c>
      <c r="J795" s="271"/>
      <c r="K795" s="198"/>
      <c r="L795" s="198"/>
      <c r="M795" s="198"/>
      <c r="N795" s="198"/>
      <c r="O795" s="198">
        <v>192.99</v>
      </c>
      <c r="P795" s="198"/>
      <c r="Q795" s="198" t="s">
        <v>628</v>
      </c>
      <c r="R795" s="230">
        <f>DATABASE_Table[[#This Row],[Inicial Asking Price (€) (Total)]]-DATABASE_Table[[#This Row],[Vista membership]]-DATABASE_Table[[#This Row],[FF&amp;E]]</f>
        <v>1140000</v>
      </c>
      <c r="S795" s="231">
        <v>1140000</v>
      </c>
      <c r="T795" s="232">
        <v>1140000</v>
      </c>
      <c r="U795" s="198"/>
      <c r="V795" s="198"/>
      <c r="W795" s="233">
        <f>DATABASE_Table[[#This Row],[Current Asking price( Total)]]-DATABASE_Table[[#This Row],[Vista membership]]-DATABASE_Table[[#This Row],[FF&amp;E]]</f>
        <v>1140000</v>
      </c>
      <c r="X795" s="216">
        <v>0</v>
      </c>
      <c r="Y795" s="232">
        <v>1140000</v>
      </c>
      <c r="Z795" s="233">
        <f>DATABASE_Table[[#This Row],[Sell price (Total)]]-DATABASE_Table[[#This Row],[FF&amp;E]]-DATABASE_Table[[#This Row],[Vista membership]]</f>
        <v>1140000</v>
      </c>
      <c r="AA795" s="315">
        <v>46107</v>
      </c>
      <c r="AB795" s="321"/>
      <c r="AC795" s="198" t="s">
        <v>10</v>
      </c>
      <c r="AD795" s="198" t="s">
        <v>802</v>
      </c>
      <c r="AE795" s="279" t="s">
        <v>17</v>
      </c>
      <c r="AF795" s="279" t="s">
        <v>18</v>
      </c>
      <c r="AG795" s="279" t="s">
        <v>19</v>
      </c>
      <c r="AH795" s="279" t="s">
        <v>20</v>
      </c>
      <c r="AI795" s="198" t="s">
        <v>21</v>
      </c>
      <c r="AJ795" s="274" t="s">
        <v>16</v>
      </c>
      <c r="AK795"/>
    </row>
    <row r="796" spans="1:37" ht="15.75" hidden="1" customHeight="1">
      <c r="A796" s="198" t="s">
        <v>558</v>
      </c>
      <c r="B796" s="198" t="s">
        <v>691</v>
      </c>
      <c r="C796" s="214" t="s">
        <v>340</v>
      </c>
      <c r="D796" s="198" t="s">
        <v>9</v>
      </c>
      <c r="E796" s="198" t="s">
        <v>319</v>
      </c>
      <c r="F796" s="198">
        <v>112.9</v>
      </c>
      <c r="G796" s="198"/>
      <c r="H796" s="214" t="s">
        <v>601</v>
      </c>
      <c r="I796" s="214" t="s">
        <v>325</v>
      </c>
      <c r="J796" s="271">
        <v>21.52</v>
      </c>
      <c r="K796" s="198"/>
      <c r="L796" s="198"/>
      <c r="M796" s="198"/>
      <c r="N796" s="198"/>
      <c r="O796" s="198">
        <v>112.9</v>
      </c>
      <c r="P796" s="198"/>
      <c r="Q796" s="198" t="s">
        <v>329</v>
      </c>
      <c r="R796" s="230">
        <f>DATABASE_Table[[#This Row],[Inicial Asking Price (€) (Total)]]-DATABASE_Table[[#This Row],[Vista membership]]-DATABASE_Table[[#This Row],[FF&amp;E]]</f>
        <v>760000</v>
      </c>
      <c r="S796" s="231">
        <v>760000</v>
      </c>
      <c r="T796" s="232">
        <v>760000</v>
      </c>
      <c r="U796" s="198"/>
      <c r="V796" s="198"/>
      <c r="W796" s="233">
        <f>DATABASE_Table[[#This Row],[Current Asking price( Total)]]-DATABASE_Table[[#This Row],[Vista membership]]-DATABASE_Table[[#This Row],[FF&amp;E]]</f>
        <v>760000</v>
      </c>
      <c r="X796" s="216"/>
      <c r="Y796" s="232">
        <v>760000</v>
      </c>
      <c r="Z796" s="233">
        <f>DATABASE_Table[[#This Row],[Sell price (Total)]]-DATABASE_Table[[#This Row],[FF&amp;E]]-DATABASE_Table[[#This Row],[Vista membership]]</f>
        <v>760000</v>
      </c>
      <c r="AA796" s="315"/>
      <c r="AB796" s="321"/>
      <c r="AC796" s="198" t="s">
        <v>10</v>
      </c>
      <c r="AD796" s="198" t="s">
        <v>11</v>
      </c>
      <c r="AE796" s="279" t="s">
        <v>12</v>
      </c>
      <c r="AF796" s="279" t="s">
        <v>801</v>
      </c>
      <c r="AG796" s="279" t="s">
        <v>13</v>
      </c>
      <c r="AH796" s="279" t="s">
        <v>14</v>
      </c>
      <c r="AI796" s="198" t="s">
        <v>15</v>
      </c>
      <c r="AJ796" s="274" t="s">
        <v>8</v>
      </c>
      <c r="AK796"/>
    </row>
    <row r="797" spans="1:37" ht="15.75" hidden="1" customHeight="1">
      <c r="A797" s="198" t="s">
        <v>780</v>
      </c>
      <c r="B797" s="198" t="s">
        <v>786</v>
      </c>
      <c r="C797" s="214" t="s">
        <v>248</v>
      </c>
      <c r="D797" s="198" t="s">
        <v>79</v>
      </c>
      <c r="E797" s="198" t="s">
        <v>318</v>
      </c>
      <c r="F797" s="198">
        <v>345.41</v>
      </c>
      <c r="G797" s="198"/>
      <c r="H797" s="214" t="s">
        <v>849</v>
      </c>
      <c r="I797" s="214" t="s">
        <v>848</v>
      </c>
      <c r="J797" s="271">
        <v>6.02</v>
      </c>
      <c r="K797" s="198">
        <v>197.51</v>
      </c>
      <c r="L797" s="198"/>
      <c r="M797" s="198"/>
      <c r="N797" s="198"/>
      <c r="O797" s="198">
        <v>141.88</v>
      </c>
      <c r="P797" s="198"/>
      <c r="Q797" s="198" t="s">
        <v>329</v>
      </c>
      <c r="R797" s="230">
        <f>DATABASE_Table[[#This Row],[Inicial Asking Price (€) (Total)]]-DATABASE_Table[[#This Row],[Vista membership]]-DATABASE_Table[[#This Row],[FF&amp;E]]</f>
        <v>1200000</v>
      </c>
      <c r="S797" s="234">
        <v>1250000</v>
      </c>
      <c r="T797" s="235">
        <v>1250000</v>
      </c>
      <c r="U797" s="198"/>
      <c r="V797" s="235">
        <v>50000</v>
      </c>
      <c r="W797" s="233">
        <f>DATABASE_Table[[#This Row],[Current Asking price( Total)]]-DATABASE_Table[[#This Row],[Vista membership]]-DATABASE_Table[[#This Row],[FF&amp;E]]</f>
        <v>1200000</v>
      </c>
      <c r="X797" s="236"/>
      <c r="Y797" s="235"/>
      <c r="Z797" s="233">
        <f>DATABASE_Table[[#This Row],[Sell price (Total)]]-DATABASE_Table[[#This Row],[FF&amp;E]]-DATABASE_Table[[#This Row],[Vista membership]]</f>
        <v>-50000</v>
      </c>
      <c r="AA797" s="315"/>
      <c r="AB797" s="321">
        <v>47118</v>
      </c>
      <c r="AC797" s="198" t="s">
        <v>80</v>
      </c>
      <c r="AD797" s="198" t="s">
        <v>81</v>
      </c>
      <c r="AE797" s="279" t="s">
        <v>82</v>
      </c>
      <c r="AF797" s="279" t="s">
        <v>83</v>
      </c>
      <c r="AG797" s="279" t="s">
        <v>84</v>
      </c>
      <c r="AH797" s="279" t="s">
        <v>85</v>
      </c>
      <c r="AI797" s="198" t="s">
        <v>86</v>
      </c>
      <c r="AJ797" s="274" t="s">
        <v>78</v>
      </c>
      <c r="AK797"/>
    </row>
    <row r="798" spans="1:37" ht="15.75" hidden="1" customHeight="1">
      <c r="A798" s="198" t="s">
        <v>775</v>
      </c>
      <c r="B798" s="198" t="s">
        <v>769</v>
      </c>
      <c r="C798" s="214" t="s">
        <v>338</v>
      </c>
      <c r="D798" s="198" t="s">
        <v>74</v>
      </c>
      <c r="E798" s="198" t="s">
        <v>320</v>
      </c>
      <c r="F798" s="198">
        <v>433.99</v>
      </c>
      <c r="G798" s="198">
        <v>45.83</v>
      </c>
      <c r="H798" s="214" t="s">
        <v>325</v>
      </c>
      <c r="I798" s="214" t="s">
        <v>325</v>
      </c>
      <c r="J798" s="271">
        <v>136.16</v>
      </c>
      <c r="K798" s="198"/>
      <c r="L798" s="198"/>
      <c r="M798" s="198"/>
      <c r="N798" s="198"/>
      <c r="O798" s="198">
        <v>252</v>
      </c>
      <c r="P798" s="198"/>
      <c r="Q798" s="198" t="s">
        <v>329</v>
      </c>
      <c r="R798" s="230">
        <f>DATABASE_Table[[#This Row],[Inicial Asking Price (€) (Total)]]-DATABASE_Table[[#This Row],[Vista membership]]-DATABASE_Table[[#This Row],[FF&amp;E]]</f>
        <v>1250000</v>
      </c>
      <c r="S798" s="234">
        <v>1250000</v>
      </c>
      <c r="T798" s="235">
        <v>1310000</v>
      </c>
      <c r="U798" s="198"/>
      <c r="V798" s="198"/>
      <c r="W798" s="233">
        <f>DATABASE_Table[[#This Row],[Current Asking price( Total)]]-DATABASE_Table[[#This Row],[Vista membership]]-DATABASE_Table[[#This Row],[FF&amp;E]]</f>
        <v>1310000</v>
      </c>
      <c r="X798" s="236"/>
      <c r="Y798" s="235"/>
      <c r="Z798" s="233">
        <f>DATABASE_Table[[#This Row],[Sell price (Total)]]-DATABASE_Table[[#This Row],[FF&amp;E]]-DATABASE_Table[[#This Row],[Vista membership]]</f>
        <v>0</v>
      </c>
      <c r="AA798" s="315"/>
      <c r="AB798" s="321" t="s">
        <v>32</v>
      </c>
      <c r="AC798" s="198" t="s">
        <v>57</v>
      </c>
      <c r="AD798" s="198"/>
      <c r="AE798" s="279" t="s">
        <v>75</v>
      </c>
      <c r="AF798" s="279" t="s">
        <v>554</v>
      </c>
      <c r="AG798" s="279" t="s">
        <v>76</v>
      </c>
      <c r="AH798" s="279" t="s">
        <v>77</v>
      </c>
      <c r="AI798" s="198" t="s">
        <v>32</v>
      </c>
      <c r="AJ798" s="274" t="s">
        <v>73</v>
      </c>
      <c r="AK798"/>
    </row>
    <row r="799" spans="1:37" ht="15.75" hidden="1" customHeight="1">
      <c r="A799" s="198" t="s">
        <v>775</v>
      </c>
      <c r="B799" s="198" t="s">
        <v>769</v>
      </c>
      <c r="C799" s="214" t="s">
        <v>346</v>
      </c>
      <c r="D799" s="198" t="s">
        <v>74</v>
      </c>
      <c r="E799" s="198" t="s">
        <v>320</v>
      </c>
      <c r="F799" s="198">
        <v>422.07</v>
      </c>
      <c r="G799" s="198">
        <v>45.06</v>
      </c>
      <c r="H799" s="214" t="s">
        <v>325</v>
      </c>
      <c r="I799" s="214" t="s">
        <v>325</v>
      </c>
      <c r="J799" s="271">
        <v>134.35</v>
      </c>
      <c r="K799" s="198"/>
      <c r="L799" s="198"/>
      <c r="M799" s="198"/>
      <c r="N799" s="198"/>
      <c r="O799" s="198">
        <v>242.66</v>
      </c>
      <c r="P799" s="198"/>
      <c r="Q799" s="198" t="s">
        <v>329</v>
      </c>
      <c r="R799" s="230">
        <f>DATABASE_Table[[#This Row],[Inicial Asking Price (€) (Total)]]-DATABASE_Table[[#This Row],[Vista membership]]-DATABASE_Table[[#This Row],[FF&amp;E]]</f>
        <v>1250000</v>
      </c>
      <c r="S799" s="234">
        <v>1250000</v>
      </c>
      <c r="T799" s="235">
        <v>1380000</v>
      </c>
      <c r="U799" s="198"/>
      <c r="V799" s="198"/>
      <c r="W799" s="233">
        <f>DATABASE_Table[[#This Row],[Current Asking price( Total)]]-DATABASE_Table[[#This Row],[Vista membership]]-DATABASE_Table[[#This Row],[FF&amp;E]]</f>
        <v>1380000</v>
      </c>
      <c r="X799" s="236"/>
      <c r="Y799" s="235"/>
      <c r="Z799" s="233">
        <f>DATABASE_Table[[#This Row],[Sell price (Total)]]-DATABASE_Table[[#This Row],[FF&amp;E]]-DATABASE_Table[[#This Row],[Vista membership]]</f>
        <v>0</v>
      </c>
      <c r="AA799" s="315"/>
      <c r="AB799" s="321" t="s">
        <v>32</v>
      </c>
      <c r="AC799" s="198" t="s">
        <v>57</v>
      </c>
      <c r="AD799" s="198"/>
      <c r="AE799" s="279" t="s">
        <v>75</v>
      </c>
      <c r="AF799" s="279" t="s">
        <v>554</v>
      </c>
      <c r="AG799" s="279" t="s">
        <v>76</v>
      </c>
      <c r="AH799" s="279" t="s">
        <v>77</v>
      </c>
      <c r="AI799" s="198" t="s">
        <v>32</v>
      </c>
      <c r="AJ799" s="274" t="s">
        <v>73</v>
      </c>
      <c r="AK799"/>
    </row>
    <row r="800" spans="1:37" ht="15.75" hidden="1" customHeight="1">
      <c r="A800" s="198" t="s">
        <v>775</v>
      </c>
      <c r="B800" s="198" t="s">
        <v>769</v>
      </c>
      <c r="C800" s="214" t="s">
        <v>348</v>
      </c>
      <c r="D800" s="198" t="s">
        <v>74</v>
      </c>
      <c r="E800" s="198" t="s">
        <v>320</v>
      </c>
      <c r="F800" s="198">
        <v>422.36</v>
      </c>
      <c r="G800" s="198">
        <v>45.06</v>
      </c>
      <c r="H800" s="214" t="s">
        <v>325</v>
      </c>
      <c r="I800" s="214" t="s">
        <v>325</v>
      </c>
      <c r="J800" s="271">
        <v>131.68</v>
      </c>
      <c r="K800" s="198"/>
      <c r="L800" s="198"/>
      <c r="M800" s="198"/>
      <c r="N800" s="198"/>
      <c r="O800" s="198">
        <v>245.62</v>
      </c>
      <c r="P800" s="198"/>
      <c r="Q800" s="198" t="s">
        <v>329</v>
      </c>
      <c r="R800" s="230">
        <f>DATABASE_Table[[#This Row],[Inicial Asking Price (€) (Total)]]-DATABASE_Table[[#This Row],[Vista membership]]-DATABASE_Table[[#This Row],[FF&amp;E]]</f>
        <v>1250000</v>
      </c>
      <c r="S800" s="234">
        <v>1250000</v>
      </c>
      <c r="T800" s="235">
        <v>1170000</v>
      </c>
      <c r="U800" s="198"/>
      <c r="V800" s="198"/>
      <c r="W800" s="233">
        <f>DATABASE_Table[[#This Row],[Current Asking price( Total)]]-DATABASE_Table[[#This Row],[Vista membership]]-DATABASE_Table[[#This Row],[FF&amp;E]]</f>
        <v>1170000</v>
      </c>
      <c r="X800" s="236"/>
      <c r="Y800" s="235"/>
      <c r="Z800" s="233">
        <f>DATABASE_Table[[#This Row],[Sell price (Total)]]-DATABASE_Table[[#This Row],[FF&amp;E]]-DATABASE_Table[[#This Row],[Vista membership]]</f>
        <v>0</v>
      </c>
      <c r="AA800" s="315"/>
      <c r="AB800" s="321" t="s">
        <v>32</v>
      </c>
      <c r="AC800" s="198" t="s">
        <v>57</v>
      </c>
      <c r="AD800" s="198"/>
      <c r="AE800" s="279" t="s">
        <v>75</v>
      </c>
      <c r="AF800" s="279" t="s">
        <v>554</v>
      </c>
      <c r="AG800" s="279" t="s">
        <v>76</v>
      </c>
      <c r="AH800" s="279" t="s">
        <v>77</v>
      </c>
      <c r="AI800" s="198" t="s">
        <v>32</v>
      </c>
      <c r="AJ800" s="274" t="s">
        <v>73</v>
      </c>
      <c r="AK800"/>
    </row>
    <row r="801" spans="1:37" ht="15.75" hidden="1" customHeight="1">
      <c r="A801" s="198" t="s">
        <v>775</v>
      </c>
      <c r="B801" s="198" t="s">
        <v>769</v>
      </c>
      <c r="C801" s="214" t="s">
        <v>351</v>
      </c>
      <c r="D801" s="198" t="s">
        <v>74</v>
      </c>
      <c r="E801" s="198" t="s">
        <v>320</v>
      </c>
      <c r="F801" s="198">
        <v>422.07</v>
      </c>
      <c r="G801" s="198">
        <v>45.06</v>
      </c>
      <c r="H801" s="214" t="s">
        <v>325</v>
      </c>
      <c r="I801" s="214" t="s">
        <v>325</v>
      </c>
      <c r="J801" s="271">
        <v>134.35</v>
      </c>
      <c r="K801" s="198"/>
      <c r="L801" s="198"/>
      <c r="M801" s="198"/>
      <c r="N801" s="198"/>
      <c r="O801" s="198">
        <v>242.66</v>
      </c>
      <c r="P801" s="198"/>
      <c r="Q801" s="198" t="s">
        <v>329</v>
      </c>
      <c r="R801" s="230">
        <f>DATABASE_Table[[#This Row],[Inicial Asking Price (€) (Total)]]-DATABASE_Table[[#This Row],[Vista membership]]-DATABASE_Table[[#This Row],[FF&amp;E]]</f>
        <v>1250000</v>
      </c>
      <c r="S801" s="234">
        <v>1250000</v>
      </c>
      <c r="T801" s="235">
        <v>1240000</v>
      </c>
      <c r="U801" s="198"/>
      <c r="V801" s="198"/>
      <c r="W801" s="233">
        <f>DATABASE_Table[[#This Row],[Current Asking price( Total)]]-DATABASE_Table[[#This Row],[Vista membership]]-DATABASE_Table[[#This Row],[FF&amp;E]]</f>
        <v>1240000</v>
      </c>
      <c r="X801" s="236"/>
      <c r="Y801" s="235"/>
      <c r="Z801" s="233">
        <f>DATABASE_Table[[#This Row],[Sell price (Total)]]-DATABASE_Table[[#This Row],[FF&amp;E]]-DATABASE_Table[[#This Row],[Vista membership]]</f>
        <v>0</v>
      </c>
      <c r="AA801" s="315"/>
      <c r="AB801" s="321" t="s">
        <v>32</v>
      </c>
      <c r="AC801" s="198" t="s">
        <v>57</v>
      </c>
      <c r="AD801" s="198"/>
      <c r="AE801" s="279" t="s">
        <v>75</v>
      </c>
      <c r="AF801" s="279" t="s">
        <v>554</v>
      </c>
      <c r="AG801" s="279" t="s">
        <v>76</v>
      </c>
      <c r="AH801" s="279" t="s">
        <v>77</v>
      </c>
      <c r="AI801" s="198" t="s">
        <v>32</v>
      </c>
      <c r="AJ801" s="274" t="s">
        <v>73</v>
      </c>
      <c r="AK801"/>
    </row>
    <row r="802" spans="1:37" ht="15.75" hidden="1" customHeight="1">
      <c r="A802" s="198" t="s">
        <v>775</v>
      </c>
      <c r="B802" s="198" t="s">
        <v>769</v>
      </c>
      <c r="C802" s="214" t="s">
        <v>354</v>
      </c>
      <c r="D802" s="198" t="s">
        <v>74</v>
      </c>
      <c r="E802" s="198" t="s">
        <v>320</v>
      </c>
      <c r="F802" s="198">
        <v>422.07</v>
      </c>
      <c r="G802" s="198">
        <v>45.06</v>
      </c>
      <c r="H802" s="214" t="s">
        <v>325</v>
      </c>
      <c r="I802" s="214" t="s">
        <v>325</v>
      </c>
      <c r="J802" s="271">
        <v>134.35</v>
      </c>
      <c r="K802" s="198"/>
      <c r="L802" s="198"/>
      <c r="M802" s="198"/>
      <c r="N802" s="198"/>
      <c r="O802" s="198">
        <v>242.66</v>
      </c>
      <c r="P802" s="198"/>
      <c r="Q802" s="198" t="s">
        <v>329</v>
      </c>
      <c r="R802" s="230">
        <f>DATABASE_Table[[#This Row],[Inicial Asking Price (€) (Total)]]-DATABASE_Table[[#This Row],[Vista membership]]-DATABASE_Table[[#This Row],[FF&amp;E]]</f>
        <v>1250000</v>
      </c>
      <c r="S802" s="234">
        <v>1250000</v>
      </c>
      <c r="T802" s="235">
        <v>1240000</v>
      </c>
      <c r="U802" s="198"/>
      <c r="V802" s="198"/>
      <c r="W802" s="233">
        <f>DATABASE_Table[[#This Row],[Current Asking price( Total)]]-DATABASE_Table[[#This Row],[Vista membership]]-DATABASE_Table[[#This Row],[FF&amp;E]]</f>
        <v>1240000</v>
      </c>
      <c r="X802" s="236"/>
      <c r="Y802" s="235"/>
      <c r="Z802" s="233">
        <f>DATABASE_Table[[#This Row],[Sell price (Total)]]-DATABASE_Table[[#This Row],[FF&amp;E]]-DATABASE_Table[[#This Row],[Vista membership]]</f>
        <v>0</v>
      </c>
      <c r="AA802" s="315"/>
      <c r="AB802" s="321" t="s">
        <v>32</v>
      </c>
      <c r="AC802" s="198" t="s">
        <v>57</v>
      </c>
      <c r="AD802" s="198"/>
      <c r="AE802" s="279" t="s">
        <v>75</v>
      </c>
      <c r="AF802" s="279" t="s">
        <v>554</v>
      </c>
      <c r="AG802" s="279" t="s">
        <v>76</v>
      </c>
      <c r="AH802" s="279" t="s">
        <v>77</v>
      </c>
      <c r="AI802" s="198" t="s">
        <v>32</v>
      </c>
      <c r="AJ802" s="274" t="s">
        <v>73</v>
      </c>
      <c r="AK802"/>
    </row>
    <row r="803" spans="1:37" ht="15.75" hidden="1" customHeight="1">
      <c r="A803" s="198" t="s">
        <v>775</v>
      </c>
      <c r="B803" s="198" t="s">
        <v>769</v>
      </c>
      <c r="C803" s="214" t="s">
        <v>364</v>
      </c>
      <c r="D803" s="198" t="s">
        <v>74</v>
      </c>
      <c r="E803" s="198" t="s">
        <v>320</v>
      </c>
      <c r="F803" s="198">
        <v>422.07</v>
      </c>
      <c r="G803" s="198">
        <v>45.06</v>
      </c>
      <c r="H803" s="214" t="s">
        <v>325</v>
      </c>
      <c r="I803" s="214" t="s">
        <v>325</v>
      </c>
      <c r="J803" s="271">
        <v>134.35</v>
      </c>
      <c r="K803" s="198"/>
      <c r="L803" s="198"/>
      <c r="M803" s="198"/>
      <c r="N803" s="198"/>
      <c r="O803" s="198">
        <v>242.66</v>
      </c>
      <c r="P803" s="198"/>
      <c r="Q803" s="198" t="s">
        <v>329</v>
      </c>
      <c r="R803" s="230">
        <f>DATABASE_Table[[#This Row],[Inicial Asking Price (€) (Total)]]-DATABASE_Table[[#This Row],[Vista membership]]-DATABASE_Table[[#This Row],[FF&amp;E]]</f>
        <v>1250000</v>
      </c>
      <c r="S803" s="234">
        <v>1250000</v>
      </c>
      <c r="T803" s="235">
        <v>1360000</v>
      </c>
      <c r="U803" s="198"/>
      <c r="V803" s="198"/>
      <c r="W803" s="233">
        <f>DATABASE_Table[[#This Row],[Current Asking price( Total)]]-DATABASE_Table[[#This Row],[Vista membership]]-DATABASE_Table[[#This Row],[FF&amp;E]]</f>
        <v>1360000</v>
      </c>
      <c r="X803" s="236"/>
      <c r="Y803" s="235"/>
      <c r="Z803" s="233">
        <f>DATABASE_Table[[#This Row],[Sell price (Total)]]-DATABASE_Table[[#This Row],[FF&amp;E]]-DATABASE_Table[[#This Row],[Vista membership]]</f>
        <v>0</v>
      </c>
      <c r="AA803" s="315"/>
      <c r="AB803" s="321" t="s">
        <v>32</v>
      </c>
      <c r="AC803" s="198" t="s">
        <v>57</v>
      </c>
      <c r="AD803" s="198"/>
      <c r="AE803" s="279" t="s">
        <v>75</v>
      </c>
      <c r="AF803" s="279" t="s">
        <v>554</v>
      </c>
      <c r="AG803" s="279" t="s">
        <v>76</v>
      </c>
      <c r="AH803" s="279" t="s">
        <v>77</v>
      </c>
      <c r="AI803" s="198" t="s">
        <v>32</v>
      </c>
      <c r="AJ803" s="274" t="s">
        <v>73</v>
      </c>
      <c r="AK803"/>
    </row>
    <row r="804" spans="1:37" ht="15.75" hidden="1" customHeight="1">
      <c r="A804" s="198" t="s">
        <v>775</v>
      </c>
      <c r="B804" s="198" t="s">
        <v>769</v>
      </c>
      <c r="C804" s="214" t="s">
        <v>367</v>
      </c>
      <c r="D804" s="198" t="s">
        <v>74</v>
      </c>
      <c r="E804" s="198" t="s">
        <v>320</v>
      </c>
      <c r="F804" s="198">
        <v>422.07</v>
      </c>
      <c r="G804" s="198">
        <v>45.06</v>
      </c>
      <c r="H804" s="214" t="s">
        <v>325</v>
      </c>
      <c r="I804" s="214" t="s">
        <v>325</v>
      </c>
      <c r="J804" s="271">
        <v>134.35</v>
      </c>
      <c r="K804" s="198"/>
      <c r="L804" s="198"/>
      <c r="M804" s="198"/>
      <c r="N804" s="198"/>
      <c r="O804" s="198">
        <v>242.66</v>
      </c>
      <c r="P804" s="198"/>
      <c r="Q804" s="198" t="s">
        <v>329</v>
      </c>
      <c r="R804" s="230">
        <f>DATABASE_Table[[#This Row],[Inicial Asking Price (€) (Total)]]-DATABASE_Table[[#This Row],[Vista membership]]-DATABASE_Table[[#This Row],[FF&amp;E]]</f>
        <v>1250000</v>
      </c>
      <c r="S804" s="234">
        <v>1250000</v>
      </c>
      <c r="T804" s="235">
        <v>1310000</v>
      </c>
      <c r="U804" s="198"/>
      <c r="V804" s="198"/>
      <c r="W804" s="233">
        <f>DATABASE_Table[[#This Row],[Current Asking price( Total)]]-DATABASE_Table[[#This Row],[Vista membership]]-DATABASE_Table[[#This Row],[FF&amp;E]]</f>
        <v>1310000</v>
      </c>
      <c r="X804" s="236"/>
      <c r="Y804" s="235"/>
      <c r="Z804" s="233">
        <f>DATABASE_Table[[#This Row],[Sell price (Total)]]-DATABASE_Table[[#This Row],[FF&amp;E]]-DATABASE_Table[[#This Row],[Vista membership]]</f>
        <v>0</v>
      </c>
      <c r="AA804" s="315"/>
      <c r="AB804" s="321" t="s">
        <v>32</v>
      </c>
      <c r="AC804" s="198" t="s">
        <v>57</v>
      </c>
      <c r="AD804" s="198"/>
      <c r="AE804" s="279" t="s">
        <v>75</v>
      </c>
      <c r="AF804" s="279" t="s">
        <v>554</v>
      </c>
      <c r="AG804" s="279" t="s">
        <v>76</v>
      </c>
      <c r="AH804" s="279" t="s">
        <v>77</v>
      </c>
      <c r="AI804" s="198" t="s">
        <v>32</v>
      </c>
      <c r="AJ804" s="274" t="s">
        <v>73</v>
      </c>
      <c r="AK804"/>
    </row>
    <row r="805" spans="1:37" ht="15.75" hidden="1" customHeight="1">
      <c r="A805" s="198" t="s">
        <v>31</v>
      </c>
      <c r="B805" s="198" t="s">
        <v>691</v>
      </c>
      <c r="C805" s="214" t="s">
        <v>340</v>
      </c>
      <c r="D805" s="198" t="s">
        <v>9</v>
      </c>
      <c r="E805" s="198" t="s">
        <v>320</v>
      </c>
      <c r="F805" s="198"/>
      <c r="G805" s="198"/>
      <c r="H805" s="214" t="s">
        <v>325</v>
      </c>
      <c r="I805" s="214" t="s">
        <v>325</v>
      </c>
      <c r="J805" s="271"/>
      <c r="K805" s="198">
        <v>84</v>
      </c>
      <c r="L805" s="198"/>
      <c r="M805" s="198">
        <v>0</v>
      </c>
      <c r="N805" s="198"/>
      <c r="O805" s="198">
        <v>138</v>
      </c>
      <c r="P805" s="198"/>
      <c r="Q805" s="198" t="s">
        <v>326</v>
      </c>
      <c r="R805" s="230">
        <f>DATABASE_Table[[#This Row],[Inicial Asking Price (€) (Total)]]-DATABASE_Table[[#This Row],[Vista membership]]-DATABASE_Table[[#This Row],[FF&amp;E]]</f>
        <v>1020000</v>
      </c>
      <c r="S805" s="232">
        <v>1020000</v>
      </c>
      <c r="T805" s="232">
        <v>1020000</v>
      </c>
      <c r="U805" s="198"/>
      <c r="V805" s="198"/>
      <c r="W805" s="233">
        <f>DATABASE_Table[[#This Row],[Current Asking price( Total)]]-DATABASE_Table[[#This Row],[Vista membership]]-DATABASE_Table[[#This Row],[FF&amp;E]]</f>
        <v>1020000</v>
      </c>
      <c r="X805" s="216">
        <v>0.02</v>
      </c>
      <c r="Y805" s="232">
        <v>999600</v>
      </c>
      <c r="Z805" s="233">
        <f>DATABASE_Table[[#This Row],[Sell price (Total)]]-DATABASE_Table[[#This Row],[FF&amp;E]]-DATABASE_Table[[#This Row],[Vista membership]]</f>
        <v>999600</v>
      </c>
      <c r="AA805" s="315"/>
      <c r="AB805" s="321"/>
      <c r="AC805" s="198" t="s">
        <v>10</v>
      </c>
      <c r="AD805" s="198" t="s">
        <v>807</v>
      </c>
      <c r="AE805" s="279" t="s">
        <v>32</v>
      </c>
      <c r="AF805" s="279" t="s">
        <v>808</v>
      </c>
      <c r="AG805" s="279" t="s">
        <v>33</v>
      </c>
      <c r="AH805" s="279" t="s">
        <v>809</v>
      </c>
      <c r="AI805" s="198" t="s">
        <v>15</v>
      </c>
      <c r="AJ805" s="274" t="s">
        <v>31</v>
      </c>
      <c r="AK805"/>
    </row>
    <row r="806" spans="1:37" ht="15.75" hidden="1" customHeight="1">
      <c r="A806" s="198" t="s">
        <v>690</v>
      </c>
      <c r="B806" s="198" t="s">
        <v>691</v>
      </c>
      <c r="C806" s="214" t="s">
        <v>340</v>
      </c>
      <c r="D806" s="198" t="s">
        <v>9</v>
      </c>
      <c r="E806" s="198" t="s">
        <v>383</v>
      </c>
      <c r="F806" s="198">
        <v>323.58999999999997</v>
      </c>
      <c r="G806" s="198">
        <v>165.79</v>
      </c>
      <c r="H806" s="214" t="s">
        <v>325</v>
      </c>
      <c r="I806" s="214" t="s">
        <v>325</v>
      </c>
      <c r="J806" s="271"/>
      <c r="K806" s="198"/>
      <c r="L806" s="198"/>
      <c r="M806" s="198"/>
      <c r="N806" s="198"/>
      <c r="O806" s="198">
        <v>157.80000000000001</v>
      </c>
      <c r="P806" s="198"/>
      <c r="Q806" s="198" t="s">
        <v>329</v>
      </c>
      <c r="R806" s="230">
        <f>DATABASE_Table[[#This Row],[Inicial Asking Price (€) (Total)]]-DATABASE_Table[[#This Row],[Vista membership]]-DATABASE_Table[[#This Row],[FF&amp;E]]</f>
        <v>1602100</v>
      </c>
      <c r="S806" s="231">
        <v>1691050</v>
      </c>
      <c r="T806" s="232">
        <v>1780000</v>
      </c>
      <c r="U806" s="198">
        <v>24600</v>
      </c>
      <c r="V806" s="198">
        <v>64350</v>
      </c>
      <c r="W806" s="233">
        <f>DATABASE_Table[[#This Row],[Current Asking price( Total)]]-DATABASE_Table[[#This Row],[Vista membership]]-DATABASE_Table[[#This Row],[FF&amp;E]]</f>
        <v>1691050</v>
      </c>
      <c r="X806" s="216"/>
      <c r="Y806" s="232">
        <v>1780000</v>
      </c>
      <c r="Z806" s="233">
        <f>DATABASE_Table[[#This Row],[Sell price (Total)]]-DATABASE_Table[[#This Row],[FF&amp;E]]-DATABASE_Table[[#This Row],[Vista membership]]</f>
        <v>1691050</v>
      </c>
      <c r="AA806" s="315"/>
      <c r="AB806" s="321"/>
      <c r="AC806" s="198" t="s">
        <v>10</v>
      </c>
      <c r="AD806" s="198" t="s">
        <v>35</v>
      </c>
      <c r="AE806" s="279" t="s">
        <v>38</v>
      </c>
      <c r="AF806" s="279" t="s">
        <v>39</v>
      </c>
      <c r="AG806" s="279" t="s">
        <v>40</v>
      </c>
      <c r="AH806" s="279" t="s">
        <v>810</v>
      </c>
      <c r="AI806" s="198" t="s">
        <v>41</v>
      </c>
      <c r="AJ806" s="274" t="s">
        <v>37</v>
      </c>
      <c r="AK806"/>
    </row>
    <row r="807" spans="1:37" ht="15.75" hidden="1" customHeight="1">
      <c r="A807" s="198" t="s">
        <v>563</v>
      </c>
      <c r="B807" s="198" t="s">
        <v>691</v>
      </c>
      <c r="C807" s="214" t="s">
        <v>340</v>
      </c>
      <c r="D807" s="198" t="s">
        <v>9</v>
      </c>
      <c r="E807" s="198" t="s">
        <v>319</v>
      </c>
      <c r="F807" s="198">
        <v>78.3</v>
      </c>
      <c r="G807" s="198"/>
      <c r="H807" s="214" t="s">
        <v>325</v>
      </c>
      <c r="I807" s="214" t="s">
        <v>325</v>
      </c>
      <c r="J807" s="271"/>
      <c r="K807" s="198"/>
      <c r="L807" s="198"/>
      <c r="M807" s="198"/>
      <c r="N807" s="198"/>
      <c r="O807" s="198">
        <v>78.3</v>
      </c>
      <c r="P807" s="198"/>
      <c r="Q807" s="198" t="s">
        <v>628</v>
      </c>
      <c r="R807" s="230">
        <f>DATABASE_Table[[#This Row],[Inicial Asking Price (€) (Total)]]-DATABASE_Table[[#This Row],[Vista membership]]-DATABASE_Table[[#This Row],[FF&amp;E]]</f>
        <v>760000</v>
      </c>
      <c r="S807" s="232">
        <v>760000</v>
      </c>
      <c r="T807" s="232">
        <v>399000</v>
      </c>
      <c r="U807" s="198"/>
      <c r="V807" s="198"/>
      <c r="W807" s="233">
        <f>DATABASE_Table[[#This Row],[Current Asking price( Total)]]-DATABASE_Table[[#This Row],[Vista membership]]-DATABASE_Table[[#This Row],[FF&amp;E]]</f>
        <v>399000</v>
      </c>
      <c r="X807" s="216">
        <v>0</v>
      </c>
      <c r="Y807" s="232">
        <v>399000</v>
      </c>
      <c r="Z807" s="233">
        <f>DATABASE_Table[[#This Row],[Sell price (Total)]]-DATABASE_Table[[#This Row],[FF&amp;E]]-DATABASE_Table[[#This Row],[Vista membership]]</f>
        <v>399000</v>
      </c>
      <c r="AA807" s="316">
        <v>45595</v>
      </c>
      <c r="AB807" s="321"/>
      <c r="AC807" s="198" t="s">
        <v>10</v>
      </c>
      <c r="AD807" s="198" t="s">
        <v>11</v>
      </c>
      <c r="AE807" s="279" t="s">
        <v>28</v>
      </c>
      <c r="AF807" s="279" t="s">
        <v>29</v>
      </c>
      <c r="AG807" s="279" t="s">
        <v>805</v>
      </c>
      <c r="AH807" s="279" t="s">
        <v>806</v>
      </c>
      <c r="AI807" s="198" t="s">
        <v>30</v>
      </c>
      <c r="AJ807" s="274" t="s">
        <v>27</v>
      </c>
      <c r="AK807"/>
    </row>
    <row r="808" spans="1:37" ht="15.75" hidden="1" customHeight="1">
      <c r="A808" s="198" t="s">
        <v>784</v>
      </c>
      <c r="B808" s="198" t="s">
        <v>787</v>
      </c>
      <c r="C808" s="214" t="s">
        <v>467</v>
      </c>
      <c r="D808" s="198" t="s">
        <v>88</v>
      </c>
      <c r="E808" s="198" t="s">
        <v>468</v>
      </c>
      <c r="F808" s="198">
        <v>377.21</v>
      </c>
      <c r="G808" s="198"/>
      <c r="H808" s="214" t="s">
        <v>851</v>
      </c>
      <c r="I808" s="214" t="s">
        <v>590</v>
      </c>
      <c r="J808" s="271">
        <v>0</v>
      </c>
      <c r="K808" s="198">
        <v>98.04</v>
      </c>
      <c r="L808" s="198">
        <v>55.07</v>
      </c>
      <c r="M808" s="198"/>
      <c r="N808" s="198"/>
      <c r="O808" s="198">
        <v>224.1</v>
      </c>
      <c r="P808" s="198"/>
      <c r="Q808" s="198" t="s">
        <v>591</v>
      </c>
      <c r="R808" s="230">
        <f>DATABASE_Table[[#This Row],[Inicial Asking Price (€) (Total)]]-DATABASE_Table[[#This Row],[Vista membership]]-DATABASE_Table[[#This Row],[FF&amp;E]]</f>
        <v>1250000</v>
      </c>
      <c r="S808" s="234">
        <v>1250000</v>
      </c>
      <c r="T808" s="235">
        <v>1330000</v>
      </c>
      <c r="U808" s="198"/>
      <c r="V808" s="198"/>
      <c r="W808" s="233">
        <f>DATABASE_Table[[#This Row],[Current Asking price( Total)]]-DATABASE_Table[[#This Row],[Vista membership]]-DATABASE_Table[[#This Row],[FF&amp;E]]</f>
        <v>1330000</v>
      </c>
      <c r="X808" s="236"/>
      <c r="Y808" s="235"/>
      <c r="Z808" s="233">
        <f>DATABASE_Table[[#This Row],[Sell price (Total)]]-DATABASE_Table[[#This Row],[FF&amp;E]]-DATABASE_Table[[#This Row],[Vista membership]]</f>
        <v>0</v>
      </c>
      <c r="AA808" s="315"/>
      <c r="AB808" s="321">
        <v>47208</v>
      </c>
      <c r="AC808" s="198" t="s">
        <v>80</v>
      </c>
      <c r="AD808" s="198" t="s">
        <v>81</v>
      </c>
      <c r="AE808" s="279" t="s">
        <v>89</v>
      </c>
      <c r="AF808" s="279" t="s">
        <v>90</v>
      </c>
      <c r="AG808" s="279" t="s">
        <v>91</v>
      </c>
      <c r="AH808" s="279" t="s">
        <v>92</v>
      </c>
      <c r="AI808" s="198" t="s">
        <v>30</v>
      </c>
      <c r="AJ808" s="274" t="s">
        <v>87</v>
      </c>
      <c r="AK808"/>
    </row>
    <row r="809" spans="1:37" ht="15.75" hidden="1" customHeight="1">
      <c r="A809" s="198" t="s">
        <v>562</v>
      </c>
      <c r="B809" s="198" t="s">
        <v>691</v>
      </c>
      <c r="C809" s="214" t="s">
        <v>340</v>
      </c>
      <c r="D809" s="198" t="s">
        <v>9</v>
      </c>
      <c r="E809" s="198" t="s">
        <v>319</v>
      </c>
      <c r="F809" s="198">
        <v>111</v>
      </c>
      <c r="G809" s="198"/>
      <c r="H809" s="214" t="s">
        <v>325</v>
      </c>
      <c r="I809" s="214" t="s">
        <v>325</v>
      </c>
      <c r="J809" s="271"/>
      <c r="K809" s="198"/>
      <c r="L809" s="198"/>
      <c r="M809" s="198"/>
      <c r="N809" s="198"/>
      <c r="O809" s="198">
        <v>111</v>
      </c>
      <c r="P809" s="198"/>
      <c r="Q809" s="198" t="s">
        <v>929</v>
      </c>
      <c r="R809" s="230">
        <f>DATABASE_Table[[#This Row],[Inicial Asking Price (€) (Total)]]-DATABASE_Table[[#This Row],[Vista membership]]-DATABASE_Table[[#This Row],[FF&amp;E]]</f>
        <v>570000</v>
      </c>
      <c r="S809" s="231">
        <v>570000</v>
      </c>
      <c r="T809" s="232">
        <v>590000</v>
      </c>
      <c r="U809" s="198"/>
      <c r="V809" s="198"/>
      <c r="W809" s="233">
        <f>DATABASE_Table[[#This Row],[Current Asking price( Total)]]-DATABASE_Table[[#This Row],[Vista membership]]-DATABASE_Table[[#This Row],[FF&amp;E]]</f>
        <v>590000</v>
      </c>
      <c r="X809" s="216">
        <v>0</v>
      </c>
      <c r="Y809" s="232">
        <v>590000</v>
      </c>
      <c r="Z809" s="233">
        <f>DATABASE_Table[[#This Row],[Sell price (Total)]]-DATABASE_Table[[#This Row],[FF&amp;E]]-DATABASE_Table[[#This Row],[Vista membership]]</f>
        <v>590000</v>
      </c>
      <c r="AA809" s="315">
        <v>45140</v>
      </c>
      <c r="AB809" s="321"/>
      <c r="AC809" s="198" t="s">
        <v>10</v>
      </c>
      <c r="AD809" s="198" t="s">
        <v>23</v>
      </c>
      <c r="AE809" s="279" t="s">
        <v>24</v>
      </c>
      <c r="AF809" s="279" t="s">
        <v>803</v>
      </c>
      <c r="AG809" s="279" t="s">
        <v>25</v>
      </c>
      <c r="AH809" s="279" t="s">
        <v>804</v>
      </c>
      <c r="AI809" s="198" t="s">
        <v>26</v>
      </c>
      <c r="AJ809" s="274" t="s">
        <v>22</v>
      </c>
      <c r="AK809"/>
    </row>
    <row r="810" spans="1:37" ht="15.75" hidden="1" customHeight="1">
      <c r="A810" s="198" t="s">
        <v>689</v>
      </c>
      <c r="B810" s="198" t="s">
        <v>691</v>
      </c>
      <c r="C810" s="214" t="s">
        <v>340</v>
      </c>
      <c r="D810" s="198"/>
      <c r="E810" s="198" t="s">
        <v>384</v>
      </c>
      <c r="F810" s="198">
        <v>158.05609999999999</v>
      </c>
      <c r="G810" s="198"/>
      <c r="H810" s="214" t="s">
        <v>325</v>
      </c>
      <c r="I810" s="214" t="s">
        <v>325</v>
      </c>
      <c r="J810" s="271"/>
      <c r="K810" s="198"/>
      <c r="L810" s="198"/>
      <c r="M810" s="198"/>
      <c r="N810" s="198"/>
      <c r="O810" s="198">
        <v>158.05609999999999</v>
      </c>
      <c r="P810" s="198"/>
      <c r="Q810" s="198" t="s">
        <v>929</v>
      </c>
      <c r="R810" s="230">
        <f>DATABASE_Table[[#This Row],[Inicial Asking Price (€) (Total)]]-DATABASE_Table[[#This Row],[Vista membership]]-DATABASE_Table[[#This Row],[FF&amp;E]]</f>
        <v>1009680</v>
      </c>
      <c r="S810" s="231">
        <v>1009680</v>
      </c>
      <c r="T810" s="232">
        <v>1040000</v>
      </c>
      <c r="U810" s="198"/>
      <c r="V810" s="198"/>
      <c r="W810" s="233">
        <f>DATABASE_Table[[#This Row],[Current Asking price( Total)]]-DATABASE_Table[[#This Row],[Vista membership]]-DATABASE_Table[[#This Row],[FF&amp;E]]</f>
        <v>1040000</v>
      </c>
      <c r="X810" s="216">
        <v>0</v>
      </c>
      <c r="Y810" s="232">
        <v>1040000</v>
      </c>
      <c r="Z810" s="233">
        <f>DATABASE_Table[[#This Row],[Sell price (Total)]]-DATABASE_Table[[#This Row],[FF&amp;E]]-DATABASE_Table[[#This Row],[Vista membership]]</f>
        <v>1040000</v>
      </c>
      <c r="AA810" s="315">
        <v>45058</v>
      </c>
      <c r="AB810" s="321"/>
      <c r="AC810" s="198"/>
      <c r="AD810" s="198"/>
      <c r="AE810" s="279"/>
      <c r="AF810" s="279"/>
      <c r="AG810" s="279"/>
      <c r="AH810" s="279"/>
      <c r="AI810" s="198"/>
      <c r="AJ810" s="274" t="s">
        <v>689</v>
      </c>
      <c r="AK810"/>
    </row>
    <row r="811" spans="1:37" ht="15.75" hidden="1" customHeight="1">
      <c r="A811" s="198" t="s">
        <v>564</v>
      </c>
      <c r="B811" s="198" t="s">
        <v>691</v>
      </c>
      <c r="C811" s="214" t="s">
        <v>340</v>
      </c>
      <c r="D811" s="198" t="s">
        <v>9</v>
      </c>
      <c r="E811" s="198" t="s">
        <v>417</v>
      </c>
      <c r="F811" s="198">
        <v>97.59</v>
      </c>
      <c r="G811" s="198"/>
      <c r="H811" s="214" t="s">
        <v>325</v>
      </c>
      <c r="I811" s="214" t="s">
        <v>325</v>
      </c>
      <c r="J811" s="271">
        <v>26.18</v>
      </c>
      <c r="K811" s="198"/>
      <c r="L811" s="198"/>
      <c r="M811" s="198"/>
      <c r="N811" s="198"/>
      <c r="O811" s="198">
        <v>71.41</v>
      </c>
      <c r="P811" s="198"/>
      <c r="Q811" s="198" t="s">
        <v>329</v>
      </c>
      <c r="R811" s="230">
        <f>DATABASE_Table[[#This Row],[Inicial Asking Price (€) (Total)]]-DATABASE_Table[[#This Row],[Vista membership]]-DATABASE_Table[[#This Row],[FF&amp;E]]</f>
        <v>572676.78500000003</v>
      </c>
      <c r="S811" s="231">
        <v>627276.78500000003</v>
      </c>
      <c r="T811" s="232">
        <v>680000</v>
      </c>
      <c r="U811" s="198">
        <v>24600</v>
      </c>
      <c r="V811" s="198">
        <v>30000</v>
      </c>
      <c r="W811" s="233">
        <f>DATABASE_Table[[#This Row],[Current Asking price( Total)]]-DATABASE_Table[[#This Row],[Vista membership]]-DATABASE_Table[[#This Row],[FF&amp;E]]</f>
        <v>625400</v>
      </c>
      <c r="X811" s="216"/>
      <c r="Y811" s="232">
        <v>680000</v>
      </c>
      <c r="Z811" s="233">
        <f>DATABASE_Table[[#This Row],[Sell price (Total)]]-DATABASE_Table[[#This Row],[FF&amp;E]]-DATABASE_Table[[#This Row],[Vista membership]]</f>
        <v>625400</v>
      </c>
      <c r="AA811" s="315"/>
      <c r="AB811" s="321"/>
      <c r="AC811" s="198" t="s">
        <v>10</v>
      </c>
      <c r="AD811" s="198" t="s">
        <v>35</v>
      </c>
      <c r="AE811" s="279" t="s">
        <v>43</v>
      </c>
      <c r="AF811" s="279" t="s">
        <v>44</v>
      </c>
      <c r="AG811" s="279" t="s">
        <v>45</v>
      </c>
      <c r="AH811" s="279" t="s">
        <v>46</v>
      </c>
      <c r="AI811" s="198" t="s">
        <v>47</v>
      </c>
      <c r="AJ811" s="274" t="s">
        <v>42</v>
      </c>
      <c r="AK811"/>
    </row>
    <row r="812" spans="1:37" ht="15.75" hidden="1" customHeight="1">
      <c r="A812" s="198" t="s">
        <v>630</v>
      </c>
      <c r="B812" s="198" t="s">
        <v>691</v>
      </c>
      <c r="C812" s="214" t="s">
        <v>341</v>
      </c>
      <c r="D812" s="198" t="s">
        <v>9</v>
      </c>
      <c r="E812" s="198" t="s">
        <v>319</v>
      </c>
      <c r="F812" s="198">
        <v>284.64</v>
      </c>
      <c r="G812" s="198"/>
      <c r="H812" s="214" t="s">
        <v>849</v>
      </c>
      <c r="I812" s="214" t="s">
        <v>325</v>
      </c>
      <c r="J812" s="271">
        <v>0</v>
      </c>
      <c r="K812" s="198"/>
      <c r="L812" s="198"/>
      <c r="M812" s="198">
        <v>158.43</v>
      </c>
      <c r="N812" s="198"/>
      <c r="O812" s="198">
        <v>126.21</v>
      </c>
      <c r="P812" s="198"/>
      <c r="Q812" s="198" t="s">
        <v>628</v>
      </c>
      <c r="R812" s="230">
        <f>DATABASE_Table[[#This Row],[Inicial Asking Price (€) (Total)]]-DATABASE_Table[[#This Row],[Vista membership]]-DATABASE_Table[[#This Row],[FF&amp;E]]</f>
        <v>1066894.29</v>
      </c>
      <c r="S812" s="231">
        <v>1066894.29</v>
      </c>
      <c r="T812" s="232">
        <v>1070000</v>
      </c>
      <c r="U812" s="198"/>
      <c r="V812" s="198"/>
      <c r="W812" s="233">
        <f>DATABASE_Table[[#This Row],[Current Asking price( Total)]]-DATABASE_Table[[#This Row],[Vista membership]]-DATABASE_Table[[#This Row],[FF&amp;E]]</f>
        <v>1070000</v>
      </c>
      <c r="X812" s="216">
        <v>0</v>
      </c>
      <c r="Y812" s="232">
        <v>1070000</v>
      </c>
      <c r="Z812" s="233">
        <f>DATABASE_Table[[#This Row],[Sell price (Total)]]-DATABASE_Table[[#This Row],[FF&amp;E]]-DATABASE_Table[[#This Row],[Vista membership]]</f>
        <v>1070000</v>
      </c>
      <c r="AA812" s="315">
        <v>46167</v>
      </c>
      <c r="AB812" s="321"/>
      <c r="AC812" s="198" t="s">
        <v>10</v>
      </c>
      <c r="AD812" s="198" t="s">
        <v>11</v>
      </c>
      <c r="AE812" s="279" t="s">
        <v>53</v>
      </c>
      <c r="AF812" s="279" t="s">
        <v>54</v>
      </c>
      <c r="AG812" s="279" t="s">
        <v>811</v>
      </c>
      <c r="AH812" s="279" t="s">
        <v>812</v>
      </c>
      <c r="AI812" s="198" t="s">
        <v>36</v>
      </c>
      <c r="AJ812" s="274" t="s">
        <v>52</v>
      </c>
      <c r="AK812"/>
    </row>
    <row r="813" spans="1:37" ht="15.75" hidden="1" customHeight="1">
      <c r="A813" s="198" t="s">
        <v>559</v>
      </c>
      <c r="B813" s="198" t="s">
        <v>691</v>
      </c>
      <c r="C813" s="214" t="s">
        <v>341</v>
      </c>
      <c r="D813" s="198" t="s">
        <v>9</v>
      </c>
      <c r="E813" s="198" t="s">
        <v>383</v>
      </c>
      <c r="F813" s="198">
        <v>177.48</v>
      </c>
      <c r="G813" s="198"/>
      <c r="H813" s="214" t="s">
        <v>325</v>
      </c>
      <c r="I813" s="214" t="s">
        <v>325</v>
      </c>
      <c r="J813" s="271"/>
      <c r="K813" s="198"/>
      <c r="L813" s="198"/>
      <c r="M813" s="198"/>
      <c r="N813" s="198"/>
      <c r="O813" s="198">
        <v>177.48</v>
      </c>
      <c r="P813" s="198"/>
      <c r="Q813" s="198" t="s">
        <v>929</v>
      </c>
      <c r="R813" s="230">
        <f>DATABASE_Table[[#This Row],[Inicial Asking Price (€) (Total)]]-DATABASE_Table[[#This Row],[Vista membership]]-DATABASE_Table[[#This Row],[FF&amp;E]]</f>
        <v>990000</v>
      </c>
      <c r="S813" s="231">
        <v>990000</v>
      </c>
      <c r="T813" s="232">
        <v>990000</v>
      </c>
      <c r="U813" s="198"/>
      <c r="V813" s="198"/>
      <c r="W813" s="233">
        <f>DATABASE_Table[[#This Row],[Current Asking price( Total)]]-DATABASE_Table[[#This Row],[Vista membership]]-DATABASE_Table[[#This Row],[FF&amp;E]]</f>
        <v>990000</v>
      </c>
      <c r="X813" s="216">
        <v>0</v>
      </c>
      <c r="Y813" s="232">
        <v>990000</v>
      </c>
      <c r="Z813" s="233">
        <f>DATABASE_Table[[#This Row],[Sell price (Total)]]-DATABASE_Table[[#This Row],[FF&amp;E]]-DATABASE_Table[[#This Row],[Vista membership]]</f>
        <v>990000</v>
      </c>
      <c r="AA813" s="315">
        <v>45133</v>
      </c>
      <c r="AB813" s="321"/>
      <c r="AC813" s="198" t="s">
        <v>10</v>
      </c>
      <c r="AD813" s="198" t="s">
        <v>802</v>
      </c>
      <c r="AE813" s="279" t="s">
        <v>17</v>
      </c>
      <c r="AF813" s="279" t="s">
        <v>18</v>
      </c>
      <c r="AG813" s="279" t="s">
        <v>19</v>
      </c>
      <c r="AH813" s="279" t="s">
        <v>20</v>
      </c>
      <c r="AI813" s="198" t="s">
        <v>21</v>
      </c>
      <c r="AJ813" s="274" t="s">
        <v>16</v>
      </c>
      <c r="AK813"/>
    </row>
    <row r="814" spans="1:37" ht="15.75" hidden="1" customHeight="1">
      <c r="A814" s="198" t="s">
        <v>560</v>
      </c>
      <c r="B814" s="198" t="s">
        <v>691</v>
      </c>
      <c r="C814" s="214" t="s">
        <v>341</v>
      </c>
      <c r="D814" s="198" t="s">
        <v>9</v>
      </c>
      <c r="E814" s="198" t="s">
        <v>384</v>
      </c>
      <c r="F814" s="198">
        <v>139.58000000000001</v>
      </c>
      <c r="G814" s="198"/>
      <c r="H814" s="214" t="s">
        <v>325</v>
      </c>
      <c r="I814" s="214" t="s">
        <v>325</v>
      </c>
      <c r="J814" s="271"/>
      <c r="K814" s="198"/>
      <c r="L814" s="198"/>
      <c r="M814" s="198"/>
      <c r="N814" s="198"/>
      <c r="O814" s="198">
        <v>139.58000000000001</v>
      </c>
      <c r="P814" s="198"/>
      <c r="Q814" s="198" t="s">
        <v>929</v>
      </c>
      <c r="R814" s="230">
        <f>DATABASE_Table[[#This Row],[Inicial Asking Price (€) (Total)]]-DATABASE_Table[[#This Row],[Vista membership]]-DATABASE_Table[[#This Row],[FF&amp;E]]</f>
        <v>760000</v>
      </c>
      <c r="S814" s="231">
        <v>760000</v>
      </c>
      <c r="T814" s="232">
        <v>780000</v>
      </c>
      <c r="U814" s="198"/>
      <c r="V814" s="198"/>
      <c r="W814" s="233">
        <f>DATABASE_Table[[#This Row],[Current Asking price( Total)]]-DATABASE_Table[[#This Row],[Vista membership]]-DATABASE_Table[[#This Row],[FF&amp;E]]</f>
        <v>780000</v>
      </c>
      <c r="X814" s="216">
        <v>0</v>
      </c>
      <c r="Y814" s="232">
        <v>780000</v>
      </c>
      <c r="Z814" s="233">
        <f>DATABASE_Table[[#This Row],[Sell price (Total)]]-DATABASE_Table[[#This Row],[FF&amp;E]]-DATABASE_Table[[#This Row],[Vista membership]]</f>
        <v>780000</v>
      </c>
      <c r="AA814" s="315">
        <v>45841</v>
      </c>
      <c r="AB814" s="321"/>
      <c r="AC814" s="198" t="s">
        <v>10</v>
      </c>
      <c r="AD814" s="198" t="s">
        <v>802</v>
      </c>
      <c r="AE814" s="279" t="s">
        <v>17</v>
      </c>
      <c r="AF814" s="279" t="s">
        <v>18</v>
      </c>
      <c r="AG814" s="279" t="s">
        <v>19</v>
      </c>
      <c r="AH814" s="279" t="s">
        <v>20</v>
      </c>
      <c r="AI814" s="198" t="s">
        <v>21</v>
      </c>
      <c r="AJ814" s="274" t="s">
        <v>16</v>
      </c>
      <c r="AK814"/>
    </row>
    <row r="815" spans="1:37" ht="15.75" hidden="1" customHeight="1">
      <c r="A815" s="198" t="s">
        <v>561</v>
      </c>
      <c r="B815" s="198" t="s">
        <v>691</v>
      </c>
      <c r="C815" s="214" t="s">
        <v>341</v>
      </c>
      <c r="D815" s="198" t="s">
        <v>9</v>
      </c>
      <c r="E815" s="198" t="s">
        <v>383</v>
      </c>
      <c r="F815" s="198">
        <v>183.88</v>
      </c>
      <c r="G815" s="198"/>
      <c r="H815" s="214" t="s">
        <v>325</v>
      </c>
      <c r="I815" s="214" t="s">
        <v>325</v>
      </c>
      <c r="J815" s="271"/>
      <c r="K815" s="198"/>
      <c r="L815" s="198"/>
      <c r="M815" s="198"/>
      <c r="N815" s="198"/>
      <c r="O815" s="198">
        <v>183.88</v>
      </c>
      <c r="P815" s="198"/>
      <c r="Q815" s="198" t="s">
        <v>628</v>
      </c>
      <c r="R815" s="230">
        <f>DATABASE_Table[[#This Row],[Inicial Asking Price (€) (Total)]]-DATABASE_Table[[#This Row],[Vista membership]]-DATABASE_Table[[#This Row],[FF&amp;E]]</f>
        <v>1360000</v>
      </c>
      <c r="S815" s="231">
        <v>1360000</v>
      </c>
      <c r="T815" s="232">
        <v>1360000</v>
      </c>
      <c r="U815" s="198"/>
      <c r="V815" s="198"/>
      <c r="W815" s="233">
        <f>DATABASE_Table[[#This Row],[Current Asking price( Total)]]-DATABASE_Table[[#This Row],[Vista membership]]-DATABASE_Table[[#This Row],[FF&amp;E]]</f>
        <v>1360000</v>
      </c>
      <c r="X815" s="216">
        <v>0</v>
      </c>
      <c r="Y815" s="232">
        <v>1360000</v>
      </c>
      <c r="Z815" s="233">
        <f>DATABASE_Table[[#This Row],[Sell price (Total)]]-DATABASE_Table[[#This Row],[FF&amp;E]]-DATABASE_Table[[#This Row],[Vista membership]]</f>
        <v>1360000</v>
      </c>
      <c r="AA815" s="315">
        <v>45933</v>
      </c>
      <c r="AB815" s="321"/>
      <c r="AC815" s="198" t="s">
        <v>10</v>
      </c>
      <c r="AD815" s="198" t="s">
        <v>802</v>
      </c>
      <c r="AE815" s="279" t="s">
        <v>17</v>
      </c>
      <c r="AF815" s="279" t="s">
        <v>18</v>
      </c>
      <c r="AG815" s="279" t="s">
        <v>19</v>
      </c>
      <c r="AH815" s="279" t="s">
        <v>20</v>
      </c>
      <c r="AI815" s="198" t="s">
        <v>21</v>
      </c>
      <c r="AJ815" s="274" t="s">
        <v>16</v>
      </c>
      <c r="AK815"/>
    </row>
    <row r="816" spans="1:37" ht="15.75" hidden="1" customHeight="1">
      <c r="A816" s="198" t="s">
        <v>558</v>
      </c>
      <c r="B816" s="198" t="s">
        <v>691</v>
      </c>
      <c r="C816" s="214" t="s">
        <v>341</v>
      </c>
      <c r="D816" s="198" t="s">
        <v>9</v>
      </c>
      <c r="E816" s="198" t="s">
        <v>319</v>
      </c>
      <c r="F816" s="198">
        <v>106.6</v>
      </c>
      <c r="G816" s="198">
        <v>3.37</v>
      </c>
      <c r="H816" s="214" t="s">
        <v>602</v>
      </c>
      <c r="I816" s="214" t="s">
        <v>325</v>
      </c>
      <c r="J816" s="271"/>
      <c r="K816" s="198"/>
      <c r="L816" s="198"/>
      <c r="M816" s="198"/>
      <c r="N816" s="198"/>
      <c r="O816" s="198">
        <v>106.6</v>
      </c>
      <c r="P816" s="198"/>
      <c r="Q816" s="198" t="s">
        <v>628</v>
      </c>
      <c r="R816" s="230">
        <f>DATABASE_Table[[#This Row],[Inicial Asking Price (€) (Total)]]-DATABASE_Table[[#This Row],[Vista membership]]-DATABASE_Table[[#This Row],[FF&amp;E]]</f>
        <v>700000</v>
      </c>
      <c r="S816" s="231">
        <v>700000</v>
      </c>
      <c r="T816" s="232">
        <v>700000</v>
      </c>
      <c r="U816" s="198"/>
      <c r="V816" s="198"/>
      <c r="W816" s="233">
        <f>DATABASE_Table[[#This Row],[Current Asking price( Total)]]-DATABASE_Table[[#This Row],[Vista membership]]-DATABASE_Table[[#This Row],[FF&amp;E]]</f>
        <v>700000</v>
      </c>
      <c r="X816" s="216">
        <v>0</v>
      </c>
      <c r="Y816" s="232">
        <v>700000</v>
      </c>
      <c r="Z816" s="233">
        <f>DATABASE_Table[[#This Row],[Sell price (Total)]]-DATABASE_Table[[#This Row],[FF&amp;E]]-DATABASE_Table[[#This Row],[Vista membership]]</f>
        <v>700000</v>
      </c>
      <c r="AA816" s="317">
        <v>45936</v>
      </c>
      <c r="AB816" s="321"/>
      <c r="AC816" s="198" t="s">
        <v>10</v>
      </c>
      <c r="AD816" s="198" t="s">
        <v>11</v>
      </c>
      <c r="AE816" s="279" t="s">
        <v>12</v>
      </c>
      <c r="AF816" s="279" t="s">
        <v>801</v>
      </c>
      <c r="AG816" s="279" t="s">
        <v>13</v>
      </c>
      <c r="AH816" s="279" t="s">
        <v>14</v>
      </c>
      <c r="AI816" s="198" t="s">
        <v>15</v>
      </c>
      <c r="AJ816" s="274" t="s">
        <v>8</v>
      </c>
      <c r="AK816"/>
    </row>
    <row r="817" spans="1:37" ht="15.75" hidden="1" customHeight="1">
      <c r="A817" s="198" t="s">
        <v>775</v>
      </c>
      <c r="B817" s="198" t="s">
        <v>769</v>
      </c>
      <c r="C817" s="214" t="s">
        <v>337</v>
      </c>
      <c r="D817" s="198" t="s">
        <v>74</v>
      </c>
      <c r="E817" s="198" t="s">
        <v>320</v>
      </c>
      <c r="F817" s="198">
        <v>422.36</v>
      </c>
      <c r="G817" s="198">
        <v>45.06</v>
      </c>
      <c r="H817" s="214" t="s">
        <v>325</v>
      </c>
      <c r="I817" s="214" t="s">
        <v>325</v>
      </c>
      <c r="J817" s="271">
        <v>131.68</v>
      </c>
      <c r="K817" s="198"/>
      <c r="L817" s="198"/>
      <c r="M817" s="198"/>
      <c r="N817" s="198"/>
      <c r="O817" s="198">
        <v>245.62</v>
      </c>
      <c r="P817" s="198"/>
      <c r="Q817" s="198" t="s">
        <v>329</v>
      </c>
      <c r="R817" s="230">
        <f>DATABASE_Table[[#This Row],[Inicial Asking Price (€) (Total)]]-DATABASE_Table[[#This Row],[Vista membership]]-DATABASE_Table[[#This Row],[FF&amp;E]]</f>
        <v>1300000</v>
      </c>
      <c r="S817" s="234">
        <v>1300000</v>
      </c>
      <c r="T817" s="235">
        <v>1300000</v>
      </c>
      <c r="U817" s="198"/>
      <c r="V817" s="198"/>
      <c r="W817" s="233">
        <f>DATABASE_Table[[#This Row],[Current Asking price( Total)]]-DATABASE_Table[[#This Row],[Vista membership]]-DATABASE_Table[[#This Row],[FF&amp;E]]</f>
        <v>1300000</v>
      </c>
      <c r="X817" s="236"/>
      <c r="Y817" s="235"/>
      <c r="Z817" s="233">
        <f>DATABASE_Table[[#This Row],[Sell price (Total)]]-DATABASE_Table[[#This Row],[FF&amp;E]]-DATABASE_Table[[#This Row],[Vista membership]]</f>
        <v>0</v>
      </c>
      <c r="AA817" s="315"/>
      <c r="AB817" s="321" t="s">
        <v>32</v>
      </c>
      <c r="AC817" s="198" t="s">
        <v>57</v>
      </c>
      <c r="AD817" s="198"/>
      <c r="AE817" s="279" t="s">
        <v>75</v>
      </c>
      <c r="AF817" s="279" t="s">
        <v>554</v>
      </c>
      <c r="AG817" s="279" t="s">
        <v>76</v>
      </c>
      <c r="AH817" s="279" t="s">
        <v>77</v>
      </c>
      <c r="AI817" s="198" t="s">
        <v>32</v>
      </c>
      <c r="AJ817" s="274" t="s">
        <v>73</v>
      </c>
      <c r="AK817"/>
    </row>
    <row r="818" spans="1:37" ht="15.75" hidden="1" customHeight="1">
      <c r="A818" s="198" t="s">
        <v>775</v>
      </c>
      <c r="B818" s="198" t="s">
        <v>769</v>
      </c>
      <c r="C818" s="214" t="s">
        <v>339</v>
      </c>
      <c r="D818" s="198" t="s">
        <v>74</v>
      </c>
      <c r="E818" s="198" t="s">
        <v>320</v>
      </c>
      <c r="F818" s="198">
        <v>422.36</v>
      </c>
      <c r="G818" s="198">
        <v>45.06</v>
      </c>
      <c r="H818" s="214" t="s">
        <v>325</v>
      </c>
      <c r="I818" s="214" t="s">
        <v>325</v>
      </c>
      <c r="J818" s="271">
        <v>131.68</v>
      </c>
      <c r="K818" s="198"/>
      <c r="L818" s="198"/>
      <c r="M818" s="198"/>
      <c r="N818" s="198"/>
      <c r="O818" s="198">
        <v>245.62</v>
      </c>
      <c r="P818" s="198"/>
      <c r="Q818" s="198" t="s">
        <v>329</v>
      </c>
      <c r="R818" s="230">
        <f>DATABASE_Table[[#This Row],[Inicial Asking Price (€) (Total)]]-DATABASE_Table[[#This Row],[Vista membership]]-DATABASE_Table[[#This Row],[FF&amp;E]]</f>
        <v>1300000</v>
      </c>
      <c r="S818" s="234">
        <v>1300000</v>
      </c>
      <c r="T818" s="235">
        <v>1270000</v>
      </c>
      <c r="U818" s="198"/>
      <c r="V818" s="198"/>
      <c r="W818" s="233">
        <f>DATABASE_Table[[#This Row],[Current Asking price( Total)]]-DATABASE_Table[[#This Row],[Vista membership]]-DATABASE_Table[[#This Row],[FF&amp;E]]</f>
        <v>1270000</v>
      </c>
      <c r="X818" s="236"/>
      <c r="Y818" s="235"/>
      <c r="Z818" s="233">
        <f>DATABASE_Table[[#This Row],[Sell price (Total)]]-DATABASE_Table[[#This Row],[FF&amp;E]]-DATABASE_Table[[#This Row],[Vista membership]]</f>
        <v>0</v>
      </c>
      <c r="AA818" s="315"/>
      <c r="AB818" s="321" t="s">
        <v>32</v>
      </c>
      <c r="AC818" s="198" t="s">
        <v>57</v>
      </c>
      <c r="AD818" s="198"/>
      <c r="AE818" s="279" t="s">
        <v>75</v>
      </c>
      <c r="AF818" s="279" t="s">
        <v>554</v>
      </c>
      <c r="AG818" s="279" t="s">
        <v>76</v>
      </c>
      <c r="AH818" s="279" t="s">
        <v>77</v>
      </c>
      <c r="AI818" s="198" t="s">
        <v>32</v>
      </c>
      <c r="AJ818" s="274" t="s">
        <v>73</v>
      </c>
      <c r="AK818"/>
    </row>
    <row r="819" spans="1:37" ht="15.75" hidden="1" customHeight="1">
      <c r="A819" s="198" t="s">
        <v>775</v>
      </c>
      <c r="B819" s="198" t="s">
        <v>769</v>
      </c>
      <c r="C819" s="214" t="s">
        <v>340</v>
      </c>
      <c r="D819" s="198" t="s">
        <v>74</v>
      </c>
      <c r="E819" s="198" t="s">
        <v>320</v>
      </c>
      <c r="F819" s="198">
        <v>422.36</v>
      </c>
      <c r="G819" s="198">
        <v>45.06</v>
      </c>
      <c r="H819" s="214" t="s">
        <v>325</v>
      </c>
      <c r="I819" s="214" t="s">
        <v>325</v>
      </c>
      <c r="J819" s="271">
        <v>131.68</v>
      </c>
      <c r="K819" s="198"/>
      <c r="L819" s="198"/>
      <c r="M819" s="198"/>
      <c r="N819" s="198"/>
      <c r="O819" s="198">
        <v>245.62</v>
      </c>
      <c r="P819" s="198"/>
      <c r="Q819" s="198" t="s">
        <v>329</v>
      </c>
      <c r="R819" s="230">
        <f>DATABASE_Table[[#This Row],[Inicial Asking Price (€) (Total)]]-DATABASE_Table[[#This Row],[Vista membership]]-DATABASE_Table[[#This Row],[FF&amp;E]]</f>
        <v>1300000</v>
      </c>
      <c r="S819" s="234">
        <v>1300000</v>
      </c>
      <c r="T819" s="235">
        <v>1290000</v>
      </c>
      <c r="U819" s="198"/>
      <c r="V819" s="198"/>
      <c r="W819" s="233">
        <f>DATABASE_Table[[#This Row],[Current Asking price( Total)]]-DATABASE_Table[[#This Row],[Vista membership]]-DATABASE_Table[[#This Row],[FF&amp;E]]</f>
        <v>1290000</v>
      </c>
      <c r="X819" s="236"/>
      <c r="Y819" s="235"/>
      <c r="Z819" s="233">
        <f>DATABASE_Table[[#This Row],[Sell price (Total)]]-DATABASE_Table[[#This Row],[FF&amp;E]]-DATABASE_Table[[#This Row],[Vista membership]]</f>
        <v>0</v>
      </c>
      <c r="AA819" s="315"/>
      <c r="AB819" s="321" t="s">
        <v>32</v>
      </c>
      <c r="AC819" s="198" t="s">
        <v>57</v>
      </c>
      <c r="AD819" s="198"/>
      <c r="AE819" s="279" t="s">
        <v>75</v>
      </c>
      <c r="AF819" s="279" t="s">
        <v>554</v>
      </c>
      <c r="AG819" s="279" t="s">
        <v>76</v>
      </c>
      <c r="AH819" s="279" t="s">
        <v>77</v>
      </c>
      <c r="AI819" s="198" t="s">
        <v>32</v>
      </c>
      <c r="AJ819" s="274" t="s">
        <v>73</v>
      </c>
      <c r="AK819"/>
    </row>
    <row r="820" spans="1:37" ht="15.75" hidden="1" customHeight="1">
      <c r="A820" s="198" t="s">
        <v>775</v>
      </c>
      <c r="B820" s="198" t="s">
        <v>769</v>
      </c>
      <c r="C820" s="214" t="s">
        <v>341</v>
      </c>
      <c r="D820" s="198" t="s">
        <v>74</v>
      </c>
      <c r="E820" s="198" t="s">
        <v>320</v>
      </c>
      <c r="F820" s="198">
        <v>433.99</v>
      </c>
      <c r="G820" s="198">
        <v>45.83</v>
      </c>
      <c r="H820" s="214" t="s">
        <v>325</v>
      </c>
      <c r="I820" s="214" t="s">
        <v>325</v>
      </c>
      <c r="J820" s="271">
        <v>136.16</v>
      </c>
      <c r="K820" s="198"/>
      <c r="L820" s="198"/>
      <c r="M820" s="198"/>
      <c r="N820" s="198"/>
      <c r="O820" s="198">
        <v>252</v>
      </c>
      <c r="P820" s="198"/>
      <c r="Q820" s="198" t="s">
        <v>329</v>
      </c>
      <c r="R820" s="230">
        <f>DATABASE_Table[[#This Row],[Inicial Asking Price (€) (Total)]]-DATABASE_Table[[#This Row],[Vista membership]]-DATABASE_Table[[#This Row],[FF&amp;E]]</f>
        <v>1300000</v>
      </c>
      <c r="S820" s="234">
        <v>1300000</v>
      </c>
      <c r="T820" s="235">
        <v>1340000</v>
      </c>
      <c r="U820" s="198"/>
      <c r="V820" s="198"/>
      <c r="W820" s="233">
        <f>DATABASE_Table[[#This Row],[Current Asking price( Total)]]-DATABASE_Table[[#This Row],[Vista membership]]-DATABASE_Table[[#This Row],[FF&amp;E]]</f>
        <v>1340000</v>
      </c>
      <c r="X820" s="236"/>
      <c r="Y820" s="235">
        <v>1340000</v>
      </c>
      <c r="Z820" s="233">
        <f>DATABASE_Table[[#This Row],[Sell price (Total)]]-DATABASE_Table[[#This Row],[FF&amp;E]]-DATABASE_Table[[#This Row],[Vista membership]]</f>
        <v>1340000</v>
      </c>
      <c r="AA820" s="315"/>
      <c r="AB820" s="321" t="s">
        <v>32</v>
      </c>
      <c r="AC820" s="198" t="s">
        <v>57</v>
      </c>
      <c r="AD820" s="198"/>
      <c r="AE820" s="279" t="s">
        <v>75</v>
      </c>
      <c r="AF820" s="279" t="s">
        <v>554</v>
      </c>
      <c r="AG820" s="279" t="s">
        <v>76</v>
      </c>
      <c r="AH820" s="279" t="s">
        <v>77</v>
      </c>
      <c r="AI820" s="198" t="s">
        <v>32</v>
      </c>
      <c r="AJ820" s="274" t="s">
        <v>73</v>
      </c>
      <c r="AK820"/>
    </row>
    <row r="821" spans="1:37" ht="15.75" hidden="1" customHeight="1">
      <c r="A821" s="198" t="s">
        <v>775</v>
      </c>
      <c r="B821" s="198" t="s">
        <v>769</v>
      </c>
      <c r="C821" s="214" t="s">
        <v>342</v>
      </c>
      <c r="D821" s="198" t="s">
        <v>74</v>
      </c>
      <c r="E821" s="198" t="s">
        <v>320</v>
      </c>
      <c r="F821" s="198">
        <v>433.99</v>
      </c>
      <c r="G821" s="198">
        <v>45.83</v>
      </c>
      <c r="H821" s="214" t="s">
        <v>325</v>
      </c>
      <c r="I821" s="214" t="s">
        <v>325</v>
      </c>
      <c r="J821" s="271">
        <v>136.16</v>
      </c>
      <c r="K821" s="198"/>
      <c r="L821" s="198"/>
      <c r="M821" s="198"/>
      <c r="N821" s="198"/>
      <c r="O821" s="198">
        <v>252</v>
      </c>
      <c r="P821" s="198"/>
      <c r="Q821" s="198" t="s">
        <v>329</v>
      </c>
      <c r="R821" s="230">
        <f>DATABASE_Table[[#This Row],[Inicial Asking Price (€) (Total)]]-DATABASE_Table[[#This Row],[Vista membership]]-DATABASE_Table[[#This Row],[FF&amp;E]]</f>
        <v>1300000</v>
      </c>
      <c r="S821" s="234">
        <v>1300000</v>
      </c>
      <c r="T821" s="235">
        <v>1320000</v>
      </c>
      <c r="U821" s="198"/>
      <c r="V821" s="198"/>
      <c r="W821" s="233">
        <f>DATABASE_Table[[#This Row],[Current Asking price( Total)]]-DATABASE_Table[[#This Row],[Vista membership]]-DATABASE_Table[[#This Row],[FF&amp;E]]</f>
        <v>1320000</v>
      </c>
      <c r="X821" s="236"/>
      <c r="Y821" s="235"/>
      <c r="Z821" s="233">
        <f>DATABASE_Table[[#This Row],[Sell price (Total)]]-DATABASE_Table[[#This Row],[FF&amp;E]]-DATABASE_Table[[#This Row],[Vista membership]]</f>
        <v>0</v>
      </c>
      <c r="AA821" s="315"/>
      <c r="AB821" s="321" t="s">
        <v>32</v>
      </c>
      <c r="AC821" s="198" t="s">
        <v>57</v>
      </c>
      <c r="AD821" s="198"/>
      <c r="AE821" s="279" t="s">
        <v>75</v>
      </c>
      <c r="AF821" s="279" t="s">
        <v>554</v>
      </c>
      <c r="AG821" s="279" t="s">
        <v>76</v>
      </c>
      <c r="AH821" s="279" t="s">
        <v>77</v>
      </c>
      <c r="AI821" s="198" t="s">
        <v>32</v>
      </c>
      <c r="AJ821" s="274" t="s">
        <v>73</v>
      </c>
      <c r="AK821"/>
    </row>
    <row r="822" spans="1:37" ht="15.75" hidden="1" customHeight="1">
      <c r="A822" s="198" t="s">
        <v>775</v>
      </c>
      <c r="B822" s="198" t="s">
        <v>769</v>
      </c>
      <c r="C822" s="214" t="s">
        <v>343</v>
      </c>
      <c r="D822" s="198" t="s">
        <v>74</v>
      </c>
      <c r="E822" s="198" t="s">
        <v>320</v>
      </c>
      <c r="F822" s="198">
        <v>422.07</v>
      </c>
      <c r="G822" s="198">
        <v>45.06</v>
      </c>
      <c r="H822" s="214" t="s">
        <v>325</v>
      </c>
      <c r="I822" s="214" t="s">
        <v>325</v>
      </c>
      <c r="J822" s="271">
        <v>134.35</v>
      </c>
      <c r="K822" s="198"/>
      <c r="L822" s="198"/>
      <c r="M822" s="198"/>
      <c r="N822" s="198"/>
      <c r="O822" s="198">
        <v>242.66</v>
      </c>
      <c r="P822" s="198"/>
      <c r="Q822" s="198" t="s">
        <v>329</v>
      </c>
      <c r="R822" s="230">
        <f>DATABASE_Table[[#This Row],[Inicial Asking Price (€) (Total)]]-DATABASE_Table[[#This Row],[Vista membership]]-DATABASE_Table[[#This Row],[FF&amp;E]]</f>
        <v>1300000</v>
      </c>
      <c r="S822" s="234">
        <v>1300000</v>
      </c>
      <c r="T822" s="235">
        <v>1270000</v>
      </c>
      <c r="U822" s="198"/>
      <c r="V822" s="198"/>
      <c r="W822" s="233">
        <f>DATABASE_Table[[#This Row],[Current Asking price( Total)]]-DATABASE_Table[[#This Row],[Vista membership]]-DATABASE_Table[[#This Row],[FF&amp;E]]</f>
        <v>1270000</v>
      </c>
      <c r="X822" s="236"/>
      <c r="Y822" s="235"/>
      <c r="Z822" s="233">
        <f>DATABASE_Table[[#This Row],[Sell price (Total)]]-DATABASE_Table[[#This Row],[FF&amp;E]]-DATABASE_Table[[#This Row],[Vista membership]]</f>
        <v>0</v>
      </c>
      <c r="AA822" s="315"/>
      <c r="AB822" s="321" t="s">
        <v>32</v>
      </c>
      <c r="AC822" s="198" t="s">
        <v>57</v>
      </c>
      <c r="AD822" s="198"/>
      <c r="AE822" s="279" t="s">
        <v>75</v>
      </c>
      <c r="AF822" s="279" t="s">
        <v>554</v>
      </c>
      <c r="AG822" s="279" t="s">
        <v>76</v>
      </c>
      <c r="AH822" s="279" t="s">
        <v>77</v>
      </c>
      <c r="AI822" s="198" t="s">
        <v>32</v>
      </c>
      <c r="AJ822" s="274" t="s">
        <v>73</v>
      </c>
      <c r="AK822"/>
    </row>
    <row r="823" spans="1:37" ht="15.75" hidden="1" customHeight="1">
      <c r="A823" s="198" t="s">
        <v>775</v>
      </c>
      <c r="B823" s="198" t="s">
        <v>769</v>
      </c>
      <c r="C823" s="214" t="s">
        <v>344</v>
      </c>
      <c r="D823" s="198" t="s">
        <v>74</v>
      </c>
      <c r="E823" s="198" t="s">
        <v>320</v>
      </c>
      <c r="F823" s="198">
        <v>422.36</v>
      </c>
      <c r="G823" s="198">
        <v>45.06</v>
      </c>
      <c r="H823" s="214" t="s">
        <v>325</v>
      </c>
      <c r="I823" s="214" t="s">
        <v>325</v>
      </c>
      <c r="J823" s="271">
        <v>131.68</v>
      </c>
      <c r="K823" s="198"/>
      <c r="L823" s="198"/>
      <c r="M823" s="198"/>
      <c r="N823" s="198"/>
      <c r="O823" s="198">
        <v>245.62</v>
      </c>
      <c r="P823" s="198"/>
      <c r="Q823" s="198" t="s">
        <v>329</v>
      </c>
      <c r="R823" s="230">
        <f>DATABASE_Table[[#This Row],[Inicial Asking Price (€) (Total)]]-DATABASE_Table[[#This Row],[Vista membership]]-DATABASE_Table[[#This Row],[FF&amp;E]]</f>
        <v>1300000</v>
      </c>
      <c r="S823" s="234">
        <v>1300000</v>
      </c>
      <c r="T823" s="235">
        <v>1300000</v>
      </c>
      <c r="U823" s="198"/>
      <c r="V823" s="198"/>
      <c r="W823" s="233">
        <f>DATABASE_Table[[#This Row],[Current Asking price( Total)]]-DATABASE_Table[[#This Row],[Vista membership]]-DATABASE_Table[[#This Row],[FF&amp;E]]</f>
        <v>1300000</v>
      </c>
      <c r="X823" s="236"/>
      <c r="Y823" s="235"/>
      <c r="Z823" s="233">
        <f>DATABASE_Table[[#This Row],[Sell price (Total)]]-DATABASE_Table[[#This Row],[FF&amp;E]]-DATABASE_Table[[#This Row],[Vista membership]]</f>
        <v>0</v>
      </c>
      <c r="AA823" s="315"/>
      <c r="AB823" s="321" t="s">
        <v>32</v>
      </c>
      <c r="AC823" s="198" t="s">
        <v>57</v>
      </c>
      <c r="AD823" s="198"/>
      <c r="AE823" s="279" t="s">
        <v>75</v>
      </c>
      <c r="AF823" s="279" t="s">
        <v>554</v>
      </c>
      <c r="AG823" s="279" t="s">
        <v>76</v>
      </c>
      <c r="AH823" s="279" t="s">
        <v>77</v>
      </c>
      <c r="AI823" s="198" t="s">
        <v>32</v>
      </c>
      <c r="AJ823" s="274" t="s">
        <v>73</v>
      </c>
      <c r="AK823"/>
    </row>
    <row r="824" spans="1:37" ht="15.75" hidden="1" customHeight="1">
      <c r="A824" s="198" t="s">
        <v>775</v>
      </c>
      <c r="B824" s="198" t="s">
        <v>769</v>
      </c>
      <c r="C824" s="214" t="s">
        <v>345</v>
      </c>
      <c r="D824" s="198" t="s">
        <v>74</v>
      </c>
      <c r="E824" s="198" t="s">
        <v>320</v>
      </c>
      <c r="F824" s="198">
        <v>433.99</v>
      </c>
      <c r="G824" s="198">
        <v>45.83</v>
      </c>
      <c r="H824" s="214" t="s">
        <v>325</v>
      </c>
      <c r="I824" s="214" t="s">
        <v>325</v>
      </c>
      <c r="J824" s="271">
        <v>136.16</v>
      </c>
      <c r="K824" s="198"/>
      <c r="L824" s="198"/>
      <c r="M824" s="198"/>
      <c r="N824" s="198"/>
      <c r="O824" s="198">
        <v>252</v>
      </c>
      <c r="P824" s="198"/>
      <c r="Q824" s="198" t="s">
        <v>329</v>
      </c>
      <c r="R824" s="230">
        <f>DATABASE_Table[[#This Row],[Inicial Asking Price (€) (Total)]]-DATABASE_Table[[#This Row],[Vista membership]]-DATABASE_Table[[#This Row],[FF&amp;E]]</f>
        <v>1300000</v>
      </c>
      <c r="S824" s="234">
        <v>1300000</v>
      </c>
      <c r="T824" s="235">
        <v>1430000</v>
      </c>
      <c r="U824" s="198"/>
      <c r="V824" s="198"/>
      <c r="W824" s="233">
        <f>DATABASE_Table[[#This Row],[Current Asking price( Total)]]-DATABASE_Table[[#This Row],[Vista membership]]-DATABASE_Table[[#This Row],[FF&amp;E]]</f>
        <v>1430000</v>
      </c>
      <c r="X824" s="236"/>
      <c r="Y824" s="235"/>
      <c r="Z824" s="233">
        <f>DATABASE_Table[[#This Row],[Sell price (Total)]]-DATABASE_Table[[#This Row],[FF&amp;E]]-DATABASE_Table[[#This Row],[Vista membership]]</f>
        <v>0</v>
      </c>
      <c r="AA824" s="315"/>
      <c r="AB824" s="321" t="s">
        <v>32</v>
      </c>
      <c r="AC824" s="198" t="s">
        <v>57</v>
      </c>
      <c r="AD824" s="198"/>
      <c r="AE824" s="279" t="s">
        <v>75</v>
      </c>
      <c r="AF824" s="279" t="s">
        <v>554</v>
      </c>
      <c r="AG824" s="279" t="s">
        <v>76</v>
      </c>
      <c r="AH824" s="279" t="s">
        <v>77</v>
      </c>
      <c r="AI824" s="198" t="s">
        <v>32</v>
      </c>
      <c r="AJ824" s="274" t="s">
        <v>73</v>
      </c>
      <c r="AK824"/>
    </row>
    <row r="825" spans="1:37" ht="15.75" hidden="1" customHeight="1">
      <c r="A825" s="198" t="s">
        <v>775</v>
      </c>
      <c r="B825" s="198" t="s">
        <v>769</v>
      </c>
      <c r="C825" s="214" t="s">
        <v>347</v>
      </c>
      <c r="D825" s="198" t="s">
        <v>74</v>
      </c>
      <c r="E825" s="198" t="s">
        <v>320</v>
      </c>
      <c r="F825" s="198">
        <v>422.36</v>
      </c>
      <c r="G825" s="198">
        <v>45.06</v>
      </c>
      <c r="H825" s="214" t="s">
        <v>325</v>
      </c>
      <c r="I825" s="214" t="s">
        <v>325</v>
      </c>
      <c r="J825" s="271">
        <v>131.68</v>
      </c>
      <c r="K825" s="198"/>
      <c r="L825" s="198"/>
      <c r="M825" s="198"/>
      <c r="N825" s="198"/>
      <c r="O825" s="198">
        <v>245.62</v>
      </c>
      <c r="P825" s="198"/>
      <c r="Q825" s="198" t="s">
        <v>329</v>
      </c>
      <c r="R825" s="230">
        <f>DATABASE_Table[[#This Row],[Inicial Asking Price (€) (Total)]]-DATABASE_Table[[#This Row],[Vista membership]]-DATABASE_Table[[#This Row],[FF&amp;E]]</f>
        <v>1300000</v>
      </c>
      <c r="S825" s="234">
        <v>1300000</v>
      </c>
      <c r="T825" s="235">
        <v>1380000</v>
      </c>
      <c r="U825" s="198"/>
      <c r="V825" s="198"/>
      <c r="W825" s="233">
        <f>DATABASE_Table[[#This Row],[Current Asking price( Total)]]-DATABASE_Table[[#This Row],[Vista membership]]-DATABASE_Table[[#This Row],[FF&amp;E]]</f>
        <v>1380000</v>
      </c>
      <c r="X825" s="236"/>
      <c r="Y825" s="235"/>
      <c r="Z825" s="233">
        <f>DATABASE_Table[[#This Row],[Sell price (Total)]]-DATABASE_Table[[#This Row],[FF&amp;E]]-DATABASE_Table[[#This Row],[Vista membership]]</f>
        <v>0</v>
      </c>
      <c r="AA825" s="315"/>
      <c r="AB825" s="321" t="s">
        <v>32</v>
      </c>
      <c r="AC825" s="198" t="s">
        <v>57</v>
      </c>
      <c r="AD825" s="198"/>
      <c r="AE825" s="279" t="s">
        <v>75</v>
      </c>
      <c r="AF825" s="279" t="s">
        <v>554</v>
      </c>
      <c r="AG825" s="279" t="s">
        <v>76</v>
      </c>
      <c r="AH825" s="279" t="s">
        <v>77</v>
      </c>
      <c r="AI825" s="198" t="s">
        <v>32</v>
      </c>
      <c r="AJ825" s="274" t="s">
        <v>73</v>
      </c>
      <c r="AK825"/>
    </row>
    <row r="826" spans="1:37" ht="15.75" hidden="1" customHeight="1">
      <c r="A826" s="198" t="s">
        <v>775</v>
      </c>
      <c r="B826" s="198" t="s">
        <v>769</v>
      </c>
      <c r="C826" s="214" t="s">
        <v>349</v>
      </c>
      <c r="D826" s="198" t="s">
        <v>74</v>
      </c>
      <c r="E826" s="198" t="s">
        <v>320</v>
      </c>
      <c r="F826" s="198">
        <v>433.99</v>
      </c>
      <c r="G826" s="198">
        <v>45.83</v>
      </c>
      <c r="H826" s="214" t="s">
        <v>325</v>
      </c>
      <c r="I826" s="214" t="s">
        <v>325</v>
      </c>
      <c r="J826" s="271">
        <v>136.16</v>
      </c>
      <c r="K826" s="198"/>
      <c r="L826" s="198"/>
      <c r="M826" s="198"/>
      <c r="N826" s="198"/>
      <c r="O826" s="198">
        <v>252</v>
      </c>
      <c r="P826" s="198"/>
      <c r="Q826" s="198" t="s">
        <v>329</v>
      </c>
      <c r="R826" s="230">
        <f>DATABASE_Table[[#This Row],[Inicial Asking Price (€) (Total)]]-DATABASE_Table[[#This Row],[Vista membership]]-DATABASE_Table[[#This Row],[FF&amp;E]]</f>
        <v>1300000</v>
      </c>
      <c r="S826" s="234">
        <v>1300000</v>
      </c>
      <c r="T826" s="235">
        <v>1190000</v>
      </c>
      <c r="U826" s="198"/>
      <c r="V826" s="198"/>
      <c r="W826" s="233">
        <f>DATABASE_Table[[#This Row],[Current Asking price( Total)]]-DATABASE_Table[[#This Row],[Vista membership]]-DATABASE_Table[[#This Row],[FF&amp;E]]</f>
        <v>1190000</v>
      </c>
      <c r="X826" s="236"/>
      <c r="Y826" s="235"/>
      <c r="Z826" s="233">
        <f>DATABASE_Table[[#This Row],[Sell price (Total)]]-DATABASE_Table[[#This Row],[FF&amp;E]]-DATABASE_Table[[#This Row],[Vista membership]]</f>
        <v>0</v>
      </c>
      <c r="AA826" s="315"/>
      <c r="AB826" s="321" t="s">
        <v>32</v>
      </c>
      <c r="AC826" s="198" t="s">
        <v>57</v>
      </c>
      <c r="AD826" s="198"/>
      <c r="AE826" s="279" t="s">
        <v>75</v>
      </c>
      <c r="AF826" s="279" t="s">
        <v>554</v>
      </c>
      <c r="AG826" s="279" t="s">
        <v>76</v>
      </c>
      <c r="AH826" s="279" t="s">
        <v>77</v>
      </c>
      <c r="AI826" s="198" t="s">
        <v>32</v>
      </c>
      <c r="AJ826" s="274" t="s">
        <v>73</v>
      </c>
      <c r="AK826"/>
    </row>
    <row r="827" spans="1:37" ht="15.75" hidden="1" customHeight="1">
      <c r="A827" s="198" t="s">
        <v>775</v>
      </c>
      <c r="B827" s="198" t="s">
        <v>769</v>
      </c>
      <c r="C827" s="214" t="s">
        <v>350</v>
      </c>
      <c r="D827" s="198" t="s">
        <v>74</v>
      </c>
      <c r="E827" s="198" t="s">
        <v>320</v>
      </c>
      <c r="F827" s="198">
        <v>422.36</v>
      </c>
      <c r="G827" s="198">
        <v>45.06</v>
      </c>
      <c r="H827" s="214" t="s">
        <v>325</v>
      </c>
      <c r="I827" s="214" t="s">
        <v>325</v>
      </c>
      <c r="J827" s="271">
        <v>131.68</v>
      </c>
      <c r="K827" s="198"/>
      <c r="L827" s="198"/>
      <c r="M827" s="198"/>
      <c r="N827" s="198"/>
      <c r="O827" s="198">
        <v>245.62</v>
      </c>
      <c r="P827" s="198"/>
      <c r="Q827" s="198" t="s">
        <v>329</v>
      </c>
      <c r="R827" s="230">
        <f>DATABASE_Table[[#This Row],[Inicial Asking Price (€) (Total)]]-DATABASE_Table[[#This Row],[Vista membership]]-DATABASE_Table[[#This Row],[FF&amp;E]]</f>
        <v>1300000</v>
      </c>
      <c r="S827" s="234">
        <v>1300000</v>
      </c>
      <c r="T827" s="235">
        <v>1250000</v>
      </c>
      <c r="U827" s="198"/>
      <c r="V827" s="198"/>
      <c r="W827" s="233">
        <f>DATABASE_Table[[#This Row],[Current Asking price( Total)]]-DATABASE_Table[[#This Row],[Vista membership]]-DATABASE_Table[[#This Row],[FF&amp;E]]</f>
        <v>1250000</v>
      </c>
      <c r="X827" s="236"/>
      <c r="Y827" s="235"/>
      <c r="Z827" s="233">
        <f>DATABASE_Table[[#This Row],[Sell price (Total)]]-DATABASE_Table[[#This Row],[FF&amp;E]]-DATABASE_Table[[#This Row],[Vista membership]]</f>
        <v>0</v>
      </c>
      <c r="AA827" s="315"/>
      <c r="AB827" s="321" t="s">
        <v>32</v>
      </c>
      <c r="AC827" s="198" t="s">
        <v>57</v>
      </c>
      <c r="AD827" s="198"/>
      <c r="AE827" s="279" t="s">
        <v>75</v>
      </c>
      <c r="AF827" s="279" t="s">
        <v>554</v>
      </c>
      <c r="AG827" s="279" t="s">
        <v>76</v>
      </c>
      <c r="AH827" s="279" t="s">
        <v>77</v>
      </c>
      <c r="AI827" s="198" t="s">
        <v>32</v>
      </c>
      <c r="AJ827" s="274" t="s">
        <v>73</v>
      </c>
      <c r="AK827"/>
    </row>
    <row r="828" spans="1:37" ht="15.75" hidden="1" customHeight="1">
      <c r="A828" s="198" t="s">
        <v>775</v>
      </c>
      <c r="B828" s="198" t="s">
        <v>769</v>
      </c>
      <c r="C828" s="214" t="s">
        <v>352</v>
      </c>
      <c r="D828" s="198" t="s">
        <v>74</v>
      </c>
      <c r="E828" s="198" t="s">
        <v>320</v>
      </c>
      <c r="F828" s="198">
        <v>433.99</v>
      </c>
      <c r="G828" s="198">
        <v>45.83</v>
      </c>
      <c r="H828" s="214" t="s">
        <v>325</v>
      </c>
      <c r="I828" s="214" t="s">
        <v>325</v>
      </c>
      <c r="J828" s="271">
        <v>136.16</v>
      </c>
      <c r="K828" s="198"/>
      <c r="L828" s="198"/>
      <c r="M828" s="198"/>
      <c r="N828" s="198"/>
      <c r="O828" s="198">
        <v>252</v>
      </c>
      <c r="P828" s="198"/>
      <c r="Q828" s="198" t="s">
        <v>329</v>
      </c>
      <c r="R828" s="230">
        <f>DATABASE_Table[[#This Row],[Inicial Asking Price (€) (Total)]]-DATABASE_Table[[#This Row],[Vista membership]]-DATABASE_Table[[#This Row],[FF&amp;E]]</f>
        <v>1300000</v>
      </c>
      <c r="S828" s="234">
        <v>1300000</v>
      </c>
      <c r="T828" s="235">
        <v>1260000</v>
      </c>
      <c r="U828" s="198"/>
      <c r="V828" s="198"/>
      <c r="W828" s="233">
        <f>DATABASE_Table[[#This Row],[Current Asking price( Total)]]-DATABASE_Table[[#This Row],[Vista membership]]-DATABASE_Table[[#This Row],[FF&amp;E]]</f>
        <v>1260000</v>
      </c>
      <c r="X828" s="236"/>
      <c r="Y828" s="235"/>
      <c r="Z828" s="233">
        <f>DATABASE_Table[[#This Row],[Sell price (Total)]]-DATABASE_Table[[#This Row],[FF&amp;E]]-DATABASE_Table[[#This Row],[Vista membership]]</f>
        <v>0</v>
      </c>
      <c r="AA828" s="315"/>
      <c r="AB828" s="321" t="s">
        <v>32</v>
      </c>
      <c r="AC828" s="198" t="s">
        <v>57</v>
      </c>
      <c r="AD828" s="198"/>
      <c r="AE828" s="279" t="s">
        <v>75</v>
      </c>
      <c r="AF828" s="279" t="s">
        <v>554</v>
      </c>
      <c r="AG828" s="279" t="s">
        <v>76</v>
      </c>
      <c r="AH828" s="279" t="s">
        <v>77</v>
      </c>
      <c r="AI828" s="198" t="s">
        <v>32</v>
      </c>
      <c r="AJ828" s="274" t="s">
        <v>73</v>
      </c>
      <c r="AK828"/>
    </row>
    <row r="829" spans="1:37" ht="15.75" hidden="1" customHeight="1">
      <c r="A829" s="198" t="s">
        <v>775</v>
      </c>
      <c r="B829" s="198" t="s">
        <v>769</v>
      </c>
      <c r="C829" s="214" t="s">
        <v>353</v>
      </c>
      <c r="D829" s="198" t="s">
        <v>74</v>
      </c>
      <c r="E829" s="198" t="s">
        <v>320</v>
      </c>
      <c r="F829" s="198">
        <v>433.99</v>
      </c>
      <c r="G829" s="198">
        <v>45.83</v>
      </c>
      <c r="H829" s="214" t="s">
        <v>325</v>
      </c>
      <c r="I829" s="214" t="s">
        <v>325</v>
      </c>
      <c r="J829" s="271">
        <v>136.16</v>
      </c>
      <c r="K829" s="198"/>
      <c r="L829" s="198"/>
      <c r="M829" s="198"/>
      <c r="N829" s="198"/>
      <c r="O829" s="198">
        <v>252</v>
      </c>
      <c r="P829" s="198"/>
      <c r="Q829" s="198" t="s">
        <v>329</v>
      </c>
      <c r="R829" s="230">
        <f>DATABASE_Table[[#This Row],[Inicial Asking Price (€) (Total)]]-DATABASE_Table[[#This Row],[Vista membership]]-DATABASE_Table[[#This Row],[FF&amp;E]]</f>
        <v>1300000</v>
      </c>
      <c r="S829" s="234">
        <v>1300000</v>
      </c>
      <c r="T829" s="235">
        <v>1190000</v>
      </c>
      <c r="U829" s="198"/>
      <c r="V829" s="198"/>
      <c r="W829" s="233">
        <f>DATABASE_Table[[#This Row],[Current Asking price( Total)]]-DATABASE_Table[[#This Row],[Vista membership]]-DATABASE_Table[[#This Row],[FF&amp;E]]</f>
        <v>1190000</v>
      </c>
      <c r="X829" s="236"/>
      <c r="Y829" s="235"/>
      <c r="Z829" s="233">
        <f>DATABASE_Table[[#This Row],[Sell price (Total)]]-DATABASE_Table[[#This Row],[FF&amp;E]]-DATABASE_Table[[#This Row],[Vista membership]]</f>
        <v>0</v>
      </c>
      <c r="AA829" s="315"/>
      <c r="AB829" s="321" t="s">
        <v>32</v>
      </c>
      <c r="AC829" s="198" t="s">
        <v>57</v>
      </c>
      <c r="AD829" s="198"/>
      <c r="AE829" s="279" t="s">
        <v>75</v>
      </c>
      <c r="AF829" s="279" t="s">
        <v>554</v>
      </c>
      <c r="AG829" s="279" t="s">
        <v>76</v>
      </c>
      <c r="AH829" s="279" t="s">
        <v>77</v>
      </c>
      <c r="AI829" s="198" t="s">
        <v>32</v>
      </c>
      <c r="AJ829" s="274" t="s">
        <v>73</v>
      </c>
      <c r="AK829"/>
    </row>
    <row r="830" spans="1:37" ht="15.75" hidden="1" customHeight="1">
      <c r="A830" s="198" t="s">
        <v>775</v>
      </c>
      <c r="B830" s="198" t="s">
        <v>769</v>
      </c>
      <c r="C830" s="214" t="s">
        <v>361</v>
      </c>
      <c r="D830" s="198" t="s">
        <v>74</v>
      </c>
      <c r="E830" s="198" t="s">
        <v>320</v>
      </c>
      <c r="F830" s="198">
        <v>422.07</v>
      </c>
      <c r="G830" s="198">
        <v>45.06</v>
      </c>
      <c r="H830" s="214" t="s">
        <v>325</v>
      </c>
      <c r="I830" s="214" t="s">
        <v>325</v>
      </c>
      <c r="J830" s="271">
        <v>134.35</v>
      </c>
      <c r="K830" s="198"/>
      <c r="L830" s="198"/>
      <c r="M830" s="198"/>
      <c r="N830" s="198"/>
      <c r="O830" s="198">
        <v>242.66</v>
      </c>
      <c r="P830" s="198"/>
      <c r="Q830" s="198" t="s">
        <v>329</v>
      </c>
      <c r="R830" s="230">
        <f>DATABASE_Table[[#This Row],[Inicial Asking Price (€) (Total)]]-DATABASE_Table[[#This Row],[Vista membership]]-DATABASE_Table[[#This Row],[FF&amp;E]]</f>
        <v>1300000</v>
      </c>
      <c r="S830" s="234">
        <v>1300000</v>
      </c>
      <c r="T830" s="235">
        <v>1320000</v>
      </c>
      <c r="U830" s="198"/>
      <c r="V830" s="198"/>
      <c r="W830" s="233">
        <f>DATABASE_Table[[#This Row],[Current Asking price( Total)]]-DATABASE_Table[[#This Row],[Vista membership]]-DATABASE_Table[[#This Row],[FF&amp;E]]</f>
        <v>1320000</v>
      </c>
      <c r="X830" s="236"/>
      <c r="Y830" s="235"/>
      <c r="Z830" s="233">
        <f>DATABASE_Table[[#This Row],[Sell price (Total)]]-DATABASE_Table[[#This Row],[FF&amp;E]]-DATABASE_Table[[#This Row],[Vista membership]]</f>
        <v>0</v>
      </c>
      <c r="AA830" s="315"/>
      <c r="AB830" s="321" t="s">
        <v>32</v>
      </c>
      <c r="AC830" s="198" t="s">
        <v>57</v>
      </c>
      <c r="AD830" s="198"/>
      <c r="AE830" s="279" t="s">
        <v>75</v>
      </c>
      <c r="AF830" s="279" t="s">
        <v>554</v>
      </c>
      <c r="AG830" s="279" t="s">
        <v>76</v>
      </c>
      <c r="AH830" s="279" t="s">
        <v>77</v>
      </c>
      <c r="AI830" s="198" t="s">
        <v>32</v>
      </c>
      <c r="AJ830" s="274" t="s">
        <v>73</v>
      </c>
      <c r="AK830"/>
    </row>
    <row r="831" spans="1:37" ht="15.75" hidden="1" customHeight="1">
      <c r="A831" s="198" t="s">
        <v>775</v>
      </c>
      <c r="B831" s="198" t="s">
        <v>769</v>
      </c>
      <c r="C831" s="214" t="s">
        <v>371</v>
      </c>
      <c r="D831" s="198" t="s">
        <v>74</v>
      </c>
      <c r="E831" s="198" t="s">
        <v>320</v>
      </c>
      <c r="F831" s="198">
        <v>422.36</v>
      </c>
      <c r="G831" s="198">
        <v>45.06</v>
      </c>
      <c r="H831" s="214" t="s">
        <v>325</v>
      </c>
      <c r="I831" s="214" t="s">
        <v>325</v>
      </c>
      <c r="J831" s="271">
        <v>131.68</v>
      </c>
      <c r="K831" s="198"/>
      <c r="L831" s="198"/>
      <c r="M831" s="198"/>
      <c r="N831" s="198"/>
      <c r="O831" s="198">
        <v>245.62</v>
      </c>
      <c r="P831" s="198"/>
      <c r="Q831" s="198" t="s">
        <v>329</v>
      </c>
      <c r="R831" s="230">
        <f>DATABASE_Table[[#This Row],[Inicial Asking Price (€) (Total)]]-DATABASE_Table[[#This Row],[Vista membership]]-DATABASE_Table[[#This Row],[FF&amp;E]]</f>
        <v>1300000</v>
      </c>
      <c r="S831" s="234">
        <v>1300000</v>
      </c>
      <c r="T831" s="235">
        <v>1350000</v>
      </c>
      <c r="U831" s="198"/>
      <c r="V831" s="198"/>
      <c r="W831" s="233">
        <f>DATABASE_Table[[#This Row],[Current Asking price( Total)]]-DATABASE_Table[[#This Row],[Vista membership]]-DATABASE_Table[[#This Row],[FF&amp;E]]</f>
        <v>1350000</v>
      </c>
      <c r="X831" s="236"/>
      <c r="Y831" s="235">
        <v>1350000</v>
      </c>
      <c r="Z831" s="233">
        <f>DATABASE_Table[[#This Row],[Sell price (Total)]]-DATABASE_Table[[#This Row],[FF&amp;E]]-DATABASE_Table[[#This Row],[Vista membership]]</f>
        <v>1350000</v>
      </c>
      <c r="AA831" s="315"/>
      <c r="AB831" s="321" t="s">
        <v>32</v>
      </c>
      <c r="AC831" s="198" t="s">
        <v>57</v>
      </c>
      <c r="AD831" s="198"/>
      <c r="AE831" s="279" t="s">
        <v>75</v>
      </c>
      <c r="AF831" s="279" t="s">
        <v>554</v>
      </c>
      <c r="AG831" s="279" t="s">
        <v>76</v>
      </c>
      <c r="AH831" s="279" t="s">
        <v>77</v>
      </c>
      <c r="AI831" s="198" t="s">
        <v>32</v>
      </c>
      <c r="AJ831" s="274" t="s">
        <v>73</v>
      </c>
      <c r="AK831"/>
    </row>
    <row r="832" spans="1:37" ht="15.75" hidden="1" customHeight="1">
      <c r="A832" s="198" t="s">
        <v>775</v>
      </c>
      <c r="B832" s="198" t="s">
        <v>769</v>
      </c>
      <c r="C832" s="214" t="s">
        <v>372</v>
      </c>
      <c r="D832" s="198" t="s">
        <v>74</v>
      </c>
      <c r="E832" s="198" t="s">
        <v>320</v>
      </c>
      <c r="F832" s="198">
        <v>433.99</v>
      </c>
      <c r="G832" s="198">
        <v>45.83</v>
      </c>
      <c r="H832" s="214" t="s">
        <v>325</v>
      </c>
      <c r="I832" s="214" t="s">
        <v>325</v>
      </c>
      <c r="J832" s="271">
        <v>136.16</v>
      </c>
      <c r="K832" s="198"/>
      <c r="L832" s="198"/>
      <c r="M832" s="198"/>
      <c r="N832" s="198"/>
      <c r="O832" s="198">
        <v>252</v>
      </c>
      <c r="P832" s="198"/>
      <c r="Q832" s="198" t="s">
        <v>329</v>
      </c>
      <c r="R832" s="230">
        <f>DATABASE_Table[[#This Row],[Inicial Asking Price (€) (Total)]]-DATABASE_Table[[#This Row],[Vista membership]]-DATABASE_Table[[#This Row],[FF&amp;E]]</f>
        <v>1300000</v>
      </c>
      <c r="S832" s="234">
        <v>1300000</v>
      </c>
      <c r="T832" s="235">
        <v>1390000</v>
      </c>
      <c r="U832" s="198"/>
      <c r="V832" s="198"/>
      <c r="W832" s="233">
        <f>DATABASE_Table[[#This Row],[Current Asking price( Total)]]-DATABASE_Table[[#This Row],[Vista membership]]-DATABASE_Table[[#This Row],[FF&amp;E]]</f>
        <v>1390000</v>
      </c>
      <c r="X832" s="236"/>
      <c r="Y832" s="235"/>
      <c r="Z832" s="233">
        <f>DATABASE_Table[[#This Row],[Sell price (Total)]]-DATABASE_Table[[#This Row],[FF&amp;E]]-DATABASE_Table[[#This Row],[Vista membership]]</f>
        <v>0</v>
      </c>
      <c r="AA832" s="315"/>
      <c r="AB832" s="321" t="s">
        <v>32</v>
      </c>
      <c r="AC832" s="198" t="s">
        <v>57</v>
      </c>
      <c r="AD832" s="198"/>
      <c r="AE832" s="279" t="s">
        <v>75</v>
      </c>
      <c r="AF832" s="279" t="s">
        <v>554</v>
      </c>
      <c r="AG832" s="279" t="s">
        <v>76</v>
      </c>
      <c r="AH832" s="279" t="s">
        <v>77</v>
      </c>
      <c r="AI832" s="198" t="s">
        <v>32</v>
      </c>
      <c r="AJ832" s="274" t="s">
        <v>73</v>
      </c>
      <c r="AK832"/>
    </row>
    <row r="833" spans="1:37" ht="15.75" hidden="1" customHeight="1">
      <c r="A833" s="198" t="s">
        <v>31</v>
      </c>
      <c r="B833" s="198" t="s">
        <v>691</v>
      </c>
      <c r="C833" s="214" t="s">
        <v>341</v>
      </c>
      <c r="D833" s="198" t="s">
        <v>9</v>
      </c>
      <c r="E833" s="198" t="s">
        <v>319</v>
      </c>
      <c r="F833" s="198"/>
      <c r="G833" s="198"/>
      <c r="H833" s="214" t="s">
        <v>325</v>
      </c>
      <c r="I833" s="214" t="s">
        <v>325</v>
      </c>
      <c r="J833" s="271"/>
      <c r="K833" s="198">
        <v>78</v>
      </c>
      <c r="L833" s="198"/>
      <c r="M833" s="198">
        <v>0</v>
      </c>
      <c r="N833" s="198"/>
      <c r="O833" s="198">
        <v>105</v>
      </c>
      <c r="P833" s="198"/>
      <c r="Q833" s="198" t="s">
        <v>326</v>
      </c>
      <c r="R833" s="230">
        <f>DATABASE_Table[[#This Row],[Inicial Asking Price (€) (Total)]]-DATABASE_Table[[#This Row],[Vista membership]]-DATABASE_Table[[#This Row],[FF&amp;E]]</f>
        <v>760000</v>
      </c>
      <c r="S833" s="232">
        <v>760000</v>
      </c>
      <c r="T833" s="232">
        <v>760000</v>
      </c>
      <c r="U833" s="198"/>
      <c r="V833" s="198"/>
      <c r="W833" s="233">
        <f>DATABASE_Table[[#This Row],[Current Asking price( Total)]]-DATABASE_Table[[#This Row],[Vista membership]]-DATABASE_Table[[#This Row],[FF&amp;E]]</f>
        <v>760000</v>
      </c>
      <c r="X833" s="216">
        <v>0.02</v>
      </c>
      <c r="Y833" s="232">
        <v>744800</v>
      </c>
      <c r="Z833" s="233">
        <f>DATABASE_Table[[#This Row],[Sell price (Total)]]-DATABASE_Table[[#This Row],[FF&amp;E]]-DATABASE_Table[[#This Row],[Vista membership]]</f>
        <v>744800</v>
      </c>
      <c r="AA833" s="315"/>
      <c r="AB833" s="321"/>
      <c r="AC833" s="198" t="s">
        <v>10</v>
      </c>
      <c r="AD833" s="198" t="s">
        <v>807</v>
      </c>
      <c r="AE833" s="279" t="s">
        <v>32</v>
      </c>
      <c r="AF833" s="279" t="s">
        <v>808</v>
      </c>
      <c r="AG833" s="279" t="s">
        <v>33</v>
      </c>
      <c r="AH833" s="279" t="s">
        <v>809</v>
      </c>
      <c r="AI833" s="198" t="s">
        <v>15</v>
      </c>
      <c r="AJ833" s="274" t="s">
        <v>31</v>
      </c>
      <c r="AK833"/>
    </row>
    <row r="834" spans="1:37" ht="15.75" hidden="1" customHeight="1">
      <c r="A834" s="198" t="s">
        <v>690</v>
      </c>
      <c r="B834" s="198" t="s">
        <v>691</v>
      </c>
      <c r="C834" s="214" t="s">
        <v>341</v>
      </c>
      <c r="D834" s="198" t="s">
        <v>9</v>
      </c>
      <c r="E834" s="198" t="s">
        <v>383</v>
      </c>
      <c r="F834" s="198">
        <v>321.57</v>
      </c>
      <c r="G834" s="198">
        <v>163.77000000000001</v>
      </c>
      <c r="H834" s="214" t="s">
        <v>325</v>
      </c>
      <c r="I834" s="214" t="s">
        <v>325</v>
      </c>
      <c r="J834" s="271"/>
      <c r="K834" s="198"/>
      <c r="L834" s="198"/>
      <c r="M834" s="198"/>
      <c r="N834" s="198"/>
      <c r="O834" s="198">
        <v>157.80000000000001</v>
      </c>
      <c r="P834" s="198"/>
      <c r="Q834" s="198" t="s">
        <v>329</v>
      </c>
      <c r="R834" s="230">
        <f>DATABASE_Table[[#This Row],[Inicial Asking Price (€) (Total)]]-DATABASE_Table[[#This Row],[Vista membership]]-DATABASE_Table[[#This Row],[FF&amp;E]]</f>
        <v>1702100</v>
      </c>
      <c r="S834" s="231">
        <v>1791050</v>
      </c>
      <c r="T834" s="232">
        <v>1880000</v>
      </c>
      <c r="U834" s="198">
        <v>24600</v>
      </c>
      <c r="V834" s="198">
        <v>64350</v>
      </c>
      <c r="W834" s="233">
        <f>DATABASE_Table[[#This Row],[Current Asking price( Total)]]-DATABASE_Table[[#This Row],[Vista membership]]-DATABASE_Table[[#This Row],[FF&amp;E]]</f>
        <v>1791050</v>
      </c>
      <c r="X834" s="216"/>
      <c r="Y834" s="232">
        <v>1880000</v>
      </c>
      <c r="Z834" s="233">
        <f>DATABASE_Table[[#This Row],[Sell price (Total)]]-DATABASE_Table[[#This Row],[FF&amp;E]]-DATABASE_Table[[#This Row],[Vista membership]]</f>
        <v>1791050</v>
      </c>
      <c r="AA834" s="315"/>
      <c r="AB834" s="321"/>
      <c r="AC834" s="198" t="s">
        <v>10</v>
      </c>
      <c r="AD834" s="198" t="s">
        <v>35</v>
      </c>
      <c r="AE834" s="279" t="s">
        <v>38</v>
      </c>
      <c r="AF834" s="279" t="s">
        <v>39</v>
      </c>
      <c r="AG834" s="279" t="s">
        <v>40</v>
      </c>
      <c r="AH834" s="279" t="s">
        <v>810</v>
      </c>
      <c r="AI834" s="198" t="s">
        <v>41</v>
      </c>
      <c r="AJ834" s="274" t="s">
        <v>37</v>
      </c>
      <c r="AK834"/>
    </row>
    <row r="835" spans="1:37" ht="15.75" hidden="1" customHeight="1">
      <c r="A835" s="198" t="s">
        <v>563</v>
      </c>
      <c r="B835" s="198" t="s">
        <v>691</v>
      </c>
      <c r="C835" s="214" t="s">
        <v>341</v>
      </c>
      <c r="D835" s="198" t="s">
        <v>9</v>
      </c>
      <c r="E835" s="198" t="s">
        <v>319</v>
      </c>
      <c r="F835" s="198">
        <v>78.3</v>
      </c>
      <c r="G835" s="198"/>
      <c r="H835" s="214" t="s">
        <v>325</v>
      </c>
      <c r="I835" s="214" t="s">
        <v>325</v>
      </c>
      <c r="J835" s="271"/>
      <c r="K835" s="198"/>
      <c r="L835" s="198"/>
      <c r="M835" s="198"/>
      <c r="N835" s="198"/>
      <c r="O835" s="198">
        <v>78.3</v>
      </c>
      <c r="P835" s="198"/>
      <c r="Q835" s="198" t="s">
        <v>628</v>
      </c>
      <c r="R835" s="230">
        <f>DATABASE_Table[[#This Row],[Inicial Asking Price (€) (Total)]]-DATABASE_Table[[#This Row],[Vista membership]]-DATABASE_Table[[#This Row],[FF&amp;E]]</f>
        <v>840000</v>
      </c>
      <c r="S835" s="232">
        <v>840000</v>
      </c>
      <c r="T835" s="232">
        <v>420000</v>
      </c>
      <c r="U835" s="198"/>
      <c r="V835" s="198"/>
      <c r="W835" s="233">
        <f>DATABASE_Table[[#This Row],[Current Asking price( Total)]]-DATABASE_Table[[#This Row],[Vista membership]]-DATABASE_Table[[#This Row],[FF&amp;E]]</f>
        <v>420000</v>
      </c>
      <c r="X835" s="216">
        <v>0</v>
      </c>
      <c r="Y835" s="232">
        <v>420000</v>
      </c>
      <c r="Z835" s="233">
        <f>DATABASE_Table[[#This Row],[Sell price (Total)]]-DATABASE_Table[[#This Row],[FF&amp;E]]-DATABASE_Table[[#This Row],[Vista membership]]</f>
        <v>420000</v>
      </c>
      <c r="AA835" s="316">
        <v>45747</v>
      </c>
      <c r="AB835" s="321"/>
      <c r="AC835" s="198" t="s">
        <v>10</v>
      </c>
      <c r="AD835" s="198" t="s">
        <v>11</v>
      </c>
      <c r="AE835" s="279" t="s">
        <v>28</v>
      </c>
      <c r="AF835" s="279" t="s">
        <v>29</v>
      </c>
      <c r="AG835" s="279" t="s">
        <v>805</v>
      </c>
      <c r="AH835" s="279" t="s">
        <v>806</v>
      </c>
      <c r="AI835" s="198" t="s">
        <v>30</v>
      </c>
      <c r="AJ835" s="274" t="s">
        <v>27</v>
      </c>
      <c r="AK835"/>
    </row>
    <row r="836" spans="1:37" ht="15.75" hidden="1" customHeight="1">
      <c r="A836" s="198" t="s">
        <v>562</v>
      </c>
      <c r="B836" s="198" t="s">
        <v>691</v>
      </c>
      <c r="C836" s="214" t="s">
        <v>341</v>
      </c>
      <c r="D836" s="198" t="s">
        <v>9</v>
      </c>
      <c r="E836" s="198" t="s">
        <v>319</v>
      </c>
      <c r="F836" s="198">
        <v>111</v>
      </c>
      <c r="G836" s="198"/>
      <c r="H836" s="214" t="s">
        <v>325</v>
      </c>
      <c r="I836" s="214" t="s">
        <v>325</v>
      </c>
      <c r="J836" s="271"/>
      <c r="K836" s="198"/>
      <c r="L836" s="198"/>
      <c r="M836" s="198"/>
      <c r="N836" s="198"/>
      <c r="O836" s="198">
        <v>111</v>
      </c>
      <c r="P836" s="198"/>
      <c r="Q836" s="198" t="s">
        <v>929</v>
      </c>
      <c r="R836" s="230">
        <f>DATABASE_Table[[#This Row],[Inicial Asking Price (€) (Total)]]-DATABASE_Table[[#This Row],[Vista membership]]-DATABASE_Table[[#This Row],[FF&amp;E]]</f>
        <v>570000</v>
      </c>
      <c r="S836" s="231">
        <v>570000</v>
      </c>
      <c r="T836" s="232">
        <v>590000</v>
      </c>
      <c r="U836" s="198"/>
      <c r="V836" s="198"/>
      <c r="W836" s="233">
        <f>DATABASE_Table[[#This Row],[Current Asking price( Total)]]-DATABASE_Table[[#This Row],[Vista membership]]-DATABASE_Table[[#This Row],[FF&amp;E]]</f>
        <v>590000</v>
      </c>
      <c r="X836" s="216">
        <v>0</v>
      </c>
      <c r="Y836" s="232">
        <v>590000</v>
      </c>
      <c r="Z836" s="233">
        <f>DATABASE_Table[[#This Row],[Sell price (Total)]]-DATABASE_Table[[#This Row],[FF&amp;E]]-DATABASE_Table[[#This Row],[Vista membership]]</f>
        <v>590000</v>
      </c>
      <c r="AA836" s="315">
        <v>45140</v>
      </c>
      <c r="AB836" s="321"/>
      <c r="AC836" s="198" t="s">
        <v>10</v>
      </c>
      <c r="AD836" s="198" t="s">
        <v>23</v>
      </c>
      <c r="AE836" s="279" t="s">
        <v>24</v>
      </c>
      <c r="AF836" s="279" t="s">
        <v>803</v>
      </c>
      <c r="AG836" s="279" t="s">
        <v>25</v>
      </c>
      <c r="AH836" s="279" t="s">
        <v>804</v>
      </c>
      <c r="AI836" s="198" t="s">
        <v>26</v>
      </c>
      <c r="AJ836" s="274" t="s">
        <v>22</v>
      </c>
      <c r="AK836"/>
    </row>
    <row r="837" spans="1:37" ht="15.75" hidden="1" customHeight="1">
      <c r="A837" s="198" t="s">
        <v>689</v>
      </c>
      <c r="B837" s="198" t="s">
        <v>691</v>
      </c>
      <c r="C837" s="214" t="s">
        <v>341</v>
      </c>
      <c r="D837" s="198"/>
      <c r="E837" s="198" t="s">
        <v>384</v>
      </c>
      <c r="F837" s="198">
        <v>152.87280000000001</v>
      </c>
      <c r="G837" s="198"/>
      <c r="H837" s="214" t="s">
        <v>325</v>
      </c>
      <c r="I837" s="214" t="s">
        <v>325</v>
      </c>
      <c r="J837" s="271"/>
      <c r="K837" s="198"/>
      <c r="L837" s="198"/>
      <c r="M837" s="198"/>
      <c r="N837" s="198"/>
      <c r="O837" s="198">
        <v>152.87280000000001</v>
      </c>
      <c r="P837" s="198"/>
      <c r="Q837" s="198" t="s">
        <v>929</v>
      </c>
      <c r="R837" s="230">
        <f>DATABASE_Table[[#This Row],[Inicial Asking Price (€) (Total)]]-DATABASE_Table[[#This Row],[Vista membership]]-DATABASE_Table[[#This Row],[FF&amp;E]]</f>
        <v>984375</v>
      </c>
      <c r="S837" s="231">
        <v>984375</v>
      </c>
      <c r="T837" s="232">
        <v>1050000</v>
      </c>
      <c r="U837" s="198"/>
      <c r="V837" s="198"/>
      <c r="W837" s="233">
        <f>DATABASE_Table[[#This Row],[Current Asking price( Total)]]-DATABASE_Table[[#This Row],[Vista membership]]-DATABASE_Table[[#This Row],[FF&amp;E]]</f>
        <v>1050000</v>
      </c>
      <c r="X837" s="216">
        <v>0</v>
      </c>
      <c r="Y837" s="232">
        <v>1050000</v>
      </c>
      <c r="Z837" s="233">
        <f>DATABASE_Table[[#This Row],[Sell price (Total)]]-DATABASE_Table[[#This Row],[FF&amp;E]]-DATABASE_Table[[#This Row],[Vista membership]]</f>
        <v>1050000</v>
      </c>
      <c r="AA837" s="315">
        <v>45348</v>
      </c>
      <c r="AB837" s="321"/>
      <c r="AC837" s="198"/>
      <c r="AD837" s="198"/>
      <c r="AE837" s="279"/>
      <c r="AF837" s="279"/>
      <c r="AG837" s="279"/>
      <c r="AH837" s="279"/>
      <c r="AI837" s="198"/>
      <c r="AJ837" s="274" t="s">
        <v>689</v>
      </c>
      <c r="AK837"/>
    </row>
    <row r="838" spans="1:37" ht="15.75" hidden="1" customHeight="1">
      <c r="A838" s="198" t="s">
        <v>564</v>
      </c>
      <c r="B838" s="198" t="s">
        <v>691</v>
      </c>
      <c r="C838" s="214" t="s">
        <v>341</v>
      </c>
      <c r="D838" s="198" t="s">
        <v>9</v>
      </c>
      <c r="E838" s="198" t="s">
        <v>418</v>
      </c>
      <c r="F838" s="198">
        <v>166.6</v>
      </c>
      <c r="G838" s="198"/>
      <c r="H838" s="214" t="s">
        <v>325</v>
      </c>
      <c r="I838" s="214" t="s">
        <v>325</v>
      </c>
      <c r="J838" s="271">
        <v>51.68</v>
      </c>
      <c r="K838" s="198"/>
      <c r="L838" s="198"/>
      <c r="M838" s="198"/>
      <c r="N838" s="198"/>
      <c r="O838" s="198">
        <v>114.92</v>
      </c>
      <c r="P838" s="198"/>
      <c r="Q838" s="198" t="s">
        <v>329</v>
      </c>
      <c r="R838" s="230">
        <f>DATABASE_Table[[#This Row],[Inicial Asking Price (€) (Total)]]-DATABASE_Table[[#This Row],[Vista membership]]-DATABASE_Table[[#This Row],[FF&amp;E]]</f>
        <v>985565.96</v>
      </c>
      <c r="S838" s="231">
        <v>1060165.96</v>
      </c>
      <c r="T838" s="232">
        <v>1100000</v>
      </c>
      <c r="U838" s="198">
        <v>24600</v>
      </c>
      <c r="V838" s="198">
        <v>50000</v>
      </c>
      <c r="W838" s="233">
        <f>DATABASE_Table[[#This Row],[Current Asking price( Total)]]-DATABASE_Table[[#This Row],[Vista membership]]-DATABASE_Table[[#This Row],[FF&amp;E]]</f>
        <v>1025400</v>
      </c>
      <c r="X838" s="216"/>
      <c r="Y838" s="232">
        <v>1100000</v>
      </c>
      <c r="Z838" s="233">
        <f>DATABASE_Table[[#This Row],[Sell price (Total)]]-DATABASE_Table[[#This Row],[FF&amp;E]]-DATABASE_Table[[#This Row],[Vista membership]]</f>
        <v>1025400</v>
      </c>
      <c r="AA838" s="315"/>
      <c r="AB838" s="321"/>
      <c r="AC838" s="198" t="s">
        <v>10</v>
      </c>
      <c r="AD838" s="198" t="s">
        <v>35</v>
      </c>
      <c r="AE838" s="279" t="s">
        <v>43</v>
      </c>
      <c r="AF838" s="279" t="s">
        <v>44</v>
      </c>
      <c r="AG838" s="279" t="s">
        <v>45</v>
      </c>
      <c r="AH838" s="279" t="s">
        <v>46</v>
      </c>
      <c r="AI838" s="198" t="s">
        <v>47</v>
      </c>
      <c r="AJ838" s="274" t="s">
        <v>42</v>
      </c>
      <c r="AK838"/>
    </row>
    <row r="839" spans="1:37" ht="15.75" hidden="1" customHeight="1">
      <c r="A839" s="198" t="s">
        <v>776</v>
      </c>
      <c r="B839" s="198" t="s">
        <v>769</v>
      </c>
      <c r="C839" s="214" t="s">
        <v>855</v>
      </c>
      <c r="D839" s="198" t="s">
        <v>74</v>
      </c>
      <c r="E839" s="198" t="s">
        <v>553</v>
      </c>
      <c r="F839" s="198">
        <v>500</v>
      </c>
      <c r="G839" s="198"/>
      <c r="H839" s="214" t="s">
        <v>325</v>
      </c>
      <c r="I839" s="214" t="s">
        <v>325</v>
      </c>
      <c r="J839" s="271"/>
      <c r="K839" s="198"/>
      <c r="L839" s="198"/>
      <c r="M839" s="198"/>
      <c r="N839" s="198"/>
      <c r="O839" s="198">
        <v>500</v>
      </c>
      <c r="P839" s="198"/>
      <c r="Q839" s="198" t="s">
        <v>329</v>
      </c>
      <c r="R839" s="230">
        <f>DATABASE_Table[[#This Row],[Inicial Asking Price (€) (Total)]]-DATABASE_Table[[#This Row],[Vista membership]]-DATABASE_Table[[#This Row],[FF&amp;E]]</f>
        <v>1326000</v>
      </c>
      <c r="S839" s="234">
        <v>1326000</v>
      </c>
      <c r="T839" s="235">
        <v>1150000</v>
      </c>
      <c r="U839" s="198"/>
      <c r="V839" s="198"/>
      <c r="W839" s="233">
        <f>DATABASE_Table[[#This Row],[Current Asking price( Total)]]-DATABASE_Table[[#This Row],[Vista membership]]-DATABASE_Table[[#This Row],[FF&amp;E]]</f>
        <v>1150000</v>
      </c>
      <c r="X839" s="236"/>
      <c r="Y839" s="235"/>
      <c r="Z839" s="233">
        <f>DATABASE_Table[[#This Row],[Sell price (Total)]]-DATABASE_Table[[#This Row],[FF&amp;E]]-DATABASE_Table[[#This Row],[Vista membership]]</f>
        <v>0</v>
      </c>
      <c r="AA839" s="315"/>
      <c r="AB839" s="321" t="s">
        <v>32</v>
      </c>
      <c r="AC839" s="198" t="s">
        <v>57</v>
      </c>
      <c r="AD839" s="198"/>
      <c r="AE839" s="279" t="s">
        <v>75</v>
      </c>
      <c r="AF839" s="279" t="s">
        <v>554</v>
      </c>
      <c r="AG839" s="279" t="s">
        <v>76</v>
      </c>
      <c r="AH839" s="279" t="s">
        <v>77</v>
      </c>
      <c r="AI839" s="198" t="s">
        <v>32</v>
      </c>
      <c r="AJ839" s="274" t="s">
        <v>73</v>
      </c>
      <c r="AK839"/>
    </row>
    <row r="840" spans="1:37" ht="15.75" hidden="1" customHeight="1">
      <c r="A840" s="198" t="s">
        <v>630</v>
      </c>
      <c r="B840" s="198" t="s">
        <v>691</v>
      </c>
      <c r="C840" s="214" t="s">
        <v>342</v>
      </c>
      <c r="D840" s="198" t="s">
        <v>9</v>
      </c>
      <c r="E840" s="198" t="s">
        <v>319</v>
      </c>
      <c r="F840" s="198">
        <v>260.27</v>
      </c>
      <c r="G840" s="198"/>
      <c r="H840" s="214" t="s">
        <v>849</v>
      </c>
      <c r="I840" s="214" t="s">
        <v>325</v>
      </c>
      <c r="J840" s="271">
        <v>0</v>
      </c>
      <c r="K840" s="198"/>
      <c r="L840" s="198"/>
      <c r="M840" s="198">
        <v>135.21</v>
      </c>
      <c r="N840" s="198"/>
      <c r="O840" s="198">
        <v>125.06</v>
      </c>
      <c r="P840" s="198"/>
      <c r="Q840" s="198" t="s">
        <v>628</v>
      </c>
      <c r="R840" s="230">
        <f>DATABASE_Table[[#This Row],[Inicial Asking Price (€) (Total)]]-DATABASE_Table[[#This Row],[Vista membership]]-DATABASE_Table[[#This Row],[FF&amp;E]]</f>
        <v>1042833.33</v>
      </c>
      <c r="S840" s="231">
        <v>1042833.33</v>
      </c>
      <c r="T840" s="232">
        <v>1050000</v>
      </c>
      <c r="U840" s="198"/>
      <c r="V840" s="198"/>
      <c r="W840" s="233">
        <f>DATABASE_Table[[#This Row],[Current Asking price( Total)]]-DATABASE_Table[[#This Row],[Vista membership]]-DATABASE_Table[[#This Row],[FF&amp;E]]</f>
        <v>1050000</v>
      </c>
      <c r="X840" s="216">
        <v>0.04</v>
      </c>
      <c r="Y840" s="232">
        <v>1008000</v>
      </c>
      <c r="Z840" s="233">
        <f>DATABASE_Table[[#This Row],[Sell price (Total)]]-DATABASE_Table[[#This Row],[FF&amp;E]]-DATABASE_Table[[#This Row],[Vista membership]]</f>
        <v>1008000</v>
      </c>
      <c r="AA840" s="315" t="s">
        <v>935</v>
      </c>
      <c r="AB840" s="321"/>
      <c r="AC840" s="198" t="s">
        <v>10</v>
      </c>
      <c r="AD840" s="198" t="s">
        <v>11</v>
      </c>
      <c r="AE840" s="279" t="s">
        <v>53</v>
      </c>
      <c r="AF840" s="279" t="s">
        <v>54</v>
      </c>
      <c r="AG840" s="279" t="s">
        <v>811</v>
      </c>
      <c r="AH840" s="279" t="s">
        <v>812</v>
      </c>
      <c r="AI840" s="198" t="s">
        <v>36</v>
      </c>
      <c r="AJ840" s="274" t="s">
        <v>52</v>
      </c>
      <c r="AK840"/>
    </row>
    <row r="841" spans="1:37" ht="15.75" hidden="1" customHeight="1">
      <c r="A841" s="198" t="s">
        <v>559</v>
      </c>
      <c r="B841" s="198" t="s">
        <v>691</v>
      </c>
      <c r="C841" s="214" t="s">
        <v>342</v>
      </c>
      <c r="D841" s="198" t="s">
        <v>9</v>
      </c>
      <c r="E841" s="198" t="s">
        <v>384</v>
      </c>
      <c r="F841" s="198">
        <v>146.72</v>
      </c>
      <c r="G841" s="198"/>
      <c r="H841" s="214" t="s">
        <v>325</v>
      </c>
      <c r="I841" s="214" t="s">
        <v>325</v>
      </c>
      <c r="J841" s="271"/>
      <c r="K841" s="198"/>
      <c r="L841" s="198"/>
      <c r="M841" s="198"/>
      <c r="N841" s="198"/>
      <c r="O841" s="198">
        <v>146.72</v>
      </c>
      <c r="P841" s="198"/>
      <c r="Q841" s="198" t="s">
        <v>929</v>
      </c>
      <c r="R841" s="230">
        <f>DATABASE_Table[[#This Row],[Inicial Asking Price (€) (Total)]]-DATABASE_Table[[#This Row],[Vista membership]]-DATABASE_Table[[#This Row],[FF&amp;E]]</f>
        <v>860000</v>
      </c>
      <c r="S841" s="231">
        <v>860000</v>
      </c>
      <c r="T841" s="232">
        <v>860000</v>
      </c>
      <c r="U841" s="198"/>
      <c r="V841" s="198"/>
      <c r="W841" s="233">
        <f>DATABASE_Table[[#This Row],[Current Asking price( Total)]]-DATABASE_Table[[#This Row],[Vista membership]]-DATABASE_Table[[#This Row],[FF&amp;E]]</f>
        <v>860000</v>
      </c>
      <c r="X841" s="216">
        <v>0.03</v>
      </c>
      <c r="Y841" s="232">
        <v>834200</v>
      </c>
      <c r="Z841" s="233">
        <f>DATABASE_Table[[#This Row],[Sell price (Total)]]-DATABASE_Table[[#This Row],[FF&amp;E]]-DATABASE_Table[[#This Row],[Vista membership]]</f>
        <v>834200</v>
      </c>
      <c r="AA841" s="315">
        <v>45848</v>
      </c>
      <c r="AB841" s="321"/>
      <c r="AC841" s="198" t="s">
        <v>10</v>
      </c>
      <c r="AD841" s="198" t="s">
        <v>802</v>
      </c>
      <c r="AE841" s="279" t="s">
        <v>17</v>
      </c>
      <c r="AF841" s="279" t="s">
        <v>18</v>
      </c>
      <c r="AG841" s="279" t="s">
        <v>19</v>
      </c>
      <c r="AH841" s="279" t="s">
        <v>20</v>
      </c>
      <c r="AI841" s="198" t="s">
        <v>21</v>
      </c>
      <c r="AJ841" s="274" t="s">
        <v>16</v>
      </c>
      <c r="AK841"/>
    </row>
    <row r="842" spans="1:37" ht="15.75" hidden="1" customHeight="1">
      <c r="A842" s="198" t="s">
        <v>560</v>
      </c>
      <c r="B842" s="198" t="s">
        <v>691</v>
      </c>
      <c r="C842" s="214" t="s">
        <v>342</v>
      </c>
      <c r="D842" s="198" t="s">
        <v>9</v>
      </c>
      <c r="E842" s="198" t="s">
        <v>383</v>
      </c>
      <c r="F842" s="198">
        <v>163.53</v>
      </c>
      <c r="G842" s="198"/>
      <c r="H842" s="214" t="s">
        <v>325</v>
      </c>
      <c r="I842" s="214" t="s">
        <v>325</v>
      </c>
      <c r="J842" s="271"/>
      <c r="K842" s="198"/>
      <c r="L842" s="198"/>
      <c r="M842" s="198"/>
      <c r="N842" s="198"/>
      <c r="O842" s="198">
        <v>163.53</v>
      </c>
      <c r="P842" s="198"/>
      <c r="Q842" s="198" t="s">
        <v>929</v>
      </c>
      <c r="R842" s="230">
        <f>DATABASE_Table[[#This Row],[Inicial Asking Price (€) (Total)]]-DATABASE_Table[[#This Row],[Vista membership]]-DATABASE_Table[[#This Row],[FF&amp;E]]</f>
        <v>920000</v>
      </c>
      <c r="S842" s="231">
        <v>920000</v>
      </c>
      <c r="T842" s="232">
        <v>960000</v>
      </c>
      <c r="U842" s="198"/>
      <c r="V842" s="198"/>
      <c r="W842" s="233">
        <f>DATABASE_Table[[#This Row],[Current Asking price( Total)]]-DATABASE_Table[[#This Row],[Vista membership]]-DATABASE_Table[[#This Row],[FF&amp;E]]</f>
        <v>960000</v>
      </c>
      <c r="X842" s="216">
        <v>0</v>
      </c>
      <c r="Y842" s="232">
        <v>960000</v>
      </c>
      <c r="Z842" s="233">
        <f>DATABASE_Table[[#This Row],[Sell price (Total)]]-DATABASE_Table[[#This Row],[FF&amp;E]]-DATABASE_Table[[#This Row],[Vista membership]]</f>
        <v>960000</v>
      </c>
      <c r="AA842" s="315">
        <v>45532</v>
      </c>
      <c r="AB842" s="321"/>
      <c r="AC842" s="198" t="s">
        <v>10</v>
      </c>
      <c r="AD842" s="198" t="s">
        <v>802</v>
      </c>
      <c r="AE842" s="279" t="s">
        <v>17</v>
      </c>
      <c r="AF842" s="279" t="s">
        <v>18</v>
      </c>
      <c r="AG842" s="279" t="s">
        <v>19</v>
      </c>
      <c r="AH842" s="279" t="s">
        <v>20</v>
      </c>
      <c r="AI842" s="198" t="s">
        <v>21</v>
      </c>
      <c r="AJ842" s="274" t="s">
        <v>16</v>
      </c>
      <c r="AK842"/>
    </row>
    <row r="843" spans="1:37" ht="15.75" hidden="1" customHeight="1">
      <c r="A843" s="198" t="s">
        <v>772</v>
      </c>
      <c r="B843" s="198" t="s">
        <v>769</v>
      </c>
      <c r="C843" s="214" t="s">
        <v>512</v>
      </c>
      <c r="D843" s="198"/>
      <c r="E843" s="198" t="s">
        <v>319</v>
      </c>
      <c r="F843" s="198">
        <v>158.30000000000001</v>
      </c>
      <c r="G843" s="198"/>
      <c r="H843" s="214" t="s">
        <v>660</v>
      </c>
      <c r="I843" s="214" t="s">
        <v>325</v>
      </c>
      <c r="J843" s="271"/>
      <c r="K843" s="198"/>
      <c r="L843" s="198"/>
      <c r="M843" s="198">
        <v>36.799999999999997</v>
      </c>
      <c r="N843" s="198"/>
      <c r="O843" s="198">
        <v>121.5</v>
      </c>
      <c r="P843" s="198"/>
      <c r="Q843" s="198" t="s">
        <v>628</v>
      </c>
      <c r="R843" s="230">
        <f>DATABASE_Table[[#This Row],[Inicial Asking Price (€) (Total)]]-DATABASE_Table[[#This Row],[Vista membership]]-DATABASE_Table[[#This Row],[FF&amp;E]]</f>
        <v>790000</v>
      </c>
      <c r="S843" s="232">
        <v>790000</v>
      </c>
      <c r="T843" s="235">
        <v>900000</v>
      </c>
      <c r="U843" s="198"/>
      <c r="V843" s="198"/>
      <c r="W843" s="233">
        <f>DATABASE_Table[[#This Row],[Current Asking price( Total)]]-DATABASE_Table[[#This Row],[Vista membership]]-DATABASE_Table[[#This Row],[FF&amp;E]]</f>
        <v>900000</v>
      </c>
      <c r="X843" s="236">
        <v>0</v>
      </c>
      <c r="Y843" s="235">
        <v>900000</v>
      </c>
      <c r="Z843" s="233">
        <f>DATABASE_Table[[#This Row],[Sell price (Total)]]-DATABASE_Table[[#This Row],[FF&amp;E]]-DATABASE_Table[[#This Row],[Vista membership]]</f>
        <v>900000</v>
      </c>
      <c r="AA843" s="316">
        <v>44956</v>
      </c>
      <c r="AB843" s="321">
        <v>46843</v>
      </c>
      <c r="AC843" s="198"/>
      <c r="AD843" s="198"/>
      <c r="AE843" s="279"/>
      <c r="AF843" s="279"/>
      <c r="AG843" s="279"/>
      <c r="AH843" s="279"/>
      <c r="AI843" s="198"/>
      <c r="AJ843" s="274" t="s">
        <v>66</v>
      </c>
      <c r="AK843"/>
    </row>
    <row r="844" spans="1:37" ht="15.75" hidden="1" customHeight="1">
      <c r="A844" s="198" t="s">
        <v>561</v>
      </c>
      <c r="B844" s="198" t="s">
        <v>691</v>
      </c>
      <c r="C844" s="214" t="s">
        <v>342</v>
      </c>
      <c r="D844" s="198" t="s">
        <v>9</v>
      </c>
      <c r="E844" s="198" t="s">
        <v>383</v>
      </c>
      <c r="F844" s="198">
        <v>193.26</v>
      </c>
      <c r="G844" s="198"/>
      <c r="H844" s="214" t="s">
        <v>325</v>
      </c>
      <c r="I844" s="214" t="s">
        <v>325</v>
      </c>
      <c r="J844" s="271"/>
      <c r="K844" s="198"/>
      <c r="L844" s="198"/>
      <c r="M844" s="198"/>
      <c r="N844" s="198"/>
      <c r="O844" s="198">
        <v>193.26</v>
      </c>
      <c r="P844" s="198"/>
      <c r="Q844" s="198" t="s">
        <v>329</v>
      </c>
      <c r="R844" s="230">
        <f>DATABASE_Table[[#This Row],[Inicial Asking Price (€) (Total)]]-DATABASE_Table[[#This Row],[Vista membership]]-DATABASE_Table[[#This Row],[FF&amp;E]]</f>
        <v>1320000</v>
      </c>
      <c r="S844" s="231">
        <v>1320000</v>
      </c>
      <c r="T844" s="232">
        <v>1320000</v>
      </c>
      <c r="U844" s="198"/>
      <c r="V844" s="198"/>
      <c r="W844" s="233">
        <f>DATABASE_Table[[#This Row],[Current Asking price( Total)]]-DATABASE_Table[[#This Row],[Vista membership]]-DATABASE_Table[[#This Row],[FF&amp;E]]</f>
        <v>1320000</v>
      </c>
      <c r="X844" s="216"/>
      <c r="Y844" s="232">
        <v>1320000</v>
      </c>
      <c r="Z844" s="233">
        <f>DATABASE_Table[[#This Row],[Sell price (Total)]]-DATABASE_Table[[#This Row],[FF&amp;E]]-DATABASE_Table[[#This Row],[Vista membership]]</f>
        <v>1320000</v>
      </c>
      <c r="AA844" s="315"/>
      <c r="AB844" s="321"/>
      <c r="AC844" s="198" t="s">
        <v>10</v>
      </c>
      <c r="AD844" s="198" t="s">
        <v>802</v>
      </c>
      <c r="AE844" s="279" t="s">
        <v>17</v>
      </c>
      <c r="AF844" s="279" t="s">
        <v>18</v>
      </c>
      <c r="AG844" s="279" t="s">
        <v>19</v>
      </c>
      <c r="AH844" s="279" t="s">
        <v>20</v>
      </c>
      <c r="AI844" s="198" t="s">
        <v>21</v>
      </c>
      <c r="AJ844" s="274" t="s">
        <v>16</v>
      </c>
      <c r="AK844"/>
    </row>
    <row r="845" spans="1:37" ht="15.75" hidden="1" customHeight="1">
      <c r="A845" s="198" t="s">
        <v>558</v>
      </c>
      <c r="B845" s="198" t="s">
        <v>691</v>
      </c>
      <c r="C845" s="214" t="s">
        <v>342</v>
      </c>
      <c r="D845" s="198" t="s">
        <v>9</v>
      </c>
      <c r="E845" s="198" t="s">
        <v>320</v>
      </c>
      <c r="F845" s="198">
        <v>153.5</v>
      </c>
      <c r="G845" s="198">
        <v>3.99</v>
      </c>
      <c r="H845" s="214" t="s">
        <v>603</v>
      </c>
      <c r="I845" s="214" t="s">
        <v>590</v>
      </c>
      <c r="J845" s="271"/>
      <c r="K845" s="198"/>
      <c r="L845" s="198"/>
      <c r="M845" s="198"/>
      <c r="N845" s="198"/>
      <c r="O845" s="198">
        <v>153.5</v>
      </c>
      <c r="P845" s="198"/>
      <c r="Q845" s="198" t="s">
        <v>329</v>
      </c>
      <c r="R845" s="230">
        <f>DATABASE_Table[[#This Row],[Inicial Asking Price (€) (Total)]]-DATABASE_Table[[#This Row],[Vista membership]]-DATABASE_Table[[#This Row],[FF&amp;E]]</f>
        <v>1080000</v>
      </c>
      <c r="S845" s="231">
        <v>1080000</v>
      </c>
      <c r="T845" s="232">
        <v>1080000</v>
      </c>
      <c r="U845" s="198"/>
      <c r="V845" s="198"/>
      <c r="W845" s="233">
        <f>DATABASE_Table[[#This Row],[Current Asking price( Total)]]-DATABASE_Table[[#This Row],[Vista membership]]-DATABASE_Table[[#This Row],[FF&amp;E]]</f>
        <v>1080000</v>
      </c>
      <c r="X845" s="216"/>
      <c r="Y845" s="232">
        <v>1080000</v>
      </c>
      <c r="Z845" s="233">
        <f>DATABASE_Table[[#This Row],[Sell price (Total)]]-DATABASE_Table[[#This Row],[FF&amp;E]]-DATABASE_Table[[#This Row],[Vista membership]]</f>
        <v>1080000</v>
      </c>
      <c r="AA845" s="315"/>
      <c r="AB845" s="321"/>
      <c r="AC845" s="198" t="s">
        <v>10</v>
      </c>
      <c r="AD845" s="198" t="s">
        <v>11</v>
      </c>
      <c r="AE845" s="279" t="s">
        <v>12</v>
      </c>
      <c r="AF845" s="279" t="s">
        <v>801</v>
      </c>
      <c r="AG845" s="279" t="s">
        <v>13</v>
      </c>
      <c r="AH845" s="279" t="s">
        <v>14</v>
      </c>
      <c r="AI845" s="198" t="s">
        <v>15</v>
      </c>
      <c r="AJ845" s="274" t="s">
        <v>8</v>
      </c>
      <c r="AK845"/>
    </row>
    <row r="846" spans="1:37" ht="15.75" hidden="1" customHeight="1">
      <c r="A846" s="198" t="s">
        <v>781</v>
      </c>
      <c r="B846" s="198" t="s">
        <v>786</v>
      </c>
      <c r="C846" s="214" t="s">
        <v>284</v>
      </c>
      <c r="D846" s="198" t="s">
        <v>79</v>
      </c>
      <c r="E846" s="198" t="s">
        <v>320</v>
      </c>
      <c r="F846" s="198">
        <v>249.2</v>
      </c>
      <c r="G846" s="198"/>
      <c r="H846" s="214" t="s">
        <v>848</v>
      </c>
      <c r="I846" s="214" t="s">
        <v>325</v>
      </c>
      <c r="J846" s="271"/>
      <c r="K846" s="198"/>
      <c r="L846" s="198"/>
      <c r="M846" s="198">
        <v>34</v>
      </c>
      <c r="N846" s="198">
        <v>40</v>
      </c>
      <c r="O846" s="198">
        <v>175.2</v>
      </c>
      <c r="P846" s="198"/>
      <c r="Q846" s="198" t="s">
        <v>329</v>
      </c>
      <c r="R846" s="230">
        <f>DATABASE_Table[[#This Row],[Inicial Asking Price (€) (Total)]]-DATABASE_Table[[#This Row],[Vista membership]]-DATABASE_Table[[#This Row],[FF&amp;E]]</f>
        <v>1350000</v>
      </c>
      <c r="S846" s="234">
        <v>1350000</v>
      </c>
      <c r="T846" s="235">
        <v>1380000</v>
      </c>
      <c r="U846" s="198"/>
      <c r="V846" s="198"/>
      <c r="W846" s="233">
        <f>DATABASE_Table[[#This Row],[Current Asking price( Total)]]-DATABASE_Table[[#This Row],[Vista membership]]-DATABASE_Table[[#This Row],[FF&amp;E]]</f>
        <v>1380000</v>
      </c>
      <c r="X846" s="236"/>
      <c r="Y846" s="235"/>
      <c r="Z846" s="233">
        <f>DATABASE_Table[[#This Row],[Sell price (Total)]]-DATABASE_Table[[#This Row],[FF&amp;E]]-DATABASE_Table[[#This Row],[Vista membership]]</f>
        <v>0</v>
      </c>
      <c r="AA846" s="315"/>
      <c r="AB846" s="321">
        <v>47118</v>
      </c>
      <c r="AC846" s="198" t="s">
        <v>80</v>
      </c>
      <c r="AD846" s="198" t="s">
        <v>81</v>
      </c>
      <c r="AE846" s="279" t="s">
        <v>82</v>
      </c>
      <c r="AF846" s="279" t="s">
        <v>83</v>
      </c>
      <c r="AG846" s="279" t="s">
        <v>84</v>
      </c>
      <c r="AH846" s="279" t="s">
        <v>85</v>
      </c>
      <c r="AI846" s="198" t="s">
        <v>86</v>
      </c>
      <c r="AJ846" s="274" t="s">
        <v>78</v>
      </c>
      <c r="AK846"/>
    </row>
    <row r="847" spans="1:37" ht="15.75" hidden="1" customHeight="1">
      <c r="A847" s="198" t="s">
        <v>781</v>
      </c>
      <c r="B847" s="198" t="s">
        <v>786</v>
      </c>
      <c r="C847" s="214" t="s">
        <v>285</v>
      </c>
      <c r="D847" s="198" t="s">
        <v>79</v>
      </c>
      <c r="E847" s="198" t="s">
        <v>320</v>
      </c>
      <c r="F847" s="198">
        <v>250.2</v>
      </c>
      <c r="G847" s="198"/>
      <c r="H847" s="214" t="s">
        <v>848</v>
      </c>
      <c r="I847" s="214" t="s">
        <v>325</v>
      </c>
      <c r="J847" s="271"/>
      <c r="K847" s="198"/>
      <c r="L847" s="198"/>
      <c r="M847" s="198">
        <v>35</v>
      </c>
      <c r="N847" s="198">
        <v>40</v>
      </c>
      <c r="O847" s="198">
        <v>175.2</v>
      </c>
      <c r="P847" s="198"/>
      <c r="Q847" s="198" t="s">
        <v>329</v>
      </c>
      <c r="R847" s="230">
        <f>DATABASE_Table[[#This Row],[Inicial Asking Price (€) (Total)]]-DATABASE_Table[[#This Row],[Vista membership]]-DATABASE_Table[[#This Row],[FF&amp;E]]</f>
        <v>1350000</v>
      </c>
      <c r="S847" s="234">
        <v>1350000</v>
      </c>
      <c r="T847" s="235">
        <v>1380000</v>
      </c>
      <c r="U847" s="198"/>
      <c r="V847" s="198"/>
      <c r="W847" s="233">
        <f>DATABASE_Table[[#This Row],[Current Asking price( Total)]]-DATABASE_Table[[#This Row],[Vista membership]]-DATABASE_Table[[#This Row],[FF&amp;E]]</f>
        <v>1380000</v>
      </c>
      <c r="X847" s="236"/>
      <c r="Y847" s="235"/>
      <c r="Z847" s="233">
        <f>DATABASE_Table[[#This Row],[Sell price (Total)]]-DATABASE_Table[[#This Row],[FF&amp;E]]-DATABASE_Table[[#This Row],[Vista membership]]</f>
        <v>0</v>
      </c>
      <c r="AA847" s="315"/>
      <c r="AB847" s="321">
        <v>47118</v>
      </c>
      <c r="AC847" s="198" t="s">
        <v>80</v>
      </c>
      <c r="AD847" s="198" t="s">
        <v>81</v>
      </c>
      <c r="AE847" s="279" t="s">
        <v>82</v>
      </c>
      <c r="AF847" s="279" t="s">
        <v>83</v>
      </c>
      <c r="AG847" s="279" t="s">
        <v>84</v>
      </c>
      <c r="AH847" s="279" t="s">
        <v>85</v>
      </c>
      <c r="AI847" s="198" t="s">
        <v>86</v>
      </c>
      <c r="AJ847" s="274" t="s">
        <v>78</v>
      </c>
      <c r="AK847"/>
    </row>
    <row r="848" spans="1:37" ht="15.75" hidden="1" customHeight="1">
      <c r="A848" s="198" t="s">
        <v>775</v>
      </c>
      <c r="B848" s="198" t="s">
        <v>769</v>
      </c>
      <c r="C848" s="214" t="s">
        <v>370</v>
      </c>
      <c r="D848" s="198" t="s">
        <v>74</v>
      </c>
      <c r="E848" s="198" t="s">
        <v>320</v>
      </c>
      <c r="F848" s="198">
        <v>422.36</v>
      </c>
      <c r="G848" s="198">
        <v>45.06</v>
      </c>
      <c r="H848" s="214" t="s">
        <v>325</v>
      </c>
      <c r="I848" s="214" t="s">
        <v>325</v>
      </c>
      <c r="J848" s="271">
        <v>131.68</v>
      </c>
      <c r="K848" s="198"/>
      <c r="L848" s="198"/>
      <c r="M848" s="198"/>
      <c r="N848" s="198"/>
      <c r="O848" s="198">
        <v>245.62</v>
      </c>
      <c r="P848" s="198"/>
      <c r="Q848" s="198" t="s">
        <v>327</v>
      </c>
      <c r="R848" s="230">
        <f>DATABASE_Table[[#This Row],[Inicial Asking Price (€) (Total)]]-DATABASE_Table[[#This Row],[Vista membership]]-DATABASE_Table[[#This Row],[FF&amp;E]]</f>
        <v>1350000</v>
      </c>
      <c r="S848" s="234">
        <v>1350000</v>
      </c>
      <c r="T848" s="235">
        <v>1120000</v>
      </c>
      <c r="U848" s="198"/>
      <c r="V848" s="198"/>
      <c r="W848" s="233">
        <f>DATABASE_Table[[#This Row],[Current Asking price( Total)]]-DATABASE_Table[[#This Row],[Vista membership]]-DATABASE_Table[[#This Row],[FF&amp;E]]</f>
        <v>1120000</v>
      </c>
      <c r="X848" s="236">
        <v>9.375E-2</v>
      </c>
      <c r="Y848" s="235">
        <v>1015000</v>
      </c>
      <c r="Z848" s="233">
        <f>DATABASE_Table[[#This Row],[Sell price (Total)]]-DATABASE_Table[[#This Row],[FF&amp;E]]-DATABASE_Table[[#This Row],[Vista membership]]</f>
        <v>1015000</v>
      </c>
      <c r="AA848" s="315">
        <v>46170</v>
      </c>
      <c r="AB848" s="321" t="s">
        <v>32</v>
      </c>
      <c r="AC848" s="198" t="s">
        <v>57</v>
      </c>
      <c r="AD848" s="198"/>
      <c r="AE848" s="279" t="s">
        <v>75</v>
      </c>
      <c r="AF848" s="279" t="s">
        <v>554</v>
      </c>
      <c r="AG848" s="279" t="s">
        <v>76</v>
      </c>
      <c r="AH848" s="279" t="s">
        <v>77</v>
      </c>
      <c r="AI848" s="198" t="s">
        <v>32</v>
      </c>
      <c r="AJ848" s="274" t="s">
        <v>73</v>
      </c>
      <c r="AK848"/>
    </row>
    <row r="849" spans="1:37" ht="15.75" hidden="1" customHeight="1">
      <c r="A849" s="198" t="s">
        <v>775</v>
      </c>
      <c r="B849" s="198" t="s">
        <v>769</v>
      </c>
      <c r="C849" s="214" t="s">
        <v>369</v>
      </c>
      <c r="D849" s="198" t="s">
        <v>74</v>
      </c>
      <c r="E849" s="198" t="s">
        <v>320</v>
      </c>
      <c r="F849" s="198">
        <v>433.99</v>
      </c>
      <c r="G849" s="198">
        <v>45.83</v>
      </c>
      <c r="H849" s="214" t="s">
        <v>325</v>
      </c>
      <c r="I849" s="214" t="s">
        <v>325</v>
      </c>
      <c r="J849" s="271">
        <v>136.16</v>
      </c>
      <c r="K849" s="198"/>
      <c r="L849" s="198"/>
      <c r="M849" s="198"/>
      <c r="N849" s="198"/>
      <c r="O849" s="198">
        <v>252</v>
      </c>
      <c r="P849" s="198"/>
      <c r="Q849" s="198" t="s">
        <v>327</v>
      </c>
      <c r="R849" s="230">
        <f>DATABASE_Table[[#This Row],[Inicial Asking Price (€) (Total)]]-DATABASE_Table[[#This Row],[Vista membership]]-DATABASE_Table[[#This Row],[FF&amp;E]]</f>
        <v>1350000</v>
      </c>
      <c r="S849" s="234">
        <v>1350000</v>
      </c>
      <c r="T849" s="235">
        <v>1150000</v>
      </c>
      <c r="U849" s="198"/>
      <c r="V849" s="198"/>
      <c r="W849" s="233">
        <f>DATABASE_Table[[#This Row],[Current Asking price( Total)]]-DATABASE_Table[[#This Row],[Vista membership]]-DATABASE_Table[[#This Row],[FF&amp;E]]</f>
        <v>1150000</v>
      </c>
      <c r="X849" s="236">
        <v>0.11739130434782601</v>
      </c>
      <c r="Y849" s="235">
        <v>1015000</v>
      </c>
      <c r="Z849" s="233">
        <f>DATABASE_Table[[#This Row],[Sell price (Total)]]-DATABASE_Table[[#This Row],[FF&amp;E]]-DATABASE_Table[[#This Row],[Vista membership]]</f>
        <v>1015000</v>
      </c>
      <c r="AA849" s="315">
        <v>46170</v>
      </c>
      <c r="AB849" s="321" t="s">
        <v>32</v>
      </c>
      <c r="AC849" s="198" t="s">
        <v>57</v>
      </c>
      <c r="AD849" s="198"/>
      <c r="AE849" s="279" t="s">
        <v>75</v>
      </c>
      <c r="AF849" s="279" t="s">
        <v>554</v>
      </c>
      <c r="AG849" s="279" t="s">
        <v>76</v>
      </c>
      <c r="AH849" s="279" t="s">
        <v>77</v>
      </c>
      <c r="AI849" s="198" t="s">
        <v>32</v>
      </c>
      <c r="AJ849" s="274" t="s">
        <v>73</v>
      </c>
      <c r="AK849"/>
    </row>
    <row r="850" spans="1:37" ht="15.75" hidden="1" customHeight="1">
      <c r="A850" s="198" t="s">
        <v>31</v>
      </c>
      <c r="B850" s="198" t="s">
        <v>691</v>
      </c>
      <c r="C850" s="214" t="s">
        <v>342</v>
      </c>
      <c r="D850" s="198" t="s">
        <v>9</v>
      </c>
      <c r="E850" s="198" t="s">
        <v>319</v>
      </c>
      <c r="F850" s="198"/>
      <c r="G850" s="198"/>
      <c r="H850" s="214" t="s">
        <v>325</v>
      </c>
      <c r="I850" s="214" t="s">
        <v>325</v>
      </c>
      <c r="J850" s="271"/>
      <c r="K850" s="198">
        <v>150</v>
      </c>
      <c r="L850" s="198"/>
      <c r="M850" s="198">
        <v>0</v>
      </c>
      <c r="N850" s="198"/>
      <c r="O850" s="198">
        <v>111</v>
      </c>
      <c r="P850" s="198"/>
      <c r="Q850" s="198" t="s">
        <v>329</v>
      </c>
      <c r="R850" s="230">
        <f>DATABASE_Table[[#This Row],[Inicial Asking Price (€) (Total)]]-DATABASE_Table[[#This Row],[Vista membership]]-DATABASE_Table[[#This Row],[FF&amp;E]]</f>
        <v>890000</v>
      </c>
      <c r="S850" s="232">
        <v>890000</v>
      </c>
      <c r="T850" s="232">
        <v>890000</v>
      </c>
      <c r="U850" s="198"/>
      <c r="V850" s="198"/>
      <c r="W850" s="233">
        <f>DATABASE_Table[[#This Row],[Current Asking price( Total)]]-DATABASE_Table[[#This Row],[Vista membership]]-DATABASE_Table[[#This Row],[FF&amp;E]]</f>
        <v>890000</v>
      </c>
      <c r="X850" s="216"/>
      <c r="Y850" s="232">
        <v>870000</v>
      </c>
      <c r="Z850" s="233">
        <f>DATABASE_Table[[#This Row],[Sell price (Total)]]-DATABASE_Table[[#This Row],[FF&amp;E]]-DATABASE_Table[[#This Row],[Vista membership]]</f>
        <v>870000</v>
      </c>
      <c r="AA850" s="315"/>
      <c r="AB850" s="321"/>
      <c r="AC850" s="198" t="s">
        <v>10</v>
      </c>
      <c r="AD850" s="198" t="s">
        <v>807</v>
      </c>
      <c r="AE850" s="279" t="s">
        <v>32</v>
      </c>
      <c r="AF850" s="279" t="s">
        <v>808</v>
      </c>
      <c r="AG850" s="279" t="s">
        <v>33</v>
      </c>
      <c r="AH850" s="279" t="s">
        <v>809</v>
      </c>
      <c r="AI850" s="198" t="s">
        <v>15</v>
      </c>
      <c r="AJ850" s="274" t="s">
        <v>31</v>
      </c>
      <c r="AK850"/>
    </row>
    <row r="851" spans="1:37" ht="15.75" hidden="1" customHeight="1">
      <c r="A851" s="198" t="s">
        <v>690</v>
      </c>
      <c r="B851" s="198" t="s">
        <v>691</v>
      </c>
      <c r="C851" s="214" t="s">
        <v>342</v>
      </c>
      <c r="D851" s="198" t="s">
        <v>9</v>
      </c>
      <c r="E851" s="198" t="s">
        <v>383</v>
      </c>
      <c r="F851" s="198">
        <v>323.58999999999997</v>
      </c>
      <c r="G851" s="198">
        <v>165.79</v>
      </c>
      <c r="H851" s="214" t="s">
        <v>325</v>
      </c>
      <c r="I851" s="214" t="s">
        <v>325</v>
      </c>
      <c r="J851" s="271"/>
      <c r="K851" s="198"/>
      <c r="L851" s="198"/>
      <c r="M851" s="198"/>
      <c r="N851" s="198"/>
      <c r="O851" s="198">
        <v>157.80000000000001</v>
      </c>
      <c r="P851" s="198"/>
      <c r="Q851" s="198" t="s">
        <v>329</v>
      </c>
      <c r="R851" s="230">
        <f>DATABASE_Table[[#This Row],[Inicial Asking Price (€) (Total)]]-DATABASE_Table[[#This Row],[Vista membership]]-DATABASE_Table[[#This Row],[FF&amp;E]]</f>
        <v>1702100</v>
      </c>
      <c r="S851" s="231">
        <v>1791050</v>
      </c>
      <c r="T851" s="232">
        <v>1880000</v>
      </c>
      <c r="U851" s="198">
        <v>24600</v>
      </c>
      <c r="V851" s="198">
        <v>64350</v>
      </c>
      <c r="W851" s="233">
        <f>DATABASE_Table[[#This Row],[Current Asking price( Total)]]-DATABASE_Table[[#This Row],[Vista membership]]-DATABASE_Table[[#This Row],[FF&amp;E]]</f>
        <v>1791050</v>
      </c>
      <c r="X851" s="216"/>
      <c r="Y851" s="232">
        <v>1880000</v>
      </c>
      <c r="Z851" s="233">
        <f>DATABASE_Table[[#This Row],[Sell price (Total)]]-DATABASE_Table[[#This Row],[FF&amp;E]]-DATABASE_Table[[#This Row],[Vista membership]]</f>
        <v>1791050</v>
      </c>
      <c r="AA851" s="315"/>
      <c r="AB851" s="321"/>
      <c r="AC851" s="198" t="s">
        <v>10</v>
      </c>
      <c r="AD851" s="198" t="s">
        <v>35</v>
      </c>
      <c r="AE851" s="279" t="s">
        <v>38</v>
      </c>
      <c r="AF851" s="279" t="s">
        <v>39</v>
      </c>
      <c r="AG851" s="279" t="s">
        <v>40</v>
      </c>
      <c r="AH851" s="279" t="s">
        <v>810</v>
      </c>
      <c r="AI851" s="198" t="s">
        <v>41</v>
      </c>
      <c r="AJ851" s="274" t="s">
        <v>37</v>
      </c>
      <c r="AK851"/>
    </row>
    <row r="852" spans="1:37" ht="15.75" hidden="1" customHeight="1">
      <c r="A852" s="198" t="s">
        <v>563</v>
      </c>
      <c r="B852" s="198" t="s">
        <v>691</v>
      </c>
      <c r="C852" s="214" t="s">
        <v>342</v>
      </c>
      <c r="D852" s="198" t="s">
        <v>9</v>
      </c>
      <c r="E852" s="198" t="s">
        <v>319</v>
      </c>
      <c r="F852" s="198">
        <v>78.3</v>
      </c>
      <c r="G852" s="198"/>
      <c r="H852" s="214" t="s">
        <v>325</v>
      </c>
      <c r="I852" s="214" t="s">
        <v>325</v>
      </c>
      <c r="J852" s="271"/>
      <c r="K852" s="198"/>
      <c r="L852" s="198"/>
      <c r="M852" s="198"/>
      <c r="N852" s="198"/>
      <c r="O852" s="198">
        <v>78.3</v>
      </c>
      <c r="P852" s="198"/>
      <c r="Q852" s="198" t="s">
        <v>628</v>
      </c>
      <c r="R852" s="230">
        <f>DATABASE_Table[[#This Row],[Inicial Asking Price (€) (Total)]]-DATABASE_Table[[#This Row],[Vista membership]]-DATABASE_Table[[#This Row],[FF&amp;E]]</f>
        <v>860000</v>
      </c>
      <c r="S852" s="232">
        <v>860000</v>
      </c>
      <c r="T852" s="232">
        <v>399000</v>
      </c>
      <c r="U852" s="198"/>
      <c r="V852" s="198"/>
      <c r="W852" s="233">
        <f>DATABASE_Table[[#This Row],[Current Asking price( Total)]]-DATABASE_Table[[#This Row],[Vista membership]]-DATABASE_Table[[#This Row],[FF&amp;E]]</f>
        <v>399000</v>
      </c>
      <c r="X852" s="216">
        <v>0</v>
      </c>
      <c r="Y852" s="232">
        <v>399000</v>
      </c>
      <c r="Z852" s="233">
        <f>DATABASE_Table[[#This Row],[Sell price (Total)]]-DATABASE_Table[[#This Row],[FF&amp;E]]-DATABASE_Table[[#This Row],[Vista membership]]</f>
        <v>399000</v>
      </c>
      <c r="AA852" s="316">
        <v>45819</v>
      </c>
      <c r="AB852" s="321"/>
      <c r="AC852" s="198" t="s">
        <v>10</v>
      </c>
      <c r="AD852" s="198" t="s">
        <v>11</v>
      </c>
      <c r="AE852" s="279" t="s">
        <v>28</v>
      </c>
      <c r="AF852" s="279" t="s">
        <v>29</v>
      </c>
      <c r="AG852" s="279" t="s">
        <v>805</v>
      </c>
      <c r="AH852" s="279" t="s">
        <v>806</v>
      </c>
      <c r="AI852" s="198" t="s">
        <v>30</v>
      </c>
      <c r="AJ852" s="274" t="s">
        <v>27</v>
      </c>
      <c r="AK852"/>
    </row>
    <row r="853" spans="1:37" ht="15.75" hidden="1" customHeight="1">
      <c r="A853" s="198" t="s">
        <v>562</v>
      </c>
      <c r="B853" s="198" t="s">
        <v>691</v>
      </c>
      <c r="C853" s="214" t="s">
        <v>342</v>
      </c>
      <c r="D853" s="198" t="s">
        <v>9</v>
      </c>
      <c r="E853" s="198" t="s">
        <v>319</v>
      </c>
      <c r="F853" s="198">
        <v>111</v>
      </c>
      <c r="G853" s="198"/>
      <c r="H853" s="214" t="s">
        <v>325</v>
      </c>
      <c r="I853" s="214" t="s">
        <v>325</v>
      </c>
      <c r="J853" s="271"/>
      <c r="K853" s="198"/>
      <c r="L853" s="198"/>
      <c r="M853" s="198"/>
      <c r="N853" s="198"/>
      <c r="O853" s="198">
        <v>111</v>
      </c>
      <c r="P853" s="198"/>
      <c r="Q853" s="198" t="s">
        <v>929</v>
      </c>
      <c r="R853" s="230">
        <f>DATABASE_Table[[#This Row],[Inicial Asking Price (€) (Total)]]-DATABASE_Table[[#This Row],[Vista membership]]-DATABASE_Table[[#This Row],[FF&amp;E]]</f>
        <v>570000</v>
      </c>
      <c r="S853" s="231">
        <v>570000</v>
      </c>
      <c r="T853" s="232">
        <v>600000</v>
      </c>
      <c r="U853" s="198"/>
      <c r="V853" s="198"/>
      <c r="W853" s="233">
        <f>DATABASE_Table[[#This Row],[Current Asking price( Total)]]-DATABASE_Table[[#This Row],[Vista membership]]-DATABASE_Table[[#This Row],[FF&amp;E]]</f>
        <v>600000</v>
      </c>
      <c r="X853" s="216">
        <v>0</v>
      </c>
      <c r="Y853" s="232">
        <v>600000</v>
      </c>
      <c r="Z853" s="233">
        <f>DATABASE_Table[[#This Row],[Sell price (Total)]]-DATABASE_Table[[#This Row],[FF&amp;E]]-DATABASE_Table[[#This Row],[Vista membership]]</f>
        <v>600000</v>
      </c>
      <c r="AA853" s="315">
        <v>45086</v>
      </c>
      <c r="AB853" s="321"/>
      <c r="AC853" s="198" t="s">
        <v>10</v>
      </c>
      <c r="AD853" s="198" t="s">
        <v>23</v>
      </c>
      <c r="AE853" s="279" t="s">
        <v>24</v>
      </c>
      <c r="AF853" s="279" t="s">
        <v>803</v>
      </c>
      <c r="AG853" s="279" t="s">
        <v>25</v>
      </c>
      <c r="AH853" s="279" t="s">
        <v>804</v>
      </c>
      <c r="AI853" s="198" t="s">
        <v>26</v>
      </c>
      <c r="AJ853" s="274" t="s">
        <v>22</v>
      </c>
      <c r="AK853"/>
    </row>
    <row r="854" spans="1:37" ht="15.75" hidden="1" customHeight="1">
      <c r="A854" s="198" t="s">
        <v>689</v>
      </c>
      <c r="B854" s="198" t="s">
        <v>691</v>
      </c>
      <c r="C854" s="214" t="s">
        <v>342</v>
      </c>
      <c r="D854" s="198"/>
      <c r="E854" s="198" t="s">
        <v>384</v>
      </c>
      <c r="F854" s="198">
        <v>152.87280000000001</v>
      </c>
      <c r="G854" s="198"/>
      <c r="H854" s="214" t="s">
        <v>325</v>
      </c>
      <c r="I854" s="214" t="s">
        <v>325</v>
      </c>
      <c r="J854" s="271"/>
      <c r="K854" s="198"/>
      <c r="L854" s="198"/>
      <c r="M854" s="198"/>
      <c r="N854" s="198"/>
      <c r="O854" s="198">
        <v>152.87280000000001</v>
      </c>
      <c r="P854" s="198"/>
      <c r="Q854" s="198" t="s">
        <v>929</v>
      </c>
      <c r="R854" s="230">
        <f>DATABASE_Table[[#This Row],[Inicial Asking Price (€) (Total)]]-DATABASE_Table[[#This Row],[Vista membership]]-DATABASE_Table[[#This Row],[FF&amp;E]]</f>
        <v>984375</v>
      </c>
      <c r="S854" s="231">
        <v>984375</v>
      </c>
      <c r="T854" s="232">
        <v>1050000</v>
      </c>
      <c r="U854" s="198"/>
      <c r="V854" s="198"/>
      <c r="W854" s="233">
        <f>DATABASE_Table[[#This Row],[Current Asking price( Total)]]-DATABASE_Table[[#This Row],[Vista membership]]-DATABASE_Table[[#This Row],[FF&amp;E]]</f>
        <v>1050000</v>
      </c>
      <c r="X854" s="216">
        <v>0</v>
      </c>
      <c r="Y854" s="232">
        <v>1050000</v>
      </c>
      <c r="Z854" s="233">
        <f>DATABASE_Table[[#This Row],[Sell price (Total)]]-DATABASE_Table[[#This Row],[FF&amp;E]]-DATABASE_Table[[#This Row],[Vista membership]]</f>
        <v>1050000</v>
      </c>
      <c r="AA854" s="315">
        <v>45531</v>
      </c>
      <c r="AB854" s="321"/>
      <c r="AC854" s="198"/>
      <c r="AD854" s="198"/>
      <c r="AE854" s="279"/>
      <c r="AF854" s="279"/>
      <c r="AG854" s="279"/>
      <c r="AH854" s="279"/>
      <c r="AI854" s="198"/>
      <c r="AJ854" s="274" t="s">
        <v>689</v>
      </c>
      <c r="AK854"/>
    </row>
    <row r="855" spans="1:37" ht="15.75" hidden="1" customHeight="1">
      <c r="A855" s="198" t="s">
        <v>564</v>
      </c>
      <c r="B855" s="198" t="s">
        <v>691</v>
      </c>
      <c r="C855" s="214" t="s">
        <v>342</v>
      </c>
      <c r="D855" s="198" t="s">
        <v>9</v>
      </c>
      <c r="E855" s="198" t="s">
        <v>419</v>
      </c>
      <c r="F855" s="198">
        <v>97.45</v>
      </c>
      <c r="G855" s="198"/>
      <c r="H855" s="214" t="s">
        <v>325</v>
      </c>
      <c r="I855" s="214" t="s">
        <v>325</v>
      </c>
      <c r="J855" s="271">
        <v>34.520000000000003</v>
      </c>
      <c r="K855" s="198"/>
      <c r="L855" s="198"/>
      <c r="M855" s="198"/>
      <c r="N855" s="198"/>
      <c r="O855" s="198">
        <v>62.93</v>
      </c>
      <c r="P855" s="198"/>
      <c r="Q855" s="198" t="s">
        <v>329</v>
      </c>
      <c r="R855" s="230">
        <f>DATABASE_Table[[#This Row],[Inicial Asking Price (€) (Total)]]-DATABASE_Table[[#This Row],[Vista membership]]-DATABASE_Table[[#This Row],[FF&amp;E]]</f>
        <v>521702.81000000006</v>
      </c>
      <c r="S855" s="231">
        <v>576302.81000000006</v>
      </c>
      <c r="T855" s="232">
        <v>630000</v>
      </c>
      <c r="U855" s="198">
        <v>24600</v>
      </c>
      <c r="V855" s="198">
        <v>30000</v>
      </c>
      <c r="W855" s="233">
        <f>DATABASE_Table[[#This Row],[Current Asking price( Total)]]-DATABASE_Table[[#This Row],[Vista membership]]-DATABASE_Table[[#This Row],[FF&amp;E]]</f>
        <v>575400</v>
      </c>
      <c r="X855" s="216"/>
      <c r="Y855" s="232">
        <v>630000</v>
      </c>
      <c r="Z855" s="233">
        <f>DATABASE_Table[[#This Row],[Sell price (Total)]]-DATABASE_Table[[#This Row],[FF&amp;E]]-DATABASE_Table[[#This Row],[Vista membership]]</f>
        <v>575400</v>
      </c>
      <c r="AA855" s="315"/>
      <c r="AB855" s="321"/>
      <c r="AC855" s="198" t="s">
        <v>10</v>
      </c>
      <c r="AD855" s="198" t="s">
        <v>35</v>
      </c>
      <c r="AE855" s="279" t="s">
        <v>43</v>
      </c>
      <c r="AF855" s="279" t="s">
        <v>44</v>
      </c>
      <c r="AG855" s="279" t="s">
        <v>45</v>
      </c>
      <c r="AH855" s="279" t="s">
        <v>46</v>
      </c>
      <c r="AI855" s="198" t="s">
        <v>47</v>
      </c>
      <c r="AJ855" s="274" t="s">
        <v>42</v>
      </c>
      <c r="AK855"/>
    </row>
    <row r="856" spans="1:37" ht="15.75" hidden="1" customHeight="1">
      <c r="A856" s="198" t="s">
        <v>781</v>
      </c>
      <c r="B856" s="198" t="s">
        <v>786</v>
      </c>
      <c r="C856" s="214" t="s">
        <v>291</v>
      </c>
      <c r="D856" s="198" t="s">
        <v>79</v>
      </c>
      <c r="E856" s="198" t="s">
        <v>320</v>
      </c>
      <c r="F856" s="198">
        <v>251.2</v>
      </c>
      <c r="G856" s="198"/>
      <c r="H856" s="214" t="s">
        <v>848</v>
      </c>
      <c r="I856" s="214" t="s">
        <v>325</v>
      </c>
      <c r="J856" s="271"/>
      <c r="K856" s="198"/>
      <c r="L856" s="198"/>
      <c r="M856" s="198">
        <v>35</v>
      </c>
      <c r="N856" s="198">
        <v>41</v>
      </c>
      <c r="O856" s="198">
        <v>175.2</v>
      </c>
      <c r="P856" s="198"/>
      <c r="Q856" s="198" t="s">
        <v>628</v>
      </c>
      <c r="R856" s="230">
        <f>DATABASE_Table[[#This Row],[Inicial Asking Price (€) (Total)]]-DATABASE_Table[[#This Row],[Vista membership]]-DATABASE_Table[[#This Row],[FF&amp;E]]</f>
        <v>1320000</v>
      </c>
      <c r="S856" s="234">
        <v>1380000</v>
      </c>
      <c r="T856" s="235">
        <v>1410000</v>
      </c>
      <c r="U856" s="198"/>
      <c r="V856" s="235">
        <v>60000</v>
      </c>
      <c r="W856" s="233">
        <f>DATABASE_Table[[#This Row],[Current Asking price( Total)]]-DATABASE_Table[[#This Row],[Vista membership]]-DATABASE_Table[[#This Row],[FF&amp;E]]</f>
        <v>1350000</v>
      </c>
      <c r="X856" s="236">
        <v>0</v>
      </c>
      <c r="Y856" s="235">
        <v>1410000</v>
      </c>
      <c r="Z856" s="233">
        <f>DATABASE_Table[[#This Row],[Sell price (Total)]]-DATABASE_Table[[#This Row],[FF&amp;E]]-DATABASE_Table[[#This Row],[Vista membership]]</f>
        <v>1350000</v>
      </c>
      <c r="AA856" s="316">
        <v>46118</v>
      </c>
      <c r="AB856" s="321">
        <v>47118</v>
      </c>
      <c r="AC856" s="198" t="s">
        <v>80</v>
      </c>
      <c r="AD856" s="198" t="s">
        <v>81</v>
      </c>
      <c r="AE856" s="279" t="s">
        <v>82</v>
      </c>
      <c r="AF856" s="279" t="s">
        <v>83</v>
      </c>
      <c r="AG856" s="279" t="s">
        <v>84</v>
      </c>
      <c r="AH856" s="279" t="s">
        <v>85</v>
      </c>
      <c r="AI856" s="198" t="s">
        <v>86</v>
      </c>
      <c r="AJ856" s="274" t="s">
        <v>78</v>
      </c>
      <c r="AK856"/>
    </row>
    <row r="857" spans="1:37" ht="15.75" hidden="1" customHeight="1">
      <c r="A857" s="198" t="s">
        <v>779</v>
      </c>
      <c r="B857" s="198" t="s">
        <v>786</v>
      </c>
      <c r="C857" s="214" t="s">
        <v>190</v>
      </c>
      <c r="D857" s="198" t="s">
        <v>79</v>
      </c>
      <c r="E857" s="198" t="s">
        <v>315</v>
      </c>
      <c r="F857" s="198">
        <v>98.7</v>
      </c>
      <c r="G857" s="198"/>
      <c r="H857" s="214" t="s">
        <v>848</v>
      </c>
      <c r="I857" s="214" t="s">
        <v>325</v>
      </c>
      <c r="J857" s="271">
        <v>13.3</v>
      </c>
      <c r="K857" s="198"/>
      <c r="L857" s="198"/>
      <c r="M857" s="198"/>
      <c r="N857" s="198"/>
      <c r="O857" s="198">
        <v>85.4</v>
      </c>
      <c r="P857" s="198"/>
      <c r="Q857" s="198" t="s">
        <v>628</v>
      </c>
      <c r="R857" s="230">
        <f>DATABASE_Table[[#This Row],[Inicial Asking Price (€) (Total)]]-DATABASE_Table[[#This Row],[Vista membership]]-DATABASE_Table[[#This Row],[FF&amp;E]]</f>
        <v>625000</v>
      </c>
      <c r="S857" s="234">
        <v>670000</v>
      </c>
      <c r="T857" s="235">
        <v>670000</v>
      </c>
      <c r="U857" s="198"/>
      <c r="V857" s="235">
        <v>45000</v>
      </c>
      <c r="W857" s="233">
        <f>DATABASE_Table[[#This Row],[Current Asking price( Total)]]-DATABASE_Table[[#This Row],[Vista membership]]-DATABASE_Table[[#This Row],[FF&amp;E]]</f>
        <v>625000</v>
      </c>
      <c r="X857" s="236">
        <v>7.4626865671641998E-3</v>
      </c>
      <c r="Y857" s="235">
        <v>665000</v>
      </c>
      <c r="Z857" s="233">
        <f>DATABASE_Table[[#This Row],[Sell price (Total)]]-DATABASE_Table[[#This Row],[FF&amp;E]]-DATABASE_Table[[#This Row],[Vista membership]]</f>
        <v>620000</v>
      </c>
      <c r="AA857" s="316">
        <v>46062</v>
      </c>
      <c r="AB857" s="321">
        <v>47118</v>
      </c>
      <c r="AC857" s="198" t="s">
        <v>80</v>
      </c>
      <c r="AD857" s="198" t="s">
        <v>81</v>
      </c>
      <c r="AE857" s="279" t="s">
        <v>82</v>
      </c>
      <c r="AF857" s="279" t="s">
        <v>83</v>
      </c>
      <c r="AG857" s="279" t="s">
        <v>84</v>
      </c>
      <c r="AH857" s="279" t="s">
        <v>85</v>
      </c>
      <c r="AI857" s="198" t="s">
        <v>86</v>
      </c>
      <c r="AJ857" s="274" t="s">
        <v>78</v>
      </c>
      <c r="AK857"/>
    </row>
    <row r="858" spans="1:37" ht="15.75" hidden="1" customHeight="1">
      <c r="A858" s="198" t="s">
        <v>781</v>
      </c>
      <c r="B858" s="198" t="s">
        <v>786</v>
      </c>
      <c r="C858" s="214" t="s">
        <v>279</v>
      </c>
      <c r="D858" s="198" t="s">
        <v>79</v>
      </c>
      <c r="E858" s="198" t="s">
        <v>320</v>
      </c>
      <c r="F858" s="198">
        <v>249</v>
      </c>
      <c r="G858" s="198"/>
      <c r="H858" s="214" t="s">
        <v>848</v>
      </c>
      <c r="I858" s="214" t="s">
        <v>325</v>
      </c>
      <c r="J858" s="271"/>
      <c r="K858" s="198"/>
      <c r="L858" s="198"/>
      <c r="M858" s="198">
        <v>30</v>
      </c>
      <c r="N858" s="198">
        <v>44</v>
      </c>
      <c r="O858" s="198">
        <v>175</v>
      </c>
      <c r="P858" s="198"/>
      <c r="Q858" s="198" t="s">
        <v>329</v>
      </c>
      <c r="R858" s="230">
        <f>DATABASE_Table[[#This Row],[Inicial Asking Price (€) (Total)]]-DATABASE_Table[[#This Row],[Vista membership]]-DATABASE_Table[[#This Row],[FF&amp;E]]</f>
        <v>1380000</v>
      </c>
      <c r="S858" s="234">
        <v>1380000</v>
      </c>
      <c r="T858" s="235">
        <v>1410000</v>
      </c>
      <c r="U858" s="198"/>
      <c r="V858" s="198"/>
      <c r="W858" s="233">
        <f>DATABASE_Table[[#This Row],[Current Asking price( Total)]]-DATABASE_Table[[#This Row],[Vista membership]]-DATABASE_Table[[#This Row],[FF&amp;E]]</f>
        <v>1410000</v>
      </c>
      <c r="X858" s="236"/>
      <c r="Y858" s="235"/>
      <c r="Z858" s="233">
        <f>DATABASE_Table[[#This Row],[Sell price (Total)]]-DATABASE_Table[[#This Row],[FF&amp;E]]-DATABASE_Table[[#This Row],[Vista membership]]</f>
        <v>0</v>
      </c>
      <c r="AA858" s="315"/>
      <c r="AB858" s="321">
        <v>47118</v>
      </c>
      <c r="AC858" s="198" t="s">
        <v>80</v>
      </c>
      <c r="AD858" s="198" t="s">
        <v>81</v>
      </c>
      <c r="AE858" s="279" t="s">
        <v>82</v>
      </c>
      <c r="AF858" s="279" t="s">
        <v>83</v>
      </c>
      <c r="AG858" s="279" t="s">
        <v>84</v>
      </c>
      <c r="AH858" s="279" t="s">
        <v>85</v>
      </c>
      <c r="AI858" s="198" t="s">
        <v>86</v>
      </c>
      <c r="AJ858" s="274" t="s">
        <v>78</v>
      </c>
      <c r="AK858"/>
    </row>
    <row r="859" spans="1:37" ht="15.75" hidden="1" customHeight="1">
      <c r="A859" s="198" t="s">
        <v>776</v>
      </c>
      <c r="B859" s="198" t="s">
        <v>769</v>
      </c>
      <c r="C859" s="214" t="s">
        <v>851</v>
      </c>
      <c r="D859" s="198" t="s">
        <v>74</v>
      </c>
      <c r="E859" s="198" t="s">
        <v>553</v>
      </c>
      <c r="F859" s="198">
        <v>500</v>
      </c>
      <c r="G859" s="198"/>
      <c r="H859" s="214" t="s">
        <v>325</v>
      </c>
      <c r="I859" s="214" t="s">
        <v>325</v>
      </c>
      <c r="J859" s="271"/>
      <c r="K859" s="198"/>
      <c r="L859" s="198"/>
      <c r="M859" s="198"/>
      <c r="N859" s="198"/>
      <c r="O859" s="198">
        <v>500</v>
      </c>
      <c r="P859" s="198"/>
      <c r="Q859" s="198" t="s">
        <v>329</v>
      </c>
      <c r="R859" s="230">
        <f>DATABASE_Table[[#This Row],[Inicial Asking Price (€) (Total)]]-DATABASE_Table[[#This Row],[Vista membership]]-DATABASE_Table[[#This Row],[FF&amp;E]]</f>
        <v>1380000</v>
      </c>
      <c r="S859" s="234">
        <v>1380000</v>
      </c>
      <c r="T859" s="235">
        <v>1050000</v>
      </c>
      <c r="U859" s="198"/>
      <c r="V859" s="198"/>
      <c r="W859" s="233">
        <f>DATABASE_Table[[#This Row],[Current Asking price( Total)]]-DATABASE_Table[[#This Row],[Vista membership]]-DATABASE_Table[[#This Row],[FF&amp;E]]</f>
        <v>1050000</v>
      </c>
      <c r="X859" s="236"/>
      <c r="Y859" s="235"/>
      <c r="Z859" s="233">
        <f>DATABASE_Table[[#This Row],[Sell price (Total)]]-DATABASE_Table[[#This Row],[FF&amp;E]]-DATABASE_Table[[#This Row],[Vista membership]]</f>
        <v>0</v>
      </c>
      <c r="AA859" s="315"/>
      <c r="AB859" s="321" t="s">
        <v>32</v>
      </c>
      <c r="AC859" s="198" t="s">
        <v>57</v>
      </c>
      <c r="AD859" s="198"/>
      <c r="AE859" s="279" t="s">
        <v>75</v>
      </c>
      <c r="AF859" s="279" t="s">
        <v>554</v>
      </c>
      <c r="AG859" s="279" t="s">
        <v>76</v>
      </c>
      <c r="AH859" s="279" t="s">
        <v>77</v>
      </c>
      <c r="AI859" s="198" t="s">
        <v>32</v>
      </c>
      <c r="AJ859" s="274" t="s">
        <v>73</v>
      </c>
      <c r="AK859"/>
    </row>
    <row r="860" spans="1:37" ht="15.75" hidden="1" customHeight="1">
      <c r="A860" s="198" t="s">
        <v>776</v>
      </c>
      <c r="B860" s="198" t="s">
        <v>769</v>
      </c>
      <c r="C860" s="214" t="s">
        <v>856</v>
      </c>
      <c r="D860" s="198" t="s">
        <v>74</v>
      </c>
      <c r="E860" s="198" t="s">
        <v>553</v>
      </c>
      <c r="F860" s="198">
        <v>500</v>
      </c>
      <c r="G860" s="198"/>
      <c r="H860" s="214" t="s">
        <v>325</v>
      </c>
      <c r="I860" s="214" t="s">
        <v>325</v>
      </c>
      <c r="J860" s="271"/>
      <c r="K860" s="198"/>
      <c r="L860" s="198"/>
      <c r="M860" s="198"/>
      <c r="N860" s="198"/>
      <c r="O860" s="198">
        <v>500</v>
      </c>
      <c r="P860" s="198"/>
      <c r="Q860" s="198" t="s">
        <v>329</v>
      </c>
      <c r="R860" s="230">
        <f>DATABASE_Table[[#This Row],[Inicial Asking Price (€) (Total)]]-DATABASE_Table[[#This Row],[Vista membership]]-DATABASE_Table[[#This Row],[FF&amp;E]]</f>
        <v>1380000</v>
      </c>
      <c r="S860" s="234">
        <v>1380000</v>
      </c>
      <c r="T860" s="235">
        <v>1200000</v>
      </c>
      <c r="U860" s="198"/>
      <c r="V860" s="198"/>
      <c r="W860" s="233">
        <f>DATABASE_Table[[#This Row],[Current Asking price( Total)]]-DATABASE_Table[[#This Row],[Vista membership]]-DATABASE_Table[[#This Row],[FF&amp;E]]</f>
        <v>1200000</v>
      </c>
      <c r="X860" s="236"/>
      <c r="Y860" s="235"/>
      <c r="Z860" s="233">
        <f>DATABASE_Table[[#This Row],[Sell price (Total)]]-DATABASE_Table[[#This Row],[FF&amp;E]]-DATABASE_Table[[#This Row],[Vista membership]]</f>
        <v>0</v>
      </c>
      <c r="AA860" s="315"/>
      <c r="AB860" s="321" t="s">
        <v>32</v>
      </c>
      <c r="AC860" s="198" t="s">
        <v>57</v>
      </c>
      <c r="AD860" s="198"/>
      <c r="AE860" s="279" t="s">
        <v>75</v>
      </c>
      <c r="AF860" s="279" t="s">
        <v>554</v>
      </c>
      <c r="AG860" s="279" t="s">
        <v>76</v>
      </c>
      <c r="AH860" s="279" t="s">
        <v>77</v>
      </c>
      <c r="AI860" s="198" t="s">
        <v>32</v>
      </c>
      <c r="AJ860" s="274" t="s">
        <v>73</v>
      </c>
      <c r="AK860"/>
    </row>
    <row r="861" spans="1:37" ht="15.75" hidden="1" customHeight="1">
      <c r="A861" s="198" t="s">
        <v>776</v>
      </c>
      <c r="B861" s="198" t="s">
        <v>769</v>
      </c>
      <c r="C861" s="214" t="s">
        <v>854</v>
      </c>
      <c r="D861" s="198" t="s">
        <v>74</v>
      </c>
      <c r="E861" s="198" t="s">
        <v>553</v>
      </c>
      <c r="F861" s="198">
        <v>500</v>
      </c>
      <c r="G861" s="198"/>
      <c r="H861" s="214" t="s">
        <v>325</v>
      </c>
      <c r="I861" s="214" t="s">
        <v>325</v>
      </c>
      <c r="J861" s="271"/>
      <c r="K861" s="198"/>
      <c r="L861" s="198"/>
      <c r="M861" s="198"/>
      <c r="N861" s="198"/>
      <c r="O861" s="198">
        <v>500</v>
      </c>
      <c r="P861" s="198"/>
      <c r="Q861" s="198" t="s">
        <v>329</v>
      </c>
      <c r="R861" s="230">
        <f>DATABASE_Table[[#This Row],[Inicial Asking Price (€) (Total)]]-DATABASE_Table[[#This Row],[Vista membership]]-DATABASE_Table[[#This Row],[FF&amp;E]]</f>
        <v>1390000</v>
      </c>
      <c r="S861" s="234">
        <v>1390000</v>
      </c>
      <c r="T861" s="235">
        <v>1210000</v>
      </c>
      <c r="U861" s="198"/>
      <c r="V861" s="198"/>
      <c r="W861" s="233">
        <f>DATABASE_Table[[#This Row],[Current Asking price( Total)]]-DATABASE_Table[[#This Row],[Vista membership]]-DATABASE_Table[[#This Row],[FF&amp;E]]</f>
        <v>1210000</v>
      </c>
      <c r="X861" s="236"/>
      <c r="Y861" s="235"/>
      <c r="Z861" s="233">
        <f>DATABASE_Table[[#This Row],[Sell price (Total)]]-DATABASE_Table[[#This Row],[FF&amp;E]]-DATABASE_Table[[#This Row],[Vista membership]]</f>
        <v>0</v>
      </c>
      <c r="AA861" s="315"/>
      <c r="AB861" s="321" t="s">
        <v>32</v>
      </c>
      <c r="AC861" s="198" t="s">
        <v>57</v>
      </c>
      <c r="AD861" s="198"/>
      <c r="AE861" s="279" t="s">
        <v>75</v>
      </c>
      <c r="AF861" s="279" t="s">
        <v>554</v>
      </c>
      <c r="AG861" s="279" t="s">
        <v>76</v>
      </c>
      <c r="AH861" s="279" t="s">
        <v>77</v>
      </c>
      <c r="AI861" s="198" t="s">
        <v>32</v>
      </c>
      <c r="AJ861" s="274" t="s">
        <v>73</v>
      </c>
      <c r="AK861"/>
    </row>
    <row r="862" spans="1:37" ht="15.75" hidden="1" customHeight="1">
      <c r="A862" s="198" t="s">
        <v>630</v>
      </c>
      <c r="B862" s="198" t="s">
        <v>691</v>
      </c>
      <c r="C862" s="214" t="s">
        <v>343</v>
      </c>
      <c r="D862" s="198" t="s">
        <v>9</v>
      </c>
      <c r="E862" s="198" t="s">
        <v>319</v>
      </c>
      <c r="F862" s="198">
        <v>255.53</v>
      </c>
      <c r="G862" s="198"/>
      <c r="H862" s="214" t="s">
        <v>849</v>
      </c>
      <c r="I862" s="214" t="s">
        <v>325</v>
      </c>
      <c r="J862" s="271">
        <v>0</v>
      </c>
      <c r="K862" s="198"/>
      <c r="L862" s="198"/>
      <c r="M862" s="198">
        <v>130.37</v>
      </c>
      <c r="N862" s="198"/>
      <c r="O862" s="198">
        <v>125.16</v>
      </c>
      <c r="P862" s="198"/>
      <c r="Q862" s="198" t="s">
        <v>628</v>
      </c>
      <c r="R862" s="230">
        <f>DATABASE_Table[[#This Row],[Inicial Asking Price (€) (Total)]]-DATABASE_Table[[#This Row],[Vista membership]]-DATABASE_Table[[#This Row],[FF&amp;E]]</f>
        <v>1040172.21</v>
      </c>
      <c r="S862" s="231">
        <v>1040172.21</v>
      </c>
      <c r="T862" s="232">
        <v>1050000</v>
      </c>
      <c r="U862" s="198"/>
      <c r="V862" s="198"/>
      <c r="W862" s="233">
        <f>DATABASE_Table[[#This Row],[Current Asking price( Total)]]-DATABASE_Table[[#This Row],[Vista membership]]-DATABASE_Table[[#This Row],[FF&amp;E]]</f>
        <v>1050000</v>
      </c>
      <c r="X862" s="216">
        <v>0.04</v>
      </c>
      <c r="Y862" s="232">
        <v>1008000</v>
      </c>
      <c r="Z862" s="233">
        <f>DATABASE_Table[[#This Row],[Sell price (Total)]]-DATABASE_Table[[#This Row],[FF&amp;E]]-DATABASE_Table[[#This Row],[Vista membership]]</f>
        <v>1008000</v>
      </c>
      <c r="AA862" s="318">
        <v>46171</v>
      </c>
      <c r="AB862" s="321"/>
      <c r="AC862" s="198" t="s">
        <v>10</v>
      </c>
      <c r="AD862" s="198" t="s">
        <v>11</v>
      </c>
      <c r="AE862" s="279" t="s">
        <v>53</v>
      </c>
      <c r="AF862" s="279" t="s">
        <v>54</v>
      </c>
      <c r="AG862" s="279" t="s">
        <v>811</v>
      </c>
      <c r="AH862" s="279" t="s">
        <v>812</v>
      </c>
      <c r="AI862" s="198" t="s">
        <v>36</v>
      </c>
      <c r="AJ862" s="274" t="s">
        <v>52</v>
      </c>
      <c r="AK862"/>
    </row>
    <row r="863" spans="1:37" ht="15.75" hidden="1" customHeight="1">
      <c r="A863" s="198" t="s">
        <v>781</v>
      </c>
      <c r="B863" s="198" t="s">
        <v>786</v>
      </c>
      <c r="C863" s="214" t="s">
        <v>287</v>
      </c>
      <c r="D863" s="198" t="s">
        <v>79</v>
      </c>
      <c r="E863" s="198" t="s">
        <v>320</v>
      </c>
      <c r="F863" s="198">
        <v>248.2</v>
      </c>
      <c r="G863" s="198"/>
      <c r="H863" s="214" t="s">
        <v>848</v>
      </c>
      <c r="I863" s="214" t="s">
        <v>325</v>
      </c>
      <c r="J863" s="271"/>
      <c r="K863" s="198"/>
      <c r="L863" s="198"/>
      <c r="M863" s="198">
        <v>30</v>
      </c>
      <c r="N863" s="198">
        <v>43</v>
      </c>
      <c r="O863" s="198">
        <v>175.2</v>
      </c>
      <c r="P863" s="198"/>
      <c r="Q863" s="198" t="s">
        <v>329</v>
      </c>
      <c r="R863" s="230">
        <f>DATABASE_Table[[#This Row],[Inicial Asking Price (€) (Total)]]-DATABASE_Table[[#This Row],[Vista membership]]-DATABASE_Table[[#This Row],[FF&amp;E]]</f>
        <v>1395000</v>
      </c>
      <c r="S863" s="234">
        <v>1395000</v>
      </c>
      <c r="T863" s="235">
        <v>1450000</v>
      </c>
      <c r="U863" s="198"/>
      <c r="V863" s="198"/>
      <c r="W863" s="233">
        <f>DATABASE_Table[[#This Row],[Current Asking price( Total)]]-DATABASE_Table[[#This Row],[Vista membership]]-DATABASE_Table[[#This Row],[FF&amp;E]]</f>
        <v>1450000</v>
      </c>
      <c r="X863" s="236"/>
      <c r="Y863" s="235"/>
      <c r="Z863" s="233">
        <f>DATABASE_Table[[#This Row],[Sell price (Total)]]-DATABASE_Table[[#This Row],[FF&amp;E]]-DATABASE_Table[[#This Row],[Vista membership]]</f>
        <v>0</v>
      </c>
      <c r="AA863" s="315"/>
      <c r="AB863" s="321">
        <v>47118</v>
      </c>
      <c r="AC863" s="198" t="s">
        <v>80</v>
      </c>
      <c r="AD863" s="198" t="s">
        <v>81</v>
      </c>
      <c r="AE863" s="279" t="s">
        <v>82</v>
      </c>
      <c r="AF863" s="279" t="s">
        <v>83</v>
      </c>
      <c r="AG863" s="279" t="s">
        <v>84</v>
      </c>
      <c r="AH863" s="279" t="s">
        <v>85</v>
      </c>
      <c r="AI863" s="198" t="s">
        <v>86</v>
      </c>
      <c r="AJ863" s="274" t="s">
        <v>78</v>
      </c>
      <c r="AK863"/>
    </row>
    <row r="864" spans="1:37" ht="15.75" hidden="1" customHeight="1">
      <c r="A864" s="198" t="s">
        <v>559</v>
      </c>
      <c r="B864" s="198" t="s">
        <v>691</v>
      </c>
      <c r="C864" s="214" t="s">
        <v>343</v>
      </c>
      <c r="D864" s="198" t="s">
        <v>9</v>
      </c>
      <c r="E864" s="198" t="s">
        <v>384</v>
      </c>
      <c r="F864" s="198">
        <v>149.33000000000001</v>
      </c>
      <c r="G864" s="198"/>
      <c r="H864" s="214" t="s">
        <v>325</v>
      </c>
      <c r="I864" s="214" t="s">
        <v>325</v>
      </c>
      <c r="J864" s="271"/>
      <c r="K864" s="198"/>
      <c r="L864" s="198"/>
      <c r="M864" s="198"/>
      <c r="N864" s="198"/>
      <c r="O864" s="198">
        <v>149.33000000000001</v>
      </c>
      <c r="P864" s="198"/>
      <c r="Q864" s="198" t="s">
        <v>327</v>
      </c>
      <c r="R864" s="230">
        <f>DATABASE_Table[[#This Row],[Inicial Asking Price (€) (Total)]]-DATABASE_Table[[#This Row],[Vista membership]]-DATABASE_Table[[#This Row],[FF&amp;E]]</f>
        <v>820000</v>
      </c>
      <c r="S864" s="231">
        <v>820000</v>
      </c>
      <c r="T864" s="232">
        <v>820000</v>
      </c>
      <c r="U864" s="198"/>
      <c r="V864" s="198"/>
      <c r="W864" s="233">
        <f>DATABASE_Table[[#This Row],[Current Asking price( Total)]]-DATABASE_Table[[#This Row],[Vista membership]]-DATABASE_Table[[#This Row],[FF&amp;E]]</f>
        <v>820000</v>
      </c>
      <c r="X864" s="216">
        <v>0</v>
      </c>
      <c r="Y864" s="232">
        <v>820000</v>
      </c>
      <c r="Z864" s="233">
        <f>DATABASE_Table[[#This Row],[Sell price (Total)]]-DATABASE_Table[[#This Row],[FF&amp;E]]-DATABASE_Table[[#This Row],[Vista membership]]</f>
        <v>820000</v>
      </c>
      <c r="AA864" s="315">
        <v>46165</v>
      </c>
      <c r="AB864" s="321"/>
      <c r="AC864" s="198" t="s">
        <v>10</v>
      </c>
      <c r="AD864" s="198" t="s">
        <v>802</v>
      </c>
      <c r="AE864" s="279" t="s">
        <v>17</v>
      </c>
      <c r="AF864" s="279" t="s">
        <v>18</v>
      </c>
      <c r="AG864" s="279" t="s">
        <v>19</v>
      </c>
      <c r="AH864" s="279" t="s">
        <v>20</v>
      </c>
      <c r="AI864" s="198" t="s">
        <v>21</v>
      </c>
      <c r="AJ864" s="274" t="s">
        <v>16</v>
      </c>
      <c r="AK864"/>
    </row>
    <row r="865" spans="1:37" ht="15.75" hidden="1" customHeight="1">
      <c r="A865" s="198" t="s">
        <v>775</v>
      </c>
      <c r="B865" s="198" t="s">
        <v>769</v>
      </c>
      <c r="C865" s="214" t="s">
        <v>358</v>
      </c>
      <c r="D865" s="198" t="s">
        <v>74</v>
      </c>
      <c r="E865" s="198" t="s">
        <v>320</v>
      </c>
      <c r="F865" s="198">
        <v>422.36</v>
      </c>
      <c r="G865" s="198">
        <v>45.06</v>
      </c>
      <c r="H865" s="214" t="s">
        <v>325</v>
      </c>
      <c r="I865" s="214" t="s">
        <v>325</v>
      </c>
      <c r="J865" s="271">
        <v>131.68</v>
      </c>
      <c r="K865" s="198"/>
      <c r="L865" s="198"/>
      <c r="M865" s="198"/>
      <c r="N865" s="198"/>
      <c r="O865" s="198">
        <v>245.62</v>
      </c>
      <c r="P865" s="198"/>
      <c r="Q865" s="198" t="s">
        <v>329</v>
      </c>
      <c r="R865" s="230">
        <f>DATABASE_Table[[#This Row],[Inicial Asking Price (€) (Total)]]-DATABASE_Table[[#This Row],[Vista membership]]-DATABASE_Table[[#This Row],[FF&amp;E]]</f>
        <v>1400000</v>
      </c>
      <c r="S865" s="234">
        <v>1400000</v>
      </c>
      <c r="T865" s="235">
        <v>1440000</v>
      </c>
      <c r="U865" s="198"/>
      <c r="V865" s="198"/>
      <c r="W865" s="233">
        <f>DATABASE_Table[[#This Row],[Current Asking price( Total)]]-DATABASE_Table[[#This Row],[Vista membership]]-DATABASE_Table[[#This Row],[FF&amp;E]]</f>
        <v>1440000</v>
      </c>
      <c r="X865" s="236"/>
      <c r="Y865" s="235"/>
      <c r="Z865" s="233">
        <f>DATABASE_Table[[#This Row],[Sell price (Total)]]-DATABASE_Table[[#This Row],[FF&amp;E]]-DATABASE_Table[[#This Row],[Vista membership]]</f>
        <v>0</v>
      </c>
      <c r="AA865" s="315"/>
      <c r="AB865" s="321" t="s">
        <v>32</v>
      </c>
      <c r="AC865" s="198" t="s">
        <v>57</v>
      </c>
      <c r="AD865" s="198"/>
      <c r="AE865" s="279" t="s">
        <v>75</v>
      </c>
      <c r="AF865" s="279" t="s">
        <v>554</v>
      </c>
      <c r="AG865" s="279" t="s">
        <v>76</v>
      </c>
      <c r="AH865" s="279" t="s">
        <v>77</v>
      </c>
      <c r="AI865" s="198" t="s">
        <v>32</v>
      </c>
      <c r="AJ865" s="274" t="s">
        <v>73</v>
      </c>
      <c r="AK865"/>
    </row>
    <row r="866" spans="1:37" ht="15.75" hidden="1" customHeight="1">
      <c r="A866" s="198" t="s">
        <v>776</v>
      </c>
      <c r="B866" s="198" t="s">
        <v>769</v>
      </c>
      <c r="C866" s="214" t="s">
        <v>849</v>
      </c>
      <c r="D866" s="198" t="s">
        <v>74</v>
      </c>
      <c r="E866" s="198" t="s">
        <v>553</v>
      </c>
      <c r="F866" s="198">
        <v>500</v>
      </c>
      <c r="G866" s="198"/>
      <c r="H866" s="214" t="s">
        <v>325</v>
      </c>
      <c r="I866" s="214" t="s">
        <v>325</v>
      </c>
      <c r="J866" s="271"/>
      <c r="K866" s="198"/>
      <c r="L866" s="198"/>
      <c r="M866" s="198"/>
      <c r="N866" s="198"/>
      <c r="O866" s="198">
        <v>500</v>
      </c>
      <c r="P866" s="198"/>
      <c r="Q866" s="198" t="s">
        <v>329</v>
      </c>
      <c r="R866" s="230">
        <f>DATABASE_Table[[#This Row],[Inicial Asking Price (€) (Total)]]-DATABASE_Table[[#This Row],[Vista membership]]-DATABASE_Table[[#This Row],[FF&amp;E]]</f>
        <v>1405000</v>
      </c>
      <c r="S866" s="234">
        <v>1405000</v>
      </c>
      <c r="T866" s="235">
        <v>1030000</v>
      </c>
      <c r="U866" s="198"/>
      <c r="V866" s="198"/>
      <c r="W866" s="233">
        <f>DATABASE_Table[[#This Row],[Current Asking price( Total)]]-DATABASE_Table[[#This Row],[Vista membership]]-DATABASE_Table[[#This Row],[FF&amp;E]]</f>
        <v>1030000</v>
      </c>
      <c r="X866" s="236"/>
      <c r="Y866" s="235"/>
      <c r="Z866" s="233">
        <f>DATABASE_Table[[#This Row],[Sell price (Total)]]-DATABASE_Table[[#This Row],[FF&amp;E]]-DATABASE_Table[[#This Row],[Vista membership]]</f>
        <v>0</v>
      </c>
      <c r="AA866" s="315"/>
      <c r="AB866" s="321" t="s">
        <v>32</v>
      </c>
      <c r="AC866" s="198" t="s">
        <v>57</v>
      </c>
      <c r="AD866" s="198"/>
      <c r="AE866" s="279" t="s">
        <v>75</v>
      </c>
      <c r="AF866" s="279" t="s">
        <v>554</v>
      </c>
      <c r="AG866" s="279" t="s">
        <v>76</v>
      </c>
      <c r="AH866" s="279" t="s">
        <v>77</v>
      </c>
      <c r="AI866" s="198" t="s">
        <v>32</v>
      </c>
      <c r="AJ866" s="274" t="s">
        <v>73</v>
      </c>
      <c r="AK866"/>
    </row>
    <row r="867" spans="1:37" s="13" customFormat="1" ht="15.75" hidden="1" customHeight="1" thickBot="1">
      <c r="A867" s="198" t="s">
        <v>560</v>
      </c>
      <c r="B867" s="198" t="s">
        <v>691</v>
      </c>
      <c r="C867" s="214" t="s">
        <v>343</v>
      </c>
      <c r="D867" s="198" t="s">
        <v>9</v>
      </c>
      <c r="E867" s="198" t="s">
        <v>384</v>
      </c>
      <c r="F867" s="198">
        <v>148.86000000000001</v>
      </c>
      <c r="G867" s="198"/>
      <c r="H867" s="214" t="s">
        <v>325</v>
      </c>
      <c r="I867" s="214" t="s">
        <v>325</v>
      </c>
      <c r="J867" s="271"/>
      <c r="K867" s="198"/>
      <c r="L867" s="198"/>
      <c r="M867" s="198"/>
      <c r="N867" s="198"/>
      <c r="O867" s="198">
        <v>148.86000000000001</v>
      </c>
      <c r="P867" s="198"/>
      <c r="Q867" s="198" t="s">
        <v>929</v>
      </c>
      <c r="R867" s="230">
        <f>DATABASE_Table[[#This Row],[Inicial Asking Price (€) (Total)]]-DATABASE_Table[[#This Row],[Vista membership]]-DATABASE_Table[[#This Row],[FF&amp;E]]</f>
        <v>850000</v>
      </c>
      <c r="S867" s="231">
        <v>850000</v>
      </c>
      <c r="T867" s="232">
        <v>870000</v>
      </c>
      <c r="U867" s="198"/>
      <c r="V867" s="198"/>
      <c r="W867" s="233">
        <f>DATABASE_Table[[#This Row],[Current Asking price( Total)]]-DATABASE_Table[[#This Row],[Vista membership]]-DATABASE_Table[[#This Row],[FF&amp;E]]</f>
        <v>870000</v>
      </c>
      <c r="X867" s="216"/>
      <c r="Y867" s="232">
        <v>870000</v>
      </c>
      <c r="Z867" s="233">
        <f>DATABASE_Table[[#This Row],[Sell price (Total)]]-DATABASE_Table[[#This Row],[FF&amp;E]]-DATABASE_Table[[#This Row],[Vista membership]]</f>
        <v>870000</v>
      </c>
      <c r="AA867" s="315">
        <v>45954</v>
      </c>
      <c r="AB867" s="321"/>
      <c r="AC867" s="198" t="s">
        <v>10</v>
      </c>
      <c r="AD867" s="198" t="s">
        <v>802</v>
      </c>
      <c r="AE867" s="279" t="s">
        <v>17</v>
      </c>
      <c r="AF867" s="279" t="s">
        <v>18</v>
      </c>
      <c r="AG867" s="279" t="s">
        <v>19</v>
      </c>
      <c r="AH867" s="279" t="s">
        <v>20</v>
      </c>
      <c r="AI867" s="198" t="s">
        <v>21</v>
      </c>
      <c r="AJ867" s="274" t="s">
        <v>16</v>
      </c>
    </row>
    <row r="868" spans="1:37" ht="15.75" hidden="1" customHeight="1" thickTop="1">
      <c r="A868" s="198" t="s">
        <v>561</v>
      </c>
      <c r="B868" s="198" t="s">
        <v>691</v>
      </c>
      <c r="C868" s="214" t="s">
        <v>343</v>
      </c>
      <c r="D868" s="198" t="s">
        <v>9</v>
      </c>
      <c r="E868" s="198" t="s">
        <v>383</v>
      </c>
      <c r="F868" s="198">
        <v>192.99</v>
      </c>
      <c r="G868" s="198"/>
      <c r="H868" s="214" t="s">
        <v>325</v>
      </c>
      <c r="I868" s="214" t="s">
        <v>325</v>
      </c>
      <c r="J868" s="271"/>
      <c r="K868" s="198"/>
      <c r="L868" s="198"/>
      <c r="M868" s="198"/>
      <c r="N868" s="198"/>
      <c r="O868" s="198">
        <v>192.99</v>
      </c>
      <c r="P868" s="198"/>
      <c r="Q868" s="198" t="s">
        <v>329</v>
      </c>
      <c r="R868" s="230">
        <f>DATABASE_Table[[#This Row],[Inicial Asking Price (€) (Total)]]-DATABASE_Table[[#This Row],[Vista membership]]-DATABASE_Table[[#This Row],[FF&amp;E]]</f>
        <v>1110000</v>
      </c>
      <c r="S868" s="231">
        <v>1110000</v>
      </c>
      <c r="T868" s="232">
        <v>1110000</v>
      </c>
      <c r="U868" s="198"/>
      <c r="V868" s="198"/>
      <c r="W868" s="233">
        <f>DATABASE_Table[[#This Row],[Current Asking price( Total)]]-DATABASE_Table[[#This Row],[Vista membership]]-DATABASE_Table[[#This Row],[FF&amp;E]]</f>
        <v>1110000</v>
      </c>
      <c r="X868" s="216"/>
      <c r="Y868" s="232">
        <v>1110000</v>
      </c>
      <c r="Z868" s="233">
        <f>DATABASE_Table[[#This Row],[Sell price (Total)]]-DATABASE_Table[[#This Row],[FF&amp;E]]-DATABASE_Table[[#This Row],[Vista membership]]</f>
        <v>1110000</v>
      </c>
      <c r="AA868" s="315"/>
      <c r="AB868" s="321"/>
      <c r="AC868" s="198" t="s">
        <v>10</v>
      </c>
      <c r="AD868" s="198" t="s">
        <v>802</v>
      </c>
      <c r="AE868" s="279" t="s">
        <v>17</v>
      </c>
      <c r="AF868" s="279" t="s">
        <v>18</v>
      </c>
      <c r="AG868" s="279" t="s">
        <v>19</v>
      </c>
      <c r="AH868" s="279" t="s">
        <v>20</v>
      </c>
      <c r="AI868" s="198" t="s">
        <v>21</v>
      </c>
      <c r="AJ868" s="274" t="s">
        <v>16</v>
      </c>
      <c r="AK868"/>
    </row>
    <row r="869" spans="1:37" ht="15.75" hidden="1" customHeight="1">
      <c r="A869" s="198" t="s">
        <v>558</v>
      </c>
      <c r="B869" s="198" t="s">
        <v>691</v>
      </c>
      <c r="C869" s="214" t="s">
        <v>343</v>
      </c>
      <c r="D869" s="198" t="s">
        <v>9</v>
      </c>
      <c r="E869" s="198" t="s">
        <v>320</v>
      </c>
      <c r="F869" s="198">
        <v>164.44</v>
      </c>
      <c r="G869" s="198">
        <v>4.46</v>
      </c>
      <c r="H869" s="214" t="s">
        <v>604</v>
      </c>
      <c r="I869" s="214" t="s">
        <v>590</v>
      </c>
      <c r="J869" s="271">
        <v>5.67</v>
      </c>
      <c r="K869" s="198"/>
      <c r="L869" s="198"/>
      <c r="M869" s="198"/>
      <c r="N869" s="198"/>
      <c r="O869" s="198">
        <v>164.44</v>
      </c>
      <c r="P869" s="198"/>
      <c r="Q869" s="198" t="s">
        <v>628</v>
      </c>
      <c r="R869" s="230">
        <f>DATABASE_Table[[#This Row],[Inicial Asking Price (€) (Total)]]-DATABASE_Table[[#This Row],[Vista membership]]-DATABASE_Table[[#This Row],[FF&amp;E]]</f>
        <v>1170000</v>
      </c>
      <c r="S869" s="231">
        <v>1170000</v>
      </c>
      <c r="T869" s="232">
        <v>1170000</v>
      </c>
      <c r="U869" s="198"/>
      <c r="V869" s="198"/>
      <c r="W869" s="233">
        <f>DATABASE_Table[[#This Row],[Current Asking price( Total)]]-DATABASE_Table[[#This Row],[Vista membership]]-DATABASE_Table[[#This Row],[FF&amp;E]]</f>
        <v>1170000</v>
      </c>
      <c r="X869" s="216">
        <v>0.03</v>
      </c>
      <c r="Y869" s="232">
        <v>1134900</v>
      </c>
      <c r="Z869" s="233">
        <f>DATABASE_Table[[#This Row],[Sell price (Total)]]-DATABASE_Table[[#This Row],[FF&amp;E]]-DATABASE_Table[[#This Row],[Vista membership]]</f>
        <v>1134900</v>
      </c>
      <c r="AA869" s="317">
        <v>45985</v>
      </c>
      <c r="AB869" s="321"/>
      <c r="AC869" s="198" t="s">
        <v>10</v>
      </c>
      <c r="AD869" s="198" t="s">
        <v>11</v>
      </c>
      <c r="AE869" s="279" t="s">
        <v>12</v>
      </c>
      <c r="AF869" s="279" t="s">
        <v>801</v>
      </c>
      <c r="AG869" s="279" t="s">
        <v>13</v>
      </c>
      <c r="AH869" s="279" t="s">
        <v>14</v>
      </c>
      <c r="AI869" s="198" t="s">
        <v>15</v>
      </c>
      <c r="AJ869" s="274" t="s">
        <v>8</v>
      </c>
      <c r="AK869"/>
    </row>
    <row r="870" spans="1:37" ht="15.75" hidden="1" customHeight="1">
      <c r="A870" s="198" t="s">
        <v>31</v>
      </c>
      <c r="B870" s="198" t="s">
        <v>691</v>
      </c>
      <c r="C870" s="214" t="s">
        <v>343</v>
      </c>
      <c r="D870" s="198" t="s">
        <v>9</v>
      </c>
      <c r="E870" s="198" t="s">
        <v>319</v>
      </c>
      <c r="F870" s="198"/>
      <c r="G870" s="198"/>
      <c r="H870" s="214" t="s">
        <v>325</v>
      </c>
      <c r="I870" s="214" t="s">
        <v>325</v>
      </c>
      <c r="J870" s="271"/>
      <c r="K870" s="198">
        <v>181</v>
      </c>
      <c r="L870" s="198"/>
      <c r="M870" s="198">
        <v>0</v>
      </c>
      <c r="N870" s="198"/>
      <c r="O870" s="198">
        <v>111</v>
      </c>
      <c r="P870" s="198"/>
      <c r="Q870" s="198" t="s">
        <v>329</v>
      </c>
      <c r="R870" s="230">
        <f>DATABASE_Table[[#This Row],[Inicial Asking Price (€) (Total)]]-DATABASE_Table[[#This Row],[Vista membership]]-DATABASE_Table[[#This Row],[FF&amp;E]]</f>
        <v>860000</v>
      </c>
      <c r="S870" s="232">
        <v>860000</v>
      </c>
      <c r="T870" s="232">
        <v>860000</v>
      </c>
      <c r="U870" s="198"/>
      <c r="V870" s="198"/>
      <c r="W870" s="233">
        <f>DATABASE_Table[[#This Row],[Current Asking price( Total)]]-DATABASE_Table[[#This Row],[Vista membership]]-DATABASE_Table[[#This Row],[FF&amp;E]]</f>
        <v>860000</v>
      </c>
      <c r="X870" s="216"/>
      <c r="Y870" s="232">
        <v>840000</v>
      </c>
      <c r="Z870" s="233">
        <f>DATABASE_Table[[#This Row],[Sell price (Total)]]-DATABASE_Table[[#This Row],[FF&amp;E]]-DATABASE_Table[[#This Row],[Vista membership]]</f>
        <v>840000</v>
      </c>
      <c r="AA870" s="315"/>
      <c r="AB870" s="321"/>
      <c r="AC870" s="198" t="s">
        <v>10</v>
      </c>
      <c r="AD870" s="198" t="s">
        <v>807</v>
      </c>
      <c r="AE870" s="279" t="s">
        <v>32</v>
      </c>
      <c r="AF870" s="279" t="s">
        <v>808</v>
      </c>
      <c r="AG870" s="279" t="s">
        <v>33</v>
      </c>
      <c r="AH870" s="279" t="s">
        <v>809</v>
      </c>
      <c r="AI870" s="198" t="s">
        <v>15</v>
      </c>
      <c r="AJ870" s="274" t="s">
        <v>31</v>
      </c>
      <c r="AK870"/>
    </row>
    <row r="871" spans="1:37" ht="15.75" hidden="1" customHeight="1">
      <c r="A871" s="198" t="s">
        <v>690</v>
      </c>
      <c r="B871" s="198" t="s">
        <v>691</v>
      </c>
      <c r="C871" s="214" t="s">
        <v>343</v>
      </c>
      <c r="D871" s="198" t="s">
        <v>9</v>
      </c>
      <c r="E871" s="198" t="s">
        <v>762</v>
      </c>
      <c r="F871" s="198">
        <v>406.88</v>
      </c>
      <c r="G871" s="198">
        <v>165.79</v>
      </c>
      <c r="H871" s="214" t="s">
        <v>325</v>
      </c>
      <c r="I871" s="214" t="s">
        <v>325</v>
      </c>
      <c r="J871" s="271">
        <v>19.649999999999999</v>
      </c>
      <c r="K871" s="198"/>
      <c r="L871" s="198"/>
      <c r="M871" s="198"/>
      <c r="N871" s="198"/>
      <c r="O871" s="198">
        <v>221.44</v>
      </c>
      <c r="P871" s="198"/>
      <c r="Q871" s="198" t="s">
        <v>329</v>
      </c>
      <c r="R871" s="230">
        <f>DATABASE_Table[[#This Row],[Inicial Asking Price (€) (Total)]]-DATABASE_Table[[#This Row],[Vista membership]]-DATABASE_Table[[#This Row],[FF&amp;E]]</f>
        <v>2614600</v>
      </c>
      <c r="S871" s="231">
        <v>2722300</v>
      </c>
      <c r="T871" s="232">
        <v>2830000</v>
      </c>
      <c r="U871" s="198">
        <v>24600</v>
      </c>
      <c r="V871" s="198">
        <v>83100</v>
      </c>
      <c r="W871" s="233">
        <f>DATABASE_Table[[#This Row],[Current Asking price( Total)]]-DATABASE_Table[[#This Row],[Vista membership]]-DATABASE_Table[[#This Row],[FF&amp;E]]</f>
        <v>2722300</v>
      </c>
      <c r="X871" s="216"/>
      <c r="Y871" s="232">
        <v>2830000</v>
      </c>
      <c r="Z871" s="233">
        <f>DATABASE_Table[[#This Row],[Sell price (Total)]]-DATABASE_Table[[#This Row],[FF&amp;E]]-DATABASE_Table[[#This Row],[Vista membership]]</f>
        <v>2722300</v>
      </c>
      <c r="AA871" s="315"/>
      <c r="AB871" s="321"/>
      <c r="AC871" s="198" t="s">
        <v>10</v>
      </c>
      <c r="AD871" s="198" t="s">
        <v>35</v>
      </c>
      <c r="AE871" s="279" t="s">
        <v>38</v>
      </c>
      <c r="AF871" s="279" t="s">
        <v>39</v>
      </c>
      <c r="AG871" s="279" t="s">
        <v>40</v>
      </c>
      <c r="AH871" s="279" t="s">
        <v>810</v>
      </c>
      <c r="AI871" s="198" t="s">
        <v>41</v>
      </c>
      <c r="AJ871" s="274" t="s">
        <v>37</v>
      </c>
      <c r="AK871"/>
    </row>
    <row r="872" spans="1:37" ht="15.75" hidden="1" customHeight="1">
      <c r="A872" s="198" t="s">
        <v>563</v>
      </c>
      <c r="B872" s="198" t="s">
        <v>691</v>
      </c>
      <c r="C872" s="214" t="s">
        <v>343</v>
      </c>
      <c r="D872" s="198" t="s">
        <v>9</v>
      </c>
      <c r="E872" s="198" t="s">
        <v>319</v>
      </c>
      <c r="F872" s="198">
        <v>78.3</v>
      </c>
      <c r="G872" s="198"/>
      <c r="H872" s="214" t="s">
        <v>325</v>
      </c>
      <c r="I872" s="214" t="s">
        <v>325</v>
      </c>
      <c r="J872" s="271"/>
      <c r="K872" s="198"/>
      <c r="L872" s="198"/>
      <c r="M872" s="198"/>
      <c r="N872" s="198"/>
      <c r="O872" s="198">
        <v>78.3</v>
      </c>
      <c r="P872" s="198"/>
      <c r="Q872" s="198" t="s">
        <v>628</v>
      </c>
      <c r="R872" s="230">
        <f>DATABASE_Table[[#This Row],[Inicial Asking Price (€) (Total)]]-DATABASE_Table[[#This Row],[Vista membership]]-DATABASE_Table[[#This Row],[FF&amp;E]]</f>
        <v>1760000</v>
      </c>
      <c r="S872" s="232">
        <v>1760000</v>
      </c>
      <c r="T872" s="232">
        <v>399000</v>
      </c>
      <c r="U872" s="198"/>
      <c r="V872" s="198"/>
      <c r="W872" s="233">
        <f>DATABASE_Table[[#This Row],[Current Asking price( Total)]]-DATABASE_Table[[#This Row],[Vista membership]]-DATABASE_Table[[#This Row],[FF&amp;E]]</f>
        <v>399000</v>
      </c>
      <c r="X872" s="216">
        <v>0</v>
      </c>
      <c r="Y872" s="232">
        <v>399000</v>
      </c>
      <c r="Z872" s="233">
        <f>DATABASE_Table[[#This Row],[Sell price (Total)]]-DATABASE_Table[[#This Row],[FF&amp;E]]-DATABASE_Table[[#This Row],[Vista membership]]</f>
        <v>399000</v>
      </c>
      <c r="AA872" s="316">
        <v>45574</v>
      </c>
      <c r="AB872" s="321"/>
      <c r="AC872" s="198" t="s">
        <v>10</v>
      </c>
      <c r="AD872" s="198" t="s">
        <v>11</v>
      </c>
      <c r="AE872" s="279" t="s">
        <v>28</v>
      </c>
      <c r="AF872" s="279" t="s">
        <v>29</v>
      </c>
      <c r="AG872" s="279" t="s">
        <v>805</v>
      </c>
      <c r="AH872" s="279" t="s">
        <v>806</v>
      </c>
      <c r="AI872" s="198" t="s">
        <v>30</v>
      </c>
      <c r="AJ872" s="274" t="s">
        <v>27</v>
      </c>
      <c r="AK872"/>
    </row>
    <row r="873" spans="1:37" ht="15.75" hidden="1" customHeight="1">
      <c r="A873" s="198" t="s">
        <v>776</v>
      </c>
      <c r="B873" s="198" t="s">
        <v>769</v>
      </c>
      <c r="C873" s="214" t="s">
        <v>857</v>
      </c>
      <c r="D873" s="198" t="s">
        <v>74</v>
      </c>
      <c r="E873" s="198" t="s">
        <v>553</v>
      </c>
      <c r="F873" s="198">
        <v>500</v>
      </c>
      <c r="G873" s="198"/>
      <c r="H873" s="214" t="s">
        <v>325</v>
      </c>
      <c r="I873" s="214" t="s">
        <v>325</v>
      </c>
      <c r="J873" s="271"/>
      <c r="K873" s="198"/>
      <c r="L873" s="198"/>
      <c r="M873" s="198"/>
      <c r="N873" s="198"/>
      <c r="O873" s="198">
        <v>500</v>
      </c>
      <c r="P873" s="198"/>
      <c r="Q873" s="198" t="s">
        <v>329</v>
      </c>
      <c r="R873" s="230">
        <f>DATABASE_Table[[#This Row],[Inicial Asking Price (€) (Total)]]-DATABASE_Table[[#This Row],[Vista membership]]-DATABASE_Table[[#This Row],[FF&amp;E]]</f>
        <v>1430000</v>
      </c>
      <c r="S873" s="234">
        <v>1430000</v>
      </c>
      <c r="T873" s="235">
        <v>1230000</v>
      </c>
      <c r="U873" s="198"/>
      <c r="V873" s="198"/>
      <c r="W873" s="233">
        <f>DATABASE_Table[[#This Row],[Current Asking price( Total)]]-DATABASE_Table[[#This Row],[Vista membership]]-DATABASE_Table[[#This Row],[FF&amp;E]]</f>
        <v>1230000</v>
      </c>
      <c r="X873" s="236"/>
      <c r="Y873" s="235"/>
      <c r="Z873" s="233">
        <f>DATABASE_Table[[#This Row],[Sell price (Total)]]-DATABASE_Table[[#This Row],[FF&amp;E]]-DATABASE_Table[[#This Row],[Vista membership]]</f>
        <v>0</v>
      </c>
      <c r="AA873" s="315"/>
      <c r="AB873" s="321" t="s">
        <v>32</v>
      </c>
      <c r="AC873" s="198" t="s">
        <v>57</v>
      </c>
      <c r="AD873" s="198"/>
      <c r="AE873" s="279" t="s">
        <v>75</v>
      </c>
      <c r="AF873" s="279" t="s">
        <v>554</v>
      </c>
      <c r="AG873" s="279" t="s">
        <v>76</v>
      </c>
      <c r="AH873" s="279" t="s">
        <v>77</v>
      </c>
      <c r="AI873" s="198" t="s">
        <v>32</v>
      </c>
      <c r="AJ873" s="274" t="s">
        <v>73</v>
      </c>
      <c r="AK873"/>
    </row>
    <row r="874" spans="1:37" ht="15.75" hidden="1" customHeight="1">
      <c r="A874" s="198" t="s">
        <v>772</v>
      </c>
      <c r="B874" s="198" t="s">
        <v>769</v>
      </c>
      <c r="C874" s="214" t="s">
        <v>513</v>
      </c>
      <c r="D874" s="198"/>
      <c r="E874" s="198" t="s">
        <v>506</v>
      </c>
      <c r="F874" s="198">
        <v>213.55</v>
      </c>
      <c r="G874" s="198"/>
      <c r="H874" s="214" t="s">
        <v>661</v>
      </c>
      <c r="I874" s="214" t="s">
        <v>325</v>
      </c>
      <c r="J874" s="271"/>
      <c r="K874" s="198"/>
      <c r="L874" s="198"/>
      <c r="M874" s="198">
        <v>63.55</v>
      </c>
      <c r="N874" s="198"/>
      <c r="O874" s="198">
        <v>150</v>
      </c>
      <c r="P874" s="198"/>
      <c r="Q874" s="198" t="s">
        <v>628</v>
      </c>
      <c r="R874" s="230">
        <f>DATABASE_Table[[#This Row],[Inicial Asking Price (€) (Total)]]-DATABASE_Table[[#This Row],[Vista membership]]-DATABASE_Table[[#This Row],[FF&amp;E]]</f>
        <v>650000</v>
      </c>
      <c r="S874" s="234">
        <v>650000</v>
      </c>
      <c r="T874" s="235">
        <v>1315000</v>
      </c>
      <c r="U874" s="198"/>
      <c r="V874" s="198"/>
      <c r="W874" s="233">
        <f>DATABASE_Table[[#This Row],[Current Asking price( Total)]]-DATABASE_Table[[#This Row],[Vista membership]]-DATABASE_Table[[#This Row],[FF&amp;E]]</f>
        <v>1315000</v>
      </c>
      <c r="X874" s="236">
        <v>0</v>
      </c>
      <c r="Y874" s="235">
        <v>1315000</v>
      </c>
      <c r="Z874" s="233">
        <f>DATABASE_Table[[#This Row],[Sell price (Total)]]-DATABASE_Table[[#This Row],[FF&amp;E]]-DATABASE_Table[[#This Row],[Vista membership]]</f>
        <v>1315000</v>
      </c>
      <c r="AA874" s="316">
        <v>45044</v>
      </c>
      <c r="AB874" s="321">
        <v>46843</v>
      </c>
      <c r="AC874" s="198"/>
      <c r="AD874" s="198"/>
      <c r="AE874" s="279"/>
      <c r="AF874" s="279"/>
      <c r="AG874" s="279"/>
      <c r="AH874" s="279"/>
      <c r="AI874" s="198"/>
      <c r="AJ874" s="274" t="s">
        <v>66</v>
      </c>
      <c r="AK874"/>
    </row>
    <row r="875" spans="1:37" ht="15.75" hidden="1" customHeight="1">
      <c r="A875" s="198" t="s">
        <v>562</v>
      </c>
      <c r="B875" s="198" t="s">
        <v>691</v>
      </c>
      <c r="C875" s="214" t="s">
        <v>343</v>
      </c>
      <c r="D875" s="198" t="s">
        <v>9</v>
      </c>
      <c r="E875" s="198" t="s">
        <v>319</v>
      </c>
      <c r="F875" s="198">
        <v>111</v>
      </c>
      <c r="G875" s="198"/>
      <c r="H875" s="214" t="s">
        <v>325</v>
      </c>
      <c r="I875" s="214" t="s">
        <v>325</v>
      </c>
      <c r="J875" s="271"/>
      <c r="K875" s="198"/>
      <c r="L875" s="198"/>
      <c r="M875" s="198"/>
      <c r="N875" s="198"/>
      <c r="O875" s="198">
        <v>111</v>
      </c>
      <c r="P875" s="198"/>
      <c r="Q875" s="198" t="s">
        <v>929</v>
      </c>
      <c r="R875" s="230">
        <f>DATABASE_Table[[#This Row],[Inicial Asking Price (€) (Total)]]-DATABASE_Table[[#This Row],[Vista membership]]-DATABASE_Table[[#This Row],[FF&amp;E]]</f>
        <v>570000</v>
      </c>
      <c r="S875" s="231">
        <v>570000</v>
      </c>
      <c r="T875" s="232">
        <v>600000</v>
      </c>
      <c r="U875" s="198"/>
      <c r="V875" s="198"/>
      <c r="W875" s="233">
        <f>DATABASE_Table[[#This Row],[Current Asking price( Total)]]-DATABASE_Table[[#This Row],[Vista membership]]-DATABASE_Table[[#This Row],[FF&amp;E]]</f>
        <v>600000</v>
      </c>
      <c r="X875" s="216">
        <v>0</v>
      </c>
      <c r="Y875" s="232">
        <v>600000</v>
      </c>
      <c r="Z875" s="233">
        <f>DATABASE_Table[[#This Row],[Sell price (Total)]]-DATABASE_Table[[#This Row],[FF&amp;E]]-DATABASE_Table[[#This Row],[Vista membership]]</f>
        <v>600000</v>
      </c>
      <c r="AA875" s="315">
        <v>45443</v>
      </c>
      <c r="AB875" s="321"/>
      <c r="AC875" s="198" t="s">
        <v>10</v>
      </c>
      <c r="AD875" s="198" t="s">
        <v>23</v>
      </c>
      <c r="AE875" s="279" t="s">
        <v>24</v>
      </c>
      <c r="AF875" s="279" t="s">
        <v>803</v>
      </c>
      <c r="AG875" s="279" t="s">
        <v>25</v>
      </c>
      <c r="AH875" s="279" t="s">
        <v>804</v>
      </c>
      <c r="AI875" s="198" t="s">
        <v>26</v>
      </c>
      <c r="AJ875" s="274" t="s">
        <v>22</v>
      </c>
      <c r="AK875"/>
    </row>
    <row r="876" spans="1:37" ht="15.75" hidden="1" customHeight="1">
      <c r="A876" s="198" t="s">
        <v>689</v>
      </c>
      <c r="B876" s="198" t="s">
        <v>691</v>
      </c>
      <c r="C876" s="214" t="s">
        <v>343</v>
      </c>
      <c r="D876" s="198"/>
      <c r="E876" s="198" t="s">
        <v>384</v>
      </c>
      <c r="F876" s="198">
        <v>152.87280000000001</v>
      </c>
      <c r="G876" s="198"/>
      <c r="H876" s="214" t="s">
        <v>325</v>
      </c>
      <c r="I876" s="214" t="s">
        <v>325</v>
      </c>
      <c r="J876" s="271"/>
      <c r="K876" s="198"/>
      <c r="L876" s="198"/>
      <c r="M876" s="198"/>
      <c r="N876" s="198"/>
      <c r="O876" s="198">
        <v>152.87280000000001</v>
      </c>
      <c r="P876" s="198"/>
      <c r="Q876" s="198" t="s">
        <v>929</v>
      </c>
      <c r="R876" s="230">
        <f>DATABASE_Table[[#This Row],[Inicial Asking Price (€) (Total)]]-DATABASE_Table[[#This Row],[Vista membership]]-DATABASE_Table[[#This Row],[FF&amp;E]]</f>
        <v>984375</v>
      </c>
      <c r="S876" s="231">
        <v>984375</v>
      </c>
      <c r="T876" s="232">
        <v>1030000</v>
      </c>
      <c r="U876" s="198"/>
      <c r="V876" s="198"/>
      <c r="W876" s="233">
        <f>DATABASE_Table[[#This Row],[Current Asking price( Total)]]-DATABASE_Table[[#This Row],[Vista membership]]-DATABASE_Table[[#This Row],[FF&amp;E]]</f>
        <v>1030000</v>
      </c>
      <c r="X876" s="216">
        <v>0</v>
      </c>
      <c r="Y876" s="232">
        <v>1030000</v>
      </c>
      <c r="Z876" s="233">
        <f>DATABASE_Table[[#This Row],[Sell price (Total)]]-DATABASE_Table[[#This Row],[FF&amp;E]]-DATABASE_Table[[#This Row],[Vista membership]]</f>
        <v>1030000</v>
      </c>
      <c r="AA876" s="315">
        <v>45223</v>
      </c>
      <c r="AB876" s="321"/>
      <c r="AC876" s="198"/>
      <c r="AD876" s="198"/>
      <c r="AE876" s="279"/>
      <c r="AF876" s="279"/>
      <c r="AG876" s="279"/>
      <c r="AH876" s="279"/>
      <c r="AI876" s="198"/>
      <c r="AJ876" s="274" t="s">
        <v>689</v>
      </c>
      <c r="AK876"/>
    </row>
    <row r="877" spans="1:37" ht="15.75" hidden="1" customHeight="1">
      <c r="A877" s="198" t="s">
        <v>564</v>
      </c>
      <c r="B877" s="198" t="s">
        <v>691</v>
      </c>
      <c r="C877" s="214" t="s">
        <v>343</v>
      </c>
      <c r="D877" s="198" t="s">
        <v>9</v>
      </c>
      <c r="E877" s="198" t="s">
        <v>419</v>
      </c>
      <c r="F877" s="198">
        <v>83.62</v>
      </c>
      <c r="G877" s="198"/>
      <c r="H877" s="214" t="s">
        <v>325</v>
      </c>
      <c r="I877" s="214" t="s">
        <v>325</v>
      </c>
      <c r="J877" s="271">
        <v>25.6</v>
      </c>
      <c r="K877" s="198"/>
      <c r="L877" s="198"/>
      <c r="M877" s="198"/>
      <c r="N877" s="198"/>
      <c r="O877" s="198">
        <v>58.02</v>
      </c>
      <c r="P877" s="198"/>
      <c r="Q877" s="198" t="s">
        <v>329</v>
      </c>
      <c r="R877" s="230">
        <f>DATABASE_Table[[#This Row],[Inicial Asking Price (€) (Total)]]-DATABASE_Table[[#This Row],[Vista membership]]-DATABASE_Table[[#This Row],[FF&amp;E]]</f>
        <v>470158.14</v>
      </c>
      <c r="S877" s="231">
        <v>524758.14</v>
      </c>
      <c r="T877" s="232">
        <v>560000</v>
      </c>
      <c r="U877" s="198">
        <v>24600</v>
      </c>
      <c r="V877" s="198">
        <v>30000</v>
      </c>
      <c r="W877" s="233">
        <f>DATABASE_Table[[#This Row],[Current Asking price( Total)]]-DATABASE_Table[[#This Row],[Vista membership]]-DATABASE_Table[[#This Row],[FF&amp;E]]</f>
        <v>505400</v>
      </c>
      <c r="X877" s="216"/>
      <c r="Y877" s="232">
        <v>560000</v>
      </c>
      <c r="Z877" s="233">
        <f>DATABASE_Table[[#This Row],[Sell price (Total)]]-DATABASE_Table[[#This Row],[FF&amp;E]]-DATABASE_Table[[#This Row],[Vista membership]]</f>
        <v>505400</v>
      </c>
      <c r="AA877" s="315"/>
      <c r="AB877" s="321"/>
      <c r="AC877" s="198" t="s">
        <v>10</v>
      </c>
      <c r="AD877" s="198" t="s">
        <v>35</v>
      </c>
      <c r="AE877" s="279" t="s">
        <v>43</v>
      </c>
      <c r="AF877" s="279" t="s">
        <v>44</v>
      </c>
      <c r="AG877" s="279" t="s">
        <v>45</v>
      </c>
      <c r="AH877" s="279" t="s">
        <v>46</v>
      </c>
      <c r="AI877" s="198" t="s">
        <v>47</v>
      </c>
      <c r="AJ877" s="274" t="s">
        <v>42</v>
      </c>
      <c r="AK877"/>
    </row>
    <row r="878" spans="1:37" ht="15.75" hidden="1" customHeight="1">
      <c r="A878" s="198" t="s">
        <v>630</v>
      </c>
      <c r="B878" s="198" t="s">
        <v>691</v>
      </c>
      <c r="C878" s="214" t="s">
        <v>344</v>
      </c>
      <c r="D878" s="198" t="s">
        <v>9</v>
      </c>
      <c r="E878" s="198" t="s">
        <v>319</v>
      </c>
      <c r="F878" s="198">
        <v>249.77</v>
      </c>
      <c r="G878" s="198"/>
      <c r="H878" s="214" t="s">
        <v>849</v>
      </c>
      <c r="I878" s="214" t="s">
        <v>325</v>
      </c>
      <c r="J878" s="271">
        <v>0</v>
      </c>
      <c r="K878" s="198"/>
      <c r="L878" s="198"/>
      <c r="M878" s="198">
        <v>123.56</v>
      </c>
      <c r="N878" s="198"/>
      <c r="O878" s="198">
        <v>126.21</v>
      </c>
      <c r="P878" s="198"/>
      <c r="Q878" s="198" t="s">
        <v>329</v>
      </c>
      <c r="R878" s="230">
        <f>DATABASE_Table[[#This Row],[Inicial Asking Price (€) (Total)]]-DATABASE_Table[[#This Row],[Vista membership]]-DATABASE_Table[[#This Row],[FF&amp;E]]</f>
        <v>1042729.38</v>
      </c>
      <c r="S878" s="231">
        <v>1042729.38</v>
      </c>
      <c r="T878" s="232">
        <v>1095500</v>
      </c>
      <c r="U878" s="198"/>
      <c r="V878" s="198"/>
      <c r="W878" s="233">
        <f>DATABASE_Table[[#This Row],[Current Asking price( Total)]]-DATABASE_Table[[#This Row],[Vista membership]]-DATABASE_Table[[#This Row],[FF&amp;E]]</f>
        <v>1095500</v>
      </c>
      <c r="X878" s="216"/>
      <c r="Y878" s="232">
        <v>1081500</v>
      </c>
      <c r="Z878" s="233">
        <f>DATABASE_Table[[#This Row],[Sell price (Total)]]-DATABASE_Table[[#This Row],[FF&amp;E]]-DATABASE_Table[[#This Row],[Vista membership]]</f>
        <v>1081500</v>
      </c>
      <c r="AA878" s="315"/>
      <c r="AB878" s="321"/>
      <c r="AC878" s="198" t="s">
        <v>10</v>
      </c>
      <c r="AD878" s="198" t="s">
        <v>11</v>
      </c>
      <c r="AE878" s="279" t="s">
        <v>53</v>
      </c>
      <c r="AF878" s="279" t="s">
        <v>54</v>
      </c>
      <c r="AG878" s="279" t="s">
        <v>811</v>
      </c>
      <c r="AH878" s="279" t="s">
        <v>812</v>
      </c>
      <c r="AI878" s="198" t="s">
        <v>36</v>
      </c>
      <c r="AJ878" s="274" t="s">
        <v>52</v>
      </c>
      <c r="AK878"/>
    </row>
    <row r="879" spans="1:37" ht="15.75" hidden="1" customHeight="1">
      <c r="A879" s="198" t="s">
        <v>772</v>
      </c>
      <c r="B879" s="198" t="s">
        <v>769</v>
      </c>
      <c r="C879" s="214" t="s">
        <v>514</v>
      </c>
      <c r="D879" s="198"/>
      <c r="E879" s="198" t="s">
        <v>504</v>
      </c>
      <c r="F879" s="198">
        <v>283.3</v>
      </c>
      <c r="G879" s="198"/>
      <c r="H879" s="214" t="s">
        <v>662</v>
      </c>
      <c r="I879" s="214" t="s">
        <v>325</v>
      </c>
      <c r="J879" s="271"/>
      <c r="K879" s="198"/>
      <c r="L879" s="198"/>
      <c r="M879" s="198">
        <v>133.65</v>
      </c>
      <c r="N879" s="198"/>
      <c r="O879" s="198">
        <v>149.65</v>
      </c>
      <c r="P879" s="198"/>
      <c r="Q879" s="198" t="s">
        <v>628</v>
      </c>
      <c r="R879" s="230">
        <f>DATABASE_Table[[#This Row],[Inicial Asking Price (€) (Total)]]-DATABASE_Table[[#This Row],[Vista membership]]-DATABASE_Table[[#This Row],[FF&amp;E]]</f>
        <v>710000</v>
      </c>
      <c r="S879" s="234">
        <v>710000</v>
      </c>
      <c r="T879" s="235">
        <v>1350000</v>
      </c>
      <c r="U879" s="198"/>
      <c r="V879" s="198"/>
      <c r="W879" s="233">
        <f>DATABASE_Table[[#This Row],[Current Asking price( Total)]]-DATABASE_Table[[#This Row],[Vista membership]]-DATABASE_Table[[#This Row],[FF&amp;E]]</f>
        <v>1350000</v>
      </c>
      <c r="X879" s="236">
        <v>0</v>
      </c>
      <c r="Y879" s="235">
        <v>1350000</v>
      </c>
      <c r="Z879" s="233">
        <f>DATABASE_Table[[#This Row],[Sell price (Total)]]-DATABASE_Table[[#This Row],[FF&amp;E]]-DATABASE_Table[[#This Row],[Vista membership]]</f>
        <v>1350000</v>
      </c>
      <c r="AA879" s="316">
        <v>45148</v>
      </c>
      <c r="AB879" s="321">
        <v>46843</v>
      </c>
      <c r="AC879" s="198"/>
      <c r="AD879" s="198"/>
      <c r="AE879" s="279"/>
      <c r="AF879" s="279"/>
      <c r="AG879" s="279"/>
      <c r="AH879" s="279"/>
      <c r="AI879" s="198"/>
      <c r="AJ879" s="274" t="s">
        <v>66</v>
      </c>
      <c r="AK879"/>
    </row>
    <row r="880" spans="1:37" ht="15.75" hidden="1" customHeight="1">
      <c r="A880" s="198" t="s">
        <v>559</v>
      </c>
      <c r="B880" s="198" t="s">
        <v>691</v>
      </c>
      <c r="C880" s="214" t="s">
        <v>344</v>
      </c>
      <c r="D880" s="198" t="s">
        <v>9</v>
      </c>
      <c r="E880" s="198" t="s">
        <v>384</v>
      </c>
      <c r="F880" s="198">
        <v>146.21</v>
      </c>
      <c r="G880" s="198"/>
      <c r="H880" s="214" t="s">
        <v>325</v>
      </c>
      <c r="I880" s="214" t="s">
        <v>325</v>
      </c>
      <c r="J880" s="271"/>
      <c r="K880" s="198"/>
      <c r="L880" s="198"/>
      <c r="M880" s="198"/>
      <c r="N880" s="198"/>
      <c r="O880" s="198">
        <v>146.21</v>
      </c>
      <c r="P880" s="198"/>
      <c r="Q880" s="198" t="s">
        <v>329</v>
      </c>
      <c r="R880" s="230">
        <f>DATABASE_Table[[#This Row],[Inicial Asking Price (€) (Total)]]-DATABASE_Table[[#This Row],[Vista membership]]-DATABASE_Table[[#This Row],[FF&amp;E]]</f>
        <v>790000</v>
      </c>
      <c r="S880" s="231">
        <v>790000</v>
      </c>
      <c r="T880" s="232">
        <v>790000</v>
      </c>
      <c r="U880" s="198"/>
      <c r="V880" s="198"/>
      <c r="W880" s="233">
        <f>DATABASE_Table[[#This Row],[Current Asking price( Total)]]-DATABASE_Table[[#This Row],[Vista membership]]-DATABASE_Table[[#This Row],[FF&amp;E]]</f>
        <v>790000</v>
      </c>
      <c r="X880" s="216"/>
      <c r="Y880" s="232">
        <v>790000</v>
      </c>
      <c r="Z880" s="233">
        <f>DATABASE_Table[[#This Row],[Sell price (Total)]]-DATABASE_Table[[#This Row],[FF&amp;E]]-DATABASE_Table[[#This Row],[Vista membership]]</f>
        <v>790000</v>
      </c>
      <c r="AA880" s="315"/>
      <c r="AB880" s="321"/>
      <c r="AC880" s="198" t="s">
        <v>10</v>
      </c>
      <c r="AD880" s="198" t="s">
        <v>802</v>
      </c>
      <c r="AE880" s="279" t="s">
        <v>17</v>
      </c>
      <c r="AF880" s="279" t="s">
        <v>18</v>
      </c>
      <c r="AG880" s="279" t="s">
        <v>19</v>
      </c>
      <c r="AH880" s="279" t="s">
        <v>20</v>
      </c>
      <c r="AI880" s="198" t="s">
        <v>21</v>
      </c>
      <c r="AJ880" s="274" t="s">
        <v>16</v>
      </c>
      <c r="AK880"/>
    </row>
    <row r="881" spans="1:37" ht="15.75" hidden="1" customHeight="1">
      <c r="A881" s="198" t="s">
        <v>560</v>
      </c>
      <c r="B881" s="198" t="s">
        <v>691</v>
      </c>
      <c r="C881" s="214" t="s">
        <v>344</v>
      </c>
      <c r="D881" s="198" t="s">
        <v>9</v>
      </c>
      <c r="E881" s="198" t="s">
        <v>384</v>
      </c>
      <c r="F881" s="198">
        <v>145.41</v>
      </c>
      <c r="G881" s="198"/>
      <c r="H881" s="214" t="s">
        <v>325</v>
      </c>
      <c r="I881" s="214" t="s">
        <v>325</v>
      </c>
      <c r="J881" s="271"/>
      <c r="K881" s="198"/>
      <c r="L881" s="198"/>
      <c r="M881" s="198"/>
      <c r="N881" s="198"/>
      <c r="O881" s="198">
        <v>145.41</v>
      </c>
      <c r="P881" s="198"/>
      <c r="Q881" s="198" t="s">
        <v>326</v>
      </c>
      <c r="R881" s="230">
        <f>DATABASE_Table[[#This Row],[Inicial Asking Price (€) (Total)]]-DATABASE_Table[[#This Row],[Vista membership]]-DATABASE_Table[[#This Row],[FF&amp;E]]</f>
        <v>810000</v>
      </c>
      <c r="S881" s="231">
        <v>810000</v>
      </c>
      <c r="T881" s="232">
        <v>830000</v>
      </c>
      <c r="U881" s="198"/>
      <c r="V881" s="198"/>
      <c r="W881" s="233">
        <f>DATABASE_Table[[#This Row],[Current Asking price( Total)]]-DATABASE_Table[[#This Row],[Vista membership]]-DATABASE_Table[[#This Row],[FF&amp;E]]</f>
        <v>830000</v>
      </c>
      <c r="X881" s="216">
        <v>8.4337349397590692E-3</v>
      </c>
      <c r="Y881" s="232">
        <v>823000</v>
      </c>
      <c r="Z881" s="233">
        <f>DATABASE_Table[[#This Row],[Sell price (Total)]]-DATABASE_Table[[#This Row],[FF&amp;E]]-DATABASE_Table[[#This Row],[Vista membership]]</f>
        <v>823000</v>
      </c>
      <c r="AA881" s="315">
        <v>46188</v>
      </c>
      <c r="AB881" s="321"/>
      <c r="AC881" s="198" t="s">
        <v>10</v>
      </c>
      <c r="AD881" s="198" t="s">
        <v>802</v>
      </c>
      <c r="AE881" s="279" t="s">
        <v>17</v>
      </c>
      <c r="AF881" s="279" t="s">
        <v>18</v>
      </c>
      <c r="AG881" s="279" t="s">
        <v>19</v>
      </c>
      <c r="AH881" s="279" t="s">
        <v>20</v>
      </c>
      <c r="AI881" s="198" t="s">
        <v>21</v>
      </c>
      <c r="AJ881" s="274" t="s">
        <v>16</v>
      </c>
      <c r="AK881"/>
    </row>
    <row r="882" spans="1:37" ht="15.75" hidden="1" customHeight="1">
      <c r="A882" s="198" t="s">
        <v>561</v>
      </c>
      <c r="B882" s="198" t="s">
        <v>691</v>
      </c>
      <c r="C882" s="214" t="s">
        <v>344</v>
      </c>
      <c r="D882" s="198" t="s">
        <v>9</v>
      </c>
      <c r="E882" s="198" t="s">
        <v>383</v>
      </c>
      <c r="F882" s="198">
        <v>183.29</v>
      </c>
      <c r="G882" s="198"/>
      <c r="H882" s="214" t="s">
        <v>325</v>
      </c>
      <c r="I882" s="214" t="s">
        <v>325</v>
      </c>
      <c r="J882" s="271"/>
      <c r="K882" s="198"/>
      <c r="L882" s="198"/>
      <c r="M882" s="198"/>
      <c r="N882" s="198"/>
      <c r="O882" s="198">
        <v>183.29</v>
      </c>
      <c r="P882" s="198"/>
      <c r="Q882" s="198" t="s">
        <v>326</v>
      </c>
      <c r="R882" s="230">
        <f>DATABASE_Table[[#This Row],[Inicial Asking Price (€) (Total)]]-DATABASE_Table[[#This Row],[Vista membership]]-DATABASE_Table[[#This Row],[FF&amp;E]]</f>
        <v>1220000</v>
      </c>
      <c r="S882" s="231">
        <v>1220000</v>
      </c>
      <c r="T882" s="232">
        <v>1220000</v>
      </c>
      <c r="U882" s="198"/>
      <c r="V882" s="198"/>
      <c r="W882" s="233">
        <f>DATABASE_Table[[#This Row],[Current Asking price( Total)]]-DATABASE_Table[[#This Row],[Vista membership]]-DATABASE_Table[[#This Row],[FF&amp;E]]</f>
        <v>1220000</v>
      </c>
      <c r="X882" s="216">
        <v>0</v>
      </c>
      <c r="Y882" s="232">
        <v>1220000</v>
      </c>
      <c r="Z882" s="233">
        <f>DATABASE_Table[[#This Row],[Sell price (Total)]]-DATABASE_Table[[#This Row],[FF&amp;E]]-DATABASE_Table[[#This Row],[Vista membership]]</f>
        <v>1220000</v>
      </c>
      <c r="AA882" s="315">
        <v>46163</v>
      </c>
      <c r="AB882" s="321"/>
      <c r="AC882" s="198" t="s">
        <v>10</v>
      </c>
      <c r="AD882" s="198" t="s">
        <v>802</v>
      </c>
      <c r="AE882" s="279" t="s">
        <v>17</v>
      </c>
      <c r="AF882" s="279" t="s">
        <v>18</v>
      </c>
      <c r="AG882" s="279" t="s">
        <v>19</v>
      </c>
      <c r="AH882" s="279" t="s">
        <v>20</v>
      </c>
      <c r="AI882" s="198" t="s">
        <v>21</v>
      </c>
      <c r="AJ882" s="274" t="s">
        <v>16</v>
      </c>
      <c r="AK882"/>
    </row>
    <row r="883" spans="1:37" ht="15.75" hidden="1" customHeight="1">
      <c r="A883" s="198" t="s">
        <v>558</v>
      </c>
      <c r="B883" s="198" t="s">
        <v>691</v>
      </c>
      <c r="C883" s="214" t="s">
        <v>344</v>
      </c>
      <c r="D883" s="198" t="s">
        <v>9</v>
      </c>
      <c r="E883" s="198" t="s">
        <v>320</v>
      </c>
      <c r="F883" s="198">
        <v>164.33</v>
      </c>
      <c r="G883" s="198">
        <v>4.46</v>
      </c>
      <c r="H883" s="214" t="s">
        <v>878</v>
      </c>
      <c r="I883" s="214" t="s">
        <v>590</v>
      </c>
      <c r="J883" s="271">
        <v>5.67</v>
      </c>
      <c r="K883" s="198"/>
      <c r="L883" s="198"/>
      <c r="M883" s="198"/>
      <c r="N883" s="198"/>
      <c r="O883" s="198">
        <v>164.33</v>
      </c>
      <c r="P883" s="198"/>
      <c r="Q883" s="198" t="s">
        <v>628</v>
      </c>
      <c r="R883" s="230">
        <f>DATABASE_Table[[#This Row],[Inicial Asking Price (€) (Total)]]-DATABASE_Table[[#This Row],[Vista membership]]-DATABASE_Table[[#This Row],[FF&amp;E]]</f>
        <v>1130000</v>
      </c>
      <c r="S883" s="231">
        <v>1130000</v>
      </c>
      <c r="T883" s="232">
        <v>1130000</v>
      </c>
      <c r="U883" s="198"/>
      <c r="V883" s="198"/>
      <c r="W883" s="233">
        <f>DATABASE_Table[[#This Row],[Current Asking price( Total)]]-DATABASE_Table[[#This Row],[Vista membership]]-DATABASE_Table[[#This Row],[FF&amp;E]]</f>
        <v>1130000</v>
      </c>
      <c r="X883" s="216">
        <v>2.6548672566371698E-2</v>
      </c>
      <c r="Y883" s="232">
        <v>1100000</v>
      </c>
      <c r="Z883" s="233">
        <f>DATABASE_Table[[#This Row],[Sell price (Total)]]-DATABASE_Table[[#This Row],[FF&amp;E]]-DATABASE_Table[[#This Row],[Vista membership]]</f>
        <v>1100000</v>
      </c>
      <c r="AA883" s="317">
        <v>46090</v>
      </c>
      <c r="AB883" s="321"/>
      <c r="AC883" s="198" t="s">
        <v>10</v>
      </c>
      <c r="AD883" s="198" t="s">
        <v>11</v>
      </c>
      <c r="AE883" s="279" t="s">
        <v>12</v>
      </c>
      <c r="AF883" s="279" t="s">
        <v>801</v>
      </c>
      <c r="AG883" s="279" t="s">
        <v>13</v>
      </c>
      <c r="AH883" s="279" t="s">
        <v>14</v>
      </c>
      <c r="AI883" s="198" t="s">
        <v>15</v>
      </c>
      <c r="AJ883" s="274" t="s">
        <v>8</v>
      </c>
      <c r="AK883"/>
    </row>
    <row r="884" spans="1:37" ht="15.75" hidden="1" customHeight="1">
      <c r="A884" s="198" t="s">
        <v>782</v>
      </c>
      <c r="B884" s="198" t="s">
        <v>786</v>
      </c>
      <c r="C884" s="214" t="s">
        <v>307</v>
      </c>
      <c r="D884" s="198" t="s">
        <v>79</v>
      </c>
      <c r="E884" s="198" t="s">
        <v>324</v>
      </c>
      <c r="F884" s="198">
        <v>283.5</v>
      </c>
      <c r="G884" s="198"/>
      <c r="H884" s="214" t="s">
        <v>848</v>
      </c>
      <c r="I884" s="214" t="s">
        <v>848</v>
      </c>
      <c r="J884" s="271"/>
      <c r="K884" s="198"/>
      <c r="L884" s="198"/>
      <c r="M884" s="198">
        <v>84</v>
      </c>
      <c r="N884" s="198">
        <v>25</v>
      </c>
      <c r="O884" s="198">
        <v>174.5</v>
      </c>
      <c r="P884" s="198"/>
      <c r="Q884" s="198" t="s">
        <v>329</v>
      </c>
      <c r="R884" s="230">
        <f>DATABASE_Table[[#This Row],[Inicial Asking Price (€) (Total)]]-DATABASE_Table[[#This Row],[Vista membership]]-DATABASE_Table[[#This Row],[FF&amp;E]]</f>
        <v>1435000</v>
      </c>
      <c r="S884" s="234">
        <v>1495000</v>
      </c>
      <c r="T884" s="235">
        <v>1495000</v>
      </c>
      <c r="U884" s="198"/>
      <c r="V884" s="235">
        <v>60000</v>
      </c>
      <c r="W884" s="233">
        <f>DATABASE_Table[[#This Row],[Current Asking price( Total)]]-DATABASE_Table[[#This Row],[Vista membership]]-DATABASE_Table[[#This Row],[FF&amp;E]]</f>
        <v>1435000</v>
      </c>
      <c r="X884" s="236"/>
      <c r="Y884" s="235"/>
      <c r="Z884" s="233">
        <f>DATABASE_Table[[#This Row],[Sell price (Total)]]-DATABASE_Table[[#This Row],[FF&amp;E]]-DATABASE_Table[[#This Row],[Vista membership]]</f>
        <v>-60000</v>
      </c>
      <c r="AA884" s="315"/>
      <c r="AB884" s="321">
        <v>47118</v>
      </c>
      <c r="AC884" s="198" t="s">
        <v>80</v>
      </c>
      <c r="AD884" s="198" t="s">
        <v>81</v>
      </c>
      <c r="AE884" s="279" t="s">
        <v>82</v>
      </c>
      <c r="AF884" s="279" t="s">
        <v>83</v>
      </c>
      <c r="AG884" s="279" t="s">
        <v>84</v>
      </c>
      <c r="AH884" s="279" t="s">
        <v>85</v>
      </c>
      <c r="AI884" s="198" t="s">
        <v>86</v>
      </c>
      <c r="AJ884" s="274" t="s">
        <v>78</v>
      </c>
      <c r="AK884"/>
    </row>
    <row r="885" spans="1:37" ht="15.75" hidden="1" customHeight="1">
      <c r="A885" s="198" t="s">
        <v>774</v>
      </c>
      <c r="B885" s="198" t="s">
        <v>769</v>
      </c>
      <c r="C885" s="214" t="s">
        <v>349</v>
      </c>
      <c r="D885" s="198" t="s">
        <v>74</v>
      </c>
      <c r="E885" s="198" t="s">
        <v>506</v>
      </c>
      <c r="F885" s="198">
        <v>317.38</v>
      </c>
      <c r="G885" s="198"/>
      <c r="H885" s="214" t="s">
        <v>325</v>
      </c>
      <c r="I885" s="214" t="s">
        <v>325</v>
      </c>
      <c r="J885" s="271"/>
      <c r="K885" s="198"/>
      <c r="L885" s="198"/>
      <c r="M885" s="198">
        <v>84.58</v>
      </c>
      <c r="N885" s="198"/>
      <c r="O885" s="198">
        <v>232.8</v>
      </c>
      <c r="P885" s="198"/>
      <c r="Q885" s="198" t="s">
        <v>327</v>
      </c>
      <c r="R885" s="230">
        <f>DATABASE_Table[[#This Row],[Inicial Asking Price (€) (Total)]]-DATABASE_Table[[#This Row],[Vista membership]]-DATABASE_Table[[#This Row],[FF&amp;E]]</f>
        <v>1500000</v>
      </c>
      <c r="S885" s="234">
        <v>1500000</v>
      </c>
      <c r="T885" s="235">
        <v>1220000</v>
      </c>
      <c r="U885" s="198"/>
      <c r="V885" s="198"/>
      <c r="W885" s="233">
        <f>DATABASE_Table[[#This Row],[Current Asking price( Total)]]-DATABASE_Table[[#This Row],[Vista membership]]-DATABASE_Table[[#This Row],[FF&amp;E]]</f>
        <v>1220000</v>
      </c>
      <c r="X885" s="236">
        <v>0</v>
      </c>
      <c r="Y885" s="235">
        <v>1220000</v>
      </c>
      <c r="Z885" s="233">
        <f>DATABASE_Table[[#This Row],[Sell price (Total)]]-DATABASE_Table[[#This Row],[FF&amp;E]]-DATABASE_Table[[#This Row],[Vista membership]]</f>
        <v>1220000</v>
      </c>
      <c r="AA885" s="315">
        <v>46171</v>
      </c>
      <c r="AB885" s="321" t="s">
        <v>32</v>
      </c>
      <c r="AC885" s="198" t="s">
        <v>57</v>
      </c>
      <c r="AD885" s="198"/>
      <c r="AE885" s="279" t="s">
        <v>75</v>
      </c>
      <c r="AF885" s="279" t="s">
        <v>554</v>
      </c>
      <c r="AG885" s="279" t="s">
        <v>76</v>
      </c>
      <c r="AH885" s="279" t="s">
        <v>77</v>
      </c>
      <c r="AI885" s="198" t="s">
        <v>32</v>
      </c>
      <c r="AJ885" s="274" t="s">
        <v>73</v>
      </c>
      <c r="AK885"/>
    </row>
    <row r="886" spans="1:37" ht="15.75" hidden="1" customHeight="1">
      <c r="A886" s="198" t="s">
        <v>31</v>
      </c>
      <c r="B886" s="198" t="s">
        <v>691</v>
      </c>
      <c r="C886" s="214" t="s">
        <v>344</v>
      </c>
      <c r="D886" s="198" t="s">
        <v>9</v>
      </c>
      <c r="E886" s="198" t="s">
        <v>320</v>
      </c>
      <c r="F886" s="198"/>
      <c r="G886" s="198"/>
      <c r="H886" s="214" t="s">
        <v>325</v>
      </c>
      <c r="I886" s="214" t="s">
        <v>325</v>
      </c>
      <c r="J886" s="271"/>
      <c r="K886" s="198">
        <v>95</v>
      </c>
      <c r="L886" s="198"/>
      <c r="M886" s="198">
        <v>0</v>
      </c>
      <c r="N886" s="198"/>
      <c r="O886" s="198">
        <v>139</v>
      </c>
      <c r="P886" s="198"/>
      <c r="Q886" s="198" t="s">
        <v>329</v>
      </c>
      <c r="R886" s="230">
        <f>DATABASE_Table[[#This Row],[Inicial Asking Price (€) (Total)]]-DATABASE_Table[[#This Row],[Vista membership]]-DATABASE_Table[[#This Row],[FF&amp;E]]</f>
        <v>960000</v>
      </c>
      <c r="S886" s="232">
        <v>960000</v>
      </c>
      <c r="T886" s="232">
        <v>960000</v>
      </c>
      <c r="U886" s="198"/>
      <c r="V886" s="198"/>
      <c r="W886" s="233">
        <f>DATABASE_Table[[#This Row],[Current Asking price( Total)]]-DATABASE_Table[[#This Row],[Vista membership]]-DATABASE_Table[[#This Row],[FF&amp;E]]</f>
        <v>960000</v>
      </c>
      <c r="X886" s="216"/>
      <c r="Y886" s="232">
        <v>940000</v>
      </c>
      <c r="Z886" s="233">
        <f>DATABASE_Table[[#This Row],[Sell price (Total)]]-DATABASE_Table[[#This Row],[FF&amp;E]]-DATABASE_Table[[#This Row],[Vista membership]]</f>
        <v>940000</v>
      </c>
      <c r="AA886" s="315"/>
      <c r="AB886" s="321"/>
      <c r="AC886" s="198" t="s">
        <v>10</v>
      </c>
      <c r="AD886" s="198" t="s">
        <v>807</v>
      </c>
      <c r="AE886" s="279" t="s">
        <v>32</v>
      </c>
      <c r="AF886" s="279" t="s">
        <v>808</v>
      </c>
      <c r="AG886" s="279" t="s">
        <v>33</v>
      </c>
      <c r="AH886" s="279" t="s">
        <v>809</v>
      </c>
      <c r="AI886" s="198" t="s">
        <v>15</v>
      </c>
      <c r="AJ886" s="274" t="s">
        <v>31</v>
      </c>
      <c r="AK886"/>
    </row>
    <row r="887" spans="1:37" ht="15.75" hidden="1" customHeight="1">
      <c r="A887" s="198" t="s">
        <v>690</v>
      </c>
      <c r="B887" s="198" t="s">
        <v>691</v>
      </c>
      <c r="C887" s="214" t="s">
        <v>344</v>
      </c>
      <c r="D887" s="198" t="s">
        <v>9</v>
      </c>
      <c r="E887" s="198" t="s">
        <v>763</v>
      </c>
      <c r="F887" s="198">
        <v>296.95999999999998</v>
      </c>
      <c r="G887" s="198">
        <v>113.29</v>
      </c>
      <c r="H887" s="214" t="s">
        <v>325</v>
      </c>
      <c r="I887" s="214" t="s">
        <v>325</v>
      </c>
      <c r="J887" s="271">
        <v>18.66</v>
      </c>
      <c r="K887" s="198"/>
      <c r="L887" s="198"/>
      <c r="M887" s="198"/>
      <c r="N887" s="198"/>
      <c r="O887" s="198">
        <v>165.01</v>
      </c>
      <c r="P887" s="198"/>
      <c r="Q887" s="198" t="s">
        <v>329</v>
      </c>
      <c r="R887" s="230">
        <f>DATABASE_Table[[#This Row],[Inicial Asking Price (€) (Total)]]-DATABASE_Table[[#This Row],[Vista membership]]-DATABASE_Table[[#This Row],[FF&amp;E]]</f>
        <v>1952100</v>
      </c>
      <c r="S887" s="231">
        <v>2041050</v>
      </c>
      <c r="T887" s="232">
        <v>2130000</v>
      </c>
      <c r="U887" s="198">
        <v>24600</v>
      </c>
      <c r="V887" s="198">
        <v>64350</v>
      </c>
      <c r="W887" s="233">
        <f>DATABASE_Table[[#This Row],[Current Asking price( Total)]]-DATABASE_Table[[#This Row],[Vista membership]]-DATABASE_Table[[#This Row],[FF&amp;E]]</f>
        <v>2041050</v>
      </c>
      <c r="X887" s="216"/>
      <c r="Y887" s="232">
        <v>2130000</v>
      </c>
      <c r="Z887" s="233">
        <f>DATABASE_Table[[#This Row],[Sell price (Total)]]-DATABASE_Table[[#This Row],[FF&amp;E]]-DATABASE_Table[[#This Row],[Vista membership]]</f>
        <v>2041050</v>
      </c>
      <c r="AA887" s="315"/>
      <c r="AB887" s="321"/>
      <c r="AC887" s="198" t="s">
        <v>10</v>
      </c>
      <c r="AD887" s="198" t="s">
        <v>35</v>
      </c>
      <c r="AE887" s="279" t="s">
        <v>38</v>
      </c>
      <c r="AF887" s="279" t="s">
        <v>39</v>
      </c>
      <c r="AG887" s="279" t="s">
        <v>40</v>
      </c>
      <c r="AH887" s="279" t="s">
        <v>810</v>
      </c>
      <c r="AI887" s="198" t="s">
        <v>41</v>
      </c>
      <c r="AJ887" s="274" t="s">
        <v>37</v>
      </c>
      <c r="AK887"/>
    </row>
    <row r="888" spans="1:37" ht="15.75" hidden="1" customHeight="1">
      <c r="A888" s="198" t="s">
        <v>563</v>
      </c>
      <c r="B888" s="198" t="s">
        <v>691</v>
      </c>
      <c r="C888" s="214" t="s">
        <v>344</v>
      </c>
      <c r="D888" s="198" t="s">
        <v>9</v>
      </c>
      <c r="E888" s="198" t="s">
        <v>319</v>
      </c>
      <c r="F888" s="198">
        <v>78.3</v>
      </c>
      <c r="G888" s="198"/>
      <c r="H888" s="214" t="s">
        <v>325</v>
      </c>
      <c r="I888" s="214" t="s">
        <v>325</v>
      </c>
      <c r="J888" s="271"/>
      <c r="K888" s="198"/>
      <c r="L888" s="198"/>
      <c r="M888" s="198"/>
      <c r="N888" s="198"/>
      <c r="O888" s="198">
        <v>78.3</v>
      </c>
      <c r="P888" s="198"/>
      <c r="Q888" s="198" t="s">
        <v>628</v>
      </c>
      <c r="R888" s="230">
        <f>DATABASE_Table[[#This Row],[Inicial Asking Price (€) (Total)]]-DATABASE_Table[[#This Row],[Vista membership]]-DATABASE_Table[[#This Row],[FF&amp;E]]</f>
        <v>1870000</v>
      </c>
      <c r="S888" s="232">
        <v>1870000</v>
      </c>
      <c r="T888" s="232">
        <v>420000</v>
      </c>
      <c r="U888" s="198"/>
      <c r="V888" s="198"/>
      <c r="W888" s="233">
        <f>DATABASE_Table[[#This Row],[Current Asking price( Total)]]-DATABASE_Table[[#This Row],[Vista membership]]-DATABASE_Table[[#This Row],[FF&amp;E]]</f>
        <v>420000</v>
      </c>
      <c r="X888" s="216">
        <v>0</v>
      </c>
      <c r="Y888" s="232">
        <v>420000</v>
      </c>
      <c r="Z888" s="233">
        <f>DATABASE_Table[[#This Row],[Sell price (Total)]]-DATABASE_Table[[#This Row],[FF&amp;E]]-DATABASE_Table[[#This Row],[Vista membership]]</f>
        <v>420000</v>
      </c>
      <c r="AA888" s="316">
        <v>45705</v>
      </c>
      <c r="AB888" s="321"/>
      <c r="AC888" s="198" t="s">
        <v>10</v>
      </c>
      <c r="AD888" s="198" t="s">
        <v>11</v>
      </c>
      <c r="AE888" s="279" t="s">
        <v>28</v>
      </c>
      <c r="AF888" s="279" t="s">
        <v>29</v>
      </c>
      <c r="AG888" s="279" t="s">
        <v>805</v>
      </c>
      <c r="AH888" s="279" t="s">
        <v>806</v>
      </c>
      <c r="AI888" s="198" t="s">
        <v>30</v>
      </c>
      <c r="AJ888" s="274" t="s">
        <v>27</v>
      </c>
      <c r="AK888"/>
    </row>
    <row r="889" spans="1:37" ht="15.75" hidden="1" customHeight="1">
      <c r="A889" s="198" t="s">
        <v>562</v>
      </c>
      <c r="B889" s="198" t="s">
        <v>691</v>
      </c>
      <c r="C889" s="214" t="s">
        <v>344</v>
      </c>
      <c r="D889" s="198" t="s">
        <v>9</v>
      </c>
      <c r="E889" s="198" t="s">
        <v>319</v>
      </c>
      <c r="F889" s="198">
        <v>111</v>
      </c>
      <c r="G889" s="198"/>
      <c r="H889" s="214" t="s">
        <v>325</v>
      </c>
      <c r="I889" s="214" t="s">
        <v>325</v>
      </c>
      <c r="J889" s="271"/>
      <c r="K889" s="198"/>
      <c r="L889" s="198"/>
      <c r="M889" s="198"/>
      <c r="N889" s="198"/>
      <c r="O889" s="198">
        <v>111</v>
      </c>
      <c r="P889" s="198"/>
      <c r="Q889" s="198" t="s">
        <v>929</v>
      </c>
      <c r="R889" s="230">
        <f>DATABASE_Table[[#This Row],[Inicial Asking Price (€) (Total)]]-DATABASE_Table[[#This Row],[Vista membership]]-DATABASE_Table[[#This Row],[FF&amp;E]]</f>
        <v>570000</v>
      </c>
      <c r="S889" s="231">
        <v>570000</v>
      </c>
      <c r="T889" s="232">
        <v>630000</v>
      </c>
      <c r="U889" s="198"/>
      <c r="V889" s="198"/>
      <c r="W889" s="233">
        <f>DATABASE_Table[[#This Row],[Current Asking price( Total)]]-DATABASE_Table[[#This Row],[Vista membership]]-DATABASE_Table[[#This Row],[FF&amp;E]]</f>
        <v>630000</v>
      </c>
      <c r="X889" s="216">
        <v>0.18</v>
      </c>
      <c r="Y889" s="232">
        <v>516600</v>
      </c>
      <c r="Z889" s="233">
        <f>DATABASE_Table[[#This Row],[Sell price (Total)]]-DATABASE_Table[[#This Row],[FF&amp;E]]-DATABASE_Table[[#This Row],[Vista membership]]</f>
        <v>516600</v>
      </c>
      <c r="AA889" s="315">
        <v>45904</v>
      </c>
      <c r="AB889" s="321"/>
      <c r="AC889" s="198" t="s">
        <v>10</v>
      </c>
      <c r="AD889" s="198" t="s">
        <v>23</v>
      </c>
      <c r="AE889" s="279" t="s">
        <v>24</v>
      </c>
      <c r="AF889" s="279" t="s">
        <v>803</v>
      </c>
      <c r="AG889" s="279" t="s">
        <v>25</v>
      </c>
      <c r="AH889" s="279" t="s">
        <v>804</v>
      </c>
      <c r="AI889" s="198" t="s">
        <v>26</v>
      </c>
      <c r="AJ889" s="274" t="s">
        <v>22</v>
      </c>
      <c r="AK889"/>
    </row>
    <row r="890" spans="1:37" ht="15.75" hidden="1" customHeight="1">
      <c r="A890" s="198" t="s">
        <v>689</v>
      </c>
      <c r="B890" s="198" t="s">
        <v>691</v>
      </c>
      <c r="C890" s="214" t="s">
        <v>344</v>
      </c>
      <c r="D890" s="198"/>
      <c r="E890" s="198" t="s">
        <v>384</v>
      </c>
      <c r="F890" s="198">
        <v>152.87280000000001</v>
      </c>
      <c r="G890" s="198"/>
      <c r="H890" s="214" t="s">
        <v>325</v>
      </c>
      <c r="I890" s="214" t="s">
        <v>325</v>
      </c>
      <c r="J890" s="271"/>
      <c r="K890" s="198"/>
      <c r="L890" s="198"/>
      <c r="M890" s="198"/>
      <c r="N890" s="198"/>
      <c r="O890" s="198">
        <v>152.87280000000001</v>
      </c>
      <c r="P890" s="198"/>
      <c r="Q890" s="198" t="s">
        <v>929</v>
      </c>
      <c r="R890" s="230">
        <f>DATABASE_Table[[#This Row],[Inicial Asking Price (€) (Total)]]-DATABASE_Table[[#This Row],[Vista membership]]-DATABASE_Table[[#This Row],[FF&amp;E]]</f>
        <v>984375</v>
      </c>
      <c r="S890" s="231">
        <v>984375</v>
      </c>
      <c r="T890" s="232">
        <v>1050000</v>
      </c>
      <c r="U890" s="198"/>
      <c r="V890" s="198"/>
      <c r="W890" s="233">
        <f>DATABASE_Table[[#This Row],[Current Asking price( Total)]]-DATABASE_Table[[#This Row],[Vista membership]]-DATABASE_Table[[#This Row],[FF&amp;E]]</f>
        <v>1050000</v>
      </c>
      <c r="X890" s="216">
        <v>0</v>
      </c>
      <c r="Y890" s="232">
        <v>1050000</v>
      </c>
      <c r="Z890" s="233">
        <f>DATABASE_Table[[#This Row],[Sell price (Total)]]-DATABASE_Table[[#This Row],[FF&amp;E]]-DATABASE_Table[[#This Row],[Vista membership]]</f>
        <v>1050000</v>
      </c>
      <c r="AA890" s="315">
        <v>45764</v>
      </c>
      <c r="AB890" s="321"/>
      <c r="AC890" s="198"/>
      <c r="AD890" s="198"/>
      <c r="AE890" s="279"/>
      <c r="AF890" s="279"/>
      <c r="AG890" s="279"/>
      <c r="AH890" s="279"/>
      <c r="AI890" s="198"/>
      <c r="AJ890" s="274" t="s">
        <v>689</v>
      </c>
      <c r="AK890"/>
    </row>
    <row r="891" spans="1:37" ht="15.75" hidden="1" customHeight="1">
      <c r="A891" s="198" t="s">
        <v>564</v>
      </c>
      <c r="B891" s="198" t="s">
        <v>691</v>
      </c>
      <c r="C891" s="214" t="s">
        <v>344</v>
      </c>
      <c r="D891" s="198" t="s">
        <v>9</v>
      </c>
      <c r="E891" s="198" t="s">
        <v>319</v>
      </c>
      <c r="F891" s="198">
        <v>145.47</v>
      </c>
      <c r="G891" s="198"/>
      <c r="H891" s="214" t="s">
        <v>325</v>
      </c>
      <c r="I891" s="214" t="s">
        <v>325</v>
      </c>
      <c r="J891" s="271">
        <v>54.84</v>
      </c>
      <c r="K891" s="198"/>
      <c r="L891" s="198"/>
      <c r="M891" s="198"/>
      <c r="N891" s="198"/>
      <c r="O891" s="198">
        <v>90.63</v>
      </c>
      <c r="P891" s="198"/>
      <c r="Q891" s="198" t="s">
        <v>329</v>
      </c>
      <c r="R891" s="230">
        <f>DATABASE_Table[[#This Row],[Inicial Asking Price (€) (Total)]]-DATABASE_Table[[#This Row],[Vista membership]]-DATABASE_Table[[#This Row],[FF&amp;E]]</f>
        <v>731567.5</v>
      </c>
      <c r="S891" s="231">
        <v>796167.5</v>
      </c>
      <c r="T891" s="232">
        <v>870000</v>
      </c>
      <c r="U891" s="198">
        <v>24600</v>
      </c>
      <c r="V891" s="198">
        <v>40000</v>
      </c>
      <c r="W891" s="233">
        <f>DATABASE_Table[[#This Row],[Current Asking price( Total)]]-DATABASE_Table[[#This Row],[Vista membership]]-DATABASE_Table[[#This Row],[FF&amp;E]]</f>
        <v>805400</v>
      </c>
      <c r="X891" s="216"/>
      <c r="Y891" s="232">
        <v>870000</v>
      </c>
      <c r="Z891" s="233">
        <f>DATABASE_Table[[#This Row],[Sell price (Total)]]-DATABASE_Table[[#This Row],[FF&amp;E]]-DATABASE_Table[[#This Row],[Vista membership]]</f>
        <v>805400</v>
      </c>
      <c r="AA891" s="315"/>
      <c r="AB891" s="321"/>
      <c r="AC891" s="198" t="s">
        <v>10</v>
      </c>
      <c r="AD891" s="198" t="s">
        <v>35</v>
      </c>
      <c r="AE891" s="279" t="s">
        <v>43</v>
      </c>
      <c r="AF891" s="279" t="s">
        <v>44</v>
      </c>
      <c r="AG891" s="279" t="s">
        <v>45</v>
      </c>
      <c r="AH891" s="279" t="s">
        <v>46</v>
      </c>
      <c r="AI891" s="198" t="s">
        <v>47</v>
      </c>
      <c r="AJ891" s="274" t="s">
        <v>42</v>
      </c>
      <c r="AK891"/>
    </row>
    <row r="892" spans="1:37" ht="15.75" hidden="1" customHeight="1">
      <c r="A892" s="198" t="s">
        <v>630</v>
      </c>
      <c r="B892" s="198" t="s">
        <v>691</v>
      </c>
      <c r="C892" s="214" t="s">
        <v>345</v>
      </c>
      <c r="D892" s="198" t="s">
        <v>9</v>
      </c>
      <c r="E892" s="198" t="s">
        <v>320</v>
      </c>
      <c r="F892" s="198">
        <v>924.59</v>
      </c>
      <c r="G892" s="198"/>
      <c r="H892" s="214" t="s">
        <v>849</v>
      </c>
      <c r="I892" s="214" t="s">
        <v>325</v>
      </c>
      <c r="J892" s="271">
        <v>9.86</v>
      </c>
      <c r="K892" s="198"/>
      <c r="L892" s="198"/>
      <c r="M892" s="198">
        <v>739.52</v>
      </c>
      <c r="N892" s="198"/>
      <c r="O892" s="198">
        <v>175.21</v>
      </c>
      <c r="P892" s="198"/>
      <c r="Q892" s="198" t="s">
        <v>327</v>
      </c>
      <c r="R892" s="230">
        <f>DATABASE_Table[[#This Row],[Inicial Asking Price (€) (Total)]]-DATABASE_Table[[#This Row],[Vista membership]]-DATABASE_Table[[#This Row],[FF&amp;E]]</f>
        <v>1737489.39</v>
      </c>
      <c r="S892" s="231">
        <v>1737489.39</v>
      </c>
      <c r="T892" s="232">
        <v>1670400</v>
      </c>
      <c r="U892" s="198"/>
      <c r="V892" s="198"/>
      <c r="W892" s="233">
        <f>DATABASE_Table[[#This Row],[Current Asking price( Total)]]-DATABASE_Table[[#This Row],[Vista membership]]-DATABASE_Table[[#This Row],[FF&amp;E]]</f>
        <v>1670400</v>
      </c>
      <c r="X892" s="216">
        <v>-4.1666666666666699E-2</v>
      </c>
      <c r="Y892" s="232">
        <v>1740000</v>
      </c>
      <c r="Z892" s="233">
        <f>DATABASE_Table[[#This Row],[Sell price (Total)]]-DATABASE_Table[[#This Row],[FF&amp;E]]-DATABASE_Table[[#This Row],[Vista membership]]</f>
        <v>1740000</v>
      </c>
      <c r="AA892" s="315"/>
      <c r="AB892" s="321"/>
      <c r="AC892" s="198" t="s">
        <v>10</v>
      </c>
      <c r="AD892" s="198" t="s">
        <v>11</v>
      </c>
      <c r="AE892" s="279" t="s">
        <v>53</v>
      </c>
      <c r="AF892" s="279" t="s">
        <v>54</v>
      </c>
      <c r="AG892" s="279" t="s">
        <v>811</v>
      </c>
      <c r="AH892" s="279" t="s">
        <v>812</v>
      </c>
      <c r="AI892" s="198" t="s">
        <v>36</v>
      </c>
      <c r="AJ892" s="274" t="s">
        <v>52</v>
      </c>
      <c r="AK892"/>
    </row>
    <row r="893" spans="1:37" ht="15.75" hidden="1" customHeight="1">
      <c r="A893" s="198" t="s">
        <v>559</v>
      </c>
      <c r="B893" s="198" t="s">
        <v>691</v>
      </c>
      <c r="C893" s="214" t="s">
        <v>345</v>
      </c>
      <c r="D893" s="198" t="s">
        <v>9</v>
      </c>
      <c r="E893" s="198" t="s">
        <v>384</v>
      </c>
      <c r="F893" s="198">
        <v>146.38</v>
      </c>
      <c r="G893" s="198"/>
      <c r="H893" s="214" t="s">
        <v>325</v>
      </c>
      <c r="I893" s="214" t="s">
        <v>325</v>
      </c>
      <c r="J893" s="271"/>
      <c r="K893" s="198"/>
      <c r="L893" s="198"/>
      <c r="M893" s="198"/>
      <c r="N893" s="198"/>
      <c r="O893" s="198">
        <v>146.38</v>
      </c>
      <c r="P893" s="198"/>
      <c r="Q893" s="198" t="s">
        <v>929</v>
      </c>
      <c r="R893" s="230">
        <f>DATABASE_Table[[#This Row],[Inicial Asking Price (€) (Total)]]-DATABASE_Table[[#This Row],[Vista membership]]-DATABASE_Table[[#This Row],[FF&amp;E]]</f>
        <v>810000</v>
      </c>
      <c r="S893" s="231">
        <v>810000</v>
      </c>
      <c r="T893" s="232">
        <v>830000</v>
      </c>
      <c r="U893" s="198"/>
      <c r="V893" s="198"/>
      <c r="W893" s="233">
        <f>DATABASE_Table[[#This Row],[Current Asking price( Total)]]-DATABASE_Table[[#This Row],[Vista membership]]-DATABASE_Table[[#This Row],[FF&amp;E]]</f>
        <v>830000</v>
      </c>
      <c r="X893" s="216">
        <v>0</v>
      </c>
      <c r="Y893" s="232">
        <v>830000</v>
      </c>
      <c r="Z893" s="233">
        <f>DATABASE_Table[[#This Row],[Sell price (Total)]]-DATABASE_Table[[#This Row],[FF&amp;E]]-DATABASE_Table[[#This Row],[Vista membership]]</f>
        <v>830000</v>
      </c>
      <c r="AA893" s="315">
        <v>45841</v>
      </c>
      <c r="AB893" s="321"/>
      <c r="AC893" s="198" t="s">
        <v>10</v>
      </c>
      <c r="AD893" s="198" t="s">
        <v>802</v>
      </c>
      <c r="AE893" s="279" t="s">
        <v>17</v>
      </c>
      <c r="AF893" s="279" t="s">
        <v>18</v>
      </c>
      <c r="AG893" s="279" t="s">
        <v>19</v>
      </c>
      <c r="AH893" s="279" t="s">
        <v>20</v>
      </c>
      <c r="AI893" s="198" t="s">
        <v>21</v>
      </c>
      <c r="AJ893" s="274" t="s">
        <v>16</v>
      </c>
      <c r="AK893"/>
    </row>
    <row r="894" spans="1:37" ht="15.75" hidden="1" customHeight="1">
      <c r="A894" s="198" t="s">
        <v>560</v>
      </c>
      <c r="B894" s="198" t="s">
        <v>691</v>
      </c>
      <c r="C894" s="214" t="s">
        <v>345</v>
      </c>
      <c r="D894" s="198" t="s">
        <v>9</v>
      </c>
      <c r="E894" s="198" t="s">
        <v>384</v>
      </c>
      <c r="F894" s="198">
        <v>145.87</v>
      </c>
      <c r="G894" s="198"/>
      <c r="H894" s="214" t="s">
        <v>325</v>
      </c>
      <c r="I894" s="214" t="s">
        <v>325</v>
      </c>
      <c r="J894" s="271"/>
      <c r="K894" s="198"/>
      <c r="L894" s="198"/>
      <c r="M894" s="198"/>
      <c r="N894" s="198"/>
      <c r="O894" s="198">
        <v>145.87</v>
      </c>
      <c r="P894" s="198"/>
      <c r="Q894" s="198" t="s">
        <v>929</v>
      </c>
      <c r="R894" s="230">
        <f>DATABASE_Table[[#This Row],[Inicial Asking Price (€) (Total)]]-DATABASE_Table[[#This Row],[Vista membership]]-DATABASE_Table[[#This Row],[FF&amp;E]]</f>
        <v>810000</v>
      </c>
      <c r="S894" s="231">
        <v>810000</v>
      </c>
      <c r="T894" s="232">
        <v>830000</v>
      </c>
      <c r="U894" s="198"/>
      <c r="V894" s="198"/>
      <c r="W894" s="233">
        <f>DATABASE_Table[[#This Row],[Current Asking price( Total)]]-DATABASE_Table[[#This Row],[Vista membership]]-DATABASE_Table[[#This Row],[FF&amp;E]]</f>
        <v>830000</v>
      </c>
      <c r="X894" s="216">
        <v>0</v>
      </c>
      <c r="Y894" s="232">
        <v>830000</v>
      </c>
      <c r="Z894" s="233">
        <f>DATABASE_Table[[#This Row],[Sell price (Total)]]-DATABASE_Table[[#This Row],[FF&amp;E]]-DATABASE_Table[[#This Row],[Vista membership]]</f>
        <v>830000</v>
      </c>
      <c r="AA894" s="315">
        <v>45657</v>
      </c>
      <c r="AB894" s="321"/>
      <c r="AC894" s="198" t="s">
        <v>10</v>
      </c>
      <c r="AD894" s="198" t="s">
        <v>802</v>
      </c>
      <c r="AE894" s="279" t="s">
        <v>17</v>
      </c>
      <c r="AF894" s="279" t="s">
        <v>18</v>
      </c>
      <c r="AG894" s="279" t="s">
        <v>19</v>
      </c>
      <c r="AH894" s="279" t="s">
        <v>20</v>
      </c>
      <c r="AI894" s="198" t="s">
        <v>21</v>
      </c>
      <c r="AJ894" s="274" t="s">
        <v>16</v>
      </c>
      <c r="AK894"/>
    </row>
    <row r="895" spans="1:37" ht="15.75" hidden="1" customHeight="1">
      <c r="A895" s="198" t="s">
        <v>561</v>
      </c>
      <c r="B895" s="198" t="s">
        <v>691</v>
      </c>
      <c r="C895" s="214" t="s">
        <v>345</v>
      </c>
      <c r="D895" s="198" t="s">
        <v>9</v>
      </c>
      <c r="E895" s="198" t="s">
        <v>383</v>
      </c>
      <c r="F895" s="198">
        <v>192.67</v>
      </c>
      <c r="G895" s="198"/>
      <c r="H895" s="214" t="s">
        <v>325</v>
      </c>
      <c r="I895" s="214" t="s">
        <v>325</v>
      </c>
      <c r="J895" s="271"/>
      <c r="K895" s="198"/>
      <c r="L895" s="198"/>
      <c r="M895" s="198"/>
      <c r="N895" s="198"/>
      <c r="O895" s="198">
        <v>192.67</v>
      </c>
      <c r="P895" s="198"/>
      <c r="Q895" s="198" t="s">
        <v>628</v>
      </c>
      <c r="R895" s="230">
        <f>DATABASE_Table[[#This Row],[Inicial Asking Price (€) (Total)]]-DATABASE_Table[[#This Row],[Vista membership]]-DATABASE_Table[[#This Row],[FF&amp;E]]</f>
        <v>1390000</v>
      </c>
      <c r="S895" s="231">
        <v>1390000</v>
      </c>
      <c r="T895" s="232">
        <v>1390000</v>
      </c>
      <c r="U895" s="198"/>
      <c r="V895" s="198"/>
      <c r="W895" s="233">
        <f>DATABASE_Table[[#This Row],[Current Asking price( Total)]]-DATABASE_Table[[#This Row],[Vista membership]]-DATABASE_Table[[#This Row],[FF&amp;E]]</f>
        <v>1390000</v>
      </c>
      <c r="X895" s="216">
        <v>0</v>
      </c>
      <c r="Y895" s="232">
        <v>1390000</v>
      </c>
      <c r="Z895" s="233">
        <f>DATABASE_Table[[#This Row],[Sell price (Total)]]-DATABASE_Table[[#This Row],[FF&amp;E]]-DATABASE_Table[[#This Row],[Vista membership]]</f>
        <v>1390000</v>
      </c>
      <c r="AA895" s="315">
        <v>45747</v>
      </c>
      <c r="AB895" s="321"/>
      <c r="AC895" s="198" t="s">
        <v>10</v>
      </c>
      <c r="AD895" s="198" t="s">
        <v>802</v>
      </c>
      <c r="AE895" s="279" t="s">
        <v>17</v>
      </c>
      <c r="AF895" s="279" t="s">
        <v>18</v>
      </c>
      <c r="AG895" s="279" t="s">
        <v>19</v>
      </c>
      <c r="AH895" s="279" t="s">
        <v>20</v>
      </c>
      <c r="AI895" s="198" t="s">
        <v>21</v>
      </c>
      <c r="AJ895" s="274" t="s">
        <v>16</v>
      </c>
      <c r="AK895"/>
    </row>
    <row r="896" spans="1:37" ht="15.75" hidden="1" customHeight="1">
      <c r="A896" s="198" t="s">
        <v>558</v>
      </c>
      <c r="B896" s="198" t="s">
        <v>691</v>
      </c>
      <c r="C896" s="214" t="s">
        <v>345</v>
      </c>
      <c r="D896" s="198" t="s">
        <v>9</v>
      </c>
      <c r="E896" s="198" t="s">
        <v>320</v>
      </c>
      <c r="F896" s="198">
        <v>153.72</v>
      </c>
      <c r="G896" s="198">
        <v>4.45</v>
      </c>
      <c r="H896" s="214" t="s">
        <v>605</v>
      </c>
      <c r="I896" s="214" t="s">
        <v>590</v>
      </c>
      <c r="J896" s="271"/>
      <c r="K896" s="198"/>
      <c r="L896" s="198"/>
      <c r="M896" s="198"/>
      <c r="N896" s="198"/>
      <c r="O896" s="198">
        <v>153.72</v>
      </c>
      <c r="P896" s="198"/>
      <c r="Q896" s="198" t="s">
        <v>628</v>
      </c>
      <c r="R896" s="230">
        <f>DATABASE_Table[[#This Row],[Inicial Asking Price (€) (Total)]]-DATABASE_Table[[#This Row],[Vista membership]]-DATABASE_Table[[#This Row],[FF&amp;E]]</f>
        <v>1080000</v>
      </c>
      <c r="S896" s="231">
        <v>1080000</v>
      </c>
      <c r="T896" s="232">
        <v>1080000</v>
      </c>
      <c r="U896" s="198"/>
      <c r="V896" s="198"/>
      <c r="W896" s="233">
        <f>DATABASE_Table[[#This Row],[Current Asking price( Total)]]-DATABASE_Table[[#This Row],[Vista membership]]-DATABASE_Table[[#This Row],[FF&amp;E]]</f>
        <v>1080000</v>
      </c>
      <c r="X896" s="216">
        <v>0</v>
      </c>
      <c r="Y896" s="232">
        <v>1080000</v>
      </c>
      <c r="Z896" s="233">
        <f>DATABASE_Table[[#This Row],[Sell price (Total)]]-DATABASE_Table[[#This Row],[FF&amp;E]]-DATABASE_Table[[#This Row],[Vista membership]]</f>
        <v>1080000</v>
      </c>
      <c r="AA896" s="317">
        <v>46013</v>
      </c>
      <c r="AB896" s="321"/>
      <c r="AC896" s="198" t="s">
        <v>10</v>
      </c>
      <c r="AD896" s="198" t="s">
        <v>11</v>
      </c>
      <c r="AE896" s="279" t="s">
        <v>12</v>
      </c>
      <c r="AF896" s="279" t="s">
        <v>801</v>
      </c>
      <c r="AG896" s="279" t="s">
        <v>13</v>
      </c>
      <c r="AH896" s="279" t="s">
        <v>14</v>
      </c>
      <c r="AI896" s="198" t="s">
        <v>15</v>
      </c>
      <c r="AJ896" s="274" t="s">
        <v>8</v>
      </c>
      <c r="AK896"/>
    </row>
    <row r="897" spans="1:37" ht="15.75" hidden="1" customHeight="1">
      <c r="A897" s="198" t="s">
        <v>774</v>
      </c>
      <c r="B897" s="198" t="s">
        <v>769</v>
      </c>
      <c r="C897" s="214" t="s">
        <v>345</v>
      </c>
      <c r="D897" s="198" t="s">
        <v>74</v>
      </c>
      <c r="E897" s="198" t="s">
        <v>506</v>
      </c>
      <c r="F897" s="198">
        <v>317.38</v>
      </c>
      <c r="G897" s="198"/>
      <c r="H897" s="214" t="s">
        <v>325</v>
      </c>
      <c r="I897" s="214" t="s">
        <v>325</v>
      </c>
      <c r="J897" s="271"/>
      <c r="K897" s="198"/>
      <c r="L897" s="198"/>
      <c r="M897" s="198">
        <v>84.58</v>
      </c>
      <c r="N897" s="198"/>
      <c r="O897" s="198">
        <v>232.8</v>
      </c>
      <c r="P897" s="198"/>
      <c r="Q897" s="198" t="s">
        <v>329</v>
      </c>
      <c r="R897" s="230">
        <f>DATABASE_Table[[#This Row],[Inicial Asking Price (€) (Total)]]-DATABASE_Table[[#This Row],[Vista membership]]-DATABASE_Table[[#This Row],[FF&amp;E]]</f>
        <v>1550000</v>
      </c>
      <c r="S897" s="234">
        <v>1550000</v>
      </c>
      <c r="T897" s="235">
        <v>1200000</v>
      </c>
      <c r="U897" s="198"/>
      <c r="V897" s="198"/>
      <c r="W897" s="233">
        <f>DATABASE_Table[[#This Row],[Current Asking price( Total)]]-DATABASE_Table[[#This Row],[Vista membership]]-DATABASE_Table[[#This Row],[FF&amp;E]]</f>
        <v>1200000</v>
      </c>
      <c r="X897" s="236"/>
      <c r="Y897" s="235"/>
      <c r="Z897" s="233">
        <f>DATABASE_Table[[#This Row],[Sell price (Total)]]-DATABASE_Table[[#This Row],[FF&amp;E]]-DATABASE_Table[[#This Row],[Vista membership]]</f>
        <v>0</v>
      </c>
      <c r="AA897" s="315"/>
      <c r="AB897" s="321" t="s">
        <v>32</v>
      </c>
      <c r="AC897" s="198" t="s">
        <v>57</v>
      </c>
      <c r="AD897" s="198"/>
      <c r="AE897" s="279" t="s">
        <v>75</v>
      </c>
      <c r="AF897" s="279" t="s">
        <v>554</v>
      </c>
      <c r="AG897" s="279" t="s">
        <v>76</v>
      </c>
      <c r="AH897" s="279" t="s">
        <v>77</v>
      </c>
      <c r="AI897" s="198" t="s">
        <v>32</v>
      </c>
      <c r="AJ897" s="274" t="s">
        <v>73</v>
      </c>
      <c r="AK897"/>
    </row>
    <row r="898" spans="1:37" ht="15.75" hidden="1" customHeight="1">
      <c r="A898" s="198" t="s">
        <v>31</v>
      </c>
      <c r="B898" s="198" t="s">
        <v>691</v>
      </c>
      <c r="C898" s="214" t="s">
        <v>345</v>
      </c>
      <c r="D898" s="198" t="s">
        <v>9</v>
      </c>
      <c r="E898" s="198" t="s">
        <v>319</v>
      </c>
      <c r="F898" s="198"/>
      <c r="G898" s="198"/>
      <c r="H898" s="214" t="s">
        <v>325</v>
      </c>
      <c r="I898" s="214" t="s">
        <v>325</v>
      </c>
      <c r="J898" s="271"/>
      <c r="K898" s="198">
        <v>82</v>
      </c>
      <c r="L898" s="198"/>
      <c r="M898" s="198">
        <v>0</v>
      </c>
      <c r="N898" s="198"/>
      <c r="O898" s="198">
        <v>106</v>
      </c>
      <c r="P898" s="198"/>
      <c r="Q898" s="198" t="s">
        <v>329</v>
      </c>
      <c r="R898" s="230">
        <f>DATABASE_Table[[#This Row],[Inicial Asking Price (€) (Total)]]-DATABASE_Table[[#This Row],[Vista membership]]-DATABASE_Table[[#This Row],[FF&amp;E]]</f>
        <v>820000</v>
      </c>
      <c r="S898" s="232">
        <v>820000</v>
      </c>
      <c r="T898" s="232">
        <v>820000</v>
      </c>
      <c r="U898" s="198"/>
      <c r="V898" s="198"/>
      <c r="W898" s="233">
        <f>DATABASE_Table[[#This Row],[Current Asking price( Total)]]-DATABASE_Table[[#This Row],[Vista membership]]-DATABASE_Table[[#This Row],[FF&amp;E]]</f>
        <v>820000</v>
      </c>
      <c r="X898" s="216"/>
      <c r="Y898" s="232">
        <v>800000</v>
      </c>
      <c r="Z898" s="233">
        <f>DATABASE_Table[[#This Row],[Sell price (Total)]]-DATABASE_Table[[#This Row],[FF&amp;E]]-DATABASE_Table[[#This Row],[Vista membership]]</f>
        <v>800000</v>
      </c>
      <c r="AA898" s="315"/>
      <c r="AB898" s="321"/>
      <c r="AC898" s="198" t="s">
        <v>10</v>
      </c>
      <c r="AD898" s="198" t="s">
        <v>807</v>
      </c>
      <c r="AE898" s="279" t="s">
        <v>32</v>
      </c>
      <c r="AF898" s="279" t="s">
        <v>808</v>
      </c>
      <c r="AG898" s="279" t="s">
        <v>33</v>
      </c>
      <c r="AH898" s="279" t="s">
        <v>809</v>
      </c>
      <c r="AI898" s="198" t="s">
        <v>15</v>
      </c>
      <c r="AJ898" s="274" t="s">
        <v>31</v>
      </c>
      <c r="AK898"/>
    </row>
    <row r="899" spans="1:37" ht="15.75" hidden="1" customHeight="1">
      <c r="A899" s="198" t="s">
        <v>690</v>
      </c>
      <c r="B899" s="198" t="s">
        <v>691</v>
      </c>
      <c r="C899" s="214" t="s">
        <v>345</v>
      </c>
      <c r="D899" s="198" t="s">
        <v>9</v>
      </c>
      <c r="E899" s="198" t="s">
        <v>383</v>
      </c>
      <c r="F899" s="198">
        <v>323.58999999999997</v>
      </c>
      <c r="G899" s="198">
        <v>165.79</v>
      </c>
      <c r="H899" s="214" t="s">
        <v>325</v>
      </c>
      <c r="I899" s="214" t="s">
        <v>325</v>
      </c>
      <c r="J899" s="271"/>
      <c r="K899" s="198"/>
      <c r="L899" s="198"/>
      <c r="M899" s="198"/>
      <c r="N899" s="198"/>
      <c r="O899" s="198">
        <v>157.80000000000001</v>
      </c>
      <c r="P899" s="198"/>
      <c r="Q899" s="198" t="s">
        <v>329</v>
      </c>
      <c r="R899" s="230">
        <f>DATABASE_Table[[#This Row],[Inicial Asking Price (€) (Total)]]-DATABASE_Table[[#This Row],[Vista membership]]-DATABASE_Table[[#This Row],[FF&amp;E]]</f>
        <v>1952100</v>
      </c>
      <c r="S899" s="231">
        <v>2041050</v>
      </c>
      <c r="T899" s="232">
        <v>2130000</v>
      </c>
      <c r="U899" s="198">
        <v>24600</v>
      </c>
      <c r="V899" s="198">
        <v>64350</v>
      </c>
      <c r="W899" s="233">
        <f>DATABASE_Table[[#This Row],[Current Asking price( Total)]]-DATABASE_Table[[#This Row],[Vista membership]]-DATABASE_Table[[#This Row],[FF&amp;E]]</f>
        <v>2041050</v>
      </c>
      <c r="X899" s="216"/>
      <c r="Y899" s="232">
        <v>2130000</v>
      </c>
      <c r="Z899" s="233">
        <f>DATABASE_Table[[#This Row],[Sell price (Total)]]-DATABASE_Table[[#This Row],[FF&amp;E]]-DATABASE_Table[[#This Row],[Vista membership]]</f>
        <v>2041050</v>
      </c>
      <c r="AA899" s="315"/>
      <c r="AB899" s="321"/>
      <c r="AC899" s="198" t="s">
        <v>10</v>
      </c>
      <c r="AD899" s="198" t="s">
        <v>35</v>
      </c>
      <c r="AE899" s="279" t="s">
        <v>38</v>
      </c>
      <c r="AF899" s="279" t="s">
        <v>39</v>
      </c>
      <c r="AG899" s="279" t="s">
        <v>40</v>
      </c>
      <c r="AH899" s="279" t="s">
        <v>810</v>
      </c>
      <c r="AI899" s="198" t="s">
        <v>41</v>
      </c>
      <c r="AJ899" s="274" t="s">
        <v>37</v>
      </c>
      <c r="AK899"/>
    </row>
    <row r="900" spans="1:37" ht="15.75" hidden="1" customHeight="1">
      <c r="A900" s="198" t="s">
        <v>563</v>
      </c>
      <c r="B900" s="198" t="s">
        <v>691</v>
      </c>
      <c r="C900" s="214" t="s">
        <v>345</v>
      </c>
      <c r="D900" s="198" t="s">
        <v>9</v>
      </c>
      <c r="E900" s="198" t="s">
        <v>319</v>
      </c>
      <c r="F900" s="198">
        <v>78.3</v>
      </c>
      <c r="G900" s="198"/>
      <c r="H900" s="214" t="s">
        <v>325</v>
      </c>
      <c r="I900" s="214" t="s">
        <v>325</v>
      </c>
      <c r="J900" s="271"/>
      <c r="K900" s="198"/>
      <c r="L900" s="198"/>
      <c r="M900" s="198"/>
      <c r="N900" s="198"/>
      <c r="O900" s="198">
        <v>78.3</v>
      </c>
      <c r="P900" s="198"/>
      <c r="Q900" s="198" t="s">
        <v>628</v>
      </c>
      <c r="R900" s="230">
        <f>DATABASE_Table[[#This Row],[Inicial Asking Price (€) (Total)]]-DATABASE_Table[[#This Row],[Vista membership]]-DATABASE_Table[[#This Row],[FF&amp;E]]</f>
        <v>440000</v>
      </c>
      <c r="S900" s="231">
        <v>440000</v>
      </c>
      <c r="T900" s="232">
        <v>418000</v>
      </c>
      <c r="U900" s="198"/>
      <c r="V900" s="198"/>
      <c r="W900" s="233">
        <f>DATABASE_Table[[#This Row],[Current Asking price( Total)]]-DATABASE_Table[[#This Row],[Vista membership]]-DATABASE_Table[[#This Row],[FF&amp;E]]</f>
        <v>418000</v>
      </c>
      <c r="X900" s="216">
        <v>0</v>
      </c>
      <c r="Y900" s="232">
        <v>418000</v>
      </c>
      <c r="Z900" s="233">
        <f>DATABASE_Table[[#This Row],[Sell price (Total)]]-DATABASE_Table[[#This Row],[FF&amp;E]]-DATABASE_Table[[#This Row],[Vista membership]]</f>
        <v>418000</v>
      </c>
      <c r="AA900" s="316">
        <v>45525</v>
      </c>
      <c r="AB900" s="321"/>
      <c r="AC900" s="198" t="s">
        <v>10</v>
      </c>
      <c r="AD900" s="198" t="s">
        <v>11</v>
      </c>
      <c r="AE900" s="279" t="s">
        <v>28</v>
      </c>
      <c r="AF900" s="279" t="s">
        <v>29</v>
      </c>
      <c r="AG900" s="279" t="s">
        <v>805</v>
      </c>
      <c r="AH900" s="279" t="s">
        <v>806</v>
      </c>
      <c r="AI900" s="198" t="s">
        <v>30</v>
      </c>
      <c r="AJ900" s="274" t="s">
        <v>27</v>
      </c>
      <c r="AK900"/>
    </row>
    <row r="901" spans="1:37" ht="15.75" hidden="1" customHeight="1">
      <c r="A901" s="198" t="s">
        <v>562</v>
      </c>
      <c r="B901" s="198" t="s">
        <v>691</v>
      </c>
      <c r="C901" s="214" t="s">
        <v>345</v>
      </c>
      <c r="D901" s="198" t="s">
        <v>9</v>
      </c>
      <c r="E901" s="198" t="s">
        <v>319</v>
      </c>
      <c r="F901" s="198">
        <v>111</v>
      </c>
      <c r="G901" s="198"/>
      <c r="H901" s="214" t="s">
        <v>325</v>
      </c>
      <c r="I901" s="214" t="s">
        <v>325</v>
      </c>
      <c r="J901" s="271"/>
      <c r="K901" s="198"/>
      <c r="L901" s="198"/>
      <c r="M901" s="198"/>
      <c r="N901" s="198"/>
      <c r="O901" s="198">
        <v>111</v>
      </c>
      <c r="P901" s="198"/>
      <c r="Q901" s="198" t="s">
        <v>929</v>
      </c>
      <c r="R901" s="230">
        <f>DATABASE_Table[[#This Row],[Inicial Asking Price (€) (Total)]]-DATABASE_Table[[#This Row],[Vista membership]]-DATABASE_Table[[#This Row],[FF&amp;E]]</f>
        <v>620000</v>
      </c>
      <c r="S901" s="231">
        <v>620000</v>
      </c>
      <c r="T901" s="232">
        <v>680000</v>
      </c>
      <c r="U901" s="198"/>
      <c r="V901" s="198"/>
      <c r="W901" s="233">
        <f>DATABASE_Table[[#This Row],[Current Asking price( Total)]]-DATABASE_Table[[#This Row],[Vista membership]]-DATABASE_Table[[#This Row],[FF&amp;E]]</f>
        <v>680000</v>
      </c>
      <c r="X901" s="216">
        <v>0</v>
      </c>
      <c r="Y901" s="232">
        <v>680000</v>
      </c>
      <c r="Z901" s="233">
        <f>DATABASE_Table[[#This Row],[Sell price (Total)]]-DATABASE_Table[[#This Row],[FF&amp;E]]-DATABASE_Table[[#This Row],[Vista membership]]</f>
        <v>680000</v>
      </c>
      <c r="AA901" s="315">
        <v>45923</v>
      </c>
      <c r="AB901" s="321"/>
      <c r="AC901" s="198" t="s">
        <v>10</v>
      </c>
      <c r="AD901" s="198" t="s">
        <v>23</v>
      </c>
      <c r="AE901" s="279" t="s">
        <v>24</v>
      </c>
      <c r="AF901" s="279" t="s">
        <v>803</v>
      </c>
      <c r="AG901" s="279" t="s">
        <v>25</v>
      </c>
      <c r="AH901" s="279" t="s">
        <v>804</v>
      </c>
      <c r="AI901" s="198" t="s">
        <v>26</v>
      </c>
      <c r="AJ901" s="274" t="s">
        <v>22</v>
      </c>
      <c r="AK901"/>
    </row>
    <row r="902" spans="1:37" ht="15.75" hidden="1" customHeight="1">
      <c r="A902" s="198" t="s">
        <v>689</v>
      </c>
      <c r="B902" s="198" t="s">
        <v>691</v>
      </c>
      <c r="C902" s="214" t="s">
        <v>345</v>
      </c>
      <c r="D902" s="198"/>
      <c r="E902" s="198" t="s">
        <v>384</v>
      </c>
      <c r="F902" s="198">
        <v>152.87280000000001</v>
      </c>
      <c r="G902" s="198"/>
      <c r="H902" s="214" t="s">
        <v>325</v>
      </c>
      <c r="I902" s="214" t="s">
        <v>325</v>
      </c>
      <c r="J902" s="271"/>
      <c r="K902" s="198"/>
      <c r="L902" s="198"/>
      <c r="M902" s="198"/>
      <c r="N902" s="198"/>
      <c r="O902" s="198">
        <v>152.87280000000001</v>
      </c>
      <c r="P902" s="198"/>
      <c r="Q902" s="198" t="s">
        <v>929</v>
      </c>
      <c r="R902" s="230">
        <f>DATABASE_Table[[#This Row],[Inicial Asking Price (€) (Total)]]-DATABASE_Table[[#This Row],[Vista membership]]-DATABASE_Table[[#This Row],[FF&amp;E]]</f>
        <v>984375</v>
      </c>
      <c r="S902" s="231">
        <v>984375</v>
      </c>
      <c r="T902" s="232">
        <v>1100000</v>
      </c>
      <c r="U902" s="198"/>
      <c r="V902" s="198"/>
      <c r="W902" s="233">
        <f>DATABASE_Table[[#This Row],[Current Asking price( Total)]]-DATABASE_Table[[#This Row],[Vista membership]]-DATABASE_Table[[#This Row],[FF&amp;E]]</f>
        <v>1100000</v>
      </c>
      <c r="X902" s="216">
        <v>0</v>
      </c>
      <c r="Y902" s="232">
        <v>1100000</v>
      </c>
      <c r="Z902" s="233">
        <f>DATABASE_Table[[#This Row],[Sell price (Total)]]-DATABASE_Table[[#This Row],[FF&amp;E]]-DATABASE_Table[[#This Row],[Vista membership]]</f>
        <v>1100000</v>
      </c>
      <c r="AA902" s="315">
        <v>45678</v>
      </c>
      <c r="AB902" s="321"/>
      <c r="AC902" s="198"/>
      <c r="AD902" s="198"/>
      <c r="AE902" s="279"/>
      <c r="AF902" s="279"/>
      <c r="AG902" s="279"/>
      <c r="AH902" s="279"/>
      <c r="AI902" s="198"/>
      <c r="AJ902" s="274" t="s">
        <v>689</v>
      </c>
      <c r="AK902"/>
    </row>
    <row r="903" spans="1:37" ht="15.75" hidden="1" customHeight="1">
      <c r="A903" s="198" t="s">
        <v>564</v>
      </c>
      <c r="B903" s="198" t="s">
        <v>691</v>
      </c>
      <c r="C903" s="214" t="s">
        <v>345</v>
      </c>
      <c r="D903" s="198" t="s">
        <v>9</v>
      </c>
      <c r="E903" s="198" t="s">
        <v>416</v>
      </c>
      <c r="F903" s="198">
        <v>127.24</v>
      </c>
      <c r="G903" s="198"/>
      <c r="H903" s="214" t="s">
        <v>325</v>
      </c>
      <c r="I903" s="214" t="s">
        <v>325</v>
      </c>
      <c r="J903" s="271">
        <v>29.68</v>
      </c>
      <c r="K903" s="198"/>
      <c r="L903" s="198"/>
      <c r="M903" s="198"/>
      <c r="N903" s="198"/>
      <c r="O903" s="198">
        <v>97.56</v>
      </c>
      <c r="P903" s="198"/>
      <c r="Q903" s="198" t="s">
        <v>329</v>
      </c>
      <c r="R903" s="230">
        <f>DATABASE_Table[[#This Row],[Inicial Asking Price (€) (Total)]]-DATABASE_Table[[#This Row],[Vista membership]]-DATABASE_Table[[#This Row],[FF&amp;E]]</f>
        <v>735709.28</v>
      </c>
      <c r="S903" s="231">
        <v>800309.28</v>
      </c>
      <c r="T903" s="232">
        <v>850000</v>
      </c>
      <c r="U903" s="198">
        <v>24600</v>
      </c>
      <c r="V903" s="198">
        <v>40000</v>
      </c>
      <c r="W903" s="233">
        <f>DATABASE_Table[[#This Row],[Current Asking price( Total)]]-DATABASE_Table[[#This Row],[Vista membership]]-DATABASE_Table[[#This Row],[FF&amp;E]]</f>
        <v>785400</v>
      </c>
      <c r="X903" s="216"/>
      <c r="Y903" s="232">
        <v>850000</v>
      </c>
      <c r="Z903" s="233">
        <f>DATABASE_Table[[#This Row],[Sell price (Total)]]-DATABASE_Table[[#This Row],[FF&amp;E]]-DATABASE_Table[[#This Row],[Vista membership]]</f>
        <v>785400</v>
      </c>
      <c r="AA903" s="315"/>
      <c r="AB903" s="321"/>
      <c r="AC903" s="198" t="s">
        <v>10</v>
      </c>
      <c r="AD903" s="198" t="s">
        <v>35</v>
      </c>
      <c r="AE903" s="279" t="s">
        <v>43</v>
      </c>
      <c r="AF903" s="279" t="s">
        <v>44</v>
      </c>
      <c r="AG903" s="279" t="s">
        <v>45</v>
      </c>
      <c r="AH903" s="279" t="s">
        <v>46</v>
      </c>
      <c r="AI903" s="198" t="s">
        <v>47</v>
      </c>
      <c r="AJ903" s="274" t="s">
        <v>42</v>
      </c>
      <c r="AK903"/>
    </row>
    <row r="904" spans="1:37" ht="15.75" hidden="1" customHeight="1">
      <c r="A904" s="198" t="s">
        <v>630</v>
      </c>
      <c r="B904" s="198" t="s">
        <v>691</v>
      </c>
      <c r="C904" s="214" t="s">
        <v>346</v>
      </c>
      <c r="D904" s="198" t="s">
        <v>9</v>
      </c>
      <c r="E904" s="198" t="s">
        <v>319</v>
      </c>
      <c r="F904" s="198">
        <v>701.9</v>
      </c>
      <c r="G904" s="198"/>
      <c r="H904" s="214" t="s">
        <v>849</v>
      </c>
      <c r="I904" s="214" t="s">
        <v>325</v>
      </c>
      <c r="J904" s="271">
        <v>0</v>
      </c>
      <c r="K904" s="198"/>
      <c r="L904" s="198"/>
      <c r="M904" s="198">
        <v>577.21</v>
      </c>
      <c r="N904" s="198"/>
      <c r="O904" s="198">
        <v>124.69</v>
      </c>
      <c r="P904" s="198"/>
      <c r="Q904" s="198" t="s">
        <v>326</v>
      </c>
      <c r="R904" s="230">
        <f>DATABASE_Table[[#This Row],[Inicial Asking Price (€) (Total)]]-DATABASE_Table[[#This Row],[Vista membership]]-DATABASE_Table[[#This Row],[FF&amp;E]]</f>
        <v>1330910.2949999999</v>
      </c>
      <c r="S904" s="231">
        <v>1330910.2949999999</v>
      </c>
      <c r="T904" s="232">
        <v>1393600</v>
      </c>
      <c r="U904" s="198"/>
      <c r="V904" s="198"/>
      <c r="W904" s="233">
        <f>DATABASE_Table[[#This Row],[Current Asking price( Total)]]-DATABASE_Table[[#This Row],[Vista membership]]-DATABASE_Table[[#This Row],[FF&amp;E]]</f>
        <v>1393600</v>
      </c>
      <c r="X904" s="216">
        <v>0</v>
      </c>
      <c r="Y904" s="232">
        <v>1393600</v>
      </c>
      <c r="Z904" s="233">
        <f>DATABASE_Table[[#This Row],[Sell price (Total)]]-DATABASE_Table[[#This Row],[FF&amp;E]]-DATABASE_Table[[#This Row],[Vista membership]]</f>
        <v>1393600</v>
      </c>
      <c r="AA904" s="315"/>
      <c r="AB904" s="321"/>
      <c r="AC904" s="198" t="s">
        <v>10</v>
      </c>
      <c r="AD904" s="198" t="s">
        <v>11</v>
      </c>
      <c r="AE904" s="279" t="s">
        <v>53</v>
      </c>
      <c r="AF904" s="279" t="s">
        <v>54</v>
      </c>
      <c r="AG904" s="279" t="s">
        <v>811</v>
      </c>
      <c r="AH904" s="279" t="s">
        <v>812</v>
      </c>
      <c r="AI904" s="198" t="s">
        <v>36</v>
      </c>
      <c r="AJ904" s="274" t="s">
        <v>52</v>
      </c>
      <c r="AK904"/>
    </row>
    <row r="905" spans="1:37" ht="15.75" hidden="1" customHeight="1">
      <c r="A905" s="198" t="s">
        <v>559</v>
      </c>
      <c r="B905" s="198" t="s">
        <v>691</v>
      </c>
      <c r="C905" s="214" t="s">
        <v>346</v>
      </c>
      <c r="D905" s="198" t="s">
        <v>9</v>
      </c>
      <c r="E905" s="198" t="s">
        <v>384</v>
      </c>
      <c r="F905" s="198">
        <v>139.88</v>
      </c>
      <c r="G905" s="198"/>
      <c r="H905" s="214" t="s">
        <v>325</v>
      </c>
      <c r="I905" s="214" t="s">
        <v>325</v>
      </c>
      <c r="J905" s="271"/>
      <c r="K905" s="198"/>
      <c r="L905" s="198"/>
      <c r="M905" s="198"/>
      <c r="N905" s="198"/>
      <c r="O905" s="198">
        <v>139.88</v>
      </c>
      <c r="P905" s="198"/>
      <c r="Q905" s="198" t="s">
        <v>929</v>
      </c>
      <c r="R905" s="230">
        <f>DATABASE_Table[[#This Row],[Inicial Asking Price (€) (Total)]]-DATABASE_Table[[#This Row],[Vista membership]]-DATABASE_Table[[#This Row],[FF&amp;E]]</f>
        <v>740000</v>
      </c>
      <c r="S905" s="231">
        <v>740000</v>
      </c>
      <c r="T905" s="232">
        <v>760000</v>
      </c>
      <c r="U905" s="198"/>
      <c r="V905" s="198"/>
      <c r="W905" s="233">
        <f>DATABASE_Table[[#This Row],[Current Asking price( Total)]]-DATABASE_Table[[#This Row],[Vista membership]]-DATABASE_Table[[#This Row],[FF&amp;E]]</f>
        <v>760000</v>
      </c>
      <c r="X905" s="216">
        <v>0</v>
      </c>
      <c r="Y905" s="232">
        <v>760000</v>
      </c>
      <c r="Z905" s="233">
        <f>DATABASE_Table[[#This Row],[Sell price (Total)]]-DATABASE_Table[[#This Row],[FF&amp;E]]-DATABASE_Table[[#This Row],[Vista membership]]</f>
        <v>760000</v>
      </c>
      <c r="AA905" s="315">
        <v>45287</v>
      </c>
      <c r="AB905" s="321"/>
      <c r="AC905" s="198" t="s">
        <v>10</v>
      </c>
      <c r="AD905" s="198" t="s">
        <v>802</v>
      </c>
      <c r="AE905" s="279" t="s">
        <v>17</v>
      </c>
      <c r="AF905" s="279" t="s">
        <v>18</v>
      </c>
      <c r="AG905" s="279" t="s">
        <v>19</v>
      </c>
      <c r="AH905" s="279" t="s">
        <v>20</v>
      </c>
      <c r="AI905" s="198" t="s">
        <v>21</v>
      </c>
      <c r="AJ905" s="274" t="s">
        <v>16</v>
      </c>
      <c r="AK905"/>
    </row>
    <row r="906" spans="1:37" ht="15.75" hidden="1" customHeight="1">
      <c r="A906" s="198" t="s">
        <v>560</v>
      </c>
      <c r="B906" s="198" t="s">
        <v>691</v>
      </c>
      <c r="C906" s="214" t="s">
        <v>346</v>
      </c>
      <c r="D906" s="198" t="s">
        <v>9</v>
      </c>
      <c r="E906" s="198" t="s">
        <v>383</v>
      </c>
      <c r="F906" s="198">
        <v>164.09</v>
      </c>
      <c r="G906" s="198"/>
      <c r="H906" s="214" t="s">
        <v>325</v>
      </c>
      <c r="I906" s="214" t="s">
        <v>325</v>
      </c>
      <c r="J906" s="271"/>
      <c r="K906" s="198"/>
      <c r="L906" s="198"/>
      <c r="M906" s="198"/>
      <c r="N906" s="198"/>
      <c r="O906" s="198">
        <v>164.09</v>
      </c>
      <c r="P906" s="198"/>
      <c r="Q906" s="198" t="s">
        <v>929</v>
      </c>
      <c r="R906" s="230">
        <f>DATABASE_Table[[#This Row],[Inicial Asking Price (€) (Total)]]-DATABASE_Table[[#This Row],[Vista membership]]-DATABASE_Table[[#This Row],[FF&amp;E]]</f>
        <v>930000</v>
      </c>
      <c r="S906" s="231">
        <v>930000</v>
      </c>
      <c r="T906" s="232">
        <v>950000</v>
      </c>
      <c r="U906" s="198"/>
      <c r="V906" s="198"/>
      <c r="W906" s="233">
        <f>DATABASE_Table[[#This Row],[Current Asking price( Total)]]-DATABASE_Table[[#This Row],[Vista membership]]-DATABASE_Table[[#This Row],[FF&amp;E]]</f>
        <v>950000</v>
      </c>
      <c r="X906" s="216">
        <v>0</v>
      </c>
      <c r="Y906" s="232">
        <v>950000</v>
      </c>
      <c r="Z906" s="233">
        <f>DATABASE_Table[[#This Row],[Sell price (Total)]]-DATABASE_Table[[#This Row],[FF&amp;E]]-DATABASE_Table[[#This Row],[Vista membership]]</f>
        <v>950000</v>
      </c>
      <c r="AA906" s="315">
        <v>45967</v>
      </c>
      <c r="AB906" s="321"/>
      <c r="AC906" s="198" t="s">
        <v>10</v>
      </c>
      <c r="AD906" s="198" t="s">
        <v>802</v>
      </c>
      <c r="AE906" s="279" t="s">
        <v>17</v>
      </c>
      <c r="AF906" s="279" t="s">
        <v>18</v>
      </c>
      <c r="AG906" s="279" t="s">
        <v>19</v>
      </c>
      <c r="AH906" s="279" t="s">
        <v>20</v>
      </c>
      <c r="AI906" s="198" t="s">
        <v>21</v>
      </c>
      <c r="AJ906" s="274" t="s">
        <v>16</v>
      </c>
      <c r="AK906"/>
    </row>
    <row r="907" spans="1:37" ht="15.75" hidden="1" customHeight="1">
      <c r="A907" s="198" t="s">
        <v>782</v>
      </c>
      <c r="B907" s="198" t="s">
        <v>786</v>
      </c>
      <c r="C907" s="214" t="s">
        <v>287</v>
      </c>
      <c r="D907" s="198" t="s">
        <v>79</v>
      </c>
      <c r="E907" s="198" t="s">
        <v>324</v>
      </c>
      <c r="F907" s="198">
        <v>299.39999999999998</v>
      </c>
      <c r="G907" s="198"/>
      <c r="H907" s="214" t="s">
        <v>848</v>
      </c>
      <c r="I907" s="214" t="s">
        <v>848</v>
      </c>
      <c r="J907" s="271"/>
      <c r="K907" s="198"/>
      <c r="L907" s="198"/>
      <c r="M907" s="198">
        <v>78</v>
      </c>
      <c r="N907" s="198">
        <v>36</v>
      </c>
      <c r="O907" s="198">
        <v>185.4</v>
      </c>
      <c r="P907" s="198"/>
      <c r="Q907" s="198" t="s">
        <v>329</v>
      </c>
      <c r="R907" s="230">
        <f>DATABASE_Table[[#This Row],[Inicial Asking Price (€) (Total)]]-DATABASE_Table[[#This Row],[Vista membership]]-DATABASE_Table[[#This Row],[FF&amp;E]]</f>
        <v>1535000</v>
      </c>
      <c r="S907" s="234">
        <v>1595000</v>
      </c>
      <c r="T907" s="235">
        <v>1595000</v>
      </c>
      <c r="U907" s="198"/>
      <c r="V907" s="235">
        <v>60000</v>
      </c>
      <c r="W907" s="233">
        <f>DATABASE_Table[[#This Row],[Current Asking price( Total)]]-DATABASE_Table[[#This Row],[Vista membership]]-DATABASE_Table[[#This Row],[FF&amp;E]]</f>
        <v>1535000</v>
      </c>
      <c r="X907" s="236"/>
      <c r="Y907" s="235"/>
      <c r="Z907" s="233">
        <f>DATABASE_Table[[#This Row],[Sell price (Total)]]-DATABASE_Table[[#This Row],[FF&amp;E]]-DATABASE_Table[[#This Row],[Vista membership]]</f>
        <v>-60000</v>
      </c>
      <c r="AA907" s="315"/>
      <c r="AB907" s="321">
        <v>47118</v>
      </c>
      <c r="AC907" s="198" t="s">
        <v>80</v>
      </c>
      <c r="AD907" s="198" t="s">
        <v>81</v>
      </c>
      <c r="AE907" s="279" t="s">
        <v>82</v>
      </c>
      <c r="AF907" s="279" t="s">
        <v>83</v>
      </c>
      <c r="AG907" s="279" t="s">
        <v>84</v>
      </c>
      <c r="AH907" s="279" t="s">
        <v>85</v>
      </c>
      <c r="AI907" s="198" t="s">
        <v>86</v>
      </c>
      <c r="AJ907" s="274" t="s">
        <v>78</v>
      </c>
      <c r="AK907"/>
    </row>
    <row r="908" spans="1:37" ht="15.75" hidden="1" customHeight="1">
      <c r="A908" s="198" t="s">
        <v>782</v>
      </c>
      <c r="B908" s="198" t="s">
        <v>786</v>
      </c>
      <c r="C908" s="214" t="s">
        <v>308</v>
      </c>
      <c r="D908" s="198" t="s">
        <v>79</v>
      </c>
      <c r="E908" s="198" t="s">
        <v>324</v>
      </c>
      <c r="F908" s="198">
        <v>299.39999999999998</v>
      </c>
      <c r="G908" s="198"/>
      <c r="H908" s="214" t="s">
        <v>848</v>
      </c>
      <c r="I908" s="214" t="s">
        <v>848</v>
      </c>
      <c r="J908" s="271"/>
      <c r="K908" s="198"/>
      <c r="L908" s="198"/>
      <c r="M908" s="198">
        <v>78</v>
      </c>
      <c r="N908" s="198">
        <v>36</v>
      </c>
      <c r="O908" s="198">
        <v>185.4</v>
      </c>
      <c r="P908" s="198"/>
      <c r="Q908" s="198" t="s">
        <v>329</v>
      </c>
      <c r="R908" s="230">
        <f>DATABASE_Table[[#This Row],[Inicial Asking Price (€) (Total)]]-DATABASE_Table[[#This Row],[Vista membership]]-DATABASE_Table[[#This Row],[FF&amp;E]]</f>
        <v>1535000</v>
      </c>
      <c r="S908" s="234">
        <v>1595000</v>
      </c>
      <c r="T908" s="235">
        <v>1595000</v>
      </c>
      <c r="U908" s="198"/>
      <c r="V908" s="235">
        <v>60000</v>
      </c>
      <c r="W908" s="233">
        <f>DATABASE_Table[[#This Row],[Current Asking price( Total)]]-DATABASE_Table[[#This Row],[Vista membership]]-DATABASE_Table[[#This Row],[FF&amp;E]]</f>
        <v>1535000</v>
      </c>
      <c r="X908" s="236"/>
      <c r="Y908" s="235"/>
      <c r="Z908" s="233">
        <f>DATABASE_Table[[#This Row],[Sell price (Total)]]-DATABASE_Table[[#This Row],[FF&amp;E]]-DATABASE_Table[[#This Row],[Vista membership]]</f>
        <v>-60000</v>
      </c>
      <c r="AA908" s="315"/>
      <c r="AB908" s="321">
        <v>47118</v>
      </c>
      <c r="AC908" s="198" t="s">
        <v>80</v>
      </c>
      <c r="AD908" s="198" t="s">
        <v>81</v>
      </c>
      <c r="AE908" s="279" t="s">
        <v>82</v>
      </c>
      <c r="AF908" s="279" t="s">
        <v>83</v>
      </c>
      <c r="AG908" s="279" t="s">
        <v>84</v>
      </c>
      <c r="AH908" s="279" t="s">
        <v>85</v>
      </c>
      <c r="AI908" s="198" t="s">
        <v>86</v>
      </c>
      <c r="AJ908" s="274" t="s">
        <v>78</v>
      </c>
      <c r="AK908"/>
    </row>
    <row r="909" spans="1:37" ht="15.75" hidden="1" customHeight="1">
      <c r="A909" s="198" t="s">
        <v>782</v>
      </c>
      <c r="B909" s="198" t="s">
        <v>786</v>
      </c>
      <c r="C909" s="214" t="s">
        <v>309</v>
      </c>
      <c r="D909" s="198" t="s">
        <v>79</v>
      </c>
      <c r="E909" s="198" t="s">
        <v>320</v>
      </c>
      <c r="F909" s="198">
        <v>299.39999999999998</v>
      </c>
      <c r="G909" s="198"/>
      <c r="H909" s="214" t="s">
        <v>848</v>
      </c>
      <c r="I909" s="214" t="s">
        <v>848</v>
      </c>
      <c r="J909" s="271"/>
      <c r="K909" s="198"/>
      <c r="L909" s="198"/>
      <c r="M909" s="198">
        <v>78</v>
      </c>
      <c r="N909" s="198">
        <v>36</v>
      </c>
      <c r="O909" s="198">
        <v>185.4</v>
      </c>
      <c r="P909" s="198"/>
      <c r="Q909" s="198" t="s">
        <v>329</v>
      </c>
      <c r="R909" s="230">
        <f>DATABASE_Table[[#This Row],[Inicial Asking Price (€) (Total)]]-DATABASE_Table[[#This Row],[Vista membership]]-DATABASE_Table[[#This Row],[FF&amp;E]]</f>
        <v>1535000</v>
      </c>
      <c r="S909" s="234">
        <v>1595000</v>
      </c>
      <c r="T909" s="235">
        <v>1595000</v>
      </c>
      <c r="U909" s="198"/>
      <c r="V909" s="235">
        <v>60000</v>
      </c>
      <c r="W909" s="233">
        <f>DATABASE_Table[[#This Row],[Current Asking price( Total)]]-DATABASE_Table[[#This Row],[Vista membership]]-DATABASE_Table[[#This Row],[FF&amp;E]]</f>
        <v>1535000</v>
      </c>
      <c r="X909" s="236"/>
      <c r="Y909" s="235"/>
      <c r="Z909" s="233">
        <f>DATABASE_Table[[#This Row],[Sell price (Total)]]-DATABASE_Table[[#This Row],[FF&amp;E]]-DATABASE_Table[[#This Row],[Vista membership]]</f>
        <v>-60000</v>
      </c>
      <c r="AA909" s="315"/>
      <c r="AB909" s="321">
        <v>47118</v>
      </c>
      <c r="AC909" s="198" t="s">
        <v>80</v>
      </c>
      <c r="AD909" s="198" t="s">
        <v>81</v>
      </c>
      <c r="AE909" s="279" t="s">
        <v>82</v>
      </c>
      <c r="AF909" s="279" t="s">
        <v>83</v>
      </c>
      <c r="AG909" s="279" t="s">
        <v>84</v>
      </c>
      <c r="AH909" s="279" t="s">
        <v>85</v>
      </c>
      <c r="AI909" s="198" t="s">
        <v>86</v>
      </c>
      <c r="AJ909" s="274" t="s">
        <v>78</v>
      </c>
      <c r="AK909"/>
    </row>
    <row r="910" spans="1:37" ht="15.75" hidden="1" customHeight="1">
      <c r="A910" s="198" t="s">
        <v>782</v>
      </c>
      <c r="B910" s="198" t="s">
        <v>786</v>
      </c>
      <c r="C910" s="214" t="s">
        <v>310</v>
      </c>
      <c r="D910" s="198" t="s">
        <v>79</v>
      </c>
      <c r="E910" s="198" t="s">
        <v>320</v>
      </c>
      <c r="F910" s="198">
        <v>299.39999999999998</v>
      </c>
      <c r="G910" s="198"/>
      <c r="H910" s="214" t="s">
        <v>848</v>
      </c>
      <c r="I910" s="214" t="s">
        <v>848</v>
      </c>
      <c r="J910" s="271"/>
      <c r="K910" s="198"/>
      <c r="L910" s="198"/>
      <c r="M910" s="198">
        <v>78</v>
      </c>
      <c r="N910" s="198">
        <v>36</v>
      </c>
      <c r="O910" s="198">
        <v>185.4</v>
      </c>
      <c r="P910" s="198"/>
      <c r="Q910" s="198" t="s">
        <v>329</v>
      </c>
      <c r="R910" s="230">
        <f>DATABASE_Table[[#This Row],[Inicial Asking Price (€) (Total)]]-DATABASE_Table[[#This Row],[Vista membership]]-DATABASE_Table[[#This Row],[FF&amp;E]]</f>
        <v>1535000</v>
      </c>
      <c r="S910" s="234">
        <v>1595000</v>
      </c>
      <c r="T910" s="235">
        <v>1595000</v>
      </c>
      <c r="U910" s="198"/>
      <c r="V910" s="235">
        <v>60000</v>
      </c>
      <c r="W910" s="233">
        <f>DATABASE_Table[[#This Row],[Current Asking price( Total)]]-DATABASE_Table[[#This Row],[Vista membership]]-DATABASE_Table[[#This Row],[FF&amp;E]]</f>
        <v>1535000</v>
      </c>
      <c r="X910" s="236"/>
      <c r="Y910" s="235"/>
      <c r="Z910" s="233">
        <f>DATABASE_Table[[#This Row],[Sell price (Total)]]-DATABASE_Table[[#This Row],[FF&amp;E]]-DATABASE_Table[[#This Row],[Vista membership]]</f>
        <v>-60000</v>
      </c>
      <c r="AA910" s="315"/>
      <c r="AB910" s="321">
        <v>47118</v>
      </c>
      <c r="AC910" s="198" t="s">
        <v>80</v>
      </c>
      <c r="AD910" s="198" t="s">
        <v>81</v>
      </c>
      <c r="AE910" s="279" t="s">
        <v>82</v>
      </c>
      <c r="AF910" s="279" t="s">
        <v>83</v>
      </c>
      <c r="AG910" s="279" t="s">
        <v>84</v>
      </c>
      <c r="AH910" s="279" t="s">
        <v>85</v>
      </c>
      <c r="AI910" s="198" t="s">
        <v>86</v>
      </c>
      <c r="AJ910" s="274" t="s">
        <v>78</v>
      </c>
      <c r="AK910"/>
    </row>
    <row r="911" spans="1:37" ht="15.75" hidden="1" customHeight="1">
      <c r="A911" s="198" t="s">
        <v>782</v>
      </c>
      <c r="B911" s="198" t="s">
        <v>786</v>
      </c>
      <c r="C911" s="214" t="s">
        <v>291</v>
      </c>
      <c r="D911" s="198" t="s">
        <v>79</v>
      </c>
      <c r="E911" s="198" t="s">
        <v>320</v>
      </c>
      <c r="F911" s="198">
        <v>287</v>
      </c>
      <c r="G911" s="198"/>
      <c r="H911" s="214" t="s">
        <v>848</v>
      </c>
      <c r="I911" s="214" t="s">
        <v>848</v>
      </c>
      <c r="J911" s="271"/>
      <c r="K911" s="198"/>
      <c r="L911" s="198"/>
      <c r="M911" s="198">
        <v>72</v>
      </c>
      <c r="N911" s="198">
        <v>25</v>
      </c>
      <c r="O911" s="198">
        <v>190</v>
      </c>
      <c r="P911" s="198"/>
      <c r="Q911" s="198" t="s">
        <v>329</v>
      </c>
      <c r="R911" s="230">
        <f>DATABASE_Table[[#This Row],[Inicial Asking Price (€) (Total)]]-DATABASE_Table[[#This Row],[Vista membership]]-DATABASE_Table[[#This Row],[FF&amp;E]]</f>
        <v>1540000</v>
      </c>
      <c r="S911" s="234">
        <v>1600000</v>
      </c>
      <c r="T911" s="235">
        <v>1600000</v>
      </c>
      <c r="U911" s="198"/>
      <c r="V911" s="235">
        <v>60000</v>
      </c>
      <c r="W911" s="233">
        <f>DATABASE_Table[[#This Row],[Current Asking price( Total)]]-DATABASE_Table[[#This Row],[Vista membership]]-DATABASE_Table[[#This Row],[FF&amp;E]]</f>
        <v>1540000</v>
      </c>
      <c r="X911" s="236"/>
      <c r="Y911" s="235"/>
      <c r="Z911" s="233">
        <f>DATABASE_Table[[#This Row],[Sell price (Total)]]-DATABASE_Table[[#This Row],[FF&amp;E]]-DATABASE_Table[[#This Row],[Vista membership]]</f>
        <v>-60000</v>
      </c>
      <c r="AA911" s="315"/>
      <c r="AB911" s="321">
        <v>47118</v>
      </c>
      <c r="AC911" s="198" t="s">
        <v>80</v>
      </c>
      <c r="AD911" s="198" t="s">
        <v>81</v>
      </c>
      <c r="AE911" s="279" t="s">
        <v>82</v>
      </c>
      <c r="AF911" s="279" t="s">
        <v>83</v>
      </c>
      <c r="AG911" s="279" t="s">
        <v>84</v>
      </c>
      <c r="AH911" s="279" t="s">
        <v>85</v>
      </c>
      <c r="AI911" s="198" t="s">
        <v>86</v>
      </c>
      <c r="AJ911" s="274" t="s">
        <v>78</v>
      </c>
      <c r="AK911"/>
    </row>
    <row r="912" spans="1:37" ht="15.75" hidden="1" customHeight="1">
      <c r="A912" s="198" t="s">
        <v>561</v>
      </c>
      <c r="B912" s="198" t="s">
        <v>691</v>
      </c>
      <c r="C912" s="214" t="s">
        <v>346</v>
      </c>
      <c r="D912" s="198" t="s">
        <v>9</v>
      </c>
      <c r="E912" s="198" t="s">
        <v>383</v>
      </c>
      <c r="F912" s="198">
        <v>192.99</v>
      </c>
      <c r="G912" s="198"/>
      <c r="H912" s="214" t="s">
        <v>325</v>
      </c>
      <c r="I912" s="214" t="s">
        <v>325</v>
      </c>
      <c r="J912" s="271"/>
      <c r="K912" s="198"/>
      <c r="L912" s="198"/>
      <c r="M912" s="198"/>
      <c r="N912" s="198"/>
      <c r="O912" s="198">
        <v>192.99</v>
      </c>
      <c r="P912" s="198"/>
      <c r="Q912" s="198" t="s">
        <v>329</v>
      </c>
      <c r="R912" s="230">
        <f>DATABASE_Table[[#This Row],[Inicial Asking Price (€) (Total)]]-DATABASE_Table[[#This Row],[Vista membership]]-DATABASE_Table[[#This Row],[FF&amp;E]]</f>
        <v>1180000</v>
      </c>
      <c r="S912" s="231">
        <v>1180000</v>
      </c>
      <c r="T912" s="232">
        <v>1180000</v>
      </c>
      <c r="U912" s="198"/>
      <c r="V912" s="198"/>
      <c r="W912" s="233">
        <f>DATABASE_Table[[#This Row],[Current Asking price( Total)]]-DATABASE_Table[[#This Row],[Vista membership]]-DATABASE_Table[[#This Row],[FF&amp;E]]</f>
        <v>1180000</v>
      </c>
      <c r="X912" s="216"/>
      <c r="Y912" s="232">
        <v>1180000</v>
      </c>
      <c r="Z912" s="233">
        <f>DATABASE_Table[[#This Row],[Sell price (Total)]]-DATABASE_Table[[#This Row],[FF&amp;E]]-DATABASE_Table[[#This Row],[Vista membership]]</f>
        <v>1180000</v>
      </c>
      <c r="AA912" s="315"/>
      <c r="AB912" s="321"/>
      <c r="AC912" s="198" t="s">
        <v>10</v>
      </c>
      <c r="AD912" s="198" t="s">
        <v>802</v>
      </c>
      <c r="AE912" s="279" t="s">
        <v>17</v>
      </c>
      <c r="AF912" s="279" t="s">
        <v>18</v>
      </c>
      <c r="AG912" s="279" t="s">
        <v>19</v>
      </c>
      <c r="AH912" s="279" t="s">
        <v>20</v>
      </c>
      <c r="AI912" s="198" t="s">
        <v>21</v>
      </c>
      <c r="AJ912" s="274" t="s">
        <v>16</v>
      </c>
      <c r="AK912"/>
    </row>
    <row r="913" spans="1:37" ht="15.75" hidden="1" customHeight="1">
      <c r="A913" s="198" t="s">
        <v>558</v>
      </c>
      <c r="B913" s="198" t="s">
        <v>691</v>
      </c>
      <c r="C913" s="214" t="s">
        <v>346</v>
      </c>
      <c r="D913" s="198" t="s">
        <v>9</v>
      </c>
      <c r="E913" s="198" t="s">
        <v>319</v>
      </c>
      <c r="F913" s="198">
        <v>106.73</v>
      </c>
      <c r="G913" s="198">
        <v>3.37</v>
      </c>
      <c r="H913" s="214" t="s">
        <v>606</v>
      </c>
      <c r="I913" s="214" t="s">
        <v>325</v>
      </c>
      <c r="J913" s="271"/>
      <c r="K913" s="198"/>
      <c r="L913" s="198"/>
      <c r="M913" s="198"/>
      <c r="N913" s="198"/>
      <c r="O913" s="198">
        <v>106.73</v>
      </c>
      <c r="P913" s="198"/>
      <c r="Q913" s="198" t="s">
        <v>329</v>
      </c>
      <c r="R913" s="230">
        <f>DATABASE_Table[[#This Row],[Inicial Asking Price (€) (Total)]]-DATABASE_Table[[#This Row],[Vista membership]]-DATABASE_Table[[#This Row],[FF&amp;E]]</f>
        <v>680000</v>
      </c>
      <c r="S913" s="231">
        <v>680000</v>
      </c>
      <c r="T913" s="232">
        <v>680000</v>
      </c>
      <c r="U913" s="198"/>
      <c r="V913" s="198"/>
      <c r="W913" s="233">
        <f>DATABASE_Table[[#This Row],[Current Asking price( Total)]]-DATABASE_Table[[#This Row],[Vista membership]]-DATABASE_Table[[#This Row],[FF&amp;E]]</f>
        <v>680000</v>
      </c>
      <c r="X913" s="216"/>
      <c r="Y913" s="232">
        <v>680000</v>
      </c>
      <c r="Z913" s="233">
        <f>DATABASE_Table[[#This Row],[Sell price (Total)]]-DATABASE_Table[[#This Row],[FF&amp;E]]-DATABASE_Table[[#This Row],[Vista membership]]</f>
        <v>680000</v>
      </c>
      <c r="AA913" s="315"/>
      <c r="AB913" s="321"/>
      <c r="AC913" s="198" t="s">
        <v>10</v>
      </c>
      <c r="AD913" s="198" t="s">
        <v>11</v>
      </c>
      <c r="AE913" s="279" t="s">
        <v>12</v>
      </c>
      <c r="AF913" s="279" t="s">
        <v>801</v>
      </c>
      <c r="AG913" s="279" t="s">
        <v>13</v>
      </c>
      <c r="AH913" s="279" t="s">
        <v>14</v>
      </c>
      <c r="AI913" s="198" t="s">
        <v>15</v>
      </c>
      <c r="AJ913" s="274" t="s">
        <v>8</v>
      </c>
      <c r="AK913"/>
    </row>
    <row r="914" spans="1:37" ht="15.75" hidden="1" customHeight="1">
      <c r="A914" s="198" t="s">
        <v>782</v>
      </c>
      <c r="B914" s="198" t="s">
        <v>786</v>
      </c>
      <c r="C914" s="214" t="s">
        <v>311</v>
      </c>
      <c r="D914" s="198" t="s">
        <v>79</v>
      </c>
      <c r="E914" s="198" t="s">
        <v>324</v>
      </c>
      <c r="F914" s="198">
        <v>297.60000000000002</v>
      </c>
      <c r="G914" s="198"/>
      <c r="H914" s="214" t="s">
        <v>848</v>
      </c>
      <c r="I914" s="214" t="s">
        <v>848</v>
      </c>
      <c r="J914" s="271"/>
      <c r="K914" s="198"/>
      <c r="L914" s="198"/>
      <c r="M914" s="198">
        <v>81</v>
      </c>
      <c r="N914" s="198">
        <v>23</v>
      </c>
      <c r="O914" s="198">
        <v>193.6</v>
      </c>
      <c r="P914" s="198"/>
      <c r="Q914" s="198" t="s">
        <v>329</v>
      </c>
      <c r="R914" s="230">
        <f>DATABASE_Table[[#This Row],[Inicial Asking Price (€) (Total)]]-DATABASE_Table[[#This Row],[Vista membership]]-DATABASE_Table[[#This Row],[FF&amp;E]]</f>
        <v>1560000</v>
      </c>
      <c r="S914" s="234">
        <v>1620000</v>
      </c>
      <c r="T914" s="235">
        <v>1620000</v>
      </c>
      <c r="U914" s="198"/>
      <c r="V914" s="235">
        <v>60000</v>
      </c>
      <c r="W914" s="233">
        <f>DATABASE_Table[[#This Row],[Current Asking price( Total)]]-DATABASE_Table[[#This Row],[Vista membership]]-DATABASE_Table[[#This Row],[FF&amp;E]]</f>
        <v>1560000</v>
      </c>
      <c r="X914" s="236"/>
      <c r="Y914" s="235"/>
      <c r="Z914" s="233">
        <f>DATABASE_Table[[#This Row],[Sell price (Total)]]-DATABASE_Table[[#This Row],[FF&amp;E]]-DATABASE_Table[[#This Row],[Vista membership]]</f>
        <v>-60000</v>
      </c>
      <c r="AA914" s="315"/>
      <c r="AB914" s="321">
        <v>47118</v>
      </c>
      <c r="AC914" s="198" t="s">
        <v>80</v>
      </c>
      <c r="AD914" s="198" t="s">
        <v>81</v>
      </c>
      <c r="AE914" s="279" t="s">
        <v>82</v>
      </c>
      <c r="AF914" s="279" t="s">
        <v>83</v>
      </c>
      <c r="AG914" s="279" t="s">
        <v>84</v>
      </c>
      <c r="AH914" s="279" t="s">
        <v>85</v>
      </c>
      <c r="AI914" s="198" t="s">
        <v>86</v>
      </c>
      <c r="AJ914" s="274" t="s">
        <v>78</v>
      </c>
      <c r="AK914"/>
    </row>
    <row r="915" spans="1:37" ht="15.75" hidden="1" customHeight="1">
      <c r="A915" s="198" t="s">
        <v>776</v>
      </c>
      <c r="B915" s="198" t="s">
        <v>769</v>
      </c>
      <c r="C915" s="214" t="s">
        <v>837</v>
      </c>
      <c r="D915" s="198" t="s">
        <v>74</v>
      </c>
      <c r="E915" s="198" t="s">
        <v>553</v>
      </c>
      <c r="F915" s="198">
        <v>650</v>
      </c>
      <c r="G915" s="198"/>
      <c r="H915" s="214" t="s">
        <v>325</v>
      </c>
      <c r="I915" s="214" t="s">
        <v>325</v>
      </c>
      <c r="J915" s="271"/>
      <c r="K915" s="198"/>
      <c r="L915" s="198"/>
      <c r="M915" s="198"/>
      <c r="N915" s="198"/>
      <c r="O915" s="198">
        <v>650</v>
      </c>
      <c r="P915" s="198"/>
      <c r="Q915" s="198" t="s">
        <v>329</v>
      </c>
      <c r="R915" s="230">
        <f>DATABASE_Table[[#This Row],[Inicial Asking Price (€) (Total)]]-DATABASE_Table[[#This Row],[Vista membership]]-DATABASE_Table[[#This Row],[FF&amp;E]]</f>
        <v>1622000</v>
      </c>
      <c r="S915" s="234">
        <v>1622000</v>
      </c>
      <c r="T915" s="235">
        <v>1420000</v>
      </c>
      <c r="U915" s="198"/>
      <c r="V915" s="198"/>
      <c r="W915" s="233">
        <f>DATABASE_Table[[#This Row],[Current Asking price( Total)]]-DATABASE_Table[[#This Row],[Vista membership]]-DATABASE_Table[[#This Row],[FF&amp;E]]</f>
        <v>1420000</v>
      </c>
      <c r="X915" s="236"/>
      <c r="Y915" s="235"/>
      <c r="Z915" s="233">
        <f>DATABASE_Table[[#This Row],[Sell price (Total)]]-DATABASE_Table[[#This Row],[FF&amp;E]]-DATABASE_Table[[#This Row],[Vista membership]]</f>
        <v>0</v>
      </c>
      <c r="AA915" s="315"/>
      <c r="AB915" s="321" t="s">
        <v>32</v>
      </c>
      <c r="AC915" s="198" t="s">
        <v>57</v>
      </c>
      <c r="AD915" s="198"/>
      <c r="AE915" s="279" t="s">
        <v>75</v>
      </c>
      <c r="AF915" s="279" t="s">
        <v>554</v>
      </c>
      <c r="AG915" s="279" t="s">
        <v>76</v>
      </c>
      <c r="AH915" s="279" t="s">
        <v>77</v>
      </c>
      <c r="AI915" s="198" t="s">
        <v>32</v>
      </c>
      <c r="AJ915" s="274" t="s">
        <v>73</v>
      </c>
      <c r="AK915"/>
    </row>
    <row r="916" spans="1:37" ht="15.75" hidden="1" customHeight="1">
      <c r="A916" s="198" t="s">
        <v>776</v>
      </c>
      <c r="B916" s="198" t="s">
        <v>769</v>
      </c>
      <c r="C916" s="214" t="s">
        <v>836</v>
      </c>
      <c r="D916" s="198" t="s">
        <v>74</v>
      </c>
      <c r="E916" s="198" t="s">
        <v>553</v>
      </c>
      <c r="F916" s="198">
        <v>650</v>
      </c>
      <c r="G916" s="198"/>
      <c r="H916" s="214" t="s">
        <v>325</v>
      </c>
      <c r="I916" s="214" t="s">
        <v>325</v>
      </c>
      <c r="J916" s="271"/>
      <c r="K916" s="198"/>
      <c r="L916" s="198"/>
      <c r="M916" s="198"/>
      <c r="N916" s="198"/>
      <c r="O916" s="198">
        <v>650</v>
      </c>
      <c r="P916" s="198"/>
      <c r="Q916" s="198" t="s">
        <v>329</v>
      </c>
      <c r="R916" s="230">
        <f>DATABASE_Table[[#This Row],[Inicial Asking Price (€) (Total)]]-DATABASE_Table[[#This Row],[Vista membership]]-DATABASE_Table[[#This Row],[FF&amp;E]]</f>
        <v>1633000</v>
      </c>
      <c r="S916" s="234">
        <v>1633000</v>
      </c>
      <c r="T916" s="235">
        <v>1420000</v>
      </c>
      <c r="U916" s="198"/>
      <c r="V916" s="198"/>
      <c r="W916" s="233">
        <f>DATABASE_Table[[#This Row],[Current Asking price( Total)]]-DATABASE_Table[[#This Row],[Vista membership]]-DATABASE_Table[[#This Row],[FF&amp;E]]</f>
        <v>1420000</v>
      </c>
      <c r="X916" s="236"/>
      <c r="Y916" s="235"/>
      <c r="Z916" s="233">
        <f>DATABASE_Table[[#This Row],[Sell price (Total)]]-DATABASE_Table[[#This Row],[FF&amp;E]]-DATABASE_Table[[#This Row],[Vista membership]]</f>
        <v>0</v>
      </c>
      <c r="AA916" s="315"/>
      <c r="AB916" s="321" t="s">
        <v>32</v>
      </c>
      <c r="AC916" s="198" t="s">
        <v>57</v>
      </c>
      <c r="AD916" s="198"/>
      <c r="AE916" s="279" t="s">
        <v>75</v>
      </c>
      <c r="AF916" s="279" t="s">
        <v>554</v>
      </c>
      <c r="AG916" s="279" t="s">
        <v>76</v>
      </c>
      <c r="AH916" s="279" t="s">
        <v>77</v>
      </c>
      <c r="AI916" s="198" t="s">
        <v>32</v>
      </c>
      <c r="AJ916" s="274" t="s">
        <v>73</v>
      </c>
      <c r="AK916"/>
    </row>
    <row r="917" spans="1:37" ht="15.75" hidden="1" customHeight="1">
      <c r="A917" s="198" t="s">
        <v>31</v>
      </c>
      <c r="B917" s="198" t="s">
        <v>691</v>
      </c>
      <c r="C917" s="214" t="s">
        <v>346</v>
      </c>
      <c r="D917" s="198" t="s">
        <v>9</v>
      </c>
      <c r="E917" s="198" t="s">
        <v>320</v>
      </c>
      <c r="F917" s="198"/>
      <c r="G917" s="198"/>
      <c r="H917" s="214" t="s">
        <v>325</v>
      </c>
      <c r="I917" s="214" t="s">
        <v>325</v>
      </c>
      <c r="J917" s="271"/>
      <c r="K917" s="198">
        <v>77</v>
      </c>
      <c r="L917" s="198"/>
      <c r="M917" s="198">
        <v>0</v>
      </c>
      <c r="N917" s="198"/>
      <c r="O917" s="198">
        <v>139</v>
      </c>
      <c r="P917" s="198"/>
      <c r="Q917" s="198" t="s">
        <v>628</v>
      </c>
      <c r="R917" s="230">
        <f>DATABASE_Table[[#This Row],[Inicial Asking Price (€) (Total)]]-DATABASE_Table[[#This Row],[Vista membership]]-DATABASE_Table[[#This Row],[FF&amp;E]]</f>
        <v>900000</v>
      </c>
      <c r="S917" s="232">
        <v>900000</v>
      </c>
      <c r="T917" s="232">
        <v>900000</v>
      </c>
      <c r="U917" s="198"/>
      <c r="V917" s="198"/>
      <c r="W917" s="233">
        <f>DATABASE_Table[[#This Row],[Current Asking price( Total)]]-DATABASE_Table[[#This Row],[Vista membership]]-DATABASE_Table[[#This Row],[FF&amp;E]]</f>
        <v>900000</v>
      </c>
      <c r="X917" s="216">
        <v>0</v>
      </c>
      <c r="Y917" s="232">
        <v>900000</v>
      </c>
      <c r="Z917" s="233">
        <f>DATABASE_Table[[#This Row],[Sell price (Total)]]-DATABASE_Table[[#This Row],[FF&amp;E]]-DATABASE_Table[[#This Row],[Vista membership]]</f>
        <v>900000</v>
      </c>
      <c r="AA917" s="317">
        <v>46178</v>
      </c>
      <c r="AB917" s="321"/>
      <c r="AC917" s="198" t="s">
        <v>10</v>
      </c>
      <c r="AD917" s="198" t="s">
        <v>807</v>
      </c>
      <c r="AE917" s="279" t="s">
        <v>32</v>
      </c>
      <c r="AF917" s="279" t="s">
        <v>808</v>
      </c>
      <c r="AG917" s="279" t="s">
        <v>33</v>
      </c>
      <c r="AH917" s="279" t="s">
        <v>809</v>
      </c>
      <c r="AI917" s="198" t="s">
        <v>15</v>
      </c>
      <c r="AJ917" s="274" t="s">
        <v>31</v>
      </c>
      <c r="AK917"/>
    </row>
    <row r="918" spans="1:37" ht="15.75" hidden="1" customHeight="1">
      <c r="A918" s="198" t="s">
        <v>690</v>
      </c>
      <c r="B918" s="198" t="s">
        <v>691</v>
      </c>
      <c r="C918" s="214" t="s">
        <v>346</v>
      </c>
      <c r="D918" s="198" t="s">
        <v>9</v>
      </c>
      <c r="E918" s="198" t="s">
        <v>762</v>
      </c>
      <c r="F918" s="198">
        <v>406.88</v>
      </c>
      <c r="G918" s="198">
        <v>165.79</v>
      </c>
      <c r="H918" s="214" t="s">
        <v>325</v>
      </c>
      <c r="I918" s="214" t="s">
        <v>325</v>
      </c>
      <c r="J918" s="271">
        <v>19.649999999999999</v>
      </c>
      <c r="K918" s="198"/>
      <c r="L918" s="198"/>
      <c r="M918" s="198"/>
      <c r="N918" s="198"/>
      <c r="O918" s="198">
        <v>221.44</v>
      </c>
      <c r="P918" s="198"/>
      <c r="Q918" s="198" t="s">
        <v>329</v>
      </c>
      <c r="R918" s="230">
        <f>DATABASE_Table[[#This Row],[Inicial Asking Price (€) (Total)]]-DATABASE_Table[[#This Row],[Vista membership]]-DATABASE_Table[[#This Row],[FF&amp;E]]</f>
        <v>3114600</v>
      </c>
      <c r="S918" s="231">
        <v>3222300</v>
      </c>
      <c r="T918" s="232">
        <v>3330000</v>
      </c>
      <c r="U918" s="198">
        <v>24600</v>
      </c>
      <c r="V918" s="198">
        <v>83100</v>
      </c>
      <c r="W918" s="233">
        <f>DATABASE_Table[[#This Row],[Current Asking price( Total)]]-DATABASE_Table[[#This Row],[Vista membership]]-DATABASE_Table[[#This Row],[FF&amp;E]]</f>
        <v>3222300</v>
      </c>
      <c r="X918" s="216"/>
      <c r="Y918" s="232">
        <v>3330000</v>
      </c>
      <c r="Z918" s="233">
        <f>DATABASE_Table[[#This Row],[Sell price (Total)]]-DATABASE_Table[[#This Row],[FF&amp;E]]-DATABASE_Table[[#This Row],[Vista membership]]</f>
        <v>3222300</v>
      </c>
      <c r="AA918" s="315"/>
      <c r="AB918" s="321"/>
      <c r="AC918" s="198" t="s">
        <v>10</v>
      </c>
      <c r="AD918" s="198" t="s">
        <v>35</v>
      </c>
      <c r="AE918" s="279" t="s">
        <v>38</v>
      </c>
      <c r="AF918" s="279" t="s">
        <v>39</v>
      </c>
      <c r="AG918" s="279" t="s">
        <v>40</v>
      </c>
      <c r="AH918" s="279" t="s">
        <v>810</v>
      </c>
      <c r="AI918" s="198" t="s">
        <v>41</v>
      </c>
      <c r="AJ918" s="274" t="s">
        <v>37</v>
      </c>
      <c r="AK918"/>
    </row>
    <row r="919" spans="1:37" ht="15.75" hidden="1" customHeight="1">
      <c r="A919" s="198" t="s">
        <v>563</v>
      </c>
      <c r="B919" s="198" t="s">
        <v>691</v>
      </c>
      <c r="C919" s="214" t="s">
        <v>346</v>
      </c>
      <c r="D919" s="198" t="s">
        <v>9</v>
      </c>
      <c r="E919" s="198" t="s">
        <v>319</v>
      </c>
      <c r="F919" s="198">
        <v>78.3</v>
      </c>
      <c r="G919" s="198"/>
      <c r="H919" s="214" t="s">
        <v>325</v>
      </c>
      <c r="I919" s="214" t="s">
        <v>325</v>
      </c>
      <c r="J919" s="271"/>
      <c r="K919" s="198"/>
      <c r="L919" s="198"/>
      <c r="M919" s="198"/>
      <c r="N919" s="198"/>
      <c r="O919" s="198">
        <v>78.3</v>
      </c>
      <c r="P919" s="198"/>
      <c r="Q919" s="198" t="s">
        <v>628</v>
      </c>
      <c r="R919" s="230">
        <f>DATABASE_Table[[#This Row],[Inicial Asking Price (€) (Total)]]-DATABASE_Table[[#This Row],[Vista membership]]-DATABASE_Table[[#This Row],[FF&amp;E]]</f>
        <v>440000</v>
      </c>
      <c r="S919" s="231">
        <v>440000</v>
      </c>
      <c r="T919" s="232">
        <v>418000</v>
      </c>
      <c r="U919" s="198"/>
      <c r="V919" s="198"/>
      <c r="W919" s="233">
        <f>DATABASE_Table[[#This Row],[Current Asking price( Total)]]-DATABASE_Table[[#This Row],[Vista membership]]-DATABASE_Table[[#This Row],[FF&amp;E]]</f>
        <v>418000</v>
      </c>
      <c r="X919" s="216">
        <v>-5.2631578947368397E-2</v>
      </c>
      <c r="Y919" s="232">
        <v>440000</v>
      </c>
      <c r="Z919" s="233">
        <f>DATABASE_Table[[#This Row],[Sell price (Total)]]-DATABASE_Table[[#This Row],[FF&amp;E]]-DATABASE_Table[[#This Row],[Vista membership]]</f>
        <v>440000</v>
      </c>
      <c r="AA919" s="316">
        <v>45866</v>
      </c>
      <c r="AB919" s="321"/>
      <c r="AC919" s="198" t="s">
        <v>10</v>
      </c>
      <c r="AD919" s="198" t="s">
        <v>11</v>
      </c>
      <c r="AE919" s="279" t="s">
        <v>28</v>
      </c>
      <c r="AF919" s="279" t="s">
        <v>29</v>
      </c>
      <c r="AG919" s="279" t="s">
        <v>805</v>
      </c>
      <c r="AH919" s="279" t="s">
        <v>806</v>
      </c>
      <c r="AI919" s="198" t="s">
        <v>30</v>
      </c>
      <c r="AJ919" s="274" t="s">
        <v>27</v>
      </c>
      <c r="AK919"/>
    </row>
    <row r="920" spans="1:37" ht="15.75" hidden="1" customHeight="1">
      <c r="A920" s="198" t="s">
        <v>777</v>
      </c>
      <c r="B920" s="198" t="s">
        <v>769</v>
      </c>
      <c r="C920" s="214" t="s">
        <v>854</v>
      </c>
      <c r="D920" s="198" t="s">
        <v>74</v>
      </c>
      <c r="E920" s="198" t="s">
        <v>553</v>
      </c>
      <c r="F920" s="198">
        <v>500</v>
      </c>
      <c r="G920" s="198"/>
      <c r="H920" s="214" t="s">
        <v>325</v>
      </c>
      <c r="I920" s="214" t="s">
        <v>325</v>
      </c>
      <c r="J920" s="271"/>
      <c r="K920" s="198"/>
      <c r="L920" s="198"/>
      <c r="M920" s="198"/>
      <c r="N920" s="198"/>
      <c r="O920" s="198">
        <v>500</v>
      </c>
      <c r="P920" s="198"/>
      <c r="Q920" s="198" t="s">
        <v>329</v>
      </c>
      <c r="R920" s="230">
        <f>DATABASE_Table[[#This Row],[Inicial Asking Price (€) (Total)]]-DATABASE_Table[[#This Row],[Vista membership]]-DATABASE_Table[[#This Row],[FF&amp;E]]</f>
        <v>1648000</v>
      </c>
      <c r="S920" s="234">
        <v>1648000</v>
      </c>
      <c r="T920" s="235">
        <v>1190000</v>
      </c>
      <c r="U920" s="198"/>
      <c r="V920" s="198"/>
      <c r="W920" s="233">
        <f>DATABASE_Table[[#This Row],[Current Asking price( Total)]]-DATABASE_Table[[#This Row],[Vista membership]]-DATABASE_Table[[#This Row],[FF&amp;E]]</f>
        <v>1190000</v>
      </c>
      <c r="X920" s="236"/>
      <c r="Y920" s="235"/>
      <c r="Z920" s="233">
        <f>DATABASE_Table[[#This Row],[Sell price (Total)]]-DATABASE_Table[[#This Row],[FF&amp;E]]-DATABASE_Table[[#This Row],[Vista membership]]</f>
        <v>0</v>
      </c>
      <c r="AA920" s="315"/>
      <c r="AB920" s="321" t="s">
        <v>32</v>
      </c>
      <c r="AC920" s="198" t="s">
        <v>57</v>
      </c>
      <c r="AD920" s="198"/>
      <c r="AE920" s="279" t="s">
        <v>75</v>
      </c>
      <c r="AF920" s="279" t="s">
        <v>554</v>
      </c>
      <c r="AG920" s="279" t="s">
        <v>76</v>
      </c>
      <c r="AH920" s="279" t="s">
        <v>77</v>
      </c>
      <c r="AI920" s="198" t="s">
        <v>32</v>
      </c>
      <c r="AJ920" s="274" t="s">
        <v>73</v>
      </c>
      <c r="AK920"/>
    </row>
    <row r="921" spans="1:37" ht="15.75" hidden="1" customHeight="1">
      <c r="A921" s="198" t="s">
        <v>562</v>
      </c>
      <c r="B921" s="198" t="s">
        <v>691</v>
      </c>
      <c r="C921" s="214" t="s">
        <v>346</v>
      </c>
      <c r="D921" s="198" t="s">
        <v>9</v>
      </c>
      <c r="E921" s="198" t="s">
        <v>319</v>
      </c>
      <c r="F921" s="198">
        <v>111</v>
      </c>
      <c r="G921" s="198"/>
      <c r="H921" s="214" t="s">
        <v>325</v>
      </c>
      <c r="I921" s="214" t="s">
        <v>325</v>
      </c>
      <c r="J921" s="271"/>
      <c r="K921" s="198"/>
      <c r="L921" s="198"/>
      <c r="M921" s="198"/>
      <c r="N921" s="198"/>
      <c r="O921" s="198">
        <v>111</v>
      </c>
      <c r="P921" s="198"/>
      <c r="Q921" s="198" t="s">
        <v>929</v>
      </c>
      <c r="R921" s="230">
        <f>DATABASE_Table[[#This Row],[Inicial Asking Price (€) (Total)]]-DATABASE_Table[[#This Row],[Vista membership]]-DATABASE_Table[[#This Row],[FF&amp;E]]</f>
        <v>620000</v>
      </c>
      <c r="S921" s="231">
        <v>620000</v>
      </c>
      <c r="T921" s="232">
        <v>650000</v>
      </c>
      <c r="U921" s="198"/>
      <c r="V921" s="198"/>
      <c r="W921" s="233">
        <f>DATABASE_Table[[#This Row],[Current Asking price( Total)]]-DATABASE_Table[[#This Row],[Vista membership]]-DATABASE_Table[[#This Row],[FF&amp;E]]</f>
        <v>650000</v>
      </c>
      <c r="X921" s="216">
        <v>0</v>
      </c>
      <c r="Y921" s="232">
        <v>650000</v>
      </c>
      <c r="Z921" s="233">
        <f>DATABASE_Table[[#This Row],[Sell price (Total)]]-DATABASE_Table[[#This Row],[FF&amp;E]]-DATABASE_Table[[#This Row],[Vista membership]]</f>
        <v>650000</v>
      </c>
      <c r="AA921" s="315">
        <v>45420</v>
      </c>
      <c r="AB921" s="321"/>
      <c r="AC921" s="198" t="s">
        <v>10</v>
      </c>
      <c r="AD921" s="198" t="s">
        <v>23</v>
      </c>
      <c r="AE921" s="279" t="s">
        <v>24</v>
      </c>
      <c r="AF921" s="279" t="s">
        <v>803</v>
      </c>
      <c r="AG921" s="279" t="s">
        <v>25</v>
      </c>
      <c r="AH921" s="279" t="s">
        <v>804</v>
      </c>
      <c r="AI921" s="198" t="s">
        <v>26</v>
      </c>
      <c r="AJ921" s="274" t="s">
        <v>22</v>
      </c>
      <c r="AK921"/>
    </row>
    <row r="922" spans="1:37" ht="15.75" hidden="1" customHeight="1">
      <c r="A922" s="198" t="s">
        <v>689</v>
      </c>
      <c r="B922" s="198" t="s">
        <v>691</v>
      </c>
      <c r="C922" s="214" t="s">
        <v>346</v>
      </c>
      <c r="D922" s="198"/>
      <c r="E922" s="198" t="s">
        <v>384</v>
      </c>
      <c r="F922" s="198">
        <v>156.83949999999999</v>
      </c>
      <c r="G922" s="198"/>
      <c r="H922" s="214" t="s">
        <v>325</v>
      </c>
      <c r="I922" s="214" t="s">
        <v>325</v>
      </c>
      <c r="J922" s="271"/>
      <c r="K922" s="198"/>
      <c r="L922" s="198"/>
      <c r="M922" s="198"/>
      <c r="N922" s="198"/>
      <c r="O922" s="198">
        <v>156.83949999999999</v>
      </c>
      <c r="P922" s="198"/>
      <c r="Q922" s="198" t="s">
        <v>929</v>
      </c>
      <c r="R922" s="230">
        <f>DATABASE_Table[[#This Row],[Inicial Asking Price (€) (Total)]]-DATABASE_Table[[#This Row],[Vista membership]]-DATABASE_Table[[#This Row],[FF&amp;E]]</f>
        <v>1009050</v>
      </c>
      <c r="S922" s="231">
        <v>1009050</v>
      </c>
      <c r="T922" s="232">
        <v>1060000</v>
      </c>
      <c r="U922" s="198"/>
      <c r="V922" s="198"/>
      <c r="W922" s="233">
        <f>DATABASE_Table[[#This Row],[Current Asking price( Total)]]-DATABASE_Table[[#This Row],[Vista membership]]-DATABASE_Table[[#This Row],[FF&amp;E]]</f>
        <v>1060000</v>
      </c>
      <c r="X922" s="216">
        <v>0</v>
      </c>
      <c r="Y922" s="232">
        <v>1060000</v>
      </c>
      <c r="Z922" s="233">
        <f>DATABASE_Table[[#This Row],[Sell price (Total)]]-DATABASE_Table[[#This Row],[FF&amp;E]]-DATABASE_Table[[#This Row],[Vista membership]]</f>
        <v>1060000</v>
      </c>
      <c r="AA922" s="315">
        <v>45021</v>
      </c>
      <c r="AB922" s="321"/>
      <c r="AC922" s="198"/>
      <c r="AD922" s="198"/>
      <c r="AE922" s="279"/>
      <c r="AF922" s="279"/>
      <c r="AG922" s="279"/>
      <c r="AH922" s="279"/>
      <c r="AI922" s="198"/>
      <c r="AJ922" s="274" t="s">
        <v>689</v>
      </c>
      <c r="AK922"/>
    </row>
    <row r="923" spans="1:37" ht="15.75" hidden="1" customHeight="1">
      <c r="A923" s="198" t="s">
        <v>564</v>
      </c>
      <c r="B923" s="198" t="s">
        <v>691</v>
      </c>
      <c r="C923" s="214" t="s">
        <v>346</v>
      </c>
      <c r="D923" s="198" t="s">
        <v>9</v>
      </c>
      <c r="E923" s="198" t="s">
        <v>319</v>
      </c>
      <c r="F923" s="198">
        <v>117.28</v>
      </c>
      <c r="G923" s="198"/>
      <c r="H923" s="214" t="s">
        <v>325</v>
      </c>
      <c r="I923" s="214" t="s">
        <v>325</v>
      </c>
      <c r="J923" s="271">
        <v>28.67</v>
      </c>
      <c r="K923" s="198"/>
      <c r="L923" s="198"/>
      <c r="M923" s="198"/>
      <c r="N923" s="198"/>
      <c r="O923" s="198">
        <v>88.61</v>
      </c>
      <c r="P923" s="198"/>
      <c r="Q923" s="198" t="s">
        <v>329</v>
      </c>
      <c r="R923" s="230">
        <f>DATABASE_Table[[#This Row],[Inicial Asking Price (€) (Total)]]-DATABASE_Table[[#This Row],[Vista membership]]-DATABASE_Table[[#This Row],[FF&amp;E]]</f>
        <v>666659.88</v>
      </c>
      <c r="S923" s="231">
        <v>731259.88</v>
      </c>
      <c r="T923" s="232">
        <v>800000</v>
      </c>
      <c r="U923" s="198">
        <v>24600</v>
      </c>
      <c r="V923" s="198">
        <v>40000</v>
      </c>
      <c r="W923" s="233">
        <f>DATABASE_Table[[#This Row],[Current Asking price( Total)]]-DATABASE_Table[[#This Row],[Vista membership]]-DATABASE_Table[[#This Row],[FF&amp;E]]</f>
        <v>735400</v>
      </c>
      <c r="X923" s="216"/>
      <c r="Y923" s="232">
        <v>800000</v>
      </c>
      <c r="Z923" s="233">
        <f>DATABASE_Table[[#This Row],[Sell price (Total)]]-DATABASE_Table[[#This Row],[FF&amp;E]]-DATABASE_Table[[#This Row],[Vista membership]]</f>
        <v>735400</v>
      </c>
      <c r="AA923" s="315"/>
      <c r="AB923" s="321"/>
      <c r="AC923" s="198" t="s">
        <v>10</v>
      </c>
      <c r="AD923" s="198" t="s">
        <v>35</v>
      </c>
      <c r="AE923" s="279" t="s">
        <v>43</v>
      </c>
      <c r="AF923" s="279" t="s">
        <v>44</v>
      </c>
      <c r="AG923" s="279" t="s">
        <v>45</v>
      </c>
      <c r="AH923" s="279" t="s">
        <v>46</v>
      </c>
      <c r="AI923" s="198" t="s">
        <v>47</v>
      </c>
      <c r="AJ923" s="274" t="s">
        <v>42</v>
      </c>
      <c r="AK923"/>
    </row>
    <row r="924" spans="1:37" ht="15.75" hidden="1" customHeight="1">
      <c r="A924" s="198" t="s">
        <v>630</v>
      </c>
      <c r="B924" s="198" t="s">
        <v>691</v>
      </c>
      <c r="C924" s="214" t="s">
        <v>347</v>
      </c>
      <c r="D924" s="198" t="s">
        <v>9</v>
      </c>
      <c r="E924" s="198" t="s">
        <v>320</v>
      </c>
      <c r="F924" s="198">
        <v>559.03</v>
      </c>
      <c r="G924" s="198"/>
      <c r="H924" s="214" t="s">
        <v>849</v>
      </c>
      <c r="I924" s="214" t="s">
        <v>325</v>
      </c>
      <c r="J924" s="271">
        <v>0</v>
      </c>
      <c r="K924" s="198"/>
      <c r="L924" s="198"/>
      <c r="M924" s="198">
        <v>391.15</v>
      </c>
      <c r="N924" s="198"/>
      <c r="O924" s="198">
        <v>167.88</v>
      </c>
      <c r="P924" s="198"/>
      <c r="Q924" s="198" t="s">
        <v>329</v>
      </c>
      <c r="R924" s="230">
        <f>DATABASE_Table[[#This Row],[Inicial Asking Price (€) (Total)]]-DATABASE_Table[[#This Row],[Vista membership]]-DATABASE_Table[[#This Row],[FF&amp;E]]</f>
        <v>1727255.5625</v>
      </c>
      <c r="S924" s="231">
        <v>1727255.5625</v>
      </c>
      <c r="T924" s="232">
        <v>1800000</v>
      </c>
      <c r="U924" s="198"/>
      <c r="V924" s="198"/>
      <c r="W924" s="233">
        <f>DATABASE_Table[[#This Row],[Current Asking price( Total)]]-DATABASE_Table[[#This Row],[Vista membership]]-DATABASE_Table[[#This Row],[FF&amp;E]]</f>
        <v>1800000</v>
      </c>
      <c r="X924" s="216"/>
      <c r="Y924" s="232">
        <v>1799200</v>
      </c>
      <c r="Z924" s="233">
        <f>DATABASE_Table[[#This Row],[Sell price (Total)]]-DATABASE_Table[[#This Row],[FF&amp;E]]-DATABASE_Table[[#This Row],[Vista membership]]</f>
        <v>1799200</v>
      </c>
      <c r="AA924" s="315"/>
      <c r="AB924" s="321"/>
      <c r="AC924" s="198" t="s">
        <v>10</v>
      </c>
      <c r="AD924" s="198" t="s">
        <v>11</v>
      </c>
      <c r="AE924" s="279" t="s">
        <v>53</v>
      </c>
      <c r="AF924" s="279" t="s">
        <v>54</v>
      </c>
      <c r="AG924" s="279" t="s">
        <v>811</v>
      </c>
      <c r="AH924" s="279" t="s">
        <v>812</v>
      </c>
      <c r="AI924" s="198" t="s">
        <v>36</v>
      </c>
      <c r="AJ924" s="274" t="s">
        <v>52</v>
      </c>
      <c r="AK924"/>
    </row>
    <row r="925" spans="1:37" ht="15.75" hidden="1" customHeight="1">
      <c r="A925" s="198" t="s">
        <v>559</v>
      </c>
      <c r="B925" s="198" t="s">
        <v>691</v>
      </c>
      <c r="C925" s="214" t="s">
        <v>347</v>
      </c>
      <c r="D925" s="198" t="s">
        <v>9</v>
      </c>
      <c r="E925" s="198" t="s">
        <v>384</v>
      </c>
      <c r="F925" s="198">
        <v>150.28</v>
      </c>
      <c r="G925" s="198"/>
      <c r="H925" s="214" t="s">
        <v>325</v>
      </c>
      <c r="I925" s="214" t="s">
        <v>325</v>
      </c>
      <c r="J925" s="271"/>
      <c r="K925" s="198"/>
      <c r="L925" s="198"/>
      <c r="M925" s="198"/>
      <c r="N925" s="198"/>
      <c r="O925" s="198">
        <v>150.28</v>
      </c>
      <c r="P925" s="198"/>
      <c r="Q925" s="198" t="s">
        <v>929</v>
      </c>
      <c r="R925" s="230">
        <f>DATABASE_Table[[#This Row],[Inicial Asking Price (€) (Total)]]-DATABASE_Table[[#This Row],[Vista membership]]-DATABASE_Table[[#This Row],[FF&amp;E]]</f>
        <v>840000</v>
      </c>
      <c r="S925" s="231">
        <v>840000</v>
      </c>
      <c r="T925" s="232">
        <v>860000</v>
      </c>
      <c r="U925" s="198"/>
      <c r="V925" s="198"/>
      <c r="W925" s="233">
        <f>DATABASE_Table[[#This Row],[Current Asking price( Total)]]-DATABASE_Table[[#This Row],[Vista membership]]-DATABASE_Table[[#This Row],[FF&amp;E]]</f>
        <v>860000</v>
      </c>
      <c r="X925" s="216">
        <v>0</v>
      </c>
      <c r="Y925" s="232">
        <v>860000</v>
      </c>
      <c r="Z925" s="233">
        <f>DATABASE_Table[[#This Row],[Sell price (Total)]]-DATABASE_Table[[#This Row],[FF&amp;E]]-DATABASE_Table[[#This Row],[Vista membership]]</f>
        <v>860000</v>
      </c>
      <c r="AA925" s="315">
        <v>45841</v>
      </c>
      <c r="AB925" s="321"/>
      <c r="AC925" s="198" t="s">
        <v>10</v>
      </c>
      <c r="AD925" s="198" t="s">
        <v>802</v>
      </c>
      <c r="AE925" s="279" t="s">
        <v>17</v>
      </c>
      <c r="AF925" s="279" t="s">
        <v>18</v>
      </c>
      <c r="AG925" s="279" t="s">
        <v>19</v>
      </c>
      <c r="AH925" s="279" t="s">
        <v>20</v>
      </c>
      <c r="AI925" s="198" t="s">
        <v>21</v>
      </c>
      <c r="AJ925" s="274" t="s">
        <v>16</v>
      </c>
      <c r="AK925"/>
    </row>
    <row r="926" spans="1:37" ht="15.75" hidden="1" customHeight="1">
      <c r="A926" s="198" t="s">
        <v>560</v>
      </c>
      <c r="B926" s="198" t="s">
        <v>691</v>
      </c>
      <c r="C926" s="214" t="s">
        <v>347</v>
      </c>
      <c r="D926" s="198" t="s">
        <v>9</v>
      </c>
      <c r="E926" s="198" t="s">
        <v>383</v>
      </c>
      <c r="F926" s="198">
        <v>161.47999999999999</v>
      </c>
      <c r="G926" s="198"/>
      <c r="H926" s="214" t="s">
        <v>325</v>
      </c>
      <c r="I926" s="214" t="s">
        <v>325</v>
      </c>
      <c r="J926" s="271"/>
      <c r="K926" s="198"/>
      <c r="L926" s="198"/>
      <c r="M926" s="198"/>
      <c r="N926" s="198"/>
      <c r="O926" s="198">
        <v>161.47999999999999</v>
      </c>
      <c r="P926" s="198"/>
      <c r="Q926" s="198" t="s">
        <v>929</v>
      </c>
      <c r="R926" s="230">
        <f>DATABASE_Table[[#This Row],[Inicial Asking Price (€) (Total)]]-DATABASE_Table[[#This Row],[Vista membership]]-DATABASE_Table[[#This Row],[FF&amp;E]]</f>
        <v>930000</v>
      </c>
      <c r="S926" s="231">
        <v>930000</v>
      </c>
      <c r="T926" s="232">
        <v>930000</v>
      </c>
      <c r="U926" s="198"/>
      <c r="V926" s="198"/>
      <c r="W926" s="233">
        <f>DATABASE_Table[[#This Row],[Current Asking price( Total)]]-DATABASE_Table[[#This Row],[Vista membership]]-DATABASE_Table[[#This Row],[FF&amp;E]]</f>
        <v>930000</v>
      </c>
      <c r="X926" s="216">
        <v>0</v>
      </c>
      <c r="Y926" s="232">
        <v>930000</v>
      </c>
      <c r="Z926" s="233">
        <f>DATABASE_Table[[#This Row],[Sell price (Total)]]-DATABASE_Table[[#This Row],[FF&amp;E]]-DATABASE_Table[[#This Row],[Vista membership]]</f>
        <v>930000</v>
      </c>
      <c r="AA926" s="315">
        <v>45094</v>
      </c>
      <c r="AB926" s="321"/>
      <c r="AC926" s="198" t="s">
        <v>10</v>
      </c>
      <c r="AD926" s="198" t="s">
        <v>802</v>
      </c>
      <c r="AE926" s="279" t="s">
        <v>17</v>
      </c>
      <c r="AF926" s="279" t="s">
        <v>18</v>
      </c>
      <c r="AG926" s="279" t="s">
        <v>19</v>
      </c>
      <c r="AH926" s="279" t="s">
        <v>20</v>
      </c>
      <c r="AI926" s="198" t="s">
        <v>21</v>
      </c>
      <c r="AJ926" s="274" t="s">
        <v>16</v>
      </c>
      <c r="AK926"/>
    </row>
    <row r="927" spans="1:37" ht="15.75" hidden="1" customHeight="1">
      <c r="A927" s="198" t="s">
        <v>776</v>
      </c>
      <c r="B927" s="198" t="s">
        <v>769</v>
      </c>
      <c r="C927" s="214" t="s">
        <v>889</v>
      </c>
      <c r="D927" s="198" t="s">
        <v>74</v>
      </c>
      <c r="E927" s="198" t="s">
        <v>553</v>
      </c>
      <c r="F927" s="198">
        <v>500</v>
      </c>
      <c r="G927" s="198"/>
      <c r="H927" s="214" t="s">
        <v>325</v>
      </c>
      <c r="I927" s="214" t="s">
        <v>325</v>
      </c>
      <c r="J927" s="271"/>
      <c r="K927" s="198"/>
      <c r="L927" s="198"/>
      <c r="M927" s="198"/>
      <c r="N927" s="198"/>
      <c r="O927" s="198">
        <v>500</v>
      </c>
      <c r="P927" s="198"/>
      <c r="Q927" s="198" t="s">
        <v>329</v>
      </c>
      <c r="R927" s="230">
        <f>DATABASE_Table[[#This Row],[Inicial Asking Price (€) (Total)]]-DATABASE_Table[[#This Row],[Vista membership]]-DATABASE_Table[[#This Row],[FF&amp;E]]</f>
        <v>1683000</v>
      </c>
      <c r="S927" s="234">
        <v>1683000</v>
      </c>
      <c r="T927" s="235">
        <v>1150000</v>
      </c>
      <c r="U927" s="198"/>
      <c r="V927" s="198"/>
      <c r="W927" s="233">
        <f>DATABASE_Table[[#This Row],[Current Asking price( Total)]]-DATABASE_Table[[#This Row],[Vista membership]]-DATABASE_Table[[#This Row],[FF&amp;E]]</f>
        <v>1150000</v>
      </c>
      <c r="X927" s="236"/>
      <c r="Y927" s="235"/>
      <c r="Z927" s="233">
        <f>DATABASE_Table[[#This Row],[Sell price (Total)]]-DATABASE_Table[[#This Row],[FF&amp;E]]-DATABASE_Table[[#This Row],[Vista membership]]</f>
        <v>0</v>
      </c>
      <c r="AA927" s="315"/>
      <c r="AB927" s="321" t="s">
        <v>32</v>
      </c>
      <c r="AC927" s="198" t="s">
        <v>57</v>
      </c>
      <c r="AD927" s="198"/>
      <c r="AE927" s="279" t="s">
        <v>75</v>
      </c>
      <c r="AF927" s="279" t="s">
        <v>554</v>
      </c>
      <c r="AG927" s="279" t="s">
        <v>76</v>
      </c>
      <c r="AH927" s="279" t="s">
        <v>77</v>
      </c>
      <c r="AI927" s="198" t="s">
        <v>32</v>
      </c>
      <c r="AJ927" s="274" t="s">
        <v>73</v>
      </c>
      <c r="AK927"/>
    </row>
    <row r="928" spans="1:37" ht="15.75" hidden="1" customHeight="1">
      <c r="A928" s="198" t="s">
        <v>782</v>
      </c>
      <c r="B928" s="198" t="s">
        <v>786</v>
      </c>
      <c r="C928" s="214" t="s">
        <v>312</v>
      </c>
      <c r="D928" s="198" t="s">
        <v>79</v>
      </c>
      <c r="E928" s="198" t="s">
        <v>324</v>
      </c>
      <c r="F928" s="198">
        <v>319.39999999999998</v>
      </c>
      <c r="G928" s="198"/>
      <c r="H928" s="214" t="s">
        <v>848</v>
      </c>
      <c r="I928" s="214" t="s">
        <v>848</v>
      </c>
      <c r="J928" s="271"/>
      <c r="K928" s="198"/>
      <c r="L928" s="198"/>
      <c r="M928" s="198">
        <v>98</v>
      </c>
      <c r="N928" s="198">
        <v>23</v>
      </c>
      <c r="O928" s="198">
        <v>198.4</v>
      </c>
      <c r="P928" s="198"/>
      <c r="Q928" s="198" t="s">
        <v>329</v>
      </c>
      <c r="R928" s="230">
        <f>DATABASE_Table[[#This Row],[Inicial Asking Price (€) (Total)]]-DATABASE_Table[[#This Row],[Vista membership]]-DATABASE_Table[[#This Row],[FF&amp;E]]</f>
        <v>1630000</v>
      </c>
      <c r="S928" s="234">
        <v>1690000</v>
      </c>
      <c r="T928" s="235">
        <v>1690000</v>
      </c>
      <c r="U928" s="198"/>
      <c r="V928" s="235">
        <v>60000</v>
      </c>
      <c r="W928" s="233">
        <f>DATABASE_Table[[#This Row],[Current Asking price( Total)]]-DATABASE_Table[[#This Row],[Vista membership]]-DATABASE_Table[[#This Row],[FF&amp;E]]</f>
        <v>1630000</v>
      </c>
      <c r="X928" s="236"/>
      <c r="Y928" s="235"/>
      <c r="Z928" s="233">
        <f>DATABASE_Table[[#This Row],[Sell price (Total)]]-DATABASE_Table[[#This Row],[FF&amp;E]]-DATABASE_Table[[#This Row],[Vista membership]]</f>
        <v>-60000</v>
      </c>
      <c r="AA928" s="315"/>
      <c r="AB928" s="321">
        <v>47118</v>
      </c>
      <c r="AC928" s="198" t="s">
        <v>80</v>
      </c>
      <c r="AD928" s="198" t="s">
        <v>81</v>
      </c>
      <c r="AE928" s="279" t="s">
        <v>82</v>
      </c>
      <c r="AF928" s="279" t="s">
        <v>83</v>
      </c>
      <c r="AG928" s="279" t="s">
        <v>84</v>
      </c>
      <c r="AH928" s="279" t="s">
        <v>85</v>
      </c>
      <c r="AI928" s="198" t="s">
        <v>86</v>
      </c>
      <c r="AJ928" s="274" t="s">
        <v>78</v>
      </c>
      <c r="AK928"/>
    </row>
    <row r="929" spans="1:37" ht="15.75" hidden="1" customHeight="1">
      <c r="A929" s="198" t="s">
        <v>782</v>
      </c>
      <c r="B929" s="198" t="s">
        <v>786</v>
      </c>
      <c r="C929" s="214" t="s">
        <v>313</v>
      </c>
      <c r="D929" s="198" t="s">
        <v>79</v>
      </c>
      <c r="E929" s="198" t="s">
        <v>324</v>
      </c>
      <c r="F929" s="198">
        <v>319.39999999999998</v>
      </c>
      <c r="G929" s="198"/>
      <c r="H929" s="214" t="s">
        <v>848</v>
      </c>
      <c r="I929" s="214" t="s">
        <v>848</v>
      </c>
      <c r="J929" s="271"/>
      <c r="K929" s="198"/>
      <c r="L929" s="198"/>
      <c r="M929" s="198">
        <v>98</v>
      </c>
      <c r="N929" s="198">
        <v>23</v>
      </c>
      <c r="O929" s="198">
        <v>198.4</v>
      </c>
      <c r="P929" s="198"/>
      <c r="Q929" s="198" t="s">
        <v>329</v>
      </c>
      <c r="R929" s="230">
        <f>DATABASE_Table[[#This Row],[Inicial Asking Price (€) (Total)]]-DATABASE_Table[[#This Row],[Vista membership]]-DATABASE_Table[[#This Row],[FF&amp;E]]</f>
        <v>1630000</v>
      </c>
      <c r="S929" s="234">
        <v>1690000</v>
      </c>
      <c r="T929" s="235">
        <v>1690000</v>
      </c>
      <c r="U929" s="198"/>
      <c r="V929" s="235">
        <v>60000</v>
      </c>
      <c r="W929" s="233">
        <f>DATABASE_Table[[#This Row],[Current Asking price( Total)]]-DATABASE_Table[[#This Row],[Vista membership]]-DATABASE_Table[[#This Row],[FF&amp;E]]</f>
        <v>1630000</v>
      </c>
      <c r="X929" s="236"/>
      <c r="Y929" s="235"/>
      <c r="Z929" s="233">
        <f>DATABASE_Table[[#This Row],[Sell price (Total)]]-DATABASE_Table[[#This Row],[FF&amp;E]]-DATABASE_Table[[#This Row],[Vista membership]]</f>
        <v>-60000</v>
      </c>
      <c r="AA929" s="315"/>
      <c r="AB929" s="321">
        <v>47118</v>
      </c>
      <c r="AC929" s="198" t="s">
        <v>80</v>
      </c>
      <c r="AD929" s="198" t="s">
        <v>81</v>
      </c>
      <c r="AE929" s="279" t="s">
        <v>82</v>
      </c>
      <c r="AF929" s="279" t="s">
        <v>83</v>
      </c>
      <c r="AG929" s="279" t="s">
        <v>84</v>
      </c>
      <c r="AH929" s="279" t="s">
        <v>85</v>
      </c>
      <c r="AI929" s="198" t="s">
        <v>86</v>
      </c>
      <c r="AJ929" s="274" t="s">
        <v>78</v>
      </c>
      <c r="AK929"/>
    </row>
    <row r="930" spans="1:37" ht="15.75" hidden="1" customHeight="1">
      <c r="A930" s="198" t="s">
        <v>561</v>
      </c>
      <c r="B930" s="198" t="s">
        <v>691</v>
      </c>
      <c r="C930" s="214" t="s">
        <v>347</v>
      </c>
      <c r="D930" s="198" t="s">
        <v>9</v>
      </c>
      <c r="E930" s="198" t="s">
        <v>383</v>
      </c>
      <c r="F930" s="198">
        <v>183.88</v>
      </c>
      <c r="G930" s="198"/>
      <c r="H930" s="214" t="s">
        <v>325</v>
      </c>
      <c r="I930" s="214" t="s">
        <v>325</v>
      </c>
      <c r="J930" s="271"/>
      <c r="K930" s="198"/>
      <c r="L930" s="198"/>
      <c r="M930" s="198"/>
      <c r="N930" s="198"/>
      <c r="O930" s="198">
        <v>183.88</v>
      </c>
      <c r="P930" s="198"/>
      <c r="Q930" s="198" t="s">
        <v>329</v>
      </c>
      <c r="R930" s="230">
        <f>DATABASE_Table[[#This Row],[Inicial Asking Price (€) (Total)]]-DATABASE_Table[[#This Row],[Vista membership]]-DATABASE_Table[[#This Row],[FF&amp;E]]</f>
        <v>1310000</v>
      </c>
      <c r="S930" s="231">
        <v>1310000</v>
      </c>
      <c r="T930" s="232">
        <v>1310000</v>
      </c>
      <c r="U930" s="198"/>
      <c r="V930" s="198"/>
      <c r="W930" s="233">
        <f>DATABASE_Table[[#This Row],[Current Asking price( Total)]]-DATABASE_Table[[#This Row],[Vista membership]]-DATABASE_Table[[#This Row],[FF&amp;E]]</f>
        <v>1310000</v>
      </c>
      <c r="X930" s="216"/>
      <c r="Y930" s="232">
        <v>1310000</v>
      </c>
      <c r="Z930" s="233">
        <f>DATABASE_Table[[#This Row],[Sell price (Total)]]-DATABASE_Table[[#This Row],[FF&amp;E]]-DATABASE_Table[[#This Row],[Vista membership]]</f>
        <v>1310000</v>
      </c>
      <c r="AA930" s="315"/>
      <c r="AB930" s="321"/>
      <c r="AC930" s="198" t="s">
        <v>10</v>
      </c>
      <c r="AD930" s="198" t="s">
        <v>802</v>
      </c>
      <c r="AE930" s="279" t="s">
        <v>17</v>
      </c>
      <c r="AF930" s="279" t="s">
        <v>18</v>
      </c>
      <c r="AG930" s="279" t="s">
        <v>19</v>
      </c>
      <c r="AH930" s="279" t="s">
        <v>20</v>
      </c>
      <c r="AI930" s="198" t="s">
        <v>21</v>
      </c>
      <c r="AJ930" s="274" t="s">
        <v>16</v>
      </c>
      <c r="AK930"/>
    </row>
    <row r="931" spans="1:37" ht="15.75" hidden="1" customHeight="1">
      <c r="A931" s="198" t="s">
        <v>558</v>
      </c>
      <c r="B931" s="198" t="s">
        <v>691</v>
      </c>
      <c r="C931" s="214" t="s">
        <v>347</v>
      </c>
      <c r="D931" s="198" t="s">
        <v>9</v>
      </c>
      <c r="E931" s="198" t="s">
        <v>320</v>
      </c>
      <c r="F931" s="198">
        <v>153.5</v>
      </c>
      <c r="G931" s="198">
        <v>3.99</v>
      </c>
      <c r="H931" s="214" t="s">
        <v>607</v>
      </c>
      <c r="I931" s="214" t="s">
        <v>325</v>
      </c>
      <c r="J931" s="271">
        <v>34.409999999999997</v>
      </c>
      <c r="K931" s="198"/>
      <c r="L931" s="198"/>
      <c r="M931" s="198"/>
      <c r="N931" s="198"/>
      <c r="O931" s="198">
        <v>153.5</v>
      </c>
      <c r="P931" s="198"/>
      <c r="Q931" s="198" t="s">
        <v>329</v>
      </c>
      <c r="R931" s="230">
        <f>DATABASE_Table[[#This Row],[Inicial Asking Price (€) (Total)]]-DATABASE_Table[[#This Row],[Vista membership]]-DATABASE_Table[[#This Row],[FF&amp;E]]</f>
        <v>1120000</v>
      </c>
      <c r="S931" s="231">
        <v>1120000</v>
      </c>
      <c r="T931" s="232">
        <v>1120000</v>
      </c>
      <c r="U931" s="198"/>
      <c r="V931" s="198"/>
      <c r="W931" s="233">
        <f>DATABASE_Table[[#This Row],[Current Asking price( Total)]]-DATABASE_Table[[#This Row],[Vista membership]]-DATABASE_Table[[#This Row],[FF&amp;E]]</f>
        <v>1120000</v>
      </c>
      <c r="X931" s="216"/>
      <c r="Y931" s="232">
        <v>1120000</v>
      </c>
      <c r="Z931" s="233">
        <f>DATABASE_Table[[#This Row],[Sell price (Total)]]-DATABASE_Table[[#This Row],[FF&amp;E]]-DATABASE_Table[[#This Row],[Vista membership]]</f>
        <v>1120000</v>
      </c>
      <c r="AA931" s="315"/>
      <c r="AB931" s="321"/>
      <c r="AC931" s="198" t="s">
        <v>10</v>
      </c>
      <c r="AD931" s="198" t="s">
        <v>11</v>
      </c>
      <c r="AE931" s="279" t="s">
        <v>12</v>
      </c>
      <c r="AF931" s="279" t="s">
        <v>801</v>
      </c>
      <c r="AG931" s="279" t="s">
        <v>13</v>
      </c>
      <c r="AH931" s="279" t="s">
        <v>14</v>
      </c>
      <c r="AI931" s="198" t="s">
        <v>15</v>
      </c>
      <c r="AJ931" s="274" t="s">
        <v>8</v>
      </c>
      <c r="AK931"/>
    </row>
    <row r="932" spans="1:37" ht="15.75" hidden="1" customHeight="1">
      <c r="A932" s="198" t="s">
        <v>31</v>
      </c>
      <c r="B932" s="198" t="s">
        <v>691</v>
      </c>
      <c r="C932" s="214" t="s">
        <v>347</v>
      </c>
      <c r="D932" s="198" t="s">
        <v>9</v>
      </c>
      <c r="E932" s="198" t="s">
        <v>320</v>
      </c>
      <c r="F932" s="198"/>
      <c r="G932" s="198"/>
      <c r="H932" s="214" t="s">
        <v>325</v>
      </c>
      <c r="I932" s="214" t="s">
        <v>325</v>
      </c>
      <c r="J932" s="271"/>
      <c r="K932" s="198">
        <v>76</v>
      </c>
      <c r="L932" s="198"/>
      <c r="M932" s="198">
        <v>0</v>
      </c>
      <c r="N932" s="198"/>
      <c r="O932" s="198">
        <v>134</v>
      </c>
      <c r="P932" s="198"/>
      <c r="Q932" s="198" t="s">
        <v>326</v>
      </c>
      <c r="R932" s="230">
        <f>DATABASE_Table[[#This Row],[Inicial Asking Price (€) (Total)]]-DATABASE_Table[[#This Row],[Vista membership]]-DATABASE_Table[[#This Row],[FF&amp;E]]</f>
        <v>1090000</v>
      </c>
      <c r="S932" s="232">
        <v>1090000</v>
      </c>
      <c r="T932" s="232">
        <v>1090000</v>
      </c>
      <c r="U932" s="198"/>
      <c r="V932" s="198"/>
      <c r="W932" s="233">
        <f>DATABASE_Table[[#This Row],[Current Asking price( Total)]]-DATABASE_Table[[#This Row],[Vista membership]]-DATABASE_Table[[#This Row],[FF&amp;E]]</f>
        <v>1090000</v>
      </c>
      <c r="X932" s="216">
        <v>1.8348623853211E-2</v>
      </c>
      <c r="Y932" s="232">
        <v>1070000</v>
      </c>
      <c r="Z932" s="233">
        <f>DATABASE_Table[[#This Row],[Sell price (Total)]]-DATABASE_Table[[#This Row],[FF&amp;E]]-DATABASE_Table[[#This Row],[Vista membership]]</f>
        <v>1070000</v>
      </c>
      <c r="AA932" s="315"/>
      <c r="AB932" s="321"/>
      <c r="AC932" s="198" t="s">
        <v>10</v>
      </c>
      <c r="AD932" s="198" t="s">
        <v>807</v>
      </c>
      <c r="AE932" s="279" t="s">
        <v>32</v>
      </c>
      <c r="AF932" s="279" t="s">
        <v>808</v>
      </c>
      <c r="AG932" s="279" t="s">
        <v>33</v>
      </c>
      <c r="AH932" s="279" t="s">
        <v>809</v>
      </c>
      <c r="AI932" s="198" t="s">
        <v>15</v>
      </c>
      <c r="AJ932" s="274" t="s">
        <v>31</v>
      </c>
      <c r="AK932"/>
    </row>
    <row r="933" spans="1:37" ht="15.75" hidden="1" customHeight="1">
      <c r="A933" s="198" t="s">
        <v>782</v>
      </c>
      <c r="B933" s="198" t="s">
        <v>786</v>
      </c>
      <c r="C933" s="214" t="s">
        <v>314</v>
      </c>
      <c r="D933" s="198" t="s">
        <v>79</v>
      </c>
      <c r="E933" s="198" t="s">
        <v>324</v>
      </c>
      <c r="F933" s="198">
        <v>326.7</v>
      </c>
      <c r="G933" s="198"/>
      <c r="H933" s="214" t="s">
        <v>848</v>
      </c>
      <c r="I933" s="214" t="s">
        <v>848</v>
      </c>
      <c r="J933" s="271"/>
      <c r="K933" s="198"/>
      <c r="L933" s="198"/>
      <c r="M933" s="198">
        <v>102</v>
      </c>
      <c r="N933" s="198">
        <v>23</v>
      </c>
      <c r="O933" s="198">
        <v>201.7</v>
      </c>
      <c r="P933" s="198"/>
      <c r="Q933" s="198" t="s">
        <v>329</v>
      </c>
      <c r="R933" s="230">
        <f>DATABASE_Table[[#This Row],[Inicial Asking Price (€) (Total)]]-DATABASE_Table[[#This Row],[Vista membership]]-DATABASE_Table[[#This Row],[FF&amp;E]]</f>
        <v>1645000</v>
      </c>
      <c r="S933" s="234">
        <v>1705000</v>
      </c>
      <c r="T933" s="235">
        <v>1705000</v>
      </c>
      <c r="U933" s="198"/>
      <c r="V933" s="235">
        <v>60000</v>
      </c>
      <c r="W933" s="233">
        <f>DATABASE_Table[[#This Row],[Current Asking price( Total)]]-DATABASE_Table[[#This Row],[Vista membership]]-DATABASE_Table[[#This Row],[FF&amp;E]]</f>
        <v>1645000</v>
      </c>
      <c r="X933" s="236"/>
      <c r="Y933" s="235"/>
      <c r="Z933" s="233">
        <f>DATABASE_Table[[#This Row],[Sell price (Total)]]-DATABASE_Table[[#This Row],[FF&amp;E]]-DATABASE_Table[[#This Row],[Vista membership]]</f>
        <v>-60000</v>
      </c>
      <c r="AA933" s="315"/>
      <c r="AB933" s="321">
        <v>47118</v>
      </c>
      <c r="AC933" s="198" t="s">
        <v>80</v>
      </c>
      <c r="AD933" s="198" t="s">
        <v>81</v>
      </c>
      <c r="AE933" s="279" t="s">
        <v>82</v>
      </c>
      <c r="AF933" s="279" t="s">
        <v>83</v>
      </c>
      <c r="AG933" s="279" t="s">
        <v>84</v>
      </c>
      <c r="AH933" s="279" t="s">
        <v>85</v>
      </c>
      <c r="AI933" s="198" t="s">
        <v>86</v>
      </c>
      <c r="AJ933" s="274" t="s">
        <v>78</v>
      </c>
      <c r="AK933"/>
    </row>
    <row r="934" spans="1:37" ht="15.75" hidden="1" customHeight="1">
      <c r="A934" s="198" t="s">
        <v>690</v>
      </c>
      <c r="B934" s="198" t="s">
        <v>691</v>
      </c>
      <c r="C934" s="214" t="s">
        <v>347</v>
      </c>
      <c r="D934" s="198" t="s">
        <v>9</v>
      </c>
      <c r="E934" s="198" t="s">
        <v>763</v>
      </c>
      <c r="F934" s="198">
        <v>296.95999999999998</v>
      </c>
      <c r="G934" s="198">
        <v>113.29</v>
      </c>
      <c r="H934" s="214" t="s">
        <v>325</v>
      </c>
      <c r="I934" s="214" t="s">
        <v>325</v>
      </c>
      <c r="J934" s="271">
        <v>18.66</v>
      </c>
      <c r="K934" s="198"/>
      <c r="L934" s="198"/>
      <c r="M934" s="198"/>
      <c r="N934" s="198"/>
      <c r="O934" s="198">
        <v>165.01</v>
      </c>
      <c r="P934" s="198"/>
      <c r="Q934" s="198" t="s">
        <v>327</v>
      </c>
      <c r="R934" s="230">
        <f>DATABASE_Table[[#This Row],[Inicial Asking Price (€) (Total)]]-DATABASE_Table[[#This Row],[Vista membership]]-DATABASE_Table[[#This Row],[FF&amp;E]]</f>
        <v>2252100</v>
      </c>
      <c r="S934" s="231">
        <v>2341050</v>
      </c>
      <c r="T934" s="232">
        <v>2400000</v>
      </c>
      <c r="U934" s="198">
        <v>24600</v>
      </c>
      <c r="V934" s="198">
        <v>64350</v>
      </c>
      <c r="W934" s="233">
        <f>DATABASE_Table[[#This Row],[Current Asking price( Total)]]-DATABASE_Table[[#This Row],[Vista membership]]-DATABASE_Table[[#This Row],[FF&amp;E]]</f>
        <v>2311050</v>
      </c>
      <c r="X934" s="216">
        <v>7.0833333333333304E-2</v>
      </c>
      <c r="Y934" s="232">
        <v>2230000</v>
      </c>
      <c r="Z934" s="233">
        <f>DATABASE_Table[[#This Row],[Sell price (Total)]]-DATABASE_Table[[#This Row],[FF&amp;E]]-DATABASE_Table[[#This Row],[Vista membership]]</f>
        <v>2141050</v>
      </c>
      <c r="AA934" s="315">
        <v>45905</v>
      </c>
      <c r="AB934" s="321"/>
      <c r="AC934" s="198" t="s">
        <v>10</v>
      </c>
      <c r="AD934" s="198" t="s">
        <v>35</v>
      </c>
      <c r="AE934" s="279" t="s">
        <v>38</v>
      </c>
      <c r="AF934" s="279" t="s">
        <v>39</v>
      </c>
      <c r="AG934" s="279" t="s">
        <v>40</v>
      </c>
      <c r="AH934" s="279" t="s">
        <v>810</v>
      </c>
      <c r="AI934" s="198" t="s">
        <v>41</v>
      </c>
      <c r="AJ934" s="274" t="s">
        <v>37</v>
      </c>
      <c r="AK934"/>
    </row>
    <row r="935" spans="1:37" ht="15.75" hidden="1" customHeight="1">
      <c r="A935" s="198" t="s">
        <v>563</v>
      </c>
      <c r="B935" s="198" t="s">
        <v>691</v>
      </c>
      <c r="C935" s="214" t="s">
        <v>347</v>
      </c>
      <c r="D935" s="198" t="s">
        <v>9</v>
      </c>
      <c r="E935" s="198" t="s">
        <v>319</v>
      </c>
      <c r="F935" s="198">
        <v>78.3</v>
      </c>
      <c r="G935" s="198"/>
      <c r="H935" s="214" t="s">
        <v>325</v>
      </c>
      <c r="I935" s="214" t="s">
        <v>325</v>
      </c>
      <c r="J935" s="271"/>
      <c r="K935" s="198"/>
      <c r="L935" s="198"/>
      <c r="M935" s="198"/>
      <c r="N935" s="198"/>
      <c r="O935" s="198">
        <v>78.3</v>
      </c>
      <c r="P935" s="198"/>
      <c r="Q935" s="198" t="s">
        <v>628</v>
      </c>
      <c r="R935" s="230">
        <f>DATABASE_Table[[#This Row],[Inicial Asking Price (€) (Total)]]-DATABASE_Table[[#This Row],[Vista membership]]-DATABASE_Table[[#This Row],[FF&amp;E]]</f>
        <v>440000</v>
      </c>
      <c r="S935" s="231">
        <v>440000</v>
      </c>
      <c r="T935" s="232">
        <v>440000</v>
      </c>
      <c r="U935" s="198"/>
      <c r="V935" s="198"/>
      <c r="W935" s="233">
        <f>DATABASE_Table[[#This Row],[Current Asking price( Total)]]-DATABASE_Table[[#This Row],[Vista membership]]-DATABASE_Table[[#This Row],[FF&amp;E]]</f>
        <v>440000</v>
      </c>
      <c r="X935" s="216">
        <v>0</v>
      </c>
      <c r="Y935" s="232">
        <v>440000</v>
      </c>
      <c r="Z935" s="233">
        <f>DATABASE_Table[[#This Row],[Sell price (Total)]]-DATABASE_Table[[#This Row],[FF&amp;E]]-DATABASE_Table[[#This Row],[Vista membership]]</f>
        <v>440000</v>
      </c>
      <c r="AA935" s="316">
        <v>45657</v>
      </c>
      <c r="AB935" s="321"/>
      <c r="AC935" s="198" t="s">
        <v>10</v>
      </c>
      <c r="AD935" s="198" t="s">
        <v>11</v>
      </c>
      <c r="AE935" s="279" t="s">
        <v>28</v>
      </c>
      <c r="AF935" s="279" t="s">
        <v>29</v>
      </c>
      <c r="AG935" s="279" t="s">
        <v>805</v>
      </c>
      <c r="AH935" s="279" t="s">
        <v>806</v>
      </c>
      <c r="AI935" s="198" t="s">
        <v>30</v>
      </c>
      <c r="AJ935" s="274" t="s">
        <v>27</v>
      </c>
      <c r="AK935"/>
    </row>
    <row r="936" spans="1:37" ht="15.75" hidden="1" customHeight="1">
      <c r="A936" s="198" t="s">
        <v>776</v>
      </c>
      <c r="B936" s="198" t="s">
        <v>769</v>
      </c>
      <c r="C936" s="214" t="s">
        <v>842</v>
      </c>
      <c r="D936" s="198" t="s">
        <v>74</v>
      </c>
      <c r="E936" s="198" t="s">
        <v>553</v>
      </c>
      <c r="F936" s="198">
        <v>500</v>
      </c>
      <c r="G936" s="198"/>
      <c r="H936" s="214" t="s">
        <v>325</v>
      </c>
      <c r="I936" s="214" t="s">
        <v>325</v>
      </c>
      <c r="J936" s="271"/>
      <c r="K936" s="198"/>
      <c r="L936" s="198"/>
      <c r="M936" s="198"/>
      <c r="N936" s="198"/>
      <c r="O936" s="198">
        <v>500</v>
      </c>
      <c r="P936" s="198"/>
      <c r="Q936" s="198" t="s">
        <v>329</v>
      </c>
      <c r="R936" s="230">
        <f>DATABASE_Table[[#This Row],[Inicial Asking Price (€) (Total)]]-DATABASE_Table[[#This Row],[Vista membership]]-DATABASE_Table[[#This Row],[FF&amp;E]]</f>
        <v>1735000</v>
      </c>
      <c r="S936" s="234">
        <v>1735000</v>
      </c>
      <c r="T936" s="235">
        <v>1300000</v>
      </c>
      <c r="U936" s="198"/>
      <c r="V936" s="198"/>
      <c r="W936" s="233">
        <f>DATABASE_Table[[#This Row],[Current Asking price( Total)]]-DATABASE_Table[[#This Row],[Vista membership]]-DATABASE_Table[[#This Row],[FF&amp;E]]</f>
        <v>1300000</v>
      </c>
      <c r="X936" s="236"/>
      <c r="Y936" s="235"/>
      <c r="Z936" s="233">
        <f>DATABASE_Table[[#This Row],[Sell price (Total)]]-DATABASE_Table[[#This Row],[FF&amp;E]]-DATABASE_Table[[#This Row],[Vista membership]]</f>
        <v>0</v>
      </c>
      <c r="AA936" s="315"/>
      <c r="AB936" s="321" t="s">
        <v>32</v>
      </c>
      <c r="AC936" s="198" t="s">
        <v>57</v>
      </c>
      <c r="AD936" s="198"/>
      <c r="AE936" s="279" t="s">
        <v>75</v>
      </c>
      <c r="AF936" s="279" t="s">
        <v>554</v>
      </c>
      <c r="AG936" s="279" t="s">
        <v>76</v>
      </c>
      <c r="AH936" s="279" t="s">
        <v>77</v>
      </c>
      <c r="AI936" s="198" t="s">
        <v>32</v>
      </c>
      <c r="AJ936" s="274" t="s">
        <v>73</v>
      </c>
      <c r="AK936"/>
    </row>
    <row r="937" spans="1:37" ht="15.75" hidden="1" customHeight="1">
      <c r="A937" s="198" t="s">
        <v>776</v>
      </c>
      <c r="B937" s="198" t="s">
        <v>769</v>
      </c>
      <c r="C937" s="214" t="s">
        <v>844</v>
      </c>
      <c r="D937" s="198" t="s">
        <v>74</v>
      </c>
      <c r="E937" s="198" t="s">
        <v>553</v>
      </c>
      <c r="F937" s="198">
        <v>650</v>
      </c>
      <c r="G937" s="198"/>
      <c r="H937" s="214" t="s">
        <v>325</v>
      </c>
      <c r="I937" s="214" t="s">
        <v>325</v>
      </c>
      <c r="J937" s="271"/>
      <c r="K937" s="198"/>
      <c r="L937" s="198"/>
      <c r="M937" s="198"/>
      <c r="N937" s="198"/>
      <c r="O937" s="198">
        <v>650</v>
      </c>
      <c r="P937" s="198"/>
      <c r="Q937" s="198" t="s">
        <v>329</v>
      </c>
      <c r="R937" s="230">
        <f>DATABASE_Table[[#This Row],[Inicial Asking Price (€) (Total)]]-DATABASE_Table[[#This Row],[Vista membership]]-DATABASE_Table[[#This Row],[FF&amp;E]]</f>
        <v>1735000</v>
      </c>
      <c r="S937" s="234">
        <v>1735000</v>
      </c>
      <c r="T937" s="235">
        <v>1450000</v>
      </c>
      <c r="U937" s="198"/>
      <c r="V937" s="198"/>
      <c r="W937" s="233">
        <f>DATABASE_Table[[#This Row],[Current Asking price( Total)]]-DATABASE_Table[[#This Row],[Vista membership]]-DATABASE_Table[[#This Row],[FF&amp;E]]</f>
        <v>1450000</v>
      </c>
      <c r="X937" s="236"/>
      <c r="Y937" s="235"/>
      <c r="Z937" s="233">
        <f>DATABASE_Table[[#This Row],[Sell price (Total)]]-DATABASE_Table[[#This Row],[FF&amp;E]]-DATABASE_Table[[#This Row],[Vista membership]]</f>
        <v>0</v>
      </c>
      <c r="AA937" s="315"/>
      <c r="AB937" s="321" t="s">
        <v>32</v>
      </c>
      <c r="AC937" s="198" t="s">
        <v>57</v>
      </c>
      <c r="AD937" s="198"/>
      <c r="AE937" s="279" t="s">
        <v>75</v>
      </c>
      <c r="AF937" s="279" t="s">
        <v>554</v>
      </c>
      <c r="AG937" s="279" t="s">
        <v>76</v>
      </c>
      <c r="AH937" s="279" t="s">
        <v>77</v>
      </c>
      <c r="AI937" s="198" t="s">
        <v>32</v>
      </c>
      <c r="AJ937" s="274" t="s">
        <v>73</v>
      </c>
      <c r="AK937"/>
    </row>
    <row r="938" spans="1:37" ht="15.75" hidden="1" customHeight="1">
      <c r="A938" s="198" t="s">
        <v>562</v>
      </c>
      <c r="B938" s="198" t="s">
        <v>691</v>
      </c>
      <c r="C938" s="214" t="s">
        <v>347</v>
      </c>
      <c r="D938" s="198" t="s">
        <v>9</v>
      </c>
      <c r="E938" s="198" t="s">
        <v>319</v>
      </c>
      <c r="F938" s="198">
        <v>111</v>
      </c>
      <c r="G938" s="198"/>
      <c r="H938" s="214" t="s">
        <v>325</v>
      </c>
      <c r="I938" s="214" t="s">
        <v>325</v>
      </c>
      <c r="J938" s="271"/>
      <c r="K938" s="198"/>
      <c r="L938" s="198"/>
      <c r="M938" s="198"/>
      <c r="N938" s="198"/>
      <c r="O938" s="198">
        <v>111</v>
      </c>
      <c r="P938" s="198"/>
      <c r="Q938" s="198" t="s">
        <v>929</v>
      </c>
      <c r="R938" s="230">
        <f>DATABASE_Table[[#This Row],[Inicial Asking Price (€) (Total)]]-DATABASE_Table[[#This Row],[Vista membership]]-DATABASE_Table[[#This Row],[FF&amp;E]]</f>
        <v>620000</v>
      </c>
      <c r="S938" s="231">
        <v>620000</v>
      </c>
      <c r="T938" s="232">
        <v>680000</v>
      </c>
      <c r="U938" s="198"/>
      <c r="V938" s="198"/>
      <c r="W938" s="233">
        <f>DATABASE_Table[[#This Row],[Current Asking price( Total)]]-DATABASE_Table[[#This Row],[Vista membership]]-DATABASE_Table[[#This Row],[FF&amp;E]]</f>
        <v>680000</v>
      </c>
      <c r="X938" s="216">
        <v>0</v>
      </c>
      <c r="Y938" s="232">
        <v>680000</v>
      </c>
      <c r="Z938" s="233">
        <f>DATABASE_Table[[#This Row],[Sell price (Total)]]-DATABASE_Table[[#This Row],[FF&amp;E]]-DATABASE_Table[[#This Row],[Vista membership]]</f>
        <v>680000</v>
      </c>
      <c r="AA938" s="315">
        <v>45616</v>
      </c>
      <c r="AB938" s="321"/>
      <c r="AC938" s="198" t="s">
        <v>10</v>
      </c>
      <c r="AD938" s="198" t="s">
        <v>23</v>
      </c>
      <c r="AE938" s="279" t="s">
        <v>24</v>
      </c>
      <c r="AF938" s="279" t="s">
        <v>803</v>
      </c>
      <c r="AG938" s="279" t="s">
        <v>25</v>
      </c>
      <c r="AH938" s="279" t="s">
        <v>804</v>
      </c>
      <c r="AI938" s="198" t="s">
        <v>26</v>
      </c>
      <c r="AJ938" s="274" t="s">
        <v>22</v>
      </c>
      <c r="AK938"/>
    </row>
    <row r="939" spans="1:37" ht="15.75" hidden="1" customHeight="1">
      <c r="A939" s="198" t="s">
        <v>689</v>
      </c>
      <c r="B939" s="198" t="s">
        <v>691</v>
      </c>
      <c r="C939" s="214" t="s">
        <v>347</v>
      </c>
      <c r="D939" s="198"/>
      <c r="E939" s="198" t="s">
        <v>384</v>
      </c>
      <c r="F939" s="198">
        <v>158.05609999999999</v>
      </c>
      <c r="G939" s="198"/>
      <c r="H939" s="214" t="s">
        <v>325</v>
      </c>
      <c r="I939" s="214" t="s">
        <v>325</v>
      </c>
      <c r="J939" s="271"/>
      <c r="K939" s="198"/>
      <c r="L939" s="198"/>
      <c r="M939" s="198"/>
      <c r="N939" s="198"/>
      <c r="O939" s="198">
        <v>158.05609999999999</v>
      </c>
      <c r="P939" s="198"/>
      <c r="Q939" s="198" t="s">
        <v>929</v>
      </c>
      <c r="R939" s="230">
        <f>DATABASE_Table[[#This Row],[Inicial Asking Price (€) (Total)]]-DATABASE_Table[[#This Row],[Vista membership]]-DATABASE_Table[[#This Row],[FF&amp;E]]</f>
        <v>1040472</v>
      </c>
      <c r="S939" s="231">
        <v>1040472</v>
      </c>
      <c r="T939" s="232">
        <v>1050000</v>
      </c>
      <c r="U939" s="198"/>
      <c r="V939" s="198"/>
      <c r="W939" s="233">
        <f>DATABASE_Table[[#This Row],[Current Asking price( Total)]]-DATABASE_Table[[#This Row],[Vista membership]]-DATABASE_Table[[#This Row],[FF&amp;E]]</f>
        <v>1050000</v>
      </c>
      <c r="X939" s="216">
        <v>0</v>
      </c>
      <c r="Y939" s="232">
        <v>1050000</v>
      </c>
      <c r="Z939" s="233">
        <f>DATABASE_Table[[#This Row],[Sell price (Total)]]-DATABASE_Table[[#This Row],[FF&amp;E]]-DATABASE_Table[[#This Row],[Vista membership]]</f>
        <v>1050000</v>
      </c>
      <c r="AA939" s="315">
        <v>45153</v>
      </c>
      <c r="AB939" s="321"/>
      <c r="AC939" s="198"/>
      <c r="AD939" s="198"/>
      <c r="AE939" s="279"/>
      <c r="AF939" s="279"/>
      <c r="AG939" s="279"/>
      <c r="AH939" s="279"/>
      <c r="AI939" s="198"/>
      <c r="AJ939" s="274" t="s">
        <v>689</v>
      </c>
      <c r="AK939"/>
    </row>
    <row r="940" spans="1:37" ht="15.75" hidden="1" customHeight="1">
      <c r="A940" s="198" t="s">
        <v>564</v>
      </c>
      <c r="B940" s="198" t="s">
        <v>691</v>
      </c>
      <c r="C940" s="214" t="s">
        <v>347</v>
      </c>
      <c r="D940" s="198" t="s">
        <v>9</v>
      </c>
      <c r="E940" s="198" t="s">
        <v>418</v>
      </c>
      <c r="F940" s="198">
        <v>165</v>
      </c>
      <c r="G940" s="198"/>
      <c r="H940" s="214" t="s">
        <v>325</v>
      </c>
      <c r="I940" s="214" t="s">
        <v>325</v>
      </c>
      <c r="J940" s="271">
        <v>51.63</v>
      </c>
      <c r="K940" s="198"/>
      <c r="L940" s="198"/>
      <c r="M940" s="198"/>
      <c r="N940" s="198"/>
      <c r="O940" s="198">
        <v>113.37</v>
      </c>
      <c r="P940" s="198"/>
      <c r="Q940" s="198" t="s">
        <v>329</v>
      </c>
      <c r="R940" s="230">
        <f>DATABASE_Table[[#This Row],[Inicial Asking Price (€) (Total)]]-DATABASE_Table[[#This Row],[Vista membership]]-DATABASE_Table[[#This Row],[FF&amp;E]]</f>
        <v>1010148.8999999999</v>
      </c>
      <c r="S940" s="231">
        <v>1084748.8999999999</v>
      </c>
      <c r="T940" s="232">
        <v>1110000</v>
      </c>
      <c r="U940" s="198">
        <v>24600</v>
      </c>
      <c r="V940" s="198">
        <v>50000</v>
      </c>
      <c r="W940" s="233">
        <f>DATABASE_Table[[#This Row],[Current Asking price( Total)]]-DATABASE_Table[[#This Row],[Vista membership]]-DATABASE_Table[[#This Row],[FF&amp;E]]</f>
        <v>1035400</v>
      </c>
      <c r="X940" s="216"/>
      <c r="Y940" s="232">
        <v>1110000</v>
      </c>
      <c r="Z940" s="233">
        <f>DATABASE_Table[[#This Row],[Sell price (Total)]]-DATABASE_Table[[#This Row],[FF&amp;E]]-DATABASE_Table[[#This Row],[Vista membership]]</f>
        <v>1035400</v>
      </c>
      <c r="AA940" s="315"/>
      <c r="AB940" s="321"/>
      <c r="AC940" s="198" t="s">
        <v>10</v>
      </c>
      <c r="AD940" s="198" t="s">
        <v>35</v>
      </c>
      <c r="AE940" s="279" t="s">
        <v>43</v>
      </c>
      <c r="AF940" s="279" t="s">
        <v>44</v>
      </c>
      <c r="AG940" s="279" t="s">
        <v>45</v>
      </c>
      <c r="AH940" s="279" t="s">
        <v>46</v>
      </c>
      <c r="AI940" s="198" t="s">
        <v>47</v>
      </c>
      <c r="AJ940" s="274" t="s">
        <v>42</v>
      </c>
      <c r="AK940"/>
    </row>
    <row r="941" spans="1:37" ht="15.75" hidden="1" customHeight="1">
      <c r="A941" s="198" t="s">
        <v>630</v>
      </c>
      <c r="B941" s="198" t="s">
        <v>691</v>
      </c>
      <c r="C941" s="214" t="s">
        <v>348</v>
      </c>
      <c r="D941" s="198" t="s">
        <v>9</v>
      </c>
      <c r="E941" s="198" t="s">
        <v>320</v>
      </c>
      <c r="F941" s="198">
        <v>223.75</v>
      </c>
      <c r="G941" s="198"/>
      <c r="H941" s="214" t="s">
        <v>849</v>
      </c>
      <c r="I941" s="214" t="s">
        <v>325</v>
      </c>
      <c r="J941" s="271">
        <v>45.36</v>
      </c>
      <c r="K941" s="198"/>
      <c r="L941" s="198"/>
      <c r="M941" s="198">
        <v>10.29</v>
      </c>
      <c r="N941" s="198"/>
      <c r="O941" s="198">
        <v>168.1</v>
      </c>
      <c r="P941" s="198"/>
      <c r="Q941" s="198" t="s">
        <v>329</v>
      </c>
      <c r="R941" s="230">
        <f>DATABASE_Table[[#This Row],[Inicial Asking Price (€) (Total)]]-DATABASE_Table[[#This Row],[Vista membership]]-DATABASE_Table[[#This Row],[FF&amp;E]]</f>
        <v>1548293.5</v>
      </c>
      <c r="S941" s="231">
        <v>1548293.5</v>
      </c>
      <c r="T941" s="232">
        <v>1550000</v>
      </c>
      <c r="U941" s="198"/>
      <c r="V941" s="198"/>
      <c r="W941" s="233">
        <f>DATABASE_Table[[#This Row],[Current Asking price( Total)]]-DATABASE_Table[[#This Row],[Vista membership]]-DATABASE_Table[[#This Row],[FF&amp;E]]</f>
        <v>1550000</v>
      </c>
      <c r="X941" s="216"/>
      <c r="Y941" s="232">
        <v>1550000</v>
      </c>
      <c r="Z941" s="233">
        <f>DATABASE_Table[[#This Row],[Sell price (Total)]]-DATABASE_Table[[#This Row],[FF&amp;E]]-DATABASE_Table[[#This Row],[Vista membership]]</f>
        <v>1550000</v>
      </c>
      <c r="AA941" s="315"/>
      <c r="AB941" s="321"/>
      <c r="AC941" s="198" t="s">
        <v>10</v>
      </c>
      <c r="AD941" s="198" t="s">
        <v>11</v>
      </c>
      <c r="AE941" s="279" t="s">
        <v>53</v>
      </c>
      <c r="AF941" s="279" t="s">
        <v>54</v>
      </c>
      <c r="AG941" s="279" t="s">
        <v>811</v>
      </c>
      <c r="AH941" s="279" t="s">
        <v>812</v>
      </c>
      <c r="AI941" s="198" t="s">
        <v>36</v>
      </c>
      <c r="AJ941" s="274" t="s">
        <v>52</v>
      </c>
      <c r="AK941"/>
    </row>
    <row r="942" spans="1:37" ht="15.75" hidden="1" customHeight="1">
      <c r="A942" s="198" t="s">
        <v>560</v>
      </c>
      <c r="B942" s="198" t="s">
        <v>691</v>
      </c>
      <c r="C942" s="214" t="s">
        <v>348</v>
      </c>
      <c r="D942" s="198" t="s">
        <v>9</v>
      </c>
      <c r="E942" s="198" t="s">
        <v>384</v>
      </c>
      <c r="F942" s="198">
        <v>149.22999999999999</v>
      </c>
      <c r="G942" s="198"/>
      <c r="H942" s="214" t="s">
        <v>325</v>
      </c>
      <c r="I942" s="214" t="s">
        <v>325</v>
      </c>
      <c r="J942" s="271"/>
      <c r="K942" s="198"/>
      <c r="L942" s="198"/>
      <c r="M942" s="198"/>
      <c r="N942" s="198"/>
      <c r="O942" s="198">
        <v>149.22999999999999</v>
      </c>
      <c r="P942" s="198"/>
      <c r="Q942" s="198" t="s">
        <v>929</v>
      </c>
      <c r="R942" s="230">
        <f>DATABASE_Table[[#This Row],[Inicial Asking Price (€) (Total)]]-DATABASE_Table[[#This Row],[Vista membership]]-DATABASE_Table[[#This Row],[FF&amp;E]]</f>
        <v>830000</v>
      </c>
      <c r="S942" s="231">
        <v>830000</v>
      </c>
      <c r="T942" s="232">
        <v>850000</v>
      </c>
      <c r="U942" s="198"/>
      <c r="V942" s="198"/>
      <c r="W942" s="233">
        <f>DATABASE_Table[[#This Row],[Current Asking price( Total)]]-DATABASE_Table[[#This Row],[Vista membership]]-DATABASE_Table[[#This Row],[FF&amp;E]]</f>
        <v>850000</v>
      </c>
      <c r="X942" s="216">
        <v>0</v>
      </c>
      <c r="Y942" s="232">
        <v>850000</v>
      </c>
      <c r="Z942" s="233">
        <f>DATABASE_Table[[#This Row],[Sell price (Total)]]-DATABASE_Table[[#This Row],[FF&amp;E]]-DATABASE_Table[[#This Row],[Vista membership]]</f>
        <v>850000</v>
      </c>
      <c r="AA942" s="315">
        <v>45906</v>
      </c>
      <c r="AB942" s="321"/>
      <c r="AC942" s="198" t="s">
        <v>10</v>
      </c>
      <c r="AD942" s="198" t="s">
        <v>802</v>
      </c>
      <c r="AE942" s="279" t="s">
        <v>17</v>
      </c>
      <c r="AF942" s="279" t="s">
        <v>18</v>
      </c>
      <c r="AG942" s="279" t="s">
        <v>19</v>
      </c>
      <c r="AH942" s="279" t="s">
        <v>20</v>
      </c>
      <c r="AI942" s="198" t="s">
        <v>21</v>
      </c>
      <c r="AJ942" s="274" t="s">
        <v>16</v>
      </c>
      <c r="AK942"/>
    </row>
    <row r="943" spans="1:37" ht="15.75" hidden="1" customHeight="1">
      <c r="A943" s="198" t="s">
        <v>558</v>
      </c>
      <c r="B943" s="198" t="s">
        <v>691</v>
      </c>
      <c r="C943" s="214" t="s">
        <v>348</v>
      </c>
      <c r="D943" s="198" t="s">
        <v>9</v>
      </c>
      <c r="E943" s="198" t="s">
        <v>320</v>
      </c>
      <c r="F943" s="198">
        <v>153.52000000000001</v>
      </c>
      <c r="G943" s="198">
        <v>4.45</v>
      </c>
      <c r="H943" s="214" t="s">
        <v>608</v>
      </c>
      <c r="I943" s="214" t="s">
        <v>325</v>
      </c>
      <c r="J943" s="271">
        <v>31.83</v>
      </c>
      <c r="K943" s="198"/>
      <c r="L943" s="198"/>
      <c r="M943" s="198"/>
      <c r="N943" s="198"/>
      <c r="O943" s="198">
        <v>153.52000000000001</v>
      </c>
      <c r="P943" s="198"/>
      <c r="Q943" s="198" t="s">
        <v>329</v>
      </c>
      <c r="R943" s="230">
        <f>DATABASE_Table[[#This Row],[Inicial Asking Price (€) (Total)]]-DATABASE_Table[[#This Row],[Vista membership]]-DATABASE_Table[[#This Row],[FF&amp;E]]</f>
        <v>1080000</v>
      </c>
      <c r="S943" s="231">
        <v>1080000</v>
      </c>
      <c r="T943" s="232">
        <v>1080000</v>
      </c>
      <c r="U943" s="198"/>
      <c r="V943" s="198"/>
      <c r="W943" s="233">
        <f>DATABASE_Table[[#This Row],[Current Asking price( Total)]]-DATABASE_Table[[#This Row],[Vista membership]]-DATABASE_Table[[#This Row],[FF&amp;E]]</f>
        <v>1080000</v>
      </c>
      <c r="X943" s="216"/>
      <c r="Y943" s="232">
        <v>1080000</v>
      </c>
      <c r="Z943" s="233">
        <f>DATABASE_Table[[#This Row],[Sell price (Total)]]-DATABASE_Table[[#This Row],[FF&amp;E]]-DATABASE_Table[[#This Row],[Vista membership]]</f>
        <v>1080000</v>
      </c>
      <c r="AA943" s="315"/>
      <c r="AB943" s="321"/>
      <c r="AC943" s="198" t="s">
        <v>10</v>
      </c>
      <c r="AD943" s="198" t="s">
        <v>11</v>
      </c>
      <c r="AE943" s="279" t="s">
        <v>12</v>
      </c>
      <c r="AF943" s="279" t="s">
        <v>801</v>
      </c>
      <c r="AG943" s="279" t="s">
        <v>13</v>
      </c>
      <c r="AH943" s="279" t="s">
        <v>14</v>
      </c>
      <c r="AI943" s="198" t="s">
        <v>15</v>
      </c>
      <c r="AJ943" s="274" t="s">
        <v>8</v>
      </c>
      <c r="AK943"/>
    </row>
    <row r="944" spans="1:37" ht="15.75" hidden="1" customHeight="1">
      <c r="A944" s="198" t="s">
        <v>31</v>
      </c>
      <c r="B944" s="198" t="s">
        <v>691</v>
      </c>
      <c r="C944" s="214" t="s">
        <v>348</v>
      </c>
      <c r="D944" s="198" t="s">
        <v>9</v>
      </c>
      <c r="E944" s="198" t="s">
        <v>319</v>
      </c>
      <c r="F944" s="198"/>
      <c r="G944" s="198"/>
      <c r="H944" s="214" t="s">
        <v>325</v>
      </c>
      <c r="I944" s="214" t="s">
        <v>325</v>
      </c>
      <c r="J944" s="271"/>
      <c r="K944" s="198">
        <v>67</v>
      </c>
      <c r="L944" s="198"/>
      <c r="M944" s="198">
        <v>0</v>
      </c>
      <c r="N944" s="198"/>
      <c r="O944" s="198">
        <v>105</v>
      </c>
      <c r="P944" s="198"/>
      <c r="Q944" s="198" t="s">
        <v>329</v>
      </c>
      <c r="R944" s="230">
        <f>DATABASE_Table[[#This Row],[Inicial Asking Price (€) (Total)]]-DATABASE_Table[[#This Row],[Vista membership]]-DATABASE_Table[[#This Row],[FF&amp;E]]</f>
        <v>800000</v>
      </c>
      <c r="S944" s="232">
        <v>800000</v>
      </c>
      <c r="T944" s="232">
        <v>800000</v>
      </c>
      <c r="U944" s="198"/>
      <c r="V944" s="198"/>
      <c r="W944" s="233">
        <f>DATABASE_Table[[#This Row],[Current Asking price( Total)]]-DATABASE_Table[[#This Row],[Vista membership]]-DATABASE_Table[[#This Row],[FF&amp;E]]</f>
        <v>800000</v>
      </c>
      <c r="X944" s="216"/>
      <c r="Y944" s="232">
        <v>780000</v>
      </c>
      <c r="Z944" s="233">
        <f>DATABASE_Table[[#This Row],[Sell price (Total)]]-DATABASE_Table[[#This Row],[FF&amp;E]]-DATABASE_Table[[#This Row],[Vista membership]]</f>
        <v>780000</v>
      </c>
      <c r="AA944" s="315"/>
      <c r="AB944" s="321"/>
      <c r="AC944" s="198" t="s">
        <v>10</v>
      </c>
      <c r="AD944" s="198" t="s">
        <v>807</v>
      </c>
      <c r="AE944" s="279" t="s">
        <v>32</v>
      </c>
      <c r="AF944" s="279" t="s">
        <v>808</v>
      </c>
      <c r="AG944" s="279" t="s">
        <v>33</v>
      </c>
      <c r="AH944" s="279" t="s">
        <v>809</v>
      </c>
      <c r="AI944" s="198" t="s">
        <v>15</v>
      </c>
      <c r="AJ944" s="274" t="s">
        <v>31</v>
      </c>
      <c r="AK944"/>
    </row>
    <row r="945" spans="1:37" ht="15.75" hidden="1" customHeight="1">
      <c r="A945" s="198" t="s">
        <v>690</v>
      </c>
      <c r="B945" s="198" t="s">
        <v>691</v>
      </c>
      <c r="C945" s="214" t="s">
        <v>348</v>
      </c>
      <c r="D945" s="198" t="s">
        <v>9</v>
      </c>
      <c r="E945" s="198" t="s">
        <v>383</v>
      </c>
      <c r="F945" s="198">
        <v>321.57</v>
      </c>
      <c r="G945" s="198">
        <v>163.77000000000001</v>
      </c>
      <c r="H945" s="214" t="s">
        <v>325</v>
      </c>
      <c r="I945" s="214" t="s">
        <v>325</v>
      </c>
      <c r="J945" s="271"/>
      <c r="K945" s="198"/>
      <c r="L945" s="198"/>
      <c r="M945" s="198"/>
      <c r="N945" s="198"/>
      <c r="O945" s="198">
        <v>157.80000000000001</v>
      </c>
      <c r="P945" s="198"/>
      <c r="Q945" s="198" t="s">
        <v>329</v>
      </c>
      <c r="R945" s="230">
        <f>DATABASE_Table[[#This Row],[Inicial Asking Price (€) (Total)]]-DATABASE_Table[[#This Row],[Vista membership]]-DATABASE_Table[[#This Row],[FF&amp;E]]</f>
        <v>2052100</v>
      </c>
      <c r="S945" s="231">
        <v>2141050</v>
      </c>
      <c r="T945" s="232">
        <v>2230000</v>
      </c>
      <c r="U945" s="198">
        <v>24600</v>
      </c>
      <c r="V945" s="198">
        <v>64350</v>
      </c>
      <c r="W945" s="233">
        <f>DATABASE_Table[[#This Row],[Current Asking price( Total)]]-DATABASE_Table[[#This Row],[Vista membership]]-DATABASE_Table[[#This Row],[FF&amp;E]]</f>
        <v>2141050</v>
      </c>
      <c r="X945" s="216"/>
      <c r="Y945" s="232">
        <v>2230000</v>
      </c>
      <c r="Z945" s="233">
        <f>DATABASE_Table[[#This Row],[Sell price (Total)]]-DATABASE_Table[[#This Row],[FF&amp;E]]-DATABASE_Table[[#This Row],[Vista membership]]</f>
        <v>2141050</v>
      </c>
      <c r="AA945" s="315"/>
      <c r="AB945" s="321"/>
      <c r="AC945" s="198" t="s">
        <v>10</v>
      </c>
      <c r="AD945" s="198" t="s">
        <v>35</v>
      </c>
      <c r="AE945" s="279" t="s">
        <v>38</v>
      </c>
      <c r="AF945" s="279" t="s">
        <v>39</v>
      </c>
      <c r="AG945" s="279" t="s">
        <v>40</v>
      </c>
      <c r="AH945" s="279" t="s">
        <v>810</v>
      </c>
      <c r="AI945" s="198" t="s">
        <v>41</v>
      </c>
      <c r="AJ945" s="274" t="s">
        <v>37</v>
      </c>
      <c r="AK945"/>
    </row>
    <row r="946" spans="1:37" ht="15.75" hidden="1" customHeight="1">
      <c r="A946" s="198" t="s">
        <v>563</v>
      </c>
      <c r="B946" s="198" t="s">
        <v>691</v>
      </c>
      <c r="C946" s="214" t="s">
        <v>348</v>
      </c>
      <c r="D946" s="198" t="s">
        <v>9</v>
      </c>
      <c r="E946" s="198" t="s">
        <v>319</v>
      </c>
      <c r="F946" s="198">
        <v>78.3</v>
      </c>
      <c r="G946" s="198"/>
      <c r="H946" s="214" t="s">
        <v>325</v>
      </c>
      <c r="I946" s="214" t="s">
        <v>325</v>
      </c>
      <c r="J946" s="271"/>
      <c r="K946" s="198"/>
      <c r="L946" s="198"/>
      <c r="M946" s="198"/>
      <c r="N946" s="198"/>
      <c r="O946" s="198">
        <v>78.3</v>
      </c>
      <c r="P946" s="198"/>
      <c r="Q946" s="198" t="s">
        <v>628</v>
      </c>
      <c r="R946" s="230">
        <f>DATABASE_Table[[#This Row],[Inicial Asking Price (€) (Total)]]-DATABASE_Table[[#This Row],[Vista membership]]-DATABASE_Table[[#This Row],[FF&amp;E]]</f>
        <v>440000</v>
      </c>
      <c r="S946" s="231">
        <v>440000</v>
      </c>
      <c r="T946" s="232">
        <v>418000</v>
      </c>
      <c r="U946" s="198"/>
      <c r="V946" s="198"/>
      <c r="W946" s="233">
        <f>DATABASE_Table[[#This Row],[Current Asking price( Total)]]-DATABASE_Table[[#This Row],[Vista membership]]-DATABASE_Table[[#This Row],[FF&amp;E]]</f>
        <v>418000</v>
      </c>
      <c r="X946" s="216">
        <v>0</v>
      </c>
      <c r="Y946" s="232">
        <v>418000</v>
      </c>
      <c r="Z946" s="233">
        <f>DATABASE_Table[[#This Row],[Sell price (Total)]]-DATABASE_Table[[#This Row],[FF&amp;E]]-DATABASE_Table[[#This Row],[Vista membership]]</f>
        <v>418000</v>
      </c>
      <c r="AA946" s="316">
        <v>45888</v>
      </c>
      <c r="AB946" s="321"/>
      <c r="AC946" s="198" t="s">
        <v>10</v>
      </c>
      <c r="AD946" s="198" t="s">
        <v>11</v>
      </c>
      <c r="AE946" s="279" t="s">
        <v>28</v>
      </c>
      <c r="AF946" s="279" t="s">
        <v>29</v>
      </c>
      <c r="AG946" s="279" t="s">
        <v>805</v>
      </c>
      <c r="AH946" s="279" t="s">
        <v>806</v>
      </c>
      <c r="AI946" s="198" t="s">
        <v>30</v>
      </c>
      <c r="AJ946" s="274" t="s">
        <v>27</v>
      </c>
      <c r="AK946"/>
    </row>
    <row r="947" spans="1:37" ht="15.75" hidden="1" customHeight="1">
      <c r="A947" s="198" t="s">
        <v>562</v>
      </c>
      <c r="B947" s="198" t="s">
        <v>691</v>
      </c>
      <c r="C947" s="214" t="s">
        <v>348</v>
      </c>
      <c r="D947" s="198" t="s">
        <v>9</v>
      </c>
      <c r="E947" s="198" t="s">
        <v>319</v>
      </c>
      <c r="F947" s="198">
        <v>111</v>
      </c>
      <c r="G947" s="198"/>
      <c r="H947" s="214" t="s">
        <v>325</v>
      </c>
      <c r="I947" s="214" t="s">
        <v>325</v>
      </c>
      <c r="J947" s="271"/>
      <c r="K947" s="198"/>
      <c r="L947" s="198"/>
      <c r="M947" s="198"/>
      <c r="N947" s="198"/>
      <c r="O947" s="198">
        <v>111</v>
      </c>
      <c r="P947" s="198"/>
      <c r="Q947" s="198" t="s">
        <v>929</v>
      </c>
      <c r="R947" s="230">
        <f>DATABASE_Table[[#This Row],[Inicial Asking Price (€) (Total)]]-DATABASE_Table[[#This Row],[Vista membership]]-DATABASE_Table[[#This Row],[FF&amp;E]]</f>
        <v>620000</v>
      </c>
      <c r="S947" s="231">
        <v>620000</v>
      </c>
      <c r="T947" s="232">
        <v>650000</v>
      </c>
      <c r="U947" s="198"/>
      <c r="V947" s="198"/>
      <c r="W947" s="233">
        <f>DATABASE_Table[[#This Row],[Current Asking price( Total)]]-DATABASE_Table[[#This Row],[Vista membership]]-DATABASE_Table[[#This Row],[FF&amp;E]]</f>
        <v>650000</v>
      </c>
      <c r="X947" s="216">
        <v>0</v>
      </c>
      <c r="Y947" s="232">
        <v>650000</v>
      </c>
      <c r="Z947" s="233">
        <f>DATABASE_Table[[#This Row],[Sell price (Total)]]-DATABASE_Table[[#This Row],[FF&amp;E]]-DATABASE_Table[[#This Row],[Vista membership]]</f>
        <v>650000</v>
      </c>
      <c r="AA947" s="315">
        <v>45395</v>
      </c>
      <c r="AB947" s="321"/>
      <c r="AC947" s="198" t="s">
        <v>10</v>
      </c>
      <c r="AD947" s="198" t="s">
        <v>23</v>
      </c>
      <c r="AE947" s="279" t="s">
        <v>24</v>
      </c>
      <c r="AF947" s="279" t="s">
        <v>803</v>
      </c>
      <c r="AG947" s="279" t="s">
        <v>25</v>
      </c>
      <c r="AH947" s="279" t="s">
        <v>804</v>
      </c>
      <c r="AI947" s="198" t="s">
        <v>26</v>
      </c>
      <c r="AJ947" s="274" t="s">
        <v>22</v>
      </c>
      <c r="AK947"/>
    </row>
    <row r="948" spans="1:37" ht="15.75" hidden="1" customHeight="1">
      <c r="A948" s="198" t="s">
        <v>689</v>
      </c>
      <c r="B948" s="198" t="s">
        <v>691</v>
      </c>
      <c r="C948" s="214" t="s">
        <v>348</v>
      </c>
      <c r="D948" s="198"/>
      <c r="E948" s="198" t="s">
        <v>384</v>
      </c>
      <c r="F948" s="198">
        <v>152.87280000000001</v>
      </c>
      <c r="G948" s="198"/>
      <c r="H948" s="214" t="s">
        <v>325</v>
      </c>
      <c r="I948" s="214" t="s">
        <v>325</v>
      </c>
      <c r="J948" s="271"/>
      <c r="K948" s="198"/>
      <c r="L948" s="198"/>
      <c r="M948" s="198"/>
      <c r="N948" s="198"/>
      <c r="O948" s="198">
        <v>152.87280000000001</v>
      </c>
      <c r="P948" s="198"/>
      <c r="Q948" s="198" t="s">
        <v>929</v>
      </c>
      <c r="R948" s="230">
        <f>DATABASE_Table[[#This Row],[Inicial Asking Price (€) (Total)]]-DATABASE_Table[[#This Row],[Vista membership]]-DATABASE_Table[[#This Row],[FF&amp;E]]</f>
        <v>1012500</v>
      </c>
      <c r="S948" s="231">
        <v>1012500</v>
      </c>
      <c r="T948" s="232">
        <v>1100000</v>
      </c>
      <c r="U948" s="198"/>
      <c r="V948" s="198"/>
      <c r="W948" s="233">
        <f>DATABASE_Table[[#This Row],[Current Asking price( Total)]]-DATABASE_Table[[#This Row],[Vista membership]]-DATABASE_Table[[#This Row],[FF&amp;E]]</f>
        <v>1100000</v>
      </c>
      <c r="X948" s="216">
        <v>0</v>
      </c>
      <c r="Y948" s="232">
        <v>1100000</v>
      </c>
      <c r="Z948" s="233">
        <f>DATABASE_Table[[#This Row],[Sell price (Total)]]-DATABASE_Table[[#This Row],[FF&amp;E]]-DATABASE_Table[[#This Row],[Vista membership]]</f>
        <v>1100000</v>
      </c>
      <c r="AA948" s="315">
        <v>45644</v>
      </c>
      <c r="AB948" s="321"/>
      <c r="AC948" s="198"/>
      <c r="AD948" s="198"/>
      <c r="AE948" s="279"/>
      <c r="AF948" s="279"/>
      <c r="AG948" s="279"/>
      <c r="AH948" s="279"/>
      <c r="AI948" s="198"/>
      <c r="AJ948" s="274" t="s">
        <v>689</v>
      </c>
      <c r="AK948"/>
    </row>
    <row r="949" spans="1:37" ht="15.75" hidden="1" customHeight="1">
      <c r="A949" s="198" t="s">
        <v>564</v>
      </c>
      <c r="B949" s="198" t="s">
        <v>691</v>
      </c>
      <c r="C949" s="214" t="s">
        <v>348</v>
      </c>
      <c r="D949" s="198" t="s">
        <v>9</v>
      </c>
      <c r="E949" s="198" t="s">
        <v>416</v>
      </c>
      <c r="F949" s="198">
        <v>130.21</v>
      </c>
      <c r="G949" s="198"/>
      <c r="H949" s="214" t="s">
        <v>325</v>
      </c>
      <c r="I949" s="214" t="s">
        <v>325</v>
      </c>
      <c r="J949" s="271">
        <v>41.51</v>
      </c>
      <c r="K949" s="198"/>
      <c r="L949" s="198"/>
      <c r="M949" s="198"/>
      <c r="N949" s="198"/>
      <c r="O949" s="198">
        <v>88.7</v>
      </c>
      <c r="P949" s="198"/>
      <c r="Q949" s="198" t="s">
        <v>329</v>
      </c>
      <c r="R949" s="230">
        <f>DATABASE_Table[[#This Row],[Inicial Asking Price (€) (Total)]]-DATABASE_Table[[#This Row],[Vista membership]]-DATABASE_Table[[#This Row],[FF&amp;E]]</f>
        <v>675519.9</v>
      </c>
      <c r="S949" s="231">
        <v>740119.9</v>
      </c>
      <c r="T949" s="232">
        <v>800000</v>
      </c>
      <c r="U949" s="198">
        <v>24600</v>
      </c>
      <c r="V949" s="198">
        <v>40000</v>
      </c>
      <c r="W949" s="233">
        <f>DATABASE_Table[[#This Row],[Current Asking price( Total)]]-DATABASE_Table[[#This Row],[Vista membership]]-DATABASE_Table[[#This Row],[FF&amp;E]]</f>
        <v>735400</v>
      </c>
      <c r="X949" s="216"/>
      <c r="Y949" s="232">
        <v>800000</v>
      </c>
      <c r="Z949" s="233">
        <f>DATABASE_Table[[#This Row],[Sell price (Total)]]-DATABASE_Table[[#This Row],[FF&amp;E]]-DATABASE_Table[[#This Row],[Vista membership]]</f>
        <v>735400</v>
      </c>
      <c r="AA949" s="315"/>
      <c r="AB949" s="321"/>
      <c r="AC949" s="198" t="s">
        <v>10</v>
      </c>
      <c r="AD949" s="198" t="s">
        <v>35</v>
      </c>
      <c r="AE949" s="279" t="s">
        <v>43</v>
      </c>
      <c r="AF949" s="279" t="s">
        <v>44</v>
      </c>
      <c r="AG949" s="279" t="s">
        <v>45</v>
      </c>
      <c r="AH949" s="279" t="s">
        <v>46</v>
      </c>
      <c r="AI949" s="198" t="s">
        <v>47</v>
      </c>
      <c r="AJ949" s="274" t="s">
        <v>42</v>
      </c>
      <c r="AK949"/>
    </row>
    <row r="950" spans="1:37" ht="15.75" hidden="1" customHeight="1">
      <c r="A950" s="198" t="s">
        <v>630</v>
      </c>
      <c r="B950" s="198" t="s">
        <v>691</v>
      </c>
      <c r="C950" s="214" t="s">
        <v>349</v>
      </c>
      <c r="D950" s="198" t="s">
        <v>9</v>
      </c>
      <c r="E950" s="198" t="s">
        <v>319</v>
      </c>
      <c r="F950" s="198">
        <v>151.47999999999999</v>
      </c>
      <c r="G950" s="198"/>
      <c r="H950" s="214" t="s">
        <v>849</v>
      </c>
      <c r="I950" s="214" t="s">
        <v>325</v>
      </c>
      <c r="J950" s="271">
        <v>20.100000000000001</v>
      </c>
      <c r="K950" s="198"/>
      <c r="L950" s="198"/>
      <c r="M950" s="198">
        <v>7.51</v>
      </c>
      <c r="N950" s="198"/>
      <c r="O950" s="198">
        <v>123.87</v>
      </c>
      <c r="P950" s="198"/>
      <c r="Q950" s="198" t="s">
        <v>329</v>
      </c>
      <c r="R950" s="230">
        <f>DATABASE_Table[[#This Row],[Inicial Asking Price (€) (Total)]]-DATABASE_Table[[#This Row],[Vista membership]]-DATABASE_Table[[#This Row],[FF&amp;E]]</f>
        <v>1037929.662</v>
      </c>
      <c r="S950" s="231">
        <v>1037929.662</v>
      </c>
      <c r="T950" s="232">
        <v>1050000</v>
      </c>
      <c r="U950" s="198"/>
      <c r="V950" s="198"/>
      <c r="W950" s="233">
        <f>DATABASE_Table[[#This Row],[Current Asking price( Total)]]-DATABASE_Table[[#This Row],[Vista membership]]-DATABASE_Table[[#This Row],[FF&amp;E]]</f>
        <v>1050000</v>
      </c>
      <c r="X950" s="216"/>
      <c r="Y950" s="232">
        <v>1040000</v>
      </c>
      <c r="Z950" s="233">
        <f>DATABASE_Table[[#This Row],[Sell price (Total)]]-DATABASE_Table[[#This Row],[FF&amp;E]]-DATABASE_Table[[#This Row],[Vista membership]]</f>
        <v>1040000</v>
      </c>
      <c r="AA950" s="315"/>
      <c r="AB950" s="321"/>
      <c r="AC950" s="198" t="s">
        <v>10</v>
      </c>
      <c r="AD950" s="198" t="s">
        <v>11</v>
      </c>
      <c r="AE950" s="279" t="s">
        <v>53</v>
      </c>
      <c r="AF950" s="279" t="s">
        <v>54</v>
      </c>
      <c r="AG950" s="279" t="s">
        <v>811</v>
      </c>
      <c r="AH950" s="279" t="s">
        <v>812</v>
      </c>
      <c r="AI950" s="198" t="s">
        <v>36</v>
      </c>
      <c r="AJ950" s="274" t="s">
        <v>52</v>
      </c>
      <c r="AK950"/>
    </row>
    <row r="951" spans="1:37" ht="15.75" hidden="1" customHeight="1">
      <c r="A951" s="198" t="s">
        <v>560</v>
      </c>
      <c r="B951" s="198" t="s">
        <v>691</v>
      </c>
      <c r="C951" s="214" t="s">
        <v>349</v>
      </c>
      <c r="D951" s="198" t="s">
        <v>9</v>
      </c>
      <c r="E951" s="198" t="s">
        <v>383</v>
      </c>
      <c r="F951" s="198">
        <v>170.14</v>
      </c>
      <c r="G951" s="198"/>
      <c r="H951" s="214" t="s">
        <v>325</v>
      </c>
      <c r="I951" s="214" t="s">
        <v>325</v>
      </c>
      <c r="J951" s="271"/>
      <c r="K951" s="198"/>
      <c r="L951" s="198"/>
      <c r="M951" s="198"/>
      <c r="N951" s="198"/>
      <c r="O951" s="198">
        <v>170.14</v>
      </c>
      <c r="P951" s="198"/>
      <c r="Q951" s="198" t="s">
        <v>929</v>
      </c>
      <c r="R951" s="230">
        <f>DATABASE_Table[[#This Row],[Inicial Asking Price (€) (Total)]]-DATABASE_Table[[#This Row],[Vista membership]]-DATABASE_Table[[#This Row],[FF&amp;E]]</f>
        <v>980000</v>
      </c>
      <c r="S951" s="231">
        <v>980000</v>
      </c>
      <c r="T951" s="232">
        <v>980000</v>
      </c>
      <c r="U951" s="198"/>
      <c r="V951" s="198"/>
      <c r="W951" s="233">
        <f>DATABASE_Table[[#This Row],[Current Asking price( Total)]]-DATABASE_Table[[#This Row],[Vista membership]]-DATABASE_Table[[#This Row],[FF&amp;E]]</f>
        <v>980000</v>
      </c>
      <c r="X951" s="216">
        <v>0</v>
      </c>
      <c r="Y951" s="232">
        <v>980000</v>
      </c>
      <c r="Z951" s="233">
        <f>DATABASE_Table[[#This Row],[Sell price (Total)]]-DATABASE_Table[[#This Row],[FF&amp;E]]-DATABASE_Table[[#This Row],[Vista membership]]</f>
        <v>980000</v>
      </c>
      <c r="AA951" s="315">
        <v>45520</v>
      </c>
      <c r="AB951" s="321"/>
      <c r="AC951" s="198" t="s">
        <v>10</v>
      </c>
      <c r="AD951" s="198" t="s">
        <v>802</v>
      </c>
      <c r="AE951" s="279" t="s">
        <v>17</v>
      </c>
      <c r="AF951" s="279" t="s">
        <v>18</v>
      </c>
      <c r="AG951" s="279" t="s">
        <v>19</v>
      </c>
      <c r="AH951" s="279" t="s">
        <v>20</v>
      </c>
      <c r="AI951" s="198" t="s">
        <v>21</v>
      </c>
      <c r="AJ951" s="274" t="s">
        <v>16</v>
      </c>
      <c r="AK951"/>
    </row>
    <row r="952" spans="1:37" ht="15.75" hidden="1" customHeight="1">
      <c r="A952" s="198" t="s">
        <v>558</v>
      </c>
      <c r="B952" s="198" t="s">
        <v>691</v>
      </c>
      <c r="C952" s="214" t="s">
        <v>349</v>
      </c>
      <c r="D952" s="198" t="s">
        <v>9</v>
      </c>
      <c r="E952" s="198" t="s">
        <v>321</v>
      </c>
      <c r="F952" s="198">
        <v>191.33</v>
      </c>
      <c r="G952" s="198">
        <v>4.47</v>
      </c>
      <c r="H952" s="214" t="s">
        <v>609</v>
      </c>
      <c r="I952" s="214" t="s">
        <v>590</v>
      </c>
      <c r="J952" s="271">
        <v>6.84</v>
      </c>
      <c r="K952" s="198"/>
      <c r="L952" s="198"/>
      <c r="M952" s="198"/>
      <c r="N952" s="198"/>
      <c r="O952" s="198">
        <v>191.33</v>
      </c>
      <c r="P952" s="198"/>
      <c r="Q952" s="198" t="s">
        <v>329</v>
      </c>
      <c r="R952" s="230">
        <f>DATABASE_Table[[#This Row],[Inicial Asking Price (€) (Total)]]-DATABASE_Table[[#This Row],[Vista membership]]-DATABASE_Table[[#This Row],[FF&amp;E]]</f>
        <v>1650000</v>
      </c>
      <c r="S952" s="231">
        <v>1650000</v>
      </c>
      <c r="T952" s="232">
        <v>1650000</v>
      </c>
      <c r="U952" s="198"/>
      <c r="V952" s="198"/>
      <c r="W952" s="233">
        <f>DATABASE_Table[[#This Row],[Current Asking price( Total)]]-DATABASE_Table[[#This Row],[Vista membership]]-DATABASE_Table[[#This Row],[FF&amp;E]]</f>
        <v>1650000</v>
      </c>
      <c r="X952" s="216"/>
      <c r="Y952" s="232">
        <v>1650000</v>
      </c>
      <c r="Z952" s="233">
        <f>DATABASE_Table[[#This Row],[Sell price (Total)]]-DATABASE_Table[[#This Row],[FF&amp;E]]-DATABASE_Table[[#This Row],[Vista membership]]</f>
        <v>1650000</v>
      </c>
      <c r="AA952" s="315"/>
      <c r="AB952" s="321"/>
      <c r="AC952" s="198" t="s">
        <v>10</v>
      </c>
      <c r="AD952" s="198" t="s">
        <v>11</v>
      </c>
      <c r="AE952" s="279" t="s">
        <v>12</v>
      </c>
      <c r="AF952" s="279" t="s">
        <v>801</v>
      </c>
      <c r="AG952" s="279" t="s">
        <v>13</v>
      </c>
      <c r="AH952" s="279" t="s">
        <v>14</v>
      </c>
      <c r="AI952" s="198" t="s">
        <v>15</v>
      </c>
      <c r="AJ952" s="274" t="s">
        <v>8</v>
      </c>
      <c r="AK952"/>
    </row>
    <row r="953" spans="1:37" ht="15.75" hidden="1" customHeight="1">
      <c r="A953" s="198" t="s">
        <v>31</v>
      </c>
      <c r="B953" s="198" t="s">
        <v>691</v>
      </c>
      <c r="C953" s="214" t="s">
        <v>349</v>
      </c>
      <c r="D953" s="198" t="s">
        <v>9</v>
      </c>
      <c r="E953" s="198" t="s">
        <v>319</v>
      </c>
      <c r="F953" s="198"/>
      <c r="G953" s="198"/>
      <c r="H953" s="214" t="s">
        <v>325</v>
      </c>
      <c r="I953" s="214" t="s">
        <v>325</v>
      </c>
      <c r="J953" s="271"/>
      <c r="K953" s="198">
        <v>124</v>
      </c>
      <c r="L953" s="198"/>
      <c r="M953" s="198">
        <v>0</v>
      </c>
      <c r="N953" s="198"/>
      <c r="O953" s="198">
        <v>111</v>
      </c>
      <c r="P953" s="198"/>
      <c r="Q953" s="198" t="s">
        <v>329</v>
      </c>
      <c r="R953" s="230">
        <f>DATABASE_Table[[#This Row],[Inicial Asking Price (€) (Total)]]-DATABASE_Table[[#This Row],[Vista membership]]-DATABASE_Table[[#This Row],[FF&amp;E]]</f>
        <v>930000</v>
      </c>
      <c r="S953" s="232">
        <v>930000</v>
      </c>
      <c r="T953" s="232">
        <v>930000</v>
      </c>
      <c r="U953" s="198"/>
      <c r="V953" s="198"/>
      <c r="W953" s="233">
        <f>DATABASE_Table[[#This Row],[Current Asking price( Total)]]-DATABASE_Table[[#This Row],[Vista membership]]-DATABASE_Table[[#This Row],[FF&amp;E]]</f>
        <v>930000</v>
      </c>
      <c r="X953" s="216"/>
      <c r="Y953" s="232">
        <v>910000</v>
      </c>
      <c r="Z953" s="233">
        <f>DATABASE_Table[[#This Row],[Sell price (Total)]]-DATABASE_Table[[#This Row],[FF&amp;E]]-DATABASE_Table[[#This Row],[Vista membership]]</f>
        <v>910000</v>
      </c>
      <c r="AA953" s="315"/>
      <c r="AB953" s="321"/>
      <c r="AC953" s="198" t="s">
        <v>10</v>
      </c>
      <c r="AD953" s="198" t="s">
        <v>807</v>
      </c>
      <c r="AE953" s="279" t="s">
        <v>32</v>
      </c>
      <c r="AF953" s="279" t="s">
        <v>808</v>
      </c>
      <c r="AG953" s="279" t="s">
        <v>33</v>
      </c>
      <c r="AH953" s="279" t="s">
        <v>809</v>
      </c>
      <c r="AI953" s="198" t="s">
        <v>15</v>
      </c>
      <c r="AJ953" s="274" t="s">
        <v>31</v>
      </c>
      <c r="AK953"/>
    </row>
    <row r="954" spans="1:37" ht="15.75" hidden="1" customHeight="1">
      <c r="A954" s="198" t="s">
        <v>690</v>
      </c>
      <c r="B954" s="198" t="s">
        <v>691</v>
      </c>
      <c r="C954" s="214" t="s">
        <v>349</v>
      </c>
      <c r="D954" s="198" t="s">
        <v>9</v>
      </c>
      <c r="E954" s="198" t="s">
        <v>762</v>
      </c>
      <c r="F954" s="198">
        <v>404.86</v>
      </c>
      <c r="G954" s="198">
        <v>163.77000000000001</v>
      </c>
      <c r="H954" s="214" t="s">
        <v>325</v>
      </c>
      <c r="I954" s="214" t="s">
        <v>325</v>
      </c>
      <c r="J954" s="271">
        <v>19.649999999999999</v>
      </c>
      <c r="K954" s="198"/>
      <c r="L954" s="198"/>
      <c r="M954" s="198"/>
      <c r="N954" s="198"/>
      <c r="O954" s="198">
        <v>221.44</v>
      </c>
      <c r="P954" s="198"/>
      <c r="Q954" s="198" t="s">
        <v>329</v>
      </c>
      <c r="R954" s="230">
        <f>DATABASE_Table[[#This Row],[Inicial Asking Price (€) (Total)]]-DATABASE_Table[[#This Row],[Vista membership]]-DATABASE_Table[[#This Row],[FF&amp;E]]</f>
        <v>2814600</v>
      </c>
      <c r="S954" s="231">
        <v>2922300</v>
      </c>
      <c r="T954" s="232">
        <v>3030000</v>
      </c>
      <c r="U954" s="198">
        <v>24600</v>
      </c>
      <c r="V954" s="198">
        <v>83100</v>
      </c>
      <c r="W954" s="233">
        <f>DATABASE_Table[[#This Row],[Current Asking price( Total)]]-DATABASE_Table[[#This Row],[Vista membership]]-DATABASE_Table[[#This Row],[FF&amp;E]]</f>
        <v>2922300</v>
      </c>
      <c r="X954" s="216"/>
      <c r="Y954" s="232">
        <v>3030000</v>
      </c>
      <c r="Z954" s="233">
        <f>DATABASE_Table[[#This Row],[Sell price (Total)]]-DATABASE_Table[[#This Row],[FF&amp;E]]-DATABASE_Table[[#This Row],[Vista membership]]</f>
        <v>2922300</v>
      </c>
      <c r="AA954" s="315"/>
      <c r="AB954" s="321"/>
      <c r="AC954" s="198" t="s">
        <v>10</v>
      </c>
      <c r="AD954" s="198" t="s">
        <v>35</v>
      </c>
      <c r="AE954" s="279" t="s">
        <v>38</v>
      </c>
      <c r="AF954" s="279" t="s">
        <v>39</v>
      </c>
      <c r="AG954" s="279" t="s">
        <v>40</v>
      </c>
      <c r="AH954" s="279" t="s">
        <v>810</v>
      </c>
      <c r="AI954" s="198" t="s">
        <v>41</v>
      </c>
      <c r="AJ954" s="274" t="s">
        <v>37</v>
      </c>
      <c r="AK954"/>
    </row>
    <row r="955" spans="1:37" ht="15.75" hidden="1" customHeight="1">
      <c r="A955" s="198" t="s">
        <v>563</v>
      </c>
      <c r="B955" s="198" t="s">
        <v>691</v>
      </c>
      <c r="C955" s="214" t="s">
        <v>349</v>
      </c>
      <c r="D955" s="198" t="s">
        <v>9</v>
      </c>
      <c r="E955" s="198" t="s">
        <v>319</v>
      </c>
      <c r="F955" s="198">
        <v>78.3</v>
      </c>
      <c r="G955" s="198"/>
      <c r="H955" s="214" t="s">
        <v>325</v>
      </c>
      <c r="I955" s="214" t="s">
        <v>325</v>
      </c>
      <c r="J955" s="271"/>
      <c r="K955" s="198"/>
      <c r="L955" s="198"/>
      <c r="M955" s="198"/>
      <c r="N955" s="198"/>
      <c r="O955" s="198">
        <v>78.3</v>
      </c>
      <c r="P955" s="198"/>
      <c r="Q955" s="198" t="s">
        <v>628</v>
      </c>
      <c r="R955" s="230">
        <f>DATABASE_Table[[#This Row],[Inicial Asking Price (€) (Total)]]-DATABASE_Table[[#This Row],[Vista membership]]-DATABASE_Table[[#This Row],[FF&amp;E]]</f>
        <v>440000</v>
      </c>
      <c r="S955" s="231">
        <v>440000</v>
      </c>
      <c r="T955" s="232">
        <v>440000</v>
      </c>
      <c r="U955" s="198"/>
      <c r="V955" s="198"/>
      <c r="W955" s="233">
        <f>DATABASE_Table[[#This Row],[Current Asking price( Total)]]-DATABASE_Table[[#This Row],[Vista membership]]-DATABASE_Table[[#This Row],[FF&amp;E]]</f>
        <v>440000</v>
      </c>
      <c r="X955" s="216">
        <v>0</v>
      </c>
      <c r="Y955" s="232">
        <v>440000</v>
      </c>
      <c r="Z955" s="233">
        <f>DATABASE_Table[[#This Row],[Sell price (Total)]]-DATABASE_Table[[#This Row],[FF&amp;E]]-DATABASE_Table[[#This Row],[Vista membership]]</f>
        <v>440000</v>
      </c>
      <c r="AA955" s="316">
        <v>45819</v>
      </c>
      <c r="AB955" s="321"/>
      <c r="AC955" s="198" t="s">
        <v>10</v>
      </c>
      <c r="AD955" s="198" t="s">
        <v>11</v>
      </c>
      <c r="AE955" s="279" t="s">
        <v>28</v>
      </c>
      <c r="AF955" s="279" t="s">
        <v>29</v>
      </c>
      <c r="AG955" s="279" t="s">
        <v>805</v>
      </c>
      <c r="AH955" s="279" t="s">
        <v>806</v>
      </c>
      <c r="AI955" s="198" t="s">
        <v>30</v>
      </c>
      <c r="AJ955" s="274" t="s">
        <v>27</v>
      </c>
      <c r="AK955"/>
    </row>
    <row r="956" spans="1:37" ht="15.75" hidden="1" customHeight="1">
      <c r="A956" s="198" t="s">
        <v>562</v>
      </c>
      <c r="B956" s="198" t="s">
        <v>691</v>
      </c>
      <c r="C956" s="214" t="s">
        <v>349</v>
      </c>
      <c r="D956" s="198" t="s">
        <v>9</v>
      </c>
      <c r="E956" s="198" t="s">
        <v>320</v>
      </c>
      <c r="F956" s="198">
        <v>152</v>
      </c>
      <c r="G956" s="198"/>
      <c r="H956" s="214" t="s">
        <v>325</v>
      </c>
      <c r="I956" s="214" t="s">
        <v>325</v>
      </c>
      <c r="J956" s="271"/>
      <c r="K956" s="198"/>
      <c r="L956" s="198"/>
      <c r="M956" s="198"/>
      <c r="N956" s="198"/>
      <c r="O956" s="198">
        <v>152</v>
      </c>
      <c r="P956" s="198"/>
      <c r="Q956" s="198" t="s">
        <v>929</v>
      </c>
      <c r="R956" s="230">
        <f>DATABASE_Table[[#This Row],[Inicial Asking Price (€) (Total)]]-DATABASE_Table[[#This Row],[Vista membership]]-DATABASE_Table[[#This Row],[FF&amp;E]]</f>
        <v>830000</v>
      </c>
      <c r="S956" s="231">
        <v>830000</v>
      </c>
      <c r="T956" s="232">
        <v>870000</v>
      </c>
      <c r="U956" s="198"/>
      <c r="V956" s="198"/>
      <c r="W956" s="233">
        <f>DATABASE_Table[[#This Row],[Current Asking price( Total)]]-DATABASE_Table[[#This Row],[Vista membership]]-DATABASE_Table[[#This Row],[FF&amp;E]]</f>
        <v>870000</v>
      </c>
      <c r="X956" s="216">
        <v>0</v>
      </c>
      <c r="Y956" s="232">
        <v>870000</v>
      </c>
      <c r="Z956" s="233">
        <f>DATABASE_Table[[#This Row],[Sell price (Total)]]-DATABASE_Table[[#This Row],[FF&amp;E]]-DATABASE_Table[[#This Row],[Vista membership]]</f>
        <v>870000</v>
      </c>
      <c r="AA956" s="315">
        <v>45196</v>
      </c>
      <c r="AB956" s="321"/>
      <c r="AC956" s="198" t="s">
        <v>10</v>
      </c>
      <c r="AD956" s="198" t="s">
        <v>23</v>
      </c>
      <c r="AE956" s="279" t="s">
        <v>24</v>
      </c>
      <c r="AF956" s="279" t="s">
        <v>803</v>
      </c>
      <c r="AG956" s="279" t="s">
        <v>25</v>
      </c>
      <c r="AH956" s="279" t="s">
        <v>804</v>
      </c>
      <c r="AI956" s="198" t="s">
        <v>26</v>
      </c>
      <c r="AJ956" s="274" t="s">
        <v>22</v>
      </c>
      <c r="AK956"/>
    </row>
    <row r="957" spans="1:37" ht="15.75" hidden="1" customHeight="1">
      <c r="A957" s="198" t="s">
        <v>689</v>
      </c>
      <c r="B957" s="198" t="s">
        <v>691</v>
      </c>
      <c r="C957" s="214" t="s">
        <v>349</v>
      </c>
      <c r="D957" s="198"/>
      <c r="E957" s="198" t="s">
        <v>384</v>
      </c>
      <c r="F957" s="198">
        <v>152.87280000000001</v>
      </c>
      <c r="G957" s="198"/>
      <c r="H957" s="214" t="s">
        <v>325</v>
      </c>
      <c r="I957" s="214" t="s">
        <v>325</v>
      </c>
      <c r="J957" s="271"/>
      <c r="K957" s="198"/>
      <c r="L957" s="198"/>
      <c r="M957" s="198"/>
      <c r="N957" s="198"/>
      <c r="O957" s="198">
        <v>152.87280000000001</v>
      </c>
      <c r="P957" s="198"/>
      <c r="Q957" s="198" t="s">
        <v>929</v>
      </c>
      <c r="R957" s="230">
        <f>DATABASE_Table[[#This Row],[Inicial Asking Price (€) (Total)]]-DATABASE_Table[[#This Row],[Vista membership]]-DATABASE_Table[[#This Row],[FF&amp;E]]</f>
        <v>1012500</v>
      </c>
      <c r="S957" s="231">
        <v>1012500</v>
      </c>
      <c r="T957" s="232">
        <v>1100000</v>
      </c>
      <c r="U957" s="198"/>
      <c r="V957" s="198"/>
      <c r="W957" s="233">
        <f>DATABASE_Table[[#This Row],[Current Asking price( Total)]]-DATABASE_Table[[#This Row],[Vista membership]]-DATABASE_Table[[#This Row],[FF&amp;E]]</f>
        <v>1100000</v>
      </c>
      <c r="X957" s="216">
        <v>0</v>
      </c>
      <c r="Y957" s="232">
        <v>1100000</v>
      </c>
      <c r="Z957" s="233">
        <f>DATABASE_Table[[#This Row],[Sell price (Total)]]-DATABASE_Table[[#This Row],[FF&amp;E]]-DATABASE_Table[[#This Row],[Vista membership]]</f>
        <v>1100000</v>
      </c>
      <c r="AA957" s="315">
        <v>45657</v>
      </c>
      <c r="AB957" s="321"/>
      <c r="AC957" s="198"/>
      <c r="AD957" s="198"/>
      <c r="AE957" s="279"/>
      <c r="AF957" s="279"/>
      <c r="AG957" s="279"/>
      <c r="AH957" s="279"/>
      <c r="AI957" s="198"/>
      <c r="AJ957" s="274" t="s">
        <v>689</v>
      </c>
      <c r="AK957"/>
    </row>
    <row r="958" spans="1:37" ht="15.75" hidden="1" customHeight="1">
      <c r="A958" s="198" t="s">
        <v>564</v>
      </c>
      <c r="B958" s="198" t="s">
        <v>691</v>
      </c>
      <c r="C958" s="214" t="s">
        <v>349</v>
      </c>
      <c r="D958" s="198" t="s">
        <v>9</v>
      </c>
      <c r="E958" s="198" t="s">
        <v>416</v>
      </c>
      <c r="F958" s="198">
        <v>125.97</v>
      </c>
      <c r="G958" s="198"/>
      <c r="H958" s="214" t="s">
        <v>325</v>
      </c>
      <c r="I958" s="214" t="s">
        <v>325</v>
      </c>
      <c r="J958" s="271">
        <v>37.15</v>
      </c>
      <c r="K958" s="198"/>
      <c r="L958" s="198"/>
      <c r="M958" s="198"/>
      <c r="N958" s="198"/>
      <c r="O958" s="198">
        <v>88.82</v>
      </c>
      <c r="P958" s="198"/>
      <c r="Q958" s="198" t="s">
        <v>329</v>
      </c>
      <c r="R958" s="230">
        <f>DATABASE_Table[[#This Row],[Inicial Asking Price (€) (Total)]]-DATABASE_Table[[#This Row],[Vista membership]]-DATABASE_Table[[#This Row],[FF&amp;E]]</f>
        <v>671577.18</v>
      </c>
      <c r="S958" s="231">
        <v>736177.18</v>
      </c>
      <c r="T958" s="232">
        <v>800000</v>
      </c>
      <c r="U958" s="198">
        <v>24600</v>
      </c>
      <c r="V958" s="198">
        <v>40000</v>
      </c>
      <c r="W958" s="233">
        <f>DATABASE_Table[[#This Row],[Current Asking price( Total)]]-DATABASE_Table[[#This Row],[Vista membership]]-DATABASE_Table[[#This Row],[FF&amp;E]]</f>
        <v>735400</v>
      </c>
      <c r="X958" s="216"/>
      <c r="Y958" s="232">
        <v>800000</v>
      </c>
      <c r="Z958" s="233">
        <f>DATABASE_Table[[#This Row],[Sell price (Total)]]-DATABASE_Table[[#This Row],[FF&amp;E]]-DATABASE_Table[[#This Row],[Vista membership]]</f>
        <v>735400</v>
      </c>
      <c r="AA958" s="315"/>
      <c r="AB958" s="321"/>
      <c r="AC958" s="198" t="s">
        <v>10</v>
      </c>
      <c r="AD958" s="198" t="s">
        <v>35</v>
      </c>
      <c r="AE958" s="279" t="s">
        <v>43</v>
      </c>
      <c r="AF958" s="279" t="s">
        <v>44</v>
      </c>
      <c r="AG958" s="279" t="s">
        <v>45</v>
      </c>
      <c r="AH958" s="279" t="s">
        <v>46</v>
      </c>
      <c r="AI958" s="198" t="s">
        <v>47</v>
      </c>
      <c r="AJ958" s="274" t="s">
        <v>42</v>
      </c>
      <c r="AK958"/>
    </row>
    <row r="959" spans="1:37" ht="15.75" hidden="1" customHeight="1">
      <c r="A959" s="198" t="s">
        <v>630</v>
      </c>
      <c r="B959" s="198" t="s">
        <v>691</v>
      </c>
      <c r="C959" s="214" t="s">
        <v>350</v>
      </c>
      <c r="D959" s="198" t="s">
        <v>9</v>
      </c>
      <c r="E959" s="198" t="s">
        <v>320</v>
      </c>
      <c r="F959" s="198">
        <v>195.87</v>
      </c>
      <c r="G959" s="198"/>
      <c r="H959" s="214" t="s">
        <v>849</v>
      </c>
      <c r="I959" s="214" t="s">
        <v>325</v>
      </c>
      <c r="J959" s="271">
        <v>25.36</v>
      </c>
      <c r="K959" s="198"/>
      <c r="L959" s="198"/>
      <c r="M959" s="198">
        <v>7.62</v>
      </c>
      <c r="N959" s="198"/>
      <c r="O959" s="198">
        <v>162.88999999999999</v>
      </c>
      <c r="P959" s="198"/>
      <c r="Q959" s="198" t="s">
        <v>329</v>
      </c>
      <c r="R959" s="230">
        <f>DATABASE_Table[[#This Row],[Inicial Asking Price (€) (Total)]]-DATABASE_Table[[#This Row],[Vista membership]]-DATABASE_Table[[#This Row],[FF&amp;E]]</f>
        <v>1336484.24</v>
      </c>
      <c r="S959" s="231">
        <v>1336484.24</v>
      </c>
      <c r="T959" s="232">
        <v>1350000</v>
      </c>
      <c r="U959" s="198"/>
      <c r="V959" s="198"/>
      <c r="W959" s="233">
        <f>DATABASE_Table[[#This Row],[Current Asking price( Total)]]-DATABASE_Table[[#This Row],[Vista membership]]-DATABASE_Table[[#This Row],[FF&amp;E]]</f>
        <v>1350000</v>
      </c>
      <c r="X959" s="216"/>
      <c r="Y959" s="232">
        <v>1340000</v>
      </c>
      <c r="Z959" s="233">
        <f>DATABASE_Table[[#This Row],[Sell price (Total)]]-DATABASE_Table[[#This Row],[FF&amp;E]]-DATABASE_Table[[#This Row],[Vista membership]]</f>
        <v>1340000</v>
      </c>
      <c r="AA959" s="315"/>
      <c r="AB959" s="321"/>
      <c r="AC959" s="198" t="s">
        <v>10</v>
      </c>
      <c r="AD959" s="198" t="s">
        <v>11</v>
      </c>
      <c r="AE959" s="279" t="s">
        <v>53</v>
      </c>
      <c r="AF959" s="279" t="s">
        <v>54</v>
      </c>
      <c r="AG959" s="279" t="s">
        <v>811</v>
      </c>
      <c r="AH959" s="279" t="s">
        <v>812</v>
      </c>
      <c r="AI959" s="198" t="s">
        <v>36</v>
      </c>
      <c r="AJ959" s="274" t="s">
        <v>52</v>
      </c>
      <c r="AK959"/>
    </row>
    <row r="960" spans="1:37" ht="15.75" hidden="1" customHeight="1">
      <c r="A960" s="198" t="s">
        <v>558</v>
      </c>
      <c r="B960" s="198" t="s">
        <v>691</v>
      </c>
      <c r="C960" s="214" t="s">
        <v>350</v>
      </c>
      <c r="D960" s="198" t="s">
        <v>9</v>
      </c>
      <c r="E960" s="198" t="s">
        <v>321</v>
      </c>
      <c r="F960" s="198">
        <v>191.63</v>
      </c>
      <c r="G960" s="198">
        <v>4.47</v>
      </c>
      <c r="H960" s="214" t="s">
        <v>903</v>
      </c>
      <c r="I960" s="214" t="s">
        <v>590</v>
      </c>
      <c r="J960" s="271">
        <v>6.95</v>
      </c>
      <c r="K960" s="198"/>
      <c r="L960" s="198"/>
      <c r="M960" s="198"/>
      <c r="N960" s="198"/>
      <c r="O960" s="198">
        <v>191.63</v>
      </c>
      <c r="P960" s="198"/>
      <c r="Q960" s="198" t="s">
        <v>329</v>
      </c>
      <c r="R960" s="230">
        <f>DATABASE_Table[[#This Row],[Inicial Asking Price (€) (Total)]]-DATABASE_Table[[#This Row],[Vista membership]]-DATABASE_Table[[#This Row],[FF&amp;E]]</f>
        <v>1580000</v>
      </c>
      <c r="S960" s="231">
        <v>1580000</v>
      </c>
      <c r="T960" s="232">
        <v>1580000</v>
      </c>
      <c r="U960" s="198"/>
      <c r="V960" s="198"/>
      <c r="W960" s="233">
        <f>DATABASE_Table[[#This Row],[Current Asking price( Total)]]-DATABASE_Table[[#This Row],[Vista membership]]-DATABASE_Table[[#This Row],[FF&amp;E]]</f>
        <v>1580000</v>
      </c>
      <c r="X960" s="216"/>
      <c r="Y960" s="232">
        <v>1580000</v>
      </c>
      <c r="Z960" s="233">
        <f>DATABASE_Table[[#This Row],[Sell price (Total)]]-DATABASE_Table[[#This Row],[FF&amp;E]]-DATABASE_Table[[#This Row],[Vista membership]]</f>
        <v>1580000</v>
      </c>
      <c r="AA960" s="315"/>
      <c r="AB960" s="321"/>
      <c r="AC960" s="198" t="s">
        <v>10</v>
      </c>
      <c r="AD960" s="198" t="s">
        <v>11</v>
      </c>
      <c r="AE960" s="279" t="s">
        <v>12</v>
      </c>
      <c r="AF960" s="279" t="s">
        <v>801</v>
      </c>
      <c r="AG960" s="279" t="s">
        <v>13</v>
      </c>
      <c r="AH960" s="279" t="s">
        <v>14</v>
      </c>
      <c r="AI960" s="198" t="s">
        <v>15</v>
      </c>
      <c r="AJ960" s="274" t="s">
        <v>8</v>
      </c>
      <c r="AK960"/>
    </row>
    <row r="961" spans="1:37" ht="15.75" hidden="1" customHeight="1">
      <c r="A961" s="198" t="s">
        <v>31</v>
      </c>
      <c r="B961" s="198" t="s">
        <v>691</v>
      </c>
      <c r="C961" s="214" t="s">
        <v>350</v>
      </c>
      <c r="D961" s="198" t="s">
        <v>9</v>
      </c>
      <c r="E961" s="198" t="s">
        <v>319</v>
      </c>
      <c r="F961" s="198"/>
      <c r="G961" s="198"/>
      <c r="H961" s="214" t="s">
        <v>325</v>
      </c>
      <c r="I961" s="214" t="s">
        <v>325</v>
      </c>
      <c r="J961" s="271"/>
      <c r="K961" s="198">
        <v>0</v>
      </c>
      <c r="L961" s="198"/>
      <c r="M961" s="198">
        <v>19</v>
      </c>
      <c r="N961" s="198"/>
      <c r="O961" s="198">
        <v>108</v>
      </c>
      <c r="P961" s="198"/>
      <c r="Q961" s="198" t="s">
        <v>329</v>
      </c>
      <c r="R961" s="230">
        <f>DATABASE_Table[[#This Row],[Inicial Asking Price (€) (Total)]]-DATABASE_Table[[#This Row],[Vista membership]]-DATABASE_Table[[#This Row],[FF&amp;E]]</f>
        <v>760000</v>
      </c>
      <c r="S961" s="232">
        <v>760000</v>
      </c>
      <c r="T961" s="232">
        <v>760000</v>
      </c>
      <c r="U961" s="198"/>
      <c r="V961" s="198"/>
      <c r="W961" s="233">
        <f>DATABASE_Table[[#This Row],[Current Asking price( Total)]]-DATABASE_Table[[#This Row],[Vista membership]]-DATABASE_Table[[#This Row],[FF&amp;E]]</f>
        <v>760000</v>
      </c>
      <c r="X961" s="216"/>
      <c r="Y961" s="232">
        <v>750000</v>
      </c>
      <c r="Z961" s="233">
        <f>DATABASE_Table[[#This Row],[Sell price (Total)]]-DATABASE_Table[[#This Row],[FF&amp;E]]-DATABASE_Table[[#This Row],[Vista membership]]</f>
        <v>750000</v>
      </c>
      <c r="AA961" s="315"/>
      <c r="AB961" s="321"/>
      <c r="AC961" s="198" t="s">
        <v>10</v>
      </c>
      <c r="AD961" s="198" t="s">
        <v>807</v>
      </c>
      <c r="AE961" s="279" t="s">
        <v>32</v>
      </c>
      <c r="AF961" s="279" t="s">
        <v>808</v>
      </c>
      <c r="AG961" s="279" t="s">
        <v>33</v>
      </c>
      <c r="AH961" s="279" t="s">
        <v>809</v>
      </c>
      <c r="AI961" s="198" t="s">
        <v>15</v>
      </c>
      <c r="AJ961" s="274" t="s">
        <v>31</v>
      </c>
      <c r="AK961"/>
    </row>
    <row r="962" spans="1:37" ht="15.75" hidden="1" customHeight="1">
      <c r="A962" s="198" t="s">
        <v>690</v>
      </c>
      <c r="B962" s="198" t="s">
        <v>691</v>
      </c>
      <c r="C962" s="214" t="s">
        <v>350</v>
      </c>
      <c r="D962" s="198" t="s">
        <v>9</v>
      </c>
      <c r="E962" s="198" t="s">
        <v>763</v>
      </c>
      <c r="F962" s="198">
        <v>294.94</v>
      </c>
      <c r="G962" s="198">
        <v>111.27</v>
      </c>
      <c r="H962" s="214" t="s">
        <v>325</v>
      </c>
      <c r="I962" s="214" t="s">
        <v>325</v>
      </c>
      <c r="J962" s="271">
        <v>18.66</v>
      </c>
      <c r="K962" s="198"/>
      <c r="L962" s="198"/>
      <c r="M962" s="198"/>
      <c r="N962" s="198"/>
      <c r="O962" s="198">
        <v>165.01</v>
      </c>
      <c r="P962" s="198"/>
      <c r="Q962" s="198" t="s">
        <v>329</v>
      </c>
      <c r="R962" s="230">
        <f>DATABASE_Table[[#This Row],[Inicial Asking Price (€) (Total)]]-DATABASE_Table[[#This Row],[Vista membership]]-DATABASE_Table[[#This Row],[FF&amp;E]]</f>
        <v>2102100</v>
      </c>
      <c r="S962" s="231">
        <v>2191050</v>
      </c>
      <c r="T962" s="232">
        <v>2280000</v>
      </c>
      <c r="U962" s="198">
        <v>24600</v>
      </c>
      <c r="V962" s="198">
        <v>64350</v>
      </c>
      <c r="W962" s="233">
        <f>DATABASE_Table[[#This Row],[Current Asking price( Total)]]-DATABASE_Table[[#This Row],[Vista membership]]-DATABASE_Table[[#This Row],[FF&amp;E]]</f>
        <v>2191050</v>
      </c>
      <c r="X962" s="216"/>
      <c r="Y962" s="232">
        <v>2280000</v>
      </c>
      <c r="Z962" s="233">
        <f>DATABASE_Table[[#This Row],[Sell price (Total)]]-DATABASE_Table[[#This Row],[FF&amp;E]]-DATABASE_Table[[#This Row],[Vista membership]]</f>
        <v>2191050</v>
      </c>
      <c r="AA962" s="315"/>
      <c r="AB962" s="321"/>
      <c r="AC962" s="198" t="s">
        <v>10</v>
      </c>
      <c r="AD962" s="198" t="s">
        <v>35</v>
      </c>
      <c r="AE962" s="279" t="s">
        <v>38</v>
      </c>
      <c r="AF962" s="279" t="s">
        <v>39</v>
      </c>
      <c r="AG962" s="279" t="s">
        <v>40</v>
      </c>
      <c r="AH962" s="279" t="s">
        <v>810</v>
      </c>
      <c r="AI962" s="198" t="s">
        <v>41</v>
      </c>
      <c r="AJ962" s="274" t="s">
        <v>37</v>
      </c>
      <c r="AK962"/>
    </row>
    <row r="963" spans="1:37" ht="15.75" hidden="1" customHeight="1">
      <c r="A963" s="198" t="s">
        <v>782</v>
      </c>
      <c r="B963" s="198" t="s">
        <v>786</v>
      </c>
      <c r="C963" s="214" t="s">
        <v>280</v>
      </c>
      <c r="D963" s="198" t="s">
        <v>79</v>
      </c>
      <c r="E963" s="198" t="s">
        <v>323</v>
      </c>
      <c r="F963" s="198">
        <v>378.5</v>
      </c>
      <c r="G963" s="198"/>
      <c r="H963" s="214" t="s">
        <v>849</v>
      </c>
      <c r="I963" s="214" t="s">
        <v>848</v>
      </c>
      <c r="J963" s="271"/>
      <c r="K963" s="198"/>
      <c r="L963" s="198"/>
      <c r="M963" s="198">
        <v>107</v>
      </c>
      <c r="N963" s="198">
        <v>48</v>
      </c>
      <c r="O963" s="198">
        <v>223.5</v>
      </c>
      <c r="P963" s="198"/>
      <c r="Q963" s="198" t="s">
        <v>329</v>
      </c>
      <c r="R963" s="230">
        <f>DATABASE_Table[[#This Row],[Inicial Asking Price (€) (Total)]]-DATABASE_Table[[#This Row],[Vista membership]]-DATABASE_Table[[#This Row],[FF&amp;E]]</f>
        <v>1855000</v>
      </c>
      <c r="S963" s="234">
        <v>1925000</v>
      </c>
      <c r="T963" s="235">
        <v>1925000</v>
      </c>
      <c r="U963" s="198"/>
      <c r="V963" s="235">
        <v>70000</v>
      </c>
      <c r="W963" s="233">
        <f>DATABASE_Table[[#This Row],[Current Asking price( Total)]]-DATABASE_Table[[#This Row],[Vista membership]]-DATABASE_Table[[#This Row],[FF&amp;E]]</f>
        <v>1855000</v>
      </c>
      <c r="X963" s="236"/>
      <c r="Y963" s="235"/>
      <c r="Z963" s="233">
        <f>DATABASE_Table[[#This Row],[Sell price (Total)]]-DATABASE_Table[[#This Row],[FF&amp;E]]-DATABASE_Table[[#This Row],[Vista membership]]</f>
        <v>-70000</v>
      </c>
      <c r="AA963" s="315"/>
      <c r="AB963" s="321">
        <v>47118</v>
      </c>
      <c r="AC963" s="198" t="s">
        <v>80</v>
      </c>
      <c r="AD963" s="198" t="s">
        <v>81</v>
      </c>
      <c r="AE963" s="279" t="s">
        <v>82</v>
      </c>
      <c r="AF963" s="279" t="s">
        <v>83</v>
      </c>
      <c r="AG963" s="279" t="s">
        <v>84</v>
      </c>
      <c r="AH963" s="279" t="s">
        <v>85</v>
      </c>
      <c r="AI963" s="198" t="s">
        <v>86</v>
      </c>
      <c r="AJ963" s="274" t="s">
        <v>78</v>
      </c>
      <c r="AK963"/>
    </row>
    <row r="964" spans="1:37" ht="15.75" hidden="1" customHeight="1">
      <c r="A964" s="198" t="s">
        <v>772</v>
      </c>
      <c r="B964" s="198" t="s">
        <v>769</v>
      </c>
      <c r="C964" s="214" t="s">
        <v>515</v>
      </c>
      <c r="D964" s="198"/>
      <c r="E964" s="198" t="s">
        <v>506</v>
      </c>
      <c r="F964" s="198">
        <v>248.3</v>
      </c>
      <c r="G964" s="198"/>
      <c r="H964" s="214" t="s">
        <v>663</v>
      </c>
      <c r="I964" s="214" t="s">
        <v>325</v>
      </c>
      <c r="J964" s="271"/>
      <c r="K964" s="198"/>
      <c r="L964" s="198"/>
      <c r="M964" s="198">
        <v>98.3</v>
      </c>
      <c r="N964" s="198"/>
      <c r="O964" s="198">
        <v>150</v>
      </c>
      <c r="P964" s="198"/>
      <c r="Q964" s="198" t="s">
        <v>628</v>
      </c>
      <c r="R964" s="230">
        <f>DATABASE_Table[[#This Row],[Inicial Asking Price (€) (Total)]]-DATABASE_Table[[#This Row],[Vista membership]]-DATABASE_Table[[#This Row],[FF&amp;E]]</f>
        <v>440000</v>
      </c>
      <c r="S964" s="234">
        <v>440000</v>
      </c>
      <c r="T964" s="235">
        <v>1600000</v>
      </c>
      <c r="U964" s="198"/>
      <c r="V964" s="198"/>
      <c r="W964" s="233">
        <f>DATABASE_Table[[#This Row],[Current Asking price( Total)]]-DATABASE_Table[[#This Row],[Vista membership]]-DATABASE_Table[[#This Row],[FF&amp;E]]</f>
        <v>1600000</v>
      </c>
      <c r="X964" s="236">
        <v>0</v>
      </c>
      <c r="Y964" s="235">
        <v>1600000</v>
      </c>
      <c r="Z964" s="233">
        <f>DATABASE_Table[[#This Row],[Sell price (Total)]]-DATABASE_Table[[#This Row],[FF&amp;E]]-DATABASE_Table[[#This Row],[Vista membership]]</f>
        <v>1600000</v>
      </c>
      <c r="AA964" s="316">
        <v>44960</v>
      </c>
      <c r="AB964" s="321">
        <v>46843</v>
      </c>
      <c r="AC964" s="198"/>
      <c r="AD964" s="198"/>
      <c r="AE964" s="279"/>
      <c r="AF964" s="279"/>
      <c r="AG964" s="279"/>
      <c r="AH964" s="279"/>
      <c r="AI964" s="198"/>
      <c r="AJ964" s="274" t="s">
        <v>66</v>
      </c>
      <c r="AK964"/>
    </row>
    <row r="965" spans="1:37" ht="15.75" hidden="1" customHeight="1">
      <c r="A965" s="198" t="s">
        <v>563</v>
      </c>
      <c r="B965" s="198" t="s">
        <v>691</v>
      </c>
      <c r="C965" s="214" t="s">
        <v>350</v>
      </c>
      <c r="D965" s="198" t="s">
        <v>9</v>
      </c>
      <c r="E965" s="198" t="s">
        <v>319</v>
      </c>
      <c r="F965" s="198">
        <v>78.3</v>
      </c>
      <c r="G965" s="198"/>
      <c r="H965" s="214" t="s">
        <v>325</v>
      </c>
      <c r="I965" s="214" t="s">
        <v>325</v>
      </c>
      <c r="J965" s="271"/>
      <c r="K965" s="198"/>
      <c r="L965" s="198"/>
      <c r="M965" s="198"/>
      <c r="N965" s="198"/>
      <c r="O965" s="198">
        <v>78.3</v>
      </c>
      <c r="P965" s="198"/>
      <c r="Q965" s="198" t="s">
        <v>628</v>
      </c>
      <c r="R965" s="230">
        <f>DATABASE_Table[[#This Row],[Inicial Asking Price (€) (Total)]]-DATABASE_Table[[#This Row],[Vista membership]]-DATABASE_Table[[#This Row],[FF&amp;E]]</f>
        <v>440000</v>
      </c>
      <c r="S965" s="231">
        <v>440000</v>
      </c>
      <c r="T965" s="232">
        <v>440000</v>
      </c>
      <c r="U965" s="198"/>
      <c r="V965" s="198"/>
      <c r="W965" s="233">
        <f>DATABASE_Table[[#This Row],[Current Asking price( Total)]]-DATABASE_Table[[#This Row],[Vista membership]]-DATABASE_Table[[#This Row],[FF&amp;E]]</f>
        <v>440000</v>
      </c>
      <c r="X965" s="216">
        <v>0</v>
      </c>
      <c r="Y965" s="232">
        <v>440000</v>
      </c>
      <c r="Z965" s="233">
        <f>DATABASE_Table[[#This Row],[Sell price (Total)]]-DATABASE_Table[[#This Row],[FF&amp;E]]-DATABASE_Table[[#This Row],[Vista membership]]</f>
        <v>440000</v>
      </c>
      <c r="AA965" s="316">
        <v>45671</v>
      </c>
      <c r="AB965" s="321"/>
      <c r="AC965" s="198" t="s">
        <v>10</v>
      </c>
      <c r="AD965" s="198" t="s">
        <v>11</v>
      </c>
      <c r="AE965" s="279" t="s">
        <v>28</v>
      </c>
      <c r="AF965" s="279" t="s">
        <v>29</v>
      </c>
      <c r="AG965" s="279" t="s">
        <v>805</v>
      </c>
      <c r="AH965" s="279" t="s">
        <v>806</v>
      </c>
      <c r="AI965" s="198" t="s">
        <v>30</v>
      </c>
      <c r="AJ965" s="274" t="s">
        <v>27</v>
      </c>
      <c r="AK965"/>
    </row>
    <row r="966" spans="1:37" ht="15.75" hidden="1" customHeight="1">
      <c r="A966" s="198" t="s">
        <v>562</v>
      </c>
      <c r="B966" s="198" t="s">
        <v>691</v>
      </c>
      <c r="C966" s="214" t="s">
        <v>350</v>
      </c>
      <c r="D966" s="198" t="s">
        <v>9</v>
      </c>
      <c r="E966" s="198" t="s">
        <v>320</v>
      </c>
      <c r="F966" s="198">
        <v>159</v>
      </c>
      <c r="G966" s="198"/>
      <c r="H966" s="214" t="s">
        <v>325</v>
      </c>
      <c r="I966" s="214" t="s">
        <v>325</v>
      </c>
      <c r="J966" s="271"/>
      <c r="K966" s="198"/>
      <c r="L966" s="198"/>
      <c r="M966" s="198"/>
      <c r="N966" s="198"/>
      <c r="O966" s="198">
        <v>159</v>
      </c>
      <c r="P966" s="198"/>
      <c r="Q966" s="198" t="s">
        <v>929</v>
      </c>
      <c r="R966" s="230">
        <f>DATABASE_Table[[#This Row],[Inicial Asking Price (€) (Total)]]-DATABASE_Table[[#This Row],[Vista membership]]-DATABASE_Table[[#This Row],[FF&amp;E]]</f>
        <v>740000</v>
      </c>
      <c r="S966" s="231">
        <v>740000</v>
      </c>
      <c r="T966" s="232">
        <v>810000</v>
      </c>
      <c r="U966" s="198"/>
      <c r="V966" s="198"/>
      <c r="W966" s="233">
        <f>DATABASE_Table[[#This Row],[Current Asking price( Total)]]-DATABASE_Table[[#This Row],[Vista membership]]-DATABASE_Table[[#This Row],[FF&amp;E]]</f>
        <v>810000</v>
      </c>
      <c r="X966" s="216">
        <v>0</v>
      </c>
      <c r="Y966" s="232">
        <v>810000</v>
      </c>
      <c r="Z966" s="233">
        <f>DATABASE_Table[[#This Row],[Sell price (Total)]]-DATABASE_Table[[#This Row],[FF&amp;E]]-DATABASE_Table[[#This Row],[Vista membership]]</f>
        <v>810000</v>
      </c>
      <c r="AA966" s="315">
        <v>45575</v>
      </c>
      <c r="AB966" s="321"/>
      <c r="AC966" s="198" t="s">
        <v>10</v>
      </c>
      <c r="AD966" s="198" t="s">
        <v>23</v>
      </c>
      <c r="AE966" s="279" t="s">
        <v>24</v>
      </c>
      <c r="AF966" s="279" t="s">
        <v>803</v>
      </c>
      <c r="AG966" s="279" t="s">
        <v>25</v>
      </c>
      <c r="AH966" s="279" t="s">
        <v>804</v>
      </c>
      <c r="AI966" s="198" t="s">
        <v>26</v>
      </c>
      <c r="AJ966" s="274" t="s">
        <v>22</v>
      </c>
      <c r="AK966"/>
    </row>
    <row r="967" spans="1:37" ht="15.75" hidden="1" customHeight="1">
      <c r="A967" s="198" t="s">
        <v>689</v>
      </c>
      <c r="B967" s="198" t="s">
        <v>691</v>
      </c>
      <c r="C967" s="214" t="s">
        <v>350</v>
      </c>
      <c r="D967" s="198"/>
      <c r="E967" s="198" t="s">
        <v>384</v>
      </c>
      <c r="F967" s="198">
        <v>164.08609999999999</v>
      </c>
      <c r="G967" s="198"/>
      <c r="H967" s="214" t="s">
        <v>325</v>
      </c>
      <c r="I967" s="214" t="s">
        <v>325</v>
      </c>
      <c r="J967" s="271"/>
      <c r="K967" s="198"/>
      <c r="L967" s="198"/>
      <c r="M967" s="198"/>
      <c r="N967" s="198"/>
      <c r="O967" s="198">
        <v>164.08609999999999</v>
      </c>
      <c r="P967" s="198"/>
      <c r="Q967" s="198" t="s">
        <v>929</v>
      </c>
      <c r="R967" s="230">
        <f>DATABASE_Table[[#This Row],[Inicial Asking Price (€) (Total)]]-DATABASE_Table[[#This Row],[Vista membership]]-DATABASE_Table[[#This Row],[FF&amp;E]]</f>
        <v>1108188</v>
      </c>
      <c r="S967" s="231">
        <v>1108188</v>
      </c>
      <c r="T967" s="232">
        <v>1180000</v>
      </c>
      <c r="U967" s="198"/>
      <c r="V967" s="198"/>
      <c r="W967" s="233">
        <f>DATABASE_Table[[#This Row],[Current Asking price( Total)]]-DATABASE_Table[[#This Row],[Vista membership]]-DATABASE_Table[[#This Row],[FF&amp;E]]</f>
        <v>1180000</v>
      </c>
      <c r="X967" s="216">
        <v>0</v>
      </c>
      <c r="Y967" s="232">
        <v>1180000</v>
      </c>
      <c r="Z967" s="233">
        <f>DATABASE_Table[[#This Row],[Sell price (Total)]]-DATABASE_Table[[#This Row],[FF&amp;E]]-DATABASE_Table[[#This Row],[Vista membership]]</f>
        <v>1180000</v>
      </c>
      <c r="AA967" s="315">
        <v>44735</v>
      </c>
      <c r="AB967" s="321"/>
      <c r="AC967" s="198"/>
      <c r="AD967" s="198"/>
      <c r="AE967" s="279"/>
      <c r="AF967" s="279"/>
      <c r="AG967" s="279"/>
      <c r="AH967" s="279"/>
      <c r="AI967" s="198"/>
      <c r="AJ967" s="274" t="s">
        <v>689</v>
      </c>
      <c r="AK967"/>
    </row>
    <row r="968" spans="1:37" ht="15.75" hidden="1" customHeight="1">
      <c r="A968" s="198" t="s">
        <v>564</v>
      </c>
      <c r="B968" s="198" t="s">
        <v>691</v>
      </c>
      <c r="C968" s="214" t="s">
        <v>350</v>
      </c>
      <c r="D968" s="198" t="s">
        <v>9</v>
      </c>
      <c r="E968" s="198" t="s">
        <v>419</v>
      </c>
      <c r="F968" s="198">
        <v>96.02</v>
      </c>
      <c r="G968" s="198"/>
      <c r="H968" s="214" t="s">
        <v>325</v>
      </c>
      <c r="I968" s="214" t="s">
        <v>325</v>
      </c>
      <c r="J968" s="271">
        <v>28.44</v>
      </c>
      <c r="K968" s="198"/>
      <c r="L968" s="198"/>
      <c r="M968" s="198"/>
      <c r="N968" s="198"/>
      <c r="O968" s="198">
        <v>67.58</v>
      </c>
      <c r="P968" s="198"/>
      <c r="Q968" s="198" t="s">
        <v>628</v>
      </c>
      <c r="R968" s="230">
        <f>DATABASE_Table[[#This Row],[Inicial Asking Price (€) (Total)]]-DATABASE_Table[[#This Row],[Vista membership]]-DATABASE_Table[[#This Row],[FF&amp;E]]</f>
        <v>545858.82999999996</v>
      </c>
      <c r="S968" s="231">
        <v>600458.82999999996</v>
      </c>
      <c r="T968" s="232">
        <v>640000</v>
      </c>
      <c r="U968" s="198">
        <v>24600</v>
      </c>
      <c r="V968" s="198">
        <v>30000</v>
      </c>
      <c r="W968" s="233">
        <f>DATABASE_Table[[#This Row],[Current Asking price( Total)]]-DATABASE_Table[[#This Row],[Vista membership]]-DATABASE_Table[[#This Row],[FF&amp;E]]</f>
        <v>585400</v>
      </c>
      <c r="X968" s="216">
        <v>0</v>
      </c>
      <c r="Y968" s="232">
        <v>640000</v>
      </c>
      <c r="Z968" s="233">
        <f>DATABASE_Table[[#This Row],[Sell price (Total)]]-DATABASE_Table[[#This Row],[FF&amp;E]]-DATABASE_Table[[#This Row],[Vista membership]]</f>
        <v>585400</v>
      </c>
      <c r="AA968" s="316">
        <v>46120</v>
      </c>
      <c r="AB968" s="321"/>
      <c r="AC968" s="198" t="s">
        <v>10</v>
      </c>
      <c r="AD968" s="198" t="s">
        <v>35</v>
      </c>
      <c r="AE968" s="279" t="s">
        <v>43</v>
      </c>
      <c r="AF968" s="279" t="s">
        <v>44</v>
      </c>
      <c r="AG968" s="279" t="s">
        <v>45</v>
      </c>
      <c r="AH968" s="279" t="s">
        <v>46</v>
      </c>
      <c r="AI968" s="198" t="s">
        <v>47</v>
      </c>
      <c r="AJ968" s="274" t="s">
        <v>42</v>
      </c>
      <c r="AK968"/>
    </row>
    <row r="969" spans="1:37" ht="15.75" hidden="1" customHeight="1">
      <c r="A969" s="198" t="s">
        <v>630</v>
      </c>
      <c r="B969" s="198" t="s">
        <v>691</v>
      </c>
      <c r="C969" s="214" t="s">
        <v>351</v>
      </c>
      <c r="D969" s="198" t="s">
        <v>9</v>
      </c>
      <c r="E969" s="198" t="s">
        <v>319</v>
      </c>
      <c r="F969" s="198">
        <v>151.41</v>
      </c>
      <c r="G969" s="198"/>
      <c r="H969" s="214" t="s">
        <v>849</v>
      </c>
      <c r="I969" s="214" t="s">
        <v>325</v>
      </c>
      <c r="J969" s="271">
        <v>20.100000000000001</v>
      </c>
      <c r="K969" s="198"/>
      <c r="L969" s="198"/>
      <c r="M969" s="198">
        <v>7.51</v>
      </c>
      <c r="N969" s="198"/>
      <c r="O969" s="198">
        <v>123.8</v>
      </c>
      <c r="P969" s="198"/>
      <c r="Q969" s="198" t="s">
        <v>329</v>
      </c>
      <c r="R969" s="230">
        <f>DATABASE_Table[[#This Row],[Inicial Asking Price (€) (Total)]]-DATABASE_Table[[#This Row],[Vista membership]]-DATABASE_Table[[#This Row],[FF&amp;E]]</f>
        <v>1037379.882</v>
      </c>
      <c r="S969" s="231">
        <v>1037379.882</v>
      </c>
      <c r="T969" s="232">
        <v>1050000</v>
      </c>
      <c r="U969" s="198"/>
      <c r="V969" s="198"/>
      <c r="W969" s="233">
        <f>DATABASE_Table[[#This Row],[Current Asking price( Total)]]-DATABASE_Table[[#This Row],[Vista membership]]-DATABASE_Table[[#This Row],[FF&amp;E]]</f>
        <v>1050000</v>
      </c>
      <c r="X969" s="216"/>
      <c r="Y969" s="232">
        <v>1040000</v>
      </c>
      <c r="Z969" s="233">
        <f>DATABASE_Table[[#This Row],[Sell price (Total)]]-DATABASE_Table[[#This Row],[FF&amp;E]]-DATABASE_Table[[#This Row],[Vista membership]]</f>
        <v>1040000</v>
      </c>
      <c r="AA969" s="315"/>
      <c r="AB969" s="321"/>
      <c r="AC969" s="198" t="s">
        <v>10</v>
      </c>
      <c r="AD969" s="198" t="s">
        <v>11</v>
      </c>
      <c r="AE969" s="279" t="s">
        <v>53</v>
      </c>
      <c r="AF969" s="279" t="s">
        <v>54</v>
      </c>
      <c r="AG969" s="279" t="s">
        <v>811</v>
      </c>
      <c r="AH969" s="279" t="s">
        <v>812</v>
      </c>
      <c r="AI969" s="198" t="s">
        <v>36</v>
      </c>
      <c r="AJ969" s="274" t="s">
        <v>52</v>
      </c>
      <c r="AK969"/>
    </row>
    <row r="970" spans="1:37" ht="15.75" hidden="1" customHeight="1">
      <c r="A970" s="198" t="s">
        <v>781</v>
      </c>
      <c r="B970" s="198" t="s">
        <v>786</v>
      </c>
      <c r="C970" s="214" t="s">
        <v>280</v>
      </c>
      <c r="D970" s="198" t="s">
        <v>79</v>
      </c>
      <c r="E970" s="198" t="s">
        <v>321</v>
      </c>
      <c r="F970" s="198">
        <v>346.7</v>
      </c>
      <c r="G970" s="198"/>
      <c r="H970" s="214" t="s">
        <v>849</v>
      </c>
      <c r="I970" s="214" t="s">
        <v>848</v>
      </c>
      <c r="J970" s="271"/>
      <c r="K970" s="198"/>
      <c r="L970" s="198"/>
      <c r="M970" s="198">
        <v>32</v>
      </c>
      <c r="N970" s="198">
        <v>72</v>
      </c>
      <c r="O970" s="198">
        <v>242.7</v>
      </c>
      <c r="P970" s="198"/>
      <c r="Q970" s="198" t="s">
        <v>329</v>
      </c>
      <c r="R970" s="230">
        <f>DATABASE_Table[[#This Row],[Inicial Asking Price (€) (Total)]]-DATABASE_Table[[#This Row],[Vista membership]]-DATABASE_Table[[#This Row],[FF&amp;E]]</f>
        <v>1965000</v>
      </c>
      <c r="S970" s="234">
        <v>1965000</v>
      </c>
      <c r="T970" s="235">
        <v>1965000</v>
      </c>
      <c r="U970" s="198"/>
      <c r="V970" s="198"/>
      <c r="W970" s="233">
        <f>DATABASE_Table[[#This Row],[Current Asking price( Total)]]-DATABASE_Table[[#This Row],[Vista membership]]-DATABASE_Table[[#This Row],[FF&amp;E]]</f>
        <v>1965000</v>
      </c>
      <c r="X970" s="236"/>
      <c r="Y970" s="235"/>
      <c r="Z970" s="233">
        <f>DATABASE_Table[[#This Row],[Sell price (Total)]]-DATABASE_Table[[#This Row],[FF&amp;E]]-DATABASE_Table[[#This Row],[Vista membership]]</f>
        <v>0</v>
      </c>
      <c r="AA970" s="315"/>
      <c r="AB970" s="321">
        <v>47118</v>
      </c>
      <c r="AC970" s="198" t="s">
        <v>80</v>
      </c>
      <c r="AD970" s="198" t="s">
        <v>81</v>
      </c>
      <c r="AE970" s="279" t="s">
        <v>82</v>
      </c>
      <c r="AF970" s="279" t="s">
        <v>83</v>
      </c>
      <c r="AG970" s="279" t="s">
        <v>84</v>
      </c>
      <c r="AH970" s="279" t="s">
        <v>85</v>
      </c>
      <c r="AI970" s="198" t="s">
        <v>86</v>
      </c>
      <c r="AJ970" s="274" t="s">
        <v>78</v>
      </c>
      <c r="AK970"/>
    </row>
    <row r="971" spans="1:37" ht="15.75" hidden="1" customHeight="1">
      <c r="A971" s="198" t="s">
        <v>782</v>
      </c>
      <c r="B971" s="198" t="s">
        <v>786</v>
      </c>
      <c r="C971" s="214" t="s">
        <v>278</v>
      </c>
      <c r="D971" s="198" t="s">
        <v>79</v>
      </c>
      <c r="E971" s="198" t="s">
        <v>323</v>
      </c>
      <c r="F971" s="198">
        <v>386.9</v>
      </c>
      <c r="G971" s="198"/>
      <c r="H971" s="214" t="s">
        <v>849</v>
      </c>
      <c r="I971" s="214" t="s">
        <v>848</v>
      </c>
      <c r="J971" s="271"/>
      <c r="K971" s="198"/>
      <c r="L971" s="198"/>
      <c r="M971" s="198">
        <v>125</v>
      </c>
      <c r="N971" s="198">
        <v>34</v>
      </c>
      <c r="O971" s="198">
        <v>227.9</v>
      </c>
      <c r="P971" s="198"/>
      <c r="Q971" s="198" t="s">
        <v>329</v>
      </c>
      <c r="R971" s="230">
        <f>DATABASE_Table[[#This Row],[Inicial Asking Price (€) (Total)]]-DATABASE_Table[[#This Row],[Vista membership]]-DATABASE_Table[[#This Row],[FF&amp;E]]</f>
        <v>1895000</v>
      </c>
      <c r="S971" s="234">
        <v>1965000</v>
      </c>
      <c r="T971" s="235">
        <v>1965000</v>
      </c>
      <c r="U971" s="198"/>
      <c r="V971" s="235">
        <v>70000</v>
      </c>
      <c r="W971" s="233">
        <f>DATABASE_Table[[#This Row],[Current Asking price( Total)]]-DATABASE_Table[[#This Row],[Vista membership]]-DATABASE_Table[[#This Row],[FF&amp;E]]</f>
        <v>1895000</v>
      </c>
      <c r="X971" s="236"/>
      <c r="Y971" s="235"/>
      <c r="Z971" s="233">
        <f>DATABASE_Table[[#This Row],[Sell price (Total)]]-DATABASE_Table[[#This Row],[FF&amp;E]]-DATABASE_Table[[#This Row],[Vista membership]]</f>
        <v>-70000</v>
      </c>
      <c r="AA971" s="315"/>
      <c r="AB971" s="321">
        <v>47118</v>
      </c>
      <c r="AC971" s="198" t="s">
        <v>80</v>
      </c>
      <c r="AD971" s="198" t="s">
        <v>81</v>
      </c>
      <c r="AE971" s="279" t="s">
        <v>82</v>
      </c>
      <c r="AF971" s="279" t="s">
        <v>83</v>
      </c>
      <c r="AG971" s="279" t="s">
        <v>84</v>
      </c>
      <c r="AH971" s="279" t="s">
        <v>85</v>
      </c>
      <c r="AI971" s="198" t="s">
        <v>86</v>
      </c>
      <c r="AJ971" s="274" t="s">
        <v>78</v>
      </c>
      <c r="AK971"/>
    </row>
    <row r="972" spans="1:37" ht="15.75" hidden="1" customHeight="1">
      <c r="A972" s="198" t="s">
        <v>781</v>
      </c>
      <c r="B972" s="198" t="s">
        <v>786</v>
      </c>
      <c r="C972" s="214" t="s">
        <v>278</v>
      </c>
      <c r="D972" s="198" t="s">
        <v>79</v>
      </c>
      <c r="E972" s="198" t="s">
        <v>321</v>
      </c>
      <c r="F972" s="198">
        <v>347.7</v>
      </c>
      <c r="G972" s="198"/>
      <c r="H972" s="214" t="s">
        <v>849</v>
      </c>
      <c r="I972" s="214" t="s">
        <v>848</v>
      </c>
      <c r="J972" s="271"/>
      <c r="K972" s="198"/>
      <c r="L972" s="198"/>
      <c r="M972" s="198">
        <v>31</v>
      </c>
      <c r="N972" s="198">
        <v>74</v>
      </c>
      <c r="O972" s="198">
        <v>242.7</v>
      </c>
      <c r="P972" s="198"/>
      <c r="Q972" s="198" t="s">
        <v>329</v>
      </c>
      <c r="R972" s="230">
        <f>DATABASE_Table[[#This Row],[Inicial Asking Price (€) (Total)]]-DATABASE_Table[[#This Row],[Vista membership]]-DATABASE_Table[[#This Row],[FF&amp;E]]</f>
        <v>1980000</v>
      </c>
      <c r="S972" s="234">
        <v>1980000</v>
      </c>
      <c r="T972" s="235">
        <v>1980000</v>
      </c>
      <c r="U972" s="198"/>
      <c r="V972" s="198"/>
      <c r="W972" s="233">
        <f>DATABASE_Table[[#This Row],[Current Asking price( Total)]]-DATABASE_Table[[#This Row],[Vista membership]]-DATABASE_Table[[#This Row],[FF&amp;E]]</f>
        <v>1980000</v>
      </c>
      <c r="X972" s="236"/>
      <c r="Y972" s="235"/>
      <c r="Z972" s="233">
        <f>DATABASE_Table[[#This Row],[Sell price (Total)]]-DATABASE_Table[[#This Row],[FF&amp;E]]-DATABASE_Table[[#This Row],[Vista membership]]</f>
        <v>0</v>
      </c>
      <c r="AA972" s="315"/>
      <c r="AB972" s="321">
        <v>47118</v>
      </c>
      <c r="AC972" s="198" t="s">
        <v>80</v>
      </c>
      <c r="AD972" s="198" t="s">
        <v>81</v>
      </c>
      <c r="AE972" s="279" t="s">
        <v>82</v>
      </c>
      <c r="AF972" s="279" t="s">
        <v>83</v>
      </c>
      <c r="AG972" s="279" t="s">
        <v>84</v>
      </c>
      <c r="AH972" s="279" t="s">
        <v>85</v>
      </c>
      <c r="AI972" s="198" t="s">
        <v>86</v>
      </c>
      <c r="AJ972" s="274" t="s">
        <v>78</v>
      </c>
      <c r="AK972"/>
    </row>
    <row r="973" spans="1:37" ht="15.75" hidden="1" customHeight="1">
      <c r="A973" s="198" t="s">
        <v>772</v>
      </c>
      <c r="B973" s="198" t="s">
        <v>769</v>
      </c>
      <c r="C973" s="214" t="s">
        <v>516</v>
      </c>
      <c r="D973" s="198"/>
      <c r="E973" s="198" t="s">
        <v>517</v>
      </c>
      <c r="F973" s="198">
        <v>165.75</v>
      </c>
      <c r="G973" s="198"/>
      <c r="H973" s="214" t="s">
        <v>664</v>
      </c>
      <c r="I973" s="214" t="s">
        <v>325</v>
      </c>
      <c r="J973" s="271"/>
      <c r="K973" s="198"/>
      <c r="L973" s="198"/>
      <c r="M973" s="198">
        <v>52.25</v>
      </c>
      <c r="N973" s="198"/>
      <c r="O973" s="198">
        <v>113.5</v>
      </c>
      <c r="P973" s="198"/>
      <c r="Q973" s="198" t="s">
        <v>628</v>
      </c>
      <c r="R973" s="230">
        <f>DATABASE_Table[[#This Row],[Inicial Asking Price (€) (Total)]]-DATABASE_Table[[#This Row],[Vista membership]]-DATABASE_Table[[#This Row],[FF&amp;E]]</f>
        <v>470000</v>
      </c>
      <c r="S973" s="234">
        <v>470000</v>
      </c>
      <c r="T973" s="235">
        <v>1400000</v>
      </c>
      <c r="U973" s="198"/>
      <c r="V973" s="198"/>
      <c r="W973" s="233">
        <f>DATABASE_Table[[#This Row],[Current Asking price( Total)]]-DATABASE_Table[[#This Row],[Vista membership]]-DATABASE_Table[[#This Row],[FF&amp;E]]</f>
        <v>1400000</v>
      </c>
      <c r="X973" s="236">
        <v>7.1428571428571201E-3</v>
      </c>
      <c r="Y973" s="235">
        <v>1390000</v>
      </c>
      <c r="Z973" s="233">
        <f>DATABASE_Table[[#This Row],[Sell price (Total)]]-DATABASE_Table[[#This Row],[FF&amp;E]]-DATABASE_Table[[#This Row],[Vista membership]]</f>
        <v>1390000</v>
      </c>
      <c r="AA973" s="316">
        <v>45714</v>
      </c>
      <c r="AB973" s="321">
        <v>46843</v>
      </c>
      <c r="AC973" s="198"/>
      <c r="AD973" s="198"/>
      <c r="AE973" s="279"/>
      <c r="AF973" s="279"/>
      <c r="AG973" s="279"/>
      <c r="AH973" s="279"/>
      <c r="AI973" s="198"/>
      <c r="AJ973" s="274" t="s">
        <v>66</v>
      </c>
      <c r="AK973"/>
    </row>
    <row r="974" spans="1:37" ht="15.75" hidden="1" customHeight="1">
      <c r="A974" s="198" t="s">
        <v>772</v>
      </c>
      <c r="B974" s="198" t="s">
        <v>769</v>
      </c>
      <c r="C974" s="214" t="s">
        <v>518</v>
      </c>
      <c r="D974" s="198"/>
      <c r="E974" s="198" t="s">
        <v>517</v>
      </c>
      <c r="F974" s="198">
        <v>153.1</v>
      </c>
      <c r="G974" s="198"/>
      <c r="H974" s="214" t="s">
        <v>665</v>
      </c>
      <c r="I974" s="214" t="s">
        <v>325</v>
      </c>
      <c r="J974" s="271"/>
      <c r="K974" s="198"/>
      <c r="L974" s="198"/>
      <c r="M974" s="198">
        <v>39.85</v>
      </c>
      <c r="N974" s="198"/>
      <c r="O974" s="198">
        <v>113.25</v>
      </c>
      <c r="P974" s="198"/>
      <c r="Q974" s="198" t="s">
        <v>628</v>
      </c>
      <c r="R974" s="230">
        <f>DATABASE_Table[[#This Row],[Inicial Asking Price (€) (Total)]]-DATABASE_Table[[#This Row],[Vista membership]]-DATABASE_Table[[#This Row],[FF&amp;E]]</f>
        <v>550000</v>
      </c>
      <c r="S974" s="234">
        <v>550000</v>
      </c>
      <c r="T974" s="235">
        <v>1400000</v>
      </c>
      <c r="U974" s="198"/>
      <c r="V974" s="198"/>
      <c r="W974" s="233">
        <f>DATABASE_Table[[#This Row],[Current Asking price( Total)]]-DATABASE_Table[[#This Row],[Vista membership]]-DATABASE_Table[[#This Row],[FF&amp;E]]</f>
        <v>1400000</v>
      </c>
      <c r="X974" s="236">
        <v>0</v>
      </c>
      <c r="Y974" s="235">
        <v>1400000</v>
      </c>
      <c r="Z974" s="233">
        <f>DATABASE_Table[[#This Row],[Sell price (Total)]]-DATABASE_Table[[#This Row],[FF&amp;E]]-DATABASE_Table[[#This Row],[Vista membership]]</f>
        <v>1400000</v>
      </c>
      <c r="AA974" s="316">
        <v>46176</v>
      </c>
      <c r="AB974" s="321">
        <v>46843</v>
      </c>
      <c r="AC974" s="198"/>
      <c r="AD974" s="198"/>
      <c r="AE974" s="279"/>
      <c r="AF974" s="279"/>
      <c r="AG974" s="279"/>
      <c r="AH974" s="279"/>
      <c r="AI974" s="198"/>
      <c r="AJ974" s="274" t="s">
        <v>66</v>
      </c>
      <c r="AK974"/>
    </row>
    <row r="975" spans="1:37" ht="15.75" hidden="1" customHeight="1">
      <c r="A975" s="198" t="s">
        <v>558</v>
      </c>
      <c r="B975" s="198" t="s">
        <v>691</v>
      </c>
      <c r="C975" s="214" t="s">
        <v>351</v>
      </c>
      <c r="D975" s="198" t="s">
        <v>9</v>
      </c>
      <c r="E975" s="198" t="s">
        <v>319</v>
      </c>
      <c r="F975" s="198">
        <v>106.73</v>
      </c>
      <c r="G975" s="198"/>
      <c r="H975" s="214" t="s">
        <v>610</v>
      </c>
      <c r="I975" s="214" t="s">
        <v>325</v>
      </c>
      <c r="J975" s="271"/>
      <c r="K975" s="198"/>
      <c r="L975" s="198"/>
      <c r="M975" s="198"/>
      <c r="N975" s="198"/>
      <c r="O975" s="198">
        <v>106.73</v>
      </c>
      <c r="P975" s="198"/>
      <c r="Q975" s="198" t="s">
        <v>329</v>
      </c>
      <c r="R975" s="230">
        <f>DATABASE_Table[[#This Row],[Inicial Asking Price (€) (Total)]]-DATABASE_Table[[#This Row],[Vista membership]]-DATABASE_Table[[#This Row],[FF&amp;E]]</f>
        <v>710000</v>
      </c>
      <c r="S975" s="231">
        <v>710000</v>
      </c>
      <c r="T975" s="232">
        <v>710000</v>
      </c>
      <c r="U975" s="198"/>
      <c r="V975" s="198"/>
      <c r="W975" s="233">
        <f>DATABASE_Table[[#This Row],[Current Asking price( Total)]]-DATABASE_Table[[#This Row],[Vista membership]]-DATABASE_Table[[#This Row],[FF&amp;E]]</f>
        <v>710000</v>
      </c>
      <c r="X975" s="216"/>
      <c r="Y975" s="232">
        <v>710000</v>
      </c>
      <c r="Z975" s="233">
        <f>DATABASE_Table[[#This Row],[Sell price (Total)]]-DATABASE_Table[[#This Row],[FF&amp;E]]-DATABASE_Table[[#This Row],[Vista membership]]</f>
        <v>710000</v>
      </c>
      <c r="AA975" s="315"/>
      <c r="AB975" s="321"/>
      <c r="AC975" s="198" t="s">
        <v>10</v>
      </c>
      <c r="AD975" s="198" t="s">
        <v>11</v>
      </c>
      <c r="AE975" s="279" t="s">
        <v>12</v>
      </c>
      <c r="AF975" s="279" t="s">
        <v>801</v>
      </c>
      <c r="AG975" s="279" t="s">
        <v>13</v>
      </c>
      <c r="AH975" s="279" t="s">
        <v>14</v>
      </c>
      <c r="AI975" s="198" t="s">
        <v>15</v>
      </c>
      <c r="AJ975" s="274" t="s">
        <v>8</v>
      </c>
      <c r="AK975"/>
    </row>
    <row r="976" spans="1:37" ht="15.75" hidden="1" customHeight="1">
      <c r="A976" s="198" t="s">
        <v>31</v>
      </c>
      <c r="B976" s="198" t="s">
        <v>691</v>
      </c>
      <c r="C976" s="214" t="s">
        <v>351</v>
      </c>
      <c r="D976" s="198" t="s">
        <v>9</v>
      </c>
      <c r="E976" s="198" t="s">
        <v>320</v>
      </c>
      <c r="F976" s="198"/>
      <c r="G976" s="198"/>
      <c r="H976" s="214" t="s">
        <v>325</v>
      </c>
      <c r="I976" s="214" t="s">
        <v>325</v>
      </c>
      <c r="J976" s="271"/>
      <c r="K976" s="198">
        <v>0</v>
      </c>
      <c r="L976" s="198"/>
      <c r="M976" s="198">
        <v>18</v>
      </c>
      <c r="N976" s="198"/>
      <c r="O976" s="198">
        <v>137</v>
      </c>
      <c r="P976" s="198"/>
      <c r="Q976" s="198" t="s">
        <v>326</v>
      </c>
      <c r="R976" s="230">
        <f>DATABASE_Table[[#This Row],[Inicial Asking Price (€) (Total)]]-DATABASE_Table[[#This Row],[Vista membership]]-DATABASE_Table[[#This Row],[FF&amp;E]]</f>
        <v>780000</v>
      </c>
      <c r="S976" s="232">
        <v>780000</v>
      </c>
      <c r="T976" s="232">
        <v>780000</v>
      </c>
      <c r="U976" s="198"/>
      <c r="V976" s="198"/>
      <c r="W976" s="233">
        <f>DATABASE_Table[[#This Row],[Current Asking price( Total)]]-DATABASE_Table[[#This Row],[Vista membership]]-DATABASE_Table[[#This Row],[FF&amp;E]]</f>
        <v>780000</v>
      </c>
      <c r="X976" s="216">
        <v>2.5000000000000001E-2</v>
      </c>
      <c r="Y976" s="232">
        <v>760500</v>
      </c>
      <c r="Z976" s="233">
        <f>DATABASE_Table[[#This Row],[Sell price (Total)]]-DATABASE_Table[[#This Row],[FF&amp;E]]-DATABASE_Table[[#This Row],[Vista membership]]</f>
        <v>760500</v>
      </c>
      <c r="AA976" s="315">
        <v>46114</v>
      </c>
      <c r="AB976" s="321"/>
      <c r="AC976" s="198" t="s">
        <v>10</v>
      </c>
      <c r="AD976" s="198" t="s">
        <v>807</v>
      </c>
      <c r="AE976" s="279" t="s">
        <v>32</v>
      </c>
      <c r="AF976" s="279" t="s">
        <v>808</v>
      </c>
      <c r="AG976" s="279" t="s">
        <v>33</v>
      </c>
      <c r="AH976" s="279" t="s">
        <v>809</v>
      </c>
      <c r="AI976" s="198" t="s">
        <v>15</v>
      </c>
      <c r="AJ976" s="274" t="s">
        <v>31</v>
      </c>
      <c r="AK976"/>
    </row>
    <row r="977" spans="1:37" ht="15.75" hidden="1" customHeight="1">
      <c r="A977" s="198" t="s">
        <v>690</v>
      </c>
      <c r="B977" s="198" t="s">
        <v>691</v>
      </c>
      <c r="C977" s="214" t="s">
        <v>351</v>
      </c>
      <c r="D977" s="198" t="s">
        <v>9</v>
      </c>
      <c r="E977" s="198" t="s">
        <v>383</v>
      </c>
      <c r="F977" s="198">
        <v>281.89</v>
      </c>
      <c r="G977" s="198">
        <v>124.09</v>
      </c>
      <c r="H977" s="214" t="s">
        <v>325</v>
      </c>
      <c r="I977" s="214" t="s">
        <v>325</v>
      </c>
      <c r="J977" s="271"/>
      <c r="K977" s="198"/>
      <c r="L977" s="198"/>
      <c r="M977" s="198"/>
      <c r="N977" s="198"/>
      <c r="O977" s="198">
        <v>157.80000000000001</v>
      </c>
      <c r="P977" s="198"/>
      <c r="Q977" s="198" t="s">
        <v>329</v>
      </c>
      <c r="R977" s="230">
        <f>DATABASE_Table[[#This Row],[Inicial Asking Price (€) (Total)]]-DATABASE_Table[[#This Row],[Vista membership]]-DATABASE_Table[[#This Row],[FF&amp;E]]</f>
        <v>1802100</v>
      </c>
      <c r="S977" s="231">
        <v>1891050</v>
      </c>
      <c r="T977" s="232">
        <v>1980000</v>
      </c>
      <c r="U977" s="198">
        <v>24600</v>
      </c>
      <c r="V977" s="198">
        <v>64350</v>
      </c>
      <c r="W977" s="233">
        <f>DATABASE_Table[[#This Row],[Current Asking price( Total)]]-DATABASE_Table[[#This Row],[Vista membership]]-DATABASE_Table[[#This Row],[FF&amp;E]]</f>
        <v>1891050</v>
      </c>
      <c r="X977" s="216"/>
      <c r="Y977" s="232">
        <v>1980000</v>
      </c>
      <c r="Z977" s="233">
        <f>DATABASE_Table[[#This Row],[Sell price (Total)]]-DATABASE_Table[[#This Row],[FF&amp;E]]-DATABASE_Table[[#This Row],[Vista membership]]</f>
        <v>1891050</v>
      </c>
      <c r="AA977" s="315"/>
      <c r="AB977" s="321"/>
      <c r="AC977" s="198" t="s">
        <v>10</v>
      </c>
      <c r="AD977" s="198" t="s">
        <v>35</v>
      </c>
      <c r="AE977" s="279" t="s">
        <v>38</v>
      </c>
      <c r="AF977" s="279" t="s">
        <v>39</v>
      </c>
      <c r="AG977" s="279" t="s">
        <v>40</v>
      </c>
      <c r="AH977" s="279" t="s">
        <v>810</v>
      </c>
      <c r="AI977" s="198" t="s">
        <v>41</v>
      </c>
      <c r="AJ977" s="274" t="s">
        <v>37</v>
      </c>
      <c r="AK977"/>
    </row>
    <row r="978" spans="1:37" ht="15.75" hidden="1" customHeight="1">
      <c r="A978" s="198" t="s">
        <v>781</v>
      </c>
      <c r="B978" s="198" t="s">
        <v>786</v>
      </c>
      <c r="C978" s="214" t="s">
        <v>281</v>
      </c>
      <c r="D978" s="198" t="s">
        <v>79</v>
      </c>
      <c r="E978" s="198" t="s">
        <v>321</v>
      </c>
      <c r="F978" s="198">
        <v>361.5</v>
      </c>
      <c r="G978" s="198"/>
      <c r="H978" s="214" t="s">
        <v>849</v>
      </c>
      <c r="I978" s="214" t="s">
        <v>848</v>
      </c>
      <c r="J978" s="271"/>
      <c r="K978" s="198"/>
      <c r="L978" s="198"/>
      <c r="M978" s="198">
        <v>42</v>
      </c>
      <c r="N978" s="198">
        <v>72</v>
      </c>
      <c r="O978" s="198">
        <v>247.5</v>
      </c>
      <c r="P978" s="198"/>
      <c r="Q978" s="198" t="s">
        <v>329</v>
      </c>
      <c r="R978" s="230">
        <f>DATABASE_Table[[#This Row],[Inicial Asking Price (€) (Total)]]-DATABASE_Table[[#This Row],[Vista membership]]-DATABASE_Table[[#This Row],[FF&amp;E]]</f>
        <v>2000000</v>
      </c>
      <c r="S978" s="234">
        <v>2000000</v>
      </c>
      <c r="T978" s="235">
        <v>2000000</v>
      </c>
      <c r="U978" s="198"/>
      <c r="V978" s="198"/>
      <c r="W978" s="233">
        <f>DATABASE_Table[[#This Row],[Current Asking price( Total)]]-DATABASE_Table[[#This Row],[Vista membership]]-DATABASE_Table[[#This Row],[FF&amp;E]]</f>
        <v>2000000</v>
      </c>
      <c r="X978" s="236"/>
      <c r="Y978" s="235"/>
      <c r="Z978" s="233">
        <f>DATABASE_Table[[#This Row],[Sell price (Total)]]-DATABASE_Table[[#This Row],[FF&amp;E]]-DATABASE_Table[[#This Row],[Vista membership]]</f>
        <v>0</v>
      </c>
      <c r="AA978" s="315"/>
      <c r="AB978" s="321">
        <v>47118</v>
      </c>
      <c r="AC978" s="198" t="s">
        <v>80</v>
      </c>
      <c r="AD978" s="198" t="s">
        <v>81</v>
      </c>
      <c r="AE978" s="279" t="s">
        <v>82</v>
      </c>
      <c r="AF978" s="279" t="s">
        <v>83</v>
      </c>
      <c r="AG978" s="279" t="s">
        <v>84</v>
      </c>
      <c r="AH978" s="279" t="s">
        <v>85</v>
      </c>
      <c r="AI978" s="198" t="s">
        <v>86</v>
      </c>
      <c r="AJ978" s="274" t="s">
        <v>78</v>
      </c>
      <c r="AK978"/>
    </row>
    <row r="979" spans="1:37" ht="15.75" hidden="1" customHeight="1">
      <c r="A979" s="198" t="s">
        <v>776</v>
      </c>
      <c r="B979" s="198" t="s">
        <v>769</v>
      </c>
      <c r="C979" s="214" t="s">
        <v>848</v>
      </c>
      <c r="D979" s="198" t="s">
        <v>74</v>
      </c>
      <c r="E979" s="198" t="s">
        <v>553</v>
      </c>
      <c r="F979" s="198">
        <v>650</v>
      </c>
      <c r="G979" s="198"/>
      <c r="H979" s="214" t="s">
        <v>325</v>
      </c>
      <c r="I979" s="214" t="s">
        <v>325</v>
      </c>
      <c r="J979" s="271"/>
      <c r="K979" s="198"/>
      <c r="L979" s="198"/>
      <c r="M979" s="198"/>
      <c r="N979" s="198"/>
      <c r="O979" s="198">
        <v>650</v>
      </c>
      <c r="P979" s="198"/>
      <c r="Q979" s="198" t="s">
        <v>329</v>
      </c>
      <c r="R979" s="230">
        <f>DATABASE_Table[[#This Row],[Inicial Asking Price (€) (Total)]]-DATABASE_Table[[#This Row],[Vista membership]]-DATABASE_Table[[#This Row],[FF&amp;E]]</f>
        <v>2000000</v>
      </c>
      <c r="S979" s="234">
        <v>2000000</v>
      </c>
      <c r="T979" s="235">
        <v>1560000</v>
      </c>
      <c r="U979" s="198"/>
      <c r="V979" s="198"/>
      <c r="W979" s="233">
        <f>DATABASE_Table[[#This Row],[Current Asking price( Total)]]-DATABASE_Table[[#This Row],[Vista membership]]-DATABASE_Table[[#This Row],[FF&amp;E]]</f>
        <v>1560000</v>
      </c>
      <c r="X979" s="236"/>
      <c r="Y979" s="235"/>
      <c r="Z979" s="233">
        <f>DATABASE_Table[[#This Row],[Sell price (Total)]]-DATABASE_Table[[#This Row],[FF&amp;E]]-DATABASE_Table[[#This Row],[Vista membership]]</f>
        <v>0</v>
      </c>
      <c r="AA979" s="315"/>
      <c r="AB979" s="321" t="s">
        <v>32</v>
      </c>
      <c r="AC979" s="198" t="s">
        <v>57</v>
      </c>
      <c r="AD979" s="198"/>
      <c r="AE979" s="279" t="s">
        <v>75</v>
      </c>
      <c r="AF979" s="279" t="s">
        <v>554</v>
      </c>
      <c r="AG979" s="279" t="s">
        <v>76</v>
      </c>
      <c r="AH979" s="279" t="s">
        <v>77</v>
      </c>
      <c r="AI979" s="198" t="s">
        <v>32</v>
      </c>
      <c r="AJ979" s="274" t="s">
        <v>73</v>
      </c>
      <c r="AK979"/>
    </row>
    <row r="980" spans="1:37" ht="15.75" hidden="1" customHeight="1">
      <c r="A980" s="198" t="s">
        <v>563</v>
      </c>
      <c r="B980" s="198" t="s">
        <v>691</v>
      </c>
      <c r="C980" s="214" t="s">
        <v>351</v>
      </c>
      <c r="D980" s="198" t="s">
        <v>9</v>
      </c>
      <c r="E980" s="198" t="s">
        <v>319</v>
      </c>
      <c r="F980" s="198">
        <v>78.3</v>
      </c>
      <c r="G980" s="198"/>
      <c r="H980" s="214" t="s">
        <v>325</v>
      </c>
      <c r="I980" s="214" t="s">
        <v>325</v>
      </c>
      <c r="J980" s="271"/>
      <c r="K980" s="198"/>
      <c r="L980" s="198"/>
      <c r="M980" s="198"/>
      <c r="N980" s="198"/>
      <c r="O980" s="198">
        <v>78.3</v>
      </c>
      <c r="P980" s="198"/>
      <c r="Q980" s="198" t="s">
        <v>628</v>
      </c>
      <c r="R980" s="230">
        <f>DATABASE_Table[[#This Row],[Inicial Asking Price (€) (Total)]]-DATABASE_Table[[#This Row],[Vista membership]]-DATABASE_Table[[#This Row],[FF&amp;E]]</f>
        <v>460000</v>
      </c>
      <c r="S980" s="231">
        <v>460000</v>
      </c>
      <c r="T980" s="232">
        <v>437000</v>
      </c>
      <c r="U980" s="198"/>
      <c r="V980" s="198"/>
      <c r="W980" s="233">
        <f>DATABASE_Table[[#This Row],[Current Asking price( Total)]]-DATABASE_Table[[#This Row],[Vista membership]]-DATABASE_Table[[#This Row],[FF&amp;E]]</f>
        <v>437000</v>
      </c>
      <c r="X980" s="216">
        <v>0</v>
      </c>
      <c r="Y980" s="232">
        <v>437000</v>
      </c>
      <c r="Z980" s="233">
        <f>DATABASE_Table[[#This Row],[Sell price (Total)]]-DATABASE_Table[[#This Row],[FF&amp;E]]-DATABASE_Table[[#This Row],[Vista membership]]</f>
        <v>437000</v>
      </c>
      <c r="AA980" s="316">
        <v>45614</v>
      </c>
      <c r="AB980" s="321"/>
      <c r="AC980" s="198" t="s">
        <v>10</v>
      </c>
      <c r="AD980" s="198" t="s">
        <v>11</v>
      </c>
      <c r="AE980" s="279" t="s">
        <v>28</v>
      </c>
      <c r="AF980" s="279" t="s">
        <v>29</v>
      </c>
      <c r="AG980" s="279" t="s">
        <v>805</v>
      </c>
      <c r="AH980" s="279" t="s">
        <v>806</v>
      </c>
      <c r="AI980" s="198" t="s">
        <v>30</v>
      </c>
      <c r="AJ980" s="274" t="s">
        <v>27</v>
      </c>
      <c r="AK980"/>
    </row>
    <row r="981" spans="1:37" ht="15.75" hidden="1" customHeight="1">
      <c r="A981" s="198" t="s">
        <v>782</v>
      </c>
      <c r="B981" s="198" t="s">
        <v>786</v>
      </c>
      <c r="C981" s="214" t="s">
        <v>303</v>
      </c>
      <c r="D981" s="198" t="s">
        <v>79</v>
      </c>
      <c r="E981" s="198" t="s">
        <v>321</v>
      </c>
      <c r="F981" s="198">
        <v>416.8</v>
      </c>
      <c r="G981" s="198"/>
      <c r="H981" s="214" t="s">
        <v>849</v>
      </c>
      <c r="I981" s="214" t="s">
        <v>848</v>
      </c>
      <c r="J981" s="271"/>
      <c r="K981" s="198"/>
      <c r="L981" s="198"/>
      <c r="M981" s="198">
        <v>132</v>
      </c>
      <c r="N981" s="198">
        <v>53</v>
      </c>
      <c r="O981" s="198">
        <v>231.8</v>
      </c>
      <c r="P981" s="198"/>
      <c r="Q981" s="198" t="s">
        <v>329</v>
      </c>
      <c r="R981" s="230">
        <f>DATABASE_Table[[#This Row],[Inicial Asking Price (€) (Total)]]-DATABASE_Table[[#This Row],[Vista membership]]-DATABASE_Table[[#This Row],[FF&amp;E]]</f>
        <v>1945000</v>
      </c>
      <c r="S981" s="234">
        <v>2015000</v>
      </c>
      <c r="T981" s="235">
        <v>2015000</v>
      </c>
      <c r="U981" s="198"/>
      <c r="V981" s="235">
        <v>70000</v>
      </c>
      <c r="W981" s="233">
        <f>DATABASE_Table[[#This Row],[Current Asking price( Total)]]-DATABASE_Table[[#This Row],[Vista membership]]-DATABASE_Table[[#This Row],[FF&amp;E]]</f>
        <v>1945000</v>
      </c>
      <c r="X981" s="236"/>
      <c r="Y981" s="235"/>
      <c r="Z981" s="233">
        <f>DATABASE_Table[[#This Row],[Sell price (Total)]]-DATABASE_Table[[#This Row],[FF&amp;E]]-DATABASE_Table[[#This Row],[Vista membership]]</f>
        <v>-70000</v>
      </c>
      <c r="AA981" s="315"/>
      <c r="AB981" s="321">
        <v>47118</v>
      </c>
      <c r="AC981" s="198" t="s">
        <v>80</v>
      </c>
      <c r="AD981" s="198" t="s">
        <v>81</v>
      </c>
      <c r="AE981" s="279" t="s">
        <v>82</v>
      </c>
      <c r="AF981" s="279" t="s">
        <v>83</v>
      </c>
      <c r="AG981" s="279" t="s">
        <v>84</v>
      </c>
      <c r="AH981" s="279" t="s">
        <v>85</v>
      </c>
      <c r="AI981" s="198" t="s">
        <v>86</v>
      </c>
      <c r="AJ981" s="274" t="s">
        <v>78</v>
      </c>
      <c r="AK981"/>
    </row>
    <row r="982" spans="1:37" ht="15.75" hidden="1" customHeight="1">
      <c r="A982" s="198" t="s">
        <v>782</v>
      </c>
      <c r="B982" s="198" t="s">
        <v>786</v>
      </c>
      <c r="C982" s="214" t="s">
        <v>304</v>
      </c>
      <c r="D982" s="198" t="s">
        <v>79</v>
      </c>
      <c r="E982" s="198" t="s">
        <v>323</v>
      </c>
      <c r="F982" s="198">
        <v>379.9</v>
      </c>
      <c r="G982" s="198"/>
      <c r="H982" s="214" t="s">
        <v>849</v>
      </c>
      <c r="I982" s="214" t="s">
        <v>848</v>
      </c>
      <c r="J982" s="271"/>
      <c r="K982" s="198"/>
      <c r="L982" s="198"/>
      <c r="M982" s="198">
        <v>104</v>
      </c>
      <c r="N982" s="198">
        <v>48</v>
      </c>
      <c r="O982" s="198">
        <v>227.9</v>
      </c>
      <c r="P982" s="198"/>
      <c r="Q982" s="198" t="s">
        <v>329</v>
      </c>
      <c r="R982" s="230">
        <f>DATABASE_Table[[#This Row],[Inicial Asking Price (€) (Total)]]-DATABASE_Table[[#This Row],[Vista membership]]-DATABASE_Table[[#This Row],[FF&amp;E]]</f>
        <v>1965000</v>
      </c>
      <c r="S982" s="234">
        <v>2035000</v>
      </c>
      <c r="T982" s="235">
        <v>2035000</v>
      </c>
      <c r="U982" s="198"/>
      <c r="V982" s="235">
        <v>70000</v>
      </c>
      <c r="W982" s="233">
        <f>DATABASE_Table[[#This Row],[Current Asking price( Total)]]-DATABASE_Table[[#This Row],[Vista membership]]-DATABASE_Table[[#This Row],[FF&amp;E]]</f>
        <v>1965000</v>
      </c>
      <c r="X982" s="236"/>
      <c r="Y982" s="235"/>
      <c r="Z982" s="233">
        <f>DATABASE_Table[[#This Row],[Sell price (Total)]]-DATABASE_Table[[#This Row],[FF&amp;E]]-DATABASE_Table[[#This Row],[Vista membership]]</f>
        <v>-70000</v>
      </c>
      <c r="AA982" s="315"/>
      <c r="AB982" s="321">
        <v>47118</v>
      </c>
      <c r="AC982" s="198" t="s">
        <v>80</v>
      </c>
      <c r="AD982" s="198" t="s">
        <v>81</v>
      </c>
      <c r="AE982" s="279" t="s">
        <v>82</v>
      </c>
      <c r="AF982" s="279" t="s">
        <v>83</v>
      </c>
      <c r="AG982" s="279" t="s">
        <v>84</v>
      </c>
      <c r="AH982" s="279" t="s">
        <v>85</v>
      </c>
      <c r="AI982" s="198" t="s">
        <v>86</v>
      </c>
      <c r="AJ982" s="274" t="s">
        <v>78</v>
      </c>
      <c r="AK982"/>
    </row>
    <row r="983" spans="1:37" ht="15.75" hidden="1" customHeight="1">
      <c r="A983" s="198" t="s">
        <v>772</v>
      </c>
      <c r="B983" s="198" t="s">
        <v>769</v>
      </c>
      <c r="C983" s="214" t="s">
        <v>519</v>
      </c>
      <c r="D983" s="198"/>
      <c r="E983" s="198" t="s">
        <v>517</v>
      </c>
      <c r="F983" s="198">
        <v>152.85</v>
      </c>
      <c r="G983" s="198"/>
      <c r="H983" s="214" t="s">
        <v>666</v>
      </c>
      <c r="I983" s="214" t="s">
        <v>325</v>
      </c>
      <c r="J983" s="271"/>
      <c r="K983" s="198"/>
      <c r="L983" s="198"/>
      <c r="M983" s="198">
        <v>39.85</v>
      </c>
      <c r="N983" s="198"/>
      <c r="O983" s="198">
        <v>113</v>
      </c>
      <c r="P983" s="198"/>
      <c r="Q983" s="198" t="s">
        <v>628</v>
      </c>
      <c r="R983" s="230">
        <f>DATABASE_Table[[#This Row],[Inicial Asking Price (€) (Total)]]-DATABASE_Table[[#This Row],[Vista membership]]-DATABASE_Table[[#This Row],[FF&amp;E]]</f>
        <v>550000</v>
      </c>
      <c r="S983" s="234">
        <v>550000</v>
      </c>
      <c r="T983" s="235">
        <v>812250</v>
      </c>
      <c r="U983" s="198"/>
      <c r="V983" s="198"/>
      <c r="W983" s="233">
        <f>DATABASE_Table[[#This Row],[Current Asking price( Total)]]-DATABASE_Table[[#This Row],[Vista membership]]-DATABASE_Table[[#This Row],[FF&amp;E]]</f>
        <v>812250</v>
      </c>
      <c r="X983" s="236">
        <v>0</v>
      </c>
      <c r="Y983" s="235">
        <v>812250</v>
      </c>
      <c r="Z983" s="233">
        <f>DATABASE_Table[[#This Row],[Sell price (Total)]]-DATABASE_Table[[#This Row],[FF&amp;E]]-DATABASE_Table[[#This Row],[Vista membership]]</f>
        <v>812250</v>
      </c>
      <c r="AA983" s="316">
        <v>45111</v>
      </c>
      <c r="AB983" s="321">
        <v>46843</v>
      </c>
      <c r="AC983" s="198"/>
      <c r="AD983" s="198"/>
      <c r="AE983" s="279"/>
      <c r="AF983" s="279"/>
      <c r="AG983" s="279"/>
      <c r="AH983" s="279"/>
      <c r="AI983" s="198"/>
      <c r="AJ983" s="274" t="s">
        <v>66</v>
      </c>
      <c r="AK983"/>
    </row>
    <row r="984" spans="1:37" ht="15.75" hidden="1" customHeight="1">
      <c r="A984" s="198" t="s">
        <v>772</v>
      </c>
      <c r="B984" s="198" t="s">
        <v>769</v>
      </c>
      <c r="C984" s="214" t="s">
        <v>520</v>
      </c>
      <c r="D984" s="198"/>
      <c r="E984" s="198" t="s">
        <v>506</v>
      </c>
      <c r="F984" s="198">
        <v>211.3</v>
      </c>
      <c r="G984" s="198"/>
      <c r="H984" s="214" t="s">
        <v>667</v>
      </c>
      <c r="I984" s="214" t="s">
        <v>325</v>
      </c>
      <c r="J984" s="271"/>
      <c r="K984" s="198"/>
      <c r="L984" s="198"/>
      <c r="M984" s="198">
        <v>62.7</v>
      </c>
      <c r="N984" s="198"/>
      <c r="O984" s="198">
        <v>148.6</v>
      </c>
      <c r="P984" s="198"/>
      <c r="Q984" s="198" t="s">
        <v>628</v>
      </c>
      <c r="R984" s="230">
        <f>DATABASE_Table[[#This Row],[Inicial Asking Price (€) (Total)]]-DATABASE_Table[[#This Row],[Vista membership]]-DATABASE_Table[[#This Row],[FF&amp;E]]</f>
        <v>540000</v>
      </c>
      <c r="S984" s="234">
        <v>540000</v>
      </c>
      <c r="T984" s="235">
        <v>1600000</v>
      </c>
      <c r="U984" s="198"/>
      <c r="V984" s="198"/>
      <c r="W984" s="233">
        <f>DATABASE_Table[[#This Row],[Current Asking price( Total)]]-DATABASE_Table[[#This Row],[Vista membership]]-DATABASE_Table[[#This Row],[FF&amp;E]]</f>
        <v>1600000</v>
      </c>
      <c r="X984" s="236">
        <v>4.6875E-2</v>
      </c>
      <c r="Y984" s="235">
        <v>1525000</v>
      </c>
      <c r="Z984" s="233">
        <f>DATABASE_Table[[#This Row],[Sell price (Total)]]-DATABASE_Table[[#This Row],[FF&amp;E]]-DATABASE_Table[[#This Row],[Vista membership]]</f>
        <v>1525000</v>
      </c>
      <c r="AA984" s="316">
        <v>45863</v>
      </c>
      <c r="AB984" s="321">
        <v>46843</v>
      </c>
      <c r="AC984" s="198"/>
      <c r="AD984" s="198"/>
      <c r="AE984" s="279"/>
      <c r="AF984" s="279"/>
      <c r="AG984" s="279"/>
      <c r="AH984" s="279"/>
      <c r="AI984" s="198"/>
      <c r="AJ984" s="274" t="s">
        <v>66</v>
      </c>
      <c r="AK984"/>
    </row>
    <row r="985" spans="1:37" ht="15.75" hidden="1" customHeight="1">
      <c r="A985" s="198" t="s">
        <v>562</v>
      </c>
      <c r="B985" s="198" t="s">
        <v>691</v>
      </c>
      <c r="C985" s="214" t="s">
        <v>351</v>
      </c>
      <c r="D985" s="198" t="s">
        <v>9</v>
      </c>
      <c r="E985" s="198" t="s">
        <v>319</v>
      </c>
      <c r="F985" s="198">
        <v>117</v>
      </c>
      <c r="G985" s="198"/>
      <c r="H985" s="214" t="s">
        <v>325</v>
      </c>
      <c r="I985" s="214" t="s">
        <v>325</v>
      </c>
      <c r="J985" s="271"/>
      <c r="K985" s="198"/>
      <c r="L985" s="198"/>
      <c r="M985" s="198"/>
      <c r="N985" s="198"/>
      <c r="O985" s="198">
        <v>117</v>
      </c>
      <c r="P985" s="198"/>
      <c r="Q985" s="198" t="s">
        <v>929</v>
      </c>
      <c r="R985" s="230">
        <f>DATABASE_Table[[#This Row],[Inicial Asking Price (€) (Total)]]-DATABASE_Table[[#This Row],[Vista membership]]-DATABASE_Table[[#This Row],[FF&amp;E]]</f>
        <v>550000</v>
      </c>
      <c r="S985" s="231">
        <v>550000</v>
      </c>
      <c r="T985" s="232">
        <v>570000</v>
      </c>
      <c r="U985" s="198"/>
      <c r="V985" s="198"/>
      <c r="W985" s="233">
        <f>DATABASE_Table[[#This Row],[Current Asking price( Total)]]-DATABASE_Table[[#This Row],[Vista membership]]-DATABASE_Table[[#This Row],[FF&amp;E]]</f>
        <v>570000</v>
      </c>
      <c r="X985" s="216">
        <v>0</v>
      </c>
      <c r="Y985" s="232">
        <v>570000</v>
      </c>
      <c r="Z985" s="233">
        <f>DATABASE_Table[[#This Row],[Sell price (Total)]]-DATABASE_Table[[#This Row],[FF&amp;E]]-DATABASE_Table[[#This Row],[Vista membership]]</f>
        <v>570000</v>
      </c>
      <c r="AA985" s="315">
        <v>45153</v>
      </c>
      <c r="AB985" s="321"/>
      <c r="AC985" s="198" t="s">
        <v>10</v>
      </c>
      <c r="AD985" s="198" t="s">
        <v>23</v>
      </c>
      <c r="AE985" s="279" t="s">
        <v>24</v>
      </c>
      <c r="AF985" s="279" t="s">
        <v>803</v>
      </c>
      <c r="AG985" s="279" t="s">
        <v>25</v>
      </c>
      <c r="AH985" s="279" t="s">
        <v>804</v>
      </c>
      <c r="AI985" s="198" t="s">
        <v>26</v>
      </c>
      <c r="AJ985" s="274" t="s">
        <v>22</v>
      </c>
      <c r="AK985"/>
    </row>
    <row r="986" spans="1:37" ht="15.75" hidden="1" customHeight="1">
      <c r="A986" s="198" t="s">
        <v>689</v>
      </c>
      <c r="B986" s="198" t="s">
        <v>691</v>
      </c>
      <c r="C986" s="214" t="s">
        <v>351</v>
      </c>
      <c r="D986" s="198"/>
      <c r="E986" s="198" t="s">
        <v>384</v>
      </c>
      <c r="F986" s="198">
        <v>165.44130000000001</v>
      </c>
      <c r="G986" s="198"/>
      <c r="H986" s="214" t="s">
        <v>325</v>
      </c>
      <c r="I986" s="214" t="s">
        <v>325</v>
      </c>
      <c r="J986" s="271"/>
      <c r="K986" s="198"/>
      <c r="L986" s="198"/>
      <c r="M986" s="198"/>
      <c r="N986" s="198"/>
      <c r="O986" s="198">
        <v>165.44130000000001</v>
      </c>
      <c r="P986" s="198"/>
      <c r="Q986" s="198" t="s">
        <v>929</v>
      </c>
      <c r="R986" s="230">
        <f>DATABASE_Table[[#This Row],[Inicial Asking Price (€) (Total)]]-DATABASE_Table[[#This Row],[Vista membership]]-DATABASE_Table[[#This Row],[FF&amp;E]]</f>
        <v>1116828</v>
      </c>
      <c r="S986" s="231">
        <v>1116828</v>
      </c>
      <c r="T986" s="232">
        <v>1130000</v>
      </c>
      <c r="U986" s="198"/>
      <c r="V986" s="198"/>
      <c r="W986" s="233">
        <f>DATABASE_Table[[#This Row],[Current Asking price( Total)]]-DATABASE_Table[[#This Row],[Vista membership]]-DATABASE_Table[[#This Row],[FF&amp;E]]</f>
        <v>1130000</v>
      </c>
      <c r="X986" s="216">
        <v>0</v>
      </c>
      <c r="Y986" s="232">
        <v>1130000</v>
      </c>
      <c r="Z986" s="233">
        <f>DATABASE_Table[[#This Row],[Sell price (Total)]]-DATABASE_Table[[#This Row],[FF&amp;E]]-DATABASE_Table[[#This Row],[Vista membership]]</f>
        <v>1130000</v>
      </c>
      <c r="AA986" s="315">
        <v>44810</v>
      </c>
      <c r="AB986" s="321"/>
      <c r="AC986" s="198"/>
      <c r="AD986" s="198"/>
      <c r="AE986" s="279"/>
      <c r="AF986" s="279"/>
      <c r="AG986" s="279"/>
      <c r="AH986" s="279"/>
      <c r="AI986" s="198"/>
      <c r="AJ986" s="274" t="s">
        <v>689</v>
      </c>
      <c r="AK986"/>
    </row>
    <row r="987" spans="1:37" ht="15.75" hidden="1" customHeight="1">
      <c r="A987" s="198" t="s">
        <v>564</v>
      </c>
      <c r="B987" s="198" t="s">
        <v>691</v>
      </c>
      <c r="C987" s="214" t="s">
        <v>351</v>
      </c>
      <c r="D987" s="198" t="s">
        <v>9</v>
      </c>
      <c r="E987" s="198" t="s">
        <v>319</v>
      </c>
      <c r="F987" s="198">
        <v>151.09</v>
      </c>
      <c r="G987" s="198"/>
      <c r="H987" s="214" t="s">
        <v>325</v>
      </c>
      <c r="I987" s="214" t="s">
        <v>325</v>
      </c>
      <c r="J987" s="271">
        <v>61.03</v>
      </c>
      <c r="K987" s="198"/>
      <c r="L987" s="198"/>
      <c r="M987" s="198"/>
      <c r="N987" s="198"/>
      <c r="O987" s="198">
        <v>90.06</v>
      </c>
      <c r="P987" s="198"/>
      <c r="Q987" s="198" t="s">
        <v>628</v>
      </c>
      <c r="R987" s="230">
        <f>DATABASE_Table[[#This Row],[Inicial Asking Price (€) (Total)]]-DATABASE_Table[[#This Row],[Vista membership]]-DATABASE_Table[[#This Row],[FF&amp;E]]</f>
        <v>727345.06</v>
      </c>
      <c r="S987" s="231">
        <v>791945.06</v>
      </c>
      <c r="T987" s="232">
        <v>840000</v>
      </c>
      <c r="U987" s="198">
        <v>24600</v>
      </c>
      <c r="V987" s="198">
        <v>40000</v>
      </c>
      <c r="W987" s="233">
        <f>DATABASE_Table[[#This Row],[Current Asking price( Total)]]-DATABASE_Table[[#This Row],[Vista membership]]-DATABASE_Table[[#This Row],[FF&amp;E]]</f>
        <v>775400</v>
      </c>
      <c r="X987" s="216">
        <v>6.4642857142857099E-2</v>
      </c>
      <c r="Y987" s="232">
        <v>785700</v>
      </c>
      <c r="Z987" s="233">
        <f>DATABASE_Table[[#This Row],[Sell price (Total)]]-DATABASE_Table[[#This Row],[FF&amp;E]]-DATABASE_Table[[#This Row],[Vista membership]]</f>
        <v>721100</v>
      </c>
      <c r="AA987" s="316">
        <v>46073</v>
      </c>
      <c r="AB987" s="321"/>
      <c r="AC987" s="198" t="s">
        <v>10</v>
      </c>
      <c r="AD987" s="198" t="s">
        <v>35</v>
      </c>
      <c r="AE987" s="279" t="s">
        <v>43</v>
      </c>
      <c r="AF987" s="279" t="s">
        <v>44</v>
      </c>
      <c r="AG987" s="279" t="s">
        <v>45</v>
      </c>
      <c r="AH987" s="279" t="s">
        <v>46</v>
      </c>
      <c r="AI987" s="198" t="s">
        <v>47</v>
      </c>
      <c r="AJ987" s="274" t="s">
        <v>42</v>
      </c>
      <c r="AK987"/>
    </row>
    <row r="988" spans="1:37" ht="15.75" hidden="1" customHeight="1">
      <c r="A988" s="198" t="s">
        <v>782</v>
      </c>
      <c r="B988" s="198" t="s">
        <v>786</v>
      </c>
      <c r="C988" s="214" t="s">
        <v>281</v>
      </c>
      <c r="D988" s="198" t="s">
        <v>79</v>
      </c>
      <c r="E988" s="198" t="s">
        <v>321</v>
      </c>
      <c r="F988" s="198">
        <v>393.7</v>
      </c>
      <c r="G988" s="198"/>
      <c r="H988" s="214" t="s">
        <v>849</v>
      </c>
      <c r="I988" s="214" t="s">
        <v>848</v>
      </c>
      <c r="J988" s="271"/>
      <c r="K988" s="198"/>
      <c r="L988" s="198"/>
      <c r="M988" s="198">
        <v>107</v>
      </c>
      <c r="N988" s="198">
        <v>48</v>
      </c>
      <c r="O988" s="198">
        <v>238.7</v>
      </c>
      <c r="P988" s="198"/>
      <c r="Q988" s="198" t="s">
        <v>329</v>
      </c>
      <c r="R988" s="230">
        <f>DATABASE_Table[[#This Row],[Inicial Asking Price (€) (Total)]]-DATABASE_Table[[#This Row],[Vista membership]]-DATABASE_Table[[#This Row],[FF&amp;E]]</f>
        <v>1975000</v>
      </c>
      <c r="S988" s="234">
        <v>2045000</v>
      </c>
      <c r="T988" s="235">
        <v>2045000</v>
      </c>
      <c r="U988" s="198"/>
      <c r="V988" s="235">
        <v>70000</v>
      </c>
      <c r="W988" s="233">
        <f>DATABASE_Table[[#This Row],[Current Asking price( Total)]]-DATABASE_Table[[#This Row],[Vista membership]]-DATABASE_Table[[#This Row],[FF&amp;E]]</f>
        <v>1975000</v>
      </c>
      <c r="X988" s="236"/>
      <c r="Y988" s="235"/>
      <c r="Z988" s="233">
        <f>DATABASE_Table[[#This Row],[Sell price (Total)]]-DATABASE_Table[[#This Row],[FF&amp;E]]-DATABASE_Table[[#This Row],[Vista membership]]</f>
        <v>-70000</v>
      </c>
      <c r="AA988" s="315"/>
      <c r="AB988" s="321">
        <v>47118</v>
      </c>
      <c r="AC988" s="198" t="s">
        <v>80</v>
      </c>
      <c r="AD988" s="198" t="s">
        <v>81</v>
      </c>
      <c r="AE988" s="279" t="s">
        <v>82</v>
      </c>
      <c r="AF988" s="279" t="s">
        <v>83</v>
      </c>
      <c r="AG988" s="279" t="s">
        <v>84</v>
      </c>
      <c r="AH988" s="279" t="s">
        <v>85</v>
      </c>
      <c r="AI988" s="198" t="s">
        <v>86</v>
      </c>
      <c r="AJ988" s="274" t="s">
        <v>78</v>
      </c>
      <c r="AK988"/>
    </row>
    <row r="989" spans="1:37" ht="15.75" hidden="1" customHeight="1">
      <c r="A989" s="198" t="s">
        <v>782</v>
      </c>
      <c r="B989" s="198" t="s">
        <v>786</v>
      </c>
      <c r="C989" s="214" t="s">
        <v>305</v>
      </c>
      <c r="D989" s="198" t="s">
        <v>79</v>
      </c>
      <c r="E989" s="198" t="s">
        <v>323</v>
      </c>
      <c r="F989" s="198">
        <v>380.7</v>
      </c>
      <c r="G989" s="198"/>
      <c r="H989" s="214" t="s">
        <v>849</v>
      </c>
      <c r="I989" s="214" t="s">
        <v>848</v>
      </c>
      <c r="J989" s="271"/>
      <c r="K989" s="198"/>
      <c r="L989" s="198"/>
      <c r="M989" s="198">
        <v>104</v>
      </c>
      <c r="N989" s="198">
        <v>48</v>
      </c>
      <c r="O989" s="198">
        <v>228.7</v>
      </c>
      <c r="P989" s="198"/>
      <c r="Q989" s="198" t="s">
        <v>329</v>
      </c>
      <c r="R989" s="230">
        <f>DATABASE_Table[[#This Row],[Inicial Asking Price (€) (Total)]]-DATABASE_Table[[#This Row],[Vista membership]]-DATABASE_Table[[#This Row],[FF&amp;E]]</f>
        <v>1975000</v>
      </c>
      <c r="S989" s="234">
        <v>2045000</v>
      </c>
      <c r="T989" s="235">
        <v>2045000</v>
      </c>
      <c r="U989" s="198"/>
      <c r="V989" s="235">
        <v>70000</v>
      </c>
      <c r="W989" s="233">
        <f>DATABASE_Table[[#This Row],[Current Asking price( Total)]]-DATABASE_Table[[#This Row],[Vista membership]]-DATABASE_Table[[#This Row],[FF&amp;E]]</f>
        <v>1975000</v>
      </c>
      <c r="X989" s="236"/>
      <c r="Y989" s="235"/>
      <c r="Z989" s="233">
        <f>DATABASE_Table[[#This Row],[Sell price (Total)]]-DATABASE_Table[[#This Row],[FF&amp;E]]-DATABASE_Table[[#This Row],[Vista membership]]</f>
        <v>-70000</v>
      </c>
      <c r="AA989" s="315"/>
      <c r="AB989" s="321">
        <v>47118</v>
      </c>
      <c r="AC989" s="198" t="s">
        <v>80</v>
      </c>
      <c r="AD989" s="198" t="s">
        <v>81</v>
      </c>
      <c r="AE989" s="279" t="s">
        <v>82</v>
      </c>
      <c r="AF989" s="279" t="s">
        <v>83</v>
      </c>
      <c r="AG989" s="279" t="s">
        <v>84</v>
      </c>
      <c r="AH989" s="279" t="s">
        <v>85</v>
      </c>
      <c r="AI989" s="198" t="s">
        <v>86</v>
      </c>
      <c r="AJ989" s="274" t="s">
        <v>78</v>
      </c>
      <c r="AK989"/>
    </row>
    <row r="990" spans="1:37" ht="15.75" hidden="1" customHeight="1">
      <c r="A990" s="198" t="s">
        <v>772</v>
      </c>
      <c r="B990" s="198" t="s">
        <v>769</v>
      </c>
      <c r="C990" s="214" t="s">
        <v>521</v>
      </c>
      <c r="D990" s="198"/>
      <c r="E990" s="198" t="s">
        <v>419</v>
      </c>
      <c r="F990" s="198">
        <v>101.15</v>
      </c>
      <c r="G990" s="198"/>
      <c r="H990" s="214" t="s">
        <v>668</v>
      </c>
      <c r="I990" s="214" t="s">
        <v>325</v>
      </c>
      <c r="J990" s="271"/>
      <c r="K990" s="198"/>
      <c r="L990" s="198"/>
      <c r="M990" s="198">
        <v>18.100000000000001</v>
      </c>
      <c r="N990" s="198"/>
      <c r="O990" s="198">
        <v>83.05</v>
      </c>
      <c r="P990" s="198"/>
      <c r="Q990" s="198" t="s">
        <v>628</v>
      </c>
      <c r="R990" s="230">
        <f>DATABASE_Table[[#This Row],[Inicial Asking Price (€) (Total)]]-DATABASE_Table[[#This Row],[Vista membership]]-DATABASE_Table[[#This Row],[FF&amp;E]]</f>
        <v>540000</v>
      </c>
      <c r="S990" s="234">
        <v>540000</v>
      </c>
      <c r="T990" s="235">
        <v>650000</v>
      </c>
      <c r="U990" s="198"/>
      <c r="V990" s="198"/>
      <c r="W990" s="233">
        <f>DATABASE_Table[[#This Row],[Current Asking price( Total)]]-DATABASE_Table[[#This Row],[Vista membership]]-DATABASE_Table[[#This Row],[FF&amp;E]]</f>
        <v>650000</v>
      </c>
      <c r="X990" s="236">
        <v>7.69230769230769E-2</v>
      </c>
      <c r="Y990" s="235">
        <v>600000</v>
      </c>
      <c r="Z990" s="233">
        <f>DATABASE_Table[[#This Row],[Sell price (Total)]]-DATABASE_Table[[#This Row],[FF&amp;E]]-DATABASE_Table[[#This Row],[Vista membership]]</f>
        <v>600000</v>
      </c>
      <c r="AA990" s="316">
        <v>46192</v>
      </c>
      <c r="AB990" s="321">
        <v>46843</v>
      </c>
      <c r="AC990" s="198"/>
      <c r="AD990" s="198"/>
      <c r="AE990" s="279"/>
      <c r="AF990" s="279"/>
      <c r="AG990" s="279"/>
      <c r="AH990" s="279"/>
      <c r="AI990" s="198"/>
      <c r="AJ990" s="274" t="s">
        <v>66</v>
      </c>
      <c r="AK990"/>
    </row>
    <row r="991" spans="1:37" ht="15.75" hidden="1" customHeight="1">
      <c r="A991" s="198" t="s">
        <v>772</v>
      </c>
      <c r="B991" s="198" t="s">
        <v>769</v>
      </c>
      <c r="C991" s="214" t="s">
        <v>522</v>
      </c>
      <c r="D991" s="198"/>
      <c r="E991" s="198" t="s">
        <v>419</v>
      </c>
      <c r="F991" s="198">
        <v>91.7</v>
      </c>
      <c r="G991" s="198"/>
      <c r="H991" s="214" t="s">
        <v>669</v>
      </c>
      <c r="I991" s="214" t="s">
        <v>325</v>
      </c>
      <c r="J991" s="271"/>
      <c r="K991" s="198"/>
      <c r="L991" s="198"/>
      <c r="M991" s="198">
        <v>19.7</v>
      </c>
      <c r="N991" s="198"/>
      <c r="O991" s="198">
        <v>72</v>
      </c>
      <c r="P991" s="198"/>
      <c r="Q991" s="198" t="s">
        <v>329</v>
      </c>
      <c r="R991" s="230">
        <f>DATABASE_Table[[#This Row],[Inicial Asking Price (€) (Total)]]-DATABASE_Table[[#This Row],[Vista membership]]-DATABASE_Table[[#This Row],[FF&amp;E]]</f>
        <v>550000</v>
      </c>
      <c r="S991" s="234">
        <v>550000</v>
      </c>
      <c r="T991" s="235">
        <v>600000</v>
      </c>
      <c r="U991" s="198"/>
      <c r="V991" s="198"/>
      <c r="W991" s="233">
        <f>DATABASE_Table[[#This Row],[Current Asking price( Total)]]-DATABASE_Table[[#This Row],[Vista membership]]-DATABASE_Table[[#This Row],[FF&amp;E]]</f>
        <v>600000</v>
      </c>
      <c r="X991" s="236"/>
      <c r="Y991" s="235">
        <v>600000</v>
      </c>
      <c r="Z991" s="233">
        <f>DATABASE_Table[[#This Row],[Sell price (Total)]]-DATABASE_Table[[#This Row],[FF&amp;E]]-DATABASE_Table[[#This Row],[Vista membership]]</f>
        <v>600000</v>
      </c>
      <c r="AA991" s="315"/>
      <c r="AB991" s="321">
        <v>46843</v>
      </c>
      <c r="AC991" s="198"/>
      <c r="AD991" s="198"/>
      <c r="AE991" s="279"/>
      <c r="AF991" s="279"/>
      <c r="AG991" s="279"/>
      <c r="AH991" s="279"/>
      <c r="AI991" s="198"/>
      <c r="AJ991" s="274" t="s">
        <v>66</v>
      </c>
      <c r="AK991"/>
    </row>
    <row r="992" spans="1:37" ht="15.75" hidden="1" customHeight="1">
      <c r="A992" s="198" t="s">
        <v>772</v>
      </c>
      <c r="B992" s="198" t="s">
        <v>769</v>
      </c>
      <c r="C992" s="214" t="s">
        <v>523</v>
      </c>
      <c r="D992" s="198"/>
      <c r="E992" s="198" t="s">
        <v>419</v>
      </c>
      <c r="F992" s="198">
        <v>101.15</v>
      </c>
      <c r="G992" s="198"/>
      <c r="H992" s="214" t="s">
        <v>670</v>
      </c>
      <c r="I992" s="214" t="s">
        <v>325</v>
      </c>
      <c r="J992" s="271"/>
      <c r="K992" s="198"/>
      <c r="L992" s="198"/>
      <c r="M992" s="198">
        <v>18.100000000000001</v>
      </c>
      <c r="N992" s="198"/>
      <c r="O992" s="198">
        <v>83.05</v>
      </c>
      <c r="P992" s="198"/>
      <c r="Q992" s="198" t="s">
        <v>329</v>
      </c>
      <c r="R992" s="230">
        <f>DATABASE_Table[[#This Row],[Inicial Asking Price (€) (Total)]]-DATABASE_Table[[#This Row],[Vista membership]]-DATABASE_Table[[#This Row],[FF&amp;E]]</f>
        <v>550000</v>
      </c>
      <c r="S992" s="234">
        <v>550000</v>
      </c>
      <c r="T992" s="235">
        <v>600000</v>
      </c>
      <c r="U992" s="198"/>
      <c r="V992" s="198"/>
      <c r="W992" s="233">
        <f>DATABASE_Table[[#This Row],[Current Asking price( Total)]]-DATABASE_Table[[#This Row],[Vista membership]]-DATABASE_Table[[#This Row],[FF&amp;E]]</f>
        <v>600000</v>
      </c>
      <c r="X992" s="236"/>
      <c r="Y992" s="235">
        <v>600000</v>
      </c>
      <c r="Z992" s="233">
        <f>DATABASE_Table[[#This Row],[Sell price (Total)]]-DATABASE_Table[[#This Row],[FF&amp;E]]-DATABASE_Table[[#This Row],[Vista membership]]</f>
        <v>600000</v>
      </c>
      <c r="AA992" s="315"/>
      <c r="AB992" s="321">
        <v>46843</v>
      </c>
      <c r="AC992" s="198"/>
      <c r="AD992" s="198"/>
      <c r="AE992" s="279"/>
      <c r="AF992" s="279"/>
      <c r="AG992" s="279"/>
      <c r="AH992" s="279"/>
      <c r="AI992" s="198"/>
      <c r="AJ992" s="274" t="s">
        <v>66</v>
      </c>
      <c r="AK992"/>
    </row>
    <row r="993" spans="1:37" ht="15.75" hidden="1" customHeight="1">
      <c r="A993" s="198" t="s">
        <v>782</v>
      </c>
      <c r="B993" s="198" t="s">
        <v>786</v>
      </c>
      <c r="C993" s="214" t="s">
        <v>306</v>
      </c>
      <c r="D993" s="198" t="s">
        <v>79</v>
      </c>
      <c r="E993" s="198" t="s">
        <v>323</v>
      </c>
      <c r="F993" s="198">
        <v>382.9</v>
      </c>
      <c r="G993" s="198"/>
      <c r="H993" s="214" t="s">
        <v>849</v>
      </c>
      <c r="I993" s="214" t="s">
        <v>848</v>
      </c>
      <c r="J993" s="271"/>
      <c r="K993" s="198"/>
      <c r="L993" s="198"/>
      <c r="M993" s="198">
        <v>104</v>
      </c>
      <c r="N993" s="198">
        <v>48</v>
      </c>
      <c r="O993" s="198">
        <v>230.9</v>
      </c>
      <c r="P993" s="198"/>
      <c r="Q993" s="198" t="s">
        <v>329</v>
      </c>
      <c r="R993" s="230">
        <f>DATABASE_Table[[#This Row],[Inicial Asking Price (€) (Total)]]-DATABASE_Table[[#This Row],[Vista membership]]-DATABASE_Table[[#This Row],[FF&amp;E]]</f>
        <v>1995000</v>
      </c>
      <c r="S993" s="234">
        <v>2065000</v>
      </c>
      <c r="T993" s="235">
        <v>2065000</v>
      </c>
      <c r="U993" s="198"/>
      <c r="V993" s="235">
        <v>70000</v>
      </c>
      <c r="W993" s="233">
        <f>DATABASE_Table[[#This Row],[Current Asking price( Total)]]-DATABASE_Table[[#This Row],[Vista membership]]-DATABASE_Table[[#This Row],[FF&amp;E]]</f>
        <v>1995000</v>
      </c>
      <c r="X993" s="236"/>
      <c r="Y993" s="235"/>
      <c r="Z993" s="233">
        <f>DATABASE_Table[[#This Row],[Sell price (Total)]]-DATABASE_Table[[#This Row],[FF&amp;E]]-DATABASE_Table[[#This Row],[Vista membership]]</f>
        <v>-70000</v>
      </c>
      <c r="AA993" s="315"/>
      <c r="AB993" s="321">
        <v>47118</v>
      </c>
      <c r="AC993" s="198" t="s">
        <v>80</v>
      </c>
      <c r="AD993" s="198" t="s">
        <v>81</v>
      </c>
      <c r="AE993" s="279" t="s">
        <v>82</v>
      </c>
      <c r="AF993" s="279" t="s">
        <v>83</v>
      </c>
      <c r="AG993" s="279" t="s">
        <v>84</v>
      </c>
      <c r="AH993" s="279" t="s">
        <v>85</v>
      </c>
      <c r="AI993" s="198" t="s">
        <v>86</v>
      </c>
      <c r="AJ993" s="274" t="s">
        <v>78</v>
      </c>
      <c r="AK993"/>
    </row>
    <row r="994" spans="1:37" ht="15.75" hidden="1" customHeight="1">
      <c r="A994" s="198" t="s">
        <v>772</v>
      </c>
      <c r="B994" s="198" t="s">
        <v>769</v>
      </c>
      <c r="C994" s="214" t="s">
        <v>524</v>
      </c>
      <c r="D994" s="198"/>
      <c r="E994" s="198" t="s">
        <v>419</v>
      </c>
      <c r="F994" s="198">
        <v>91.7</v>
      </c>
      <c r="G994" s="198"/>
      <c r="H994" s="214" t="s">
        <v>671</v>
      </c>
      <c r="I994" s="214" t="s">
        <v>325</v>
      </c>
      <c r="J994" s="271"/>
      <c r="K994" s="198"/>
      <c r="L994" s="198"/>
      <c r="M994" s="198">
        <v>19.7</v>
      </c>
      <c r="N994" s="198"/>
      <c r="O994" s="198">
        <v>72</v>
      </c>
      <c r="P994" s="198"/>
      <c r="Q994" s="198" t="s">
        <v>329</v>
      </c>
      <c r="R994" s="230">
        <f>DATABASE_Table[[#This Row],[Inicial Asking Price (€) (Total)]]-DATABASE_Table[[#This Row],[Vista membership]]-DATABASE_Table[[#This Row],[FF&amp;E]]</f>
        <v>540000</v>
      </c>
      <c r="S994" s="234">
        <v>540000</v>
      </c>
      <c r="T994" s="235">
        <v>600000</v>
      </c>
      <c r="U994" s="198"/>
      <c r="V994" s="198"/>
      <c r="W994" s="233">
        <f>DATABASE_Table[[#This Row],[Current Asking price( Total)]]-DATABASE_Table[[#This Row],[Vista membership]]-DATABASE_Table[[#This Row],[FF&amp;E]]</f>
        <v>600000</v>
      </c>
      <c r="X994" s="236"/>
      <c r="Y994" s="235">
        <v>600000</v>
      </c>
      <c r="Z994" s="233">
        <f>DATABASE_Table[[#This Row],[Sell price (Total)]]-DATABASE_Table[[#This Row],[FF&amp;E]]-DATABASE_Table[[#This Row],[Vista membership]]</f>
        <v>600000</v>
      </c>
      <c r="AA994" s="315"/>
      <c r="AB994" s="321">
        <v>46843</v>
      </c>
      <c r="AC994" s="198"/>
      <c r="AD994" s="198"/>
      <c r="AE994" s="279"/>
      <c r="AF994" s="279"/>
      <c r="AG994" s="279"/>
      <c r="AH994" s="279"/>
      <c r="AI994" s="198"/>
      <c r="AJ994" s="274" t="s">
        <v>66</v>
      </c>
      <c r="AK994"/>
    </row>
    <row r="995" spans="1:37" ht="15.75" hidden="1" customHeight="1">
      <c r="A995" s="198" t="s">
        <v>772</v>
      </c>
      <c r="B995" s="198" t="s">
        <v>769</v>
      </c>
      <c r="C995" s="214" t="s">
        <v>525</v>
      </c>
      <c r="D995" s="198"/>
      <c r="E995" s="198" t="s">
        <v>419</v>
      </c>
      <c r="F995" s="198">
        <v>101.15</v>
      </c>
      <c r="G995" s="198"/>
      <c r="H995" s="214" t="s">
        <v>672</v>
      </c>
      <c r="I995" s="214" t="s">
        <v>325</v>
      </c>
      <c r="J995" s="271"/>
      <c r="K995" s="198"/>
      <c r="L995" s="198"/>
      <c r="M995" s="198">
        <v>18.100000000000001</v>
      </c>
      <c r="N995" s="198"/>
      <c r="O995" s="198">
        <v>83.05</v>
      </c>
      <c r="P995" s="198"/>
      <c r="Q995" s="198" t="s">
        <v>329</v>
      </c>
      <c r="R995" s="230">
        <f>DATABASE_Table[[#This Row],[Inicial Asking Price (€) (Total)]]-DATABASE_Table[[#This Row],[Vista membership]]-DATABASE_Table[[#This Row],[FF&amp;E]]</f>
        <v>660000</v>
      </c>
      <c r="S995" s="234">
        <v>660000</v>
      </c>
      <c r="T995" s="235">
        <v>600000</v>
      </c>
      <c r="U995" s="198"/>
      <c r="V995" s="198"/>
      <c r="W995" s="233">
        <f>DATABASE_Table[[#This Row],[Current Asking price( Total)]]-DATABASE_Table[[#This Row],[Vista membership]]-DATABASE_Table[[#This Row],[FF&amp;E]]</f>
        <v>600000</v>
      </c>
      <c r="X995" s="236"/>
      <c r="Y995" s="235">
        <v>600000</v>
      </c>
      <c r="Z995" s="233">
        <f>DATABASE_Table[[#This Row],[Sell price (Total)]]-DATABASE_Table[[#This Row],[FF&amp;E]]-DATABASE_Table[[#This Row],[Vista membership]]</f>
        <v>600000</v>
      </c>
      <c r="AA995" s="315"/>
      <c r="AB995" s="321">
        <v>46843</v>
      </c>
      <c r="AC995" s="198"/>
      <c r="AD995" s="198"/>
      <c r="AE995" s="279"/>
      <c r="AF995" s="279"/>
      <c r="AG995" s="279"/>
      <c r="AH995" s="279"/>
      <c r="AI995" s="198"/>
      <c r="AJ995" s="274" t="s">
        <v>66</v>
      </c>
      <c r="AK995"/>
    </row>
    <row r="996" spans="1:37" ht="15.75" hidden="1" customHeight="1">
      <c r="A996" s="198" t="s">
        <v>772</v>
      </c>
      <c r="B996" s="198" t="s">
        <v>769</v>
      </c>
      <c r="C996" s="214" t="s">
        <v>526</v>
      </c>
      <c r="D996" s="198"/>
      <c r="E996" s="198" t="s">
        <v>517</v>
      </c>
      <c r="F996" s="198">
        <v>138.6</v>
      </c>
      <c r="G996" s="198"/>
      <c r="H996" s="214" t="s">
        <v>673</v>
      </c>
      <c r="I996" s="214" t="s">
        <v>325</v>
      </c>
      <c r="J996" s="271"/>
      <c r="K996" s="198"/>
      <c r="L996" s="198"/>
      <c r="M996" s="198">
        <v>32.4</v>
      </c>
      <c r="N996" s="198"/>
      <c r="O996" s="198">
        <v>106.2</v>
      </c>
      <c r="P996" s="198"/>
      <c r="Q996" s="198" t="s">
        <v>329</v>
      </c>
      <c r="R996" s="230">
        <f>DATABASE_Table[[#This Row],[Inicial Asking Price (€) (Total)]]-DATABASE_Table[[#This Row],[Vista membership]]-DATABASE_Table[[#This Row],[FF&amp;E]]</f>
        <v>710000</v>
      </c>
      <c r="S996" s="234">
        <v>710000</v>
      </c>
      <c r="T996" s="235">
        <v>850000</v>
      </c>
      <c r="U996" s="198"/>
      <c r="V996" s="198"/>
      <c r="W996" s="233">
        <f>DATABASE_Table[[#This Row],[Current Asking price( Total)]]-DATABASE_Table[[#This Row],[Vista membership]]-DATABASE_Table[[#This Row],[FF&amp;E]]</f>
        <v>850000</v>
      </c>
      <c r="X996" s="236"/>
      <c r="Y996" s="235">
        <v>850000</v>
      </c>
      <c r="Z996" s="233">
        <f>DATABASE_Table[[#This Row],[Sell price (Total)]]-DATABASE_Table[[#This Row],[FF&amp;E]]-DATABASE_Table[[#This Row],[Vista membership]]</f>
        <v>850000</v>
      </c>
      <c r="AA996" s="315"/>
      <c r="AB996" s="321">
        <v>46843</v>
      </c>
      <c r="AC996" s="198"/>
      <c r="AD996" s="198"/>
      <c r="AE996" s="279"/>
      <c r="AF996" s="279"/>
      <c r="AG996" s="279"/>
      <c r="AH996" s="279"/>
      <c r="AI996" s="198"/>
      <c r="AJ996" s="274" t="s">
        <v>66</v>
      </c>
      <c r="AK996"/>
    </row>
    <row r="997" spans="1:37" ht="15.75" hidden="1" customHeight="1">
      <c r="A997" s="198" t="s">
        <v>630</v>
      </c>
      <c r="B997" s="198" t="s">
        <v>691</v>
      </c>
      <c r="C997" s="214" t="s">
        <v>352</v>
      </c>
      <c r="D997" s="198" t="s">
        <v>9</v>
      </c>
      <c r="E997" s="198" t="s">
        <v>319</v>
      </c>
      <c r="F997" s="198">
        <v>151.53</v>
      </c>
      <c r="G997" s="198"/>
      <c r="H997" s="214" t="s">
        <v>849</v>
      </c>
      <c r="I997" s="214" t="s">
        <v>325</v>
      </c>
      <c r="J997" s="271">
        <v>15.79</v>
      </c>
      <c r="K997" s="198"/>
      <c r="L997" s="198"/>
      <c r="M997" s="198">
        <v>11.82</v>
      </c>
      <c r="N997" s="198"/>
      <c r="O997" s="198">
        <v>123.92</v>
      </c>
      <c r="P997" s="198"/>
      <c r="Q997" s="198" t="s">
        <v>329</v>
      </c>
      <c r="R997" s="230">
        <f>DATABASE_Table[[#This Row],[Inicial Asking Price (€) (Total)]]-DATABASE_Table[[#This Row],[Vista membership]]-DATABASE_Table[[#This Row],[FF&amp;E]]</f>
        <v>1038322.362</v>
      </c>
      <c r="S997" s="231">
        <v>1038322.362</v>
      </c>
      <c r="T997" s="232">
        <v>1075000</v>
      </c>
      <c r="U997" s="198"/>
      <c r="V997" s="198"/>
      <c r="W997" s="233">
        <f>DATABASE_Table[[#This Row],[Current Asking price( Total)]]-DATABASE_Table[[#This Row],[Vista membership]]-DATABASE_Table[[#This Row],[FF&amp;E]]</f>
        <v>1075000</v>
      </c>
      <c r="X997" s="216"/>
      <c r="Y997" s="232">
        <v>1071200</v>
      </c>
      <c r="Z997" s="233">
        <f>DATABASE_Table[[#This Row],[Sell price (Total)]]-DATABASE_Table[[#This Row],[FF&amp;E]]-DATABASE_Table[[#This Row],[Vista membership]]</f>
        <v>1071200</v>
      </c>
      <c r="AA997" s="315"/>
      <c r="AB997" s="321"/>
      <c r="AC997" s="198" t="s">
        <v>10</v>
      </c>
      <c r="AD997" s="198" t="s">
        <v>11</v>
      </c>
      <c r="AE997" s="279" t="s">
        <v>53</v>
      </c>
      <c r="AF997" s="279" t="s">
        <v>54</v>
      </c>
      <c r="AG997" s="279" t="s">
        <v>811</v>
      </c>
      <c r="AH997" s="279" t="s">
        <v>812</v>
      </c>
      <c r="AI997" s="198" t="s">
        <v>36</v>
      </c>
      <c r="AJ997" s="274" t="s">
        <v>52</v>
      </c>
      <c r="AK997"/>
    </row>
    <row r="998" spans="1:37" ht="15.75" hidden="1" customHeight="1">
      <c r="A998" s="198" t="s">
        <v>772</v>
      </c>
      <c r="B998" s="198" t="s">
        <v>769</v>
      </c>
      <c r="C998" s="214" t="s">
        <v>527</v>
      </c>
      <c r="D998" s="198"/>
      <c r="E998" s="198" t="s">
        <v>319</v>
      </c>
      <c r="F998" s="198">
        <v>144.15</v>
      </c>
      <c r="G998" s="198"/>
      <c r="H998" s="214" t="s">
        <v>674</v>
      </c>
      <c r="I998" s="214" t="s">
        <v>325</v>
      </c>
      <c r="J998" s="271"/>
      <c r="K998" s="198"/>
      <c r="L998" s="198"/>
      <c r="M998" s="198">
        <v>29.65</v>
      </c>
      <c r="N998" s="198"/>
      <c r="O998" s="198">
        <v>114.5</v>
      </c>
      <c r="P998" s="198"/>
      <c r="Q998" s="198" t="s">
        <v>628</v>
      </c>
      <c r="R998" s="230">
        <f>DATABASE_Table[[#This Row],[Inicial Asking Price (€) (Total)]]-DATABASE_Table[[#This Row],[Vista membership]]-DATABASE_Table[[#This Row],[FF&amp;E]]</f>
        <v>710000</v>
      </c>
      <c r="S998" s="234">
        <v>710000</v>
      </c>
      <c r="T998" s="235">
        <v>950000</v>
      </c>
      <c r="U998" s="198"/>
      <c r="V998" s="198"/>
      <c r="W998" s="233">
        <f>DATABASE_Table[[#This Row],[Current Asking price( Total)]]-DATABASE_Table[[#This Row],[Vista membership]]-DATABASE_Table[[#This Row],[FF&amp;E]]</f>
        <v>950000</v>
      </c>
      <c r="X998" s="236">
        <v>0</v>
      </c>
      <c r="Y998" s="235">
        <v>950000</v>
      </c>
      <c r="Z998" s="233">
        <f>DATABASE_Table[[#This Row],[Sell price (Total)]]-DATABASE_Table[[#This Row],[FF&amp;E]]-DATABASE_Table[[#This Row],[Vista membership]]</f>
        <v>950000</v>
      </c>
      <c r="AA998" s="316">
        <v>45784</v>
      </c>
      <c r="AB998" s="321">
        <v>46843</v>
      </c>
      <c r="AC998" s="198"/>
      <c r="AD998" s="198"/>
      <c r="AE998" s="279"/>
      <c r="AF998" s="279"/>
      <c r="AG998" s="279"/>
      <c r="AH998" s="279"/>
      <c r="AI998" s="198"/>
      <c r="AJ998" s="274" t="s">
        <v>66</v>
      </c>
      <c r="AK998"/>
    </row>
    <row r="999" spans="1:37" ht="15.75" hidden="1" customHeight="1">
      <c r="A999" s="198" t="s">
        <v>776</v>
      </c>
      <c r="B999" s="198" t="s">
        <v>769</v>
      </c>
      <c r="C999" s="214" t="s">
        <v>677</v>
      </c>
      <c r="D999" s="198" t="s">
        <v>74</v>
      </c>
      <c r="E999" s="198" t="s">
        <v>553</v>
      </c>
      <c r="F999" s="198">
        <v>900</v>
      </c>
      <c r="G999" s="198"/>
      <c r="H999" s="214" t="s">
        <v>325</v>
      </c>
      <c r="I999" s="214" t="s">
        <v>325</v>
      </c>
      <c r="J999" s="271"/>
      <c r="K999" s="198"/>
      <c r="L999" s="198"/>
      <c r="M999" s="198"/>
      <c r="N999" s="198"/>
      <c r="O999" s="198">
        <v>900</v>
      </c>
      <c r="P999" s="198"/>
      <c r="Q999" s="198" t="s">
        <v>329</v>
      </c>
      <c r="R999" s="230">
        <f>DATABASE_Table[[#This Row],[Inicial Asking Price (€) (Total)]]-DATABASE_Table[[#This Row],[Vista membership]]-DATABASE_Table[[#This Row],[FF&amp;E]]</f>
        <v>2112000</v>
      </c>
      <c r="S999" s="234">
        <v>2112000</v>
      </c>
      <c r="T999" s="235">
        <v>1790000</v>
      </c>
      <c r="U999" s="198"/>
      <c r="V999" s="198"/>
      <c r="W999" s="233">
        <f>DATABASE_Table[[#This Row],[Current Asking price( Total)]]-DATABASE_Table[[#This Row],[Vista membership]]-DATABASE_Table[[#This Row],[FF&amp;E]]</f>
        <v>1790000</v>
      </c>
      <c r="X999" s="236"/>
      <c r="Y999" s="235"/>
      <c r="Z999" s="233">
        <f>DATABASE_Table[[#This Row],[Sell price (Total)]]-DATABASE_Table[[#This Row],[FF&amp;E]]-DATABASE_Table[[#This Row],[Vista membership]]</f>
        <v>0</v>
      </c>
      <c r="AA999" s="315"/>
      <c r="AB999" s="321" t="s">
        <v>32</v>
      </c>
      <c r="AC999" s="198" t="s">
        <v>57</v>
      </c>
      <c r="AD999" s="198"/>
      <c r="AE999" s="279" t="s">
        <v>75</v>
      </c>
      <c r="AF999" s="279" t="s">
        <v>554</v>
      </c>
      <c r="AG999" s="279" t="s">
        <v>76</v>
      </c>
      <c r="AH999" s="279" t="s">
        <v>77</v>
      </c>
      <c r="AI999" s="198" t="s">
        <v>32</v>
      </c>
      <c r="AJ999" s="274" t="s">
        <v>73</v>
      </c>
      <c r="AK999"/>
    </row>
    <row r="1000" spans="1:37" ht="15.75" hidden="1" customHeight="1">
      <c r="A1000" s="198" t="s">
        <v>558</v>
      </c>
      <c r="B1000" s="198" t="s">
        <v>691</v>
      </c>
      <c r="C1000" s="214" t="s">
        <v>352</v>
      </c>
      <c r="D1000" s="198" t="s">
        <v>9</v>
      </c>
      <c r="E1000" s="198" t="s">
        <v>320</v>
      </c>
      <c r="F1000" s="198">
        <v>153.01</v>
      </c>
      <c r="G1000" s="198">
        <v>4.46</v>
      </c>
      <c r="H1000" s="214" t="s">
        <v>611</v>
      </c>
      <c r="I1000" s="214" t="s">
        <v>590</v>
      </c>
      <c r="J1000" s="271"/>
      <c r="K1000" s="198"/>
      <c r="L1000" s="198"/>
      <c r="M1000" s="198"/>
      <c r="N1000" s="198"/>
      <c r="O1000" s="198">
        <v>153.01</v>
      </c>
      <c r="P1000" s="198"/>
      <c r="Q1000" s="198" t="s">
        <v>329</v>
      </c>
      <c r="R1000" s="230">
        <f>DATABASE_Table[[#This Row],[Inicial Asking Price (€) (Total)]]-DATABASE_Table[[#This Row],[Vista membership]]-DATABASE_Table[[#This Row],[FF&amp;E]]</f>
        <v>995000</v>
      </c>
      <c r="S1000" s="231">
        <v>995000</v>
      </c>
      <c r="T1000" s="232">
        <v>995000</v>
      </c>
      <c r="U1000" s="198"/>
      <c r="V1000" s="198"/>
      <c r="W1000" s="233">
        <f>DATABASE_Table[[#This Row],[Current Asking price( Total)]]-DATABASE_Table[[#This Row],[Vista membership]]-DATABASE_Table[[#This Row],[FF&amp;E]]</f>
        <v>995000</v>
      </c>
      <c r="X1000" s="216"/>
      <c r="Y1000" s="232">
        <v>995000</v>
      </c>
      <c r="Z1000" s="233">
        <f>DATABASE_Table[[#This Row],[Sell price (Total)]]-DATABASE_Table[[#This Row],[FF&amp;E]]-DATABASE_Table[[#This Row],[Vista membership]]</f>
        <v>995000</v>
      </c>
      <c r="AA1000" s="315"/>
      <c r="AB1000" s="321"/>
      <c r="AC1000" s="198" t="s">
        <v>10</v>
      </c>
      <c r="AD1000" s="198" t="s">
        <v>11</v>
      </c>
      <c r="AE1000" s="279" t="s">
        <v>12</v>
      </c>
      <c r="AF1000" s="279" t="s">
        <v>801</v>
      </c>
      <c r="AG1000" s="279" t="s">
        <v>13</v>
      </c>
      <c r="AH1000" s="279" t="s">
        <v>14</v>
      </c>
      <c r="AI1000" s="198" t="s">
        <v>15</v>
      </c>
      <c r="AJ1000" s="274" t="s">
        <v>8</v>
      </c>
      <c r="AK1000"/>
    </row>
    <row r="1001" spans="1:37" ht="15.75" hidden="1" customHeight="1">
      <c r="A1001" s="198" t="s">
        <v>31</v>
      </c>
      <c r="B1001" s="198" t="s">
        <v>691</v>
      </c>
      <c r="C1001" s="214" t="s">
        <v>352</v>
      </c>
      <c r="D1001" s="198" t="s">
        <v>9</v>
      </c>
      <c r="E1001" s="198" t="s">
        <v>319</v>
      </c>
      <c r="F1001" s="198"/>
      <c r="G1001" s="198"/>
      <c r="H1001" s="214" t="s">
        <v>325</v>
      </c>
      <c r="I1001" s="214" t="s">
        <v>325</v>
      </c>
      <c r="J1001" s="271"/>
      <c r="K1001" s="198">
        <v>0</v>
      </c>
      <c r="L1001" s="198"/>
      <c r="M1001" s="198">
        <v>16</v>
      </c>
      <c r="N1001" s="198"/>
      <c r="O1001" s="198">
        <v>105</v>
      </c>
      <c r="P1001" s="198"/>
      <c r="Q1001" s="198" t="s">
        <v>326</v>
      </c>
      <c r="R1001" s="230">
        <f>DATABASE_Table[[#This Row],[Inicial Asking Price (€) (Total)]]-DATABASE_Table[[#This Row],[Vista membership]]-DATABASE_Table[[#This Row],[FF&amp;E]]</f>
        <v>670000</v>
      </c>
      <c r="S1001" s="232">
        <v>670000</v>
      </c>
      <c r="T1001" s="232">
        <v>670000</v>
      </c>
      <c r="U1001" s="198"/>
      <c r="V1001" s="198"/>
      <c r="W1001" s="233">
        <f>DATABASE_Table[[#This Row],[Current Asking price( Total)]]-DATABASE_Table[[#This Row],[Vista membership]]-DATABASE_Table[[#This Row],[FF&amp;E]]</f>
        <v>670000</v>
      </c>
      <c r="X1001" s="216">
        <v>0</v>
      </c>
      <c r="Y1001" s="232">
        <v>670000</v>
      </c>
      <c r="Z1001" s="233">
        <f>DATABASE_Table[[#This Row],[Sell price (Total)]]-DATABASE_Table[[#This Row],[FF&amp;E]]-DATABASE_Table[[#This Row],[Vista membership]]</f>
        <v>670000</v>
      </c>
      <c r="AA1001" s="315">
        <v>46114</v>
      </c>
      <c r="AB1001" s="321"/>
      <c r="AC1001" s="198" t="s">
        <v>10</v>
      </c>
      <c r="AD1001" s="198" t="s">
        <v>807</v>
      </c>
      <c r="AE1001" s="279" t="s">
        <v>32</v>
      </c>
      <c r="AF1001" s="279" t="s">
        <v>808</v>
      </c>
      <c r="AG1001" s="279" t="s">
        <v>33</v>
      </c>
      <c r="AH1001" s="279" t="s">
        <v>809</v>
      </c>
      <c r="AI1001" s="198" t="s">
        <v>15</v>
      </c>
      <c r="AJ1001" s="274" t="s">
        <v>31</v>
      </c>
      <c r="AK1001"/>
    </row>
    <row r="1002" spans="1:37" ht="15.75" hidden="1" customHeight="1">
      <c r="A1002" s="198" t="s">
        <v>690</v>
      </c>
      <c r="B1002" s="198" t="s">
        <v>691</v>
      </c>
      <c r="C1002" s="214" t="s">
        <v>352</v>
      </c>
      <c r="D1002" s="198" t="s">
        <v>9</v>
      </c>
      <c r="E1002" s="198" t="s">
        <v>383</v>
      </c>
      <c r="F1002" s="198">
        <v>321.57</v>
      </c>
      <c r="G1002" s="198">
        <v>163.77000000000001</v>
      </c>
      <c r="H1002" s="214" t="s">
        <v>325</v>
      </c>
      <c r="I1002" s="214" t="s">
        <v>325</v>
      </c>
      <c r="J1002" s="271"/>
      <c r="K1002" s="198"/>
      <c r="L1002" s="198"/>
      <c r="M1002" s="198"/>
      <c r="N1002" s="198"/>
      <c r="O1002" s="198">
        <v>157.80000000000001</v>
      </c>
      <c r="P1002" s="198"/>
      <c r="Q1002" s="198" t="s">
        <v>329</v>
      </c>
      <c r="R1002" s="230">
        <f>DATABASE_Table[[#This Row],[Inicial Asking Price (€) (Total)]]-DATABASE_Table[[#This Row],[Vista membership]]-DATABASE_Table[[#This Row],[FF&amp;E]]</f>
        <v>1452100</v>
      </c>
      <c r="S1002" s="231">
        <v>1541050</v>
      </c>
      <c r="T1002" s="232">
        <v>1630000</v>
      </c>
      <c r="U1002" s="198">
        <v>24600</v>
      </c>
      <c r="V1002" s="198">
        <v>64350</v>
      </c>
      <c r="W1002" s="233">
        <f>DATABASE_Table[[#This Row],[Current Asking price( Total)]]-DATABASE_Table[[#This Row],[Vista membership]]-DATABASE_Table[[#This Row],[FF&amp;E]]</f>
        <v>1541050</v>
      </c>
      <c r="X1002" s="216"/>
      <c r="Y1002" s="232">
        <v>1630000</v>
      </c>
      <c r="Z1002" s="233">
        <f>DATABASE_Table[[#This Row],[Sell price (Total)]]-DATABASE_Table[[#This Row],[FF&amp;E]]-DATABASE_Table[[#This Row],[Vista membership]]</f>
        <v>1541050</v>
      </c>
      <c r="AA1002" s="315"/>
      <c r="AB1002" s="321"/>
      <c r="AC1002" s="198" t="s">
        <v>10</v>
      </c>
      <c r="AD1002" s="198" t="s">
        <v>35</v>
      </c>
      <c r="AE1002" s="279" t="s">
        <v>38</v>
      </c>
      <c r="AF1002" s="279" t="s">
        <v>39</v>
      </c>
      <c r="AG1002" s="279" t="s">
        <v>40</v>
      </c>
      <c r="AH1002" s="279" t="s">
        <v>810</v>
      </c>
      <c r="AI1002" s="198" t="s">
        <v>41</v>
      </c>
      <c r="AJ1002" s="274" t="s">
        <v>37</v>
      </c>
      <c r="AK1002"/>
    </row>
    <row r="1003" spans="1:37" ht="15.75" hidden="1" customHeight="1">
      <c r="A1003" s="198" t="s">
        <v>782</v>
      </c>
      <c r="B1003" s="198" t="s">
        <v>786</v>
      </c>
      <c r="C1003" s="214" t="s">
        <v>302</v>
      </c>
      <c r="D1003" s="198" t="s">
        <v>79</v>
      </c>
      <c r="E1003" s="198" t="s">
        <v>321</v>
      </c>
      <c r="F1003" s="198">
        <v>422.5</v>
      </c>
      <c r="G1003" s="198"/>
      <c r="H1003" s="214" t="s">
        <v>849</v>
      </c>
      <c r="I1003" s="214" t="s">
        <v>848</v>
      </c>
      <c r="J1003" s="271"/>
      <c r="K1003" s="198"/>
      <c r="L1003" s="198"/>
      <c r="M1003" s="198">
        <v>118</v>
      </c>
      <c r="N1003" s="198">
        <v>61</v>
      </c>
      <c r="O1003" s="198">
        <v>243.5</v>
      </c>
      <c r="P1003" s="198"/>
      <c r="Q1003" s="198" t="s">
        <v>329</v>
      </c>
      <c r="R1003" s="230">
        <f>DATABASE_Table[[#This Row],[Inicial Asking Price (€) (Total)]]-DATABASE_Table[[#This Row],[Vista membership]]-DATABASE_Table[[#This Row],[FF&amp;E]]</f>
        <v>2090000</v>
      </c>
      <c r="S1003" s="234">
        <v>2160000</v>
      </c>
      <c r="T1003" s="235">
        <v>2170000</v>
      </c>
      <c r="U1003" s="198"/>
      <c r="V1003" s="235">
        <v>70000</v>
      </c>
      <c r="W1003" s="233">
        <f>DATABASE_Table[[#This Row],[Current Asking price( Total)]]-DATABASE_Table[[#This Row],[Vista membership]]-DATABASE_Table[[#This Row],[FF&amp;E]]</f>
        <v>2100000</v>
      </c>
      <c r="X1003" s="236"/>
      <c r="Y1003" s="235"/>
      <c r="Z1003" s="233">
        <f>DATABASE_Table[[#This Row],[Sell price (Total)]]-DATABASE_Table[[#This Row],[FF&amp;E]]-DATABASE_Table[[#This Row],[Vista membership]]</f>
        <v>-70000</v>
      </c>
      <c r="AA1003" s="315"/>
      <c r="AB1003" s="321">
        <v>47118</v>
      </c>
      <c r="AC1003" s="198" t="s">
        <v>80</v>
      </c>
      <c r="AD1003" s="198" t="s">
        <v>81</v>
      </c>
      <c r="AE1003" s="279" t="s">
        <v>82</v>
      </c>
      <c r="AF1003" s="279" t="s">
        <v>83</v>
      </c>
      <c r="AG1003" s="279" t="s">
        <v>84</v>
      </c>
      <c r="AH1003" s="279" t="s">
        <v>85</v>
      </c>
      <c r="AI1003" s="198" t="s">
        <v>86</v>
      </c>
      <c r="AJ1003" s="274" t="s">
        <v>78</v>
      </c>
      <c r="AK1003"/>
    </row>
    <row r="1004" spans="1:37" ht="15.75" hidden="1" customHeight="1">
      <c r="A1004" s="198" t="s">
        <v>563</v>
      </c>
      <c r="B1004" s="198" t="s">
        <v>691</v>
      </c>
      <c r="C1004" s="214" t="s">
        <v>352</v>
      </c>
      <c r="D1004" s="198" t="s">
        <v>9</v>
      </c>
      <c r="E1004" s="198" t="s">
        <v>320</v>
      </c>
      <c r="F1004" s="198">
        <v>130.91999999999999</v>
      </c>
      <c r="G1004" s="198"/>
      <c r="H1004" s="214" t="s">
        <v>325</v>
      </c>
      <c r="I1004" s="214" t="s">
        <v>325</v>
      </c>
      <c r="J1004" s="271"/>
      <c r="K1004" s="198"/>
      <c r="L1004" s="198"/>
      <c r="M1004" s="198"/>
      <c r="N1004" s="198"/>
      <c r="O1004" s="198">
        <v>130.91999999999999</v>
      </c>
      <c r="P1004" s="198"/>
      <c r="Q1004" s="198" t="s">
        <v>628</v>
      </c>
      <c r="R1004" s="230">
        <f>DATABASE_Table[[#This Row],[Inicial Asking Price (€) (Total)]]-DATABASE_Table[[#This Row],[Vista membership]]-DATABASE_Table[[#This Row],[FF&amp;E]]</f>
        <v>725000</v>
      </c>
      <c r="S1004" s="231">
        <v>725000</v>
      </c>
      <c r="T1004" s="232">
        <v>725000</v>
      </c>
      <c r="U1004" s="198"/>
      <c r="V1004" s="198"/>
      <c r="W1004" s="233">
        <f>DATABASE_Table[[#This Row],[Current Asking price( Total)]]-DATABASE_Table[[#This Row],[Vista membership]]-DATABASE_Table[[#This Row],[FF&amp;E]]</f>
        <v>725000</v>
      </c>
      <c r="X1004" s="216">
        <v>4.8275862068965503E-2</v>
      </c>
      <c r="Y1004" s="232">
        <v>690000</v>
      </c>
      <c r="Z1004" s="233">
        <f>DATABASE_Table[[#This Row],[Sell price (Total)]]-DATABASE_Table[[#This Row],[FF&amp;E]]-DATABASE_Table[[#This Row],[Vista membership]]</f>
        <v>690000</v>
      </c>
      <c r="AA1004" s="316">
        <v>45866</v>
      </c>
      <c r="AB1004" s="321"/>
      <c r="AC1004" s="198" t="s">
        <v>10</v>
      </c>
      <c r="AD1004" s="198" t="s">
        <v>11</v>
      </c>
      <c r="AE1004" s="279" t="s">
        <v>28</v>
      </c>
      <c r="AF1004" s="279" t="s">
        <v>29</v>
      </c>
      <c r="AG1004" s="279" t="s">
        <v>805</v>
      </c>
      <c r="AH1004" s="279" t="s">
        <v>806</v>
      </c>
      <c r="AI1004" s="198" t="s">
        <v>30</v>
      </c>
      <c r="AJ1004" s="274" t="s">
        <v>27</v>
      </c>
      <c r="AK1004"/>
    </row>
    <row r="1005" spans="1:37" ht="15.75" hidden="1" customHeight="1">
      <c r="A1005" s="198" t="s">
        <v>562</v>
      </c>
      <c r="B1005" s="198" t="s">
        <v>691</v>
      </c>
      <c r="C1005" s="214" t="s">
        <v>352</v>
      </c>
      <c r="D1005" s="198" t="s">
        <v>9</v>
      </c>
      <c r="E1005" s="198" t="s">
        <v>319</v>
      </c>
      <c r="F1005" s="198">
        <v>117</v>
      </c>
      <c r="G1005" s="198"/>
      <c r="H1005" s="214" t="s">
        <v>325</v>
      </c>
      <c r="I1005" s="214" t="s">
        <v>325</v>
      </c>
      <c r="J1005" s="271"/>
      <c r="K1005" s="198"/>
      <c r="L1005" s="198"/>
      <c r="M1005" s="198"/>
      <c r="N1005" s="198"/>
      <c r="O1005" s="198">
        <v>117</v>
      </c>
      <c r="P1005" s="198"/>
      <c r="Q1005" s="198" t="s">
        <v>929</v>
      </c>
      <c r="R1005" s="230">
        <f>DATABASE_Table[[#This Row],[Inicial Asking Price (€) (Total)]]-DATABASE_Table[[#This Row],[Vista membership]]-DATABASE_Table[[#This Row],[FF&amp;E]]</f>
        <v>550000</v>
      </c>
      <c r="S1005" s="231">
        <v>550000</v>
      </c>
      <c r="T1005" s="232">
        <v>570000</v>
      </c>
      <c r="U1005" s="198"/>
      <c r="V1005" s="198"/>
      <c r="W1005" s="233">
        <f>DATABASE_Table[[#This Row],[Current Asking price( Total)]]-DATABASE_Table[[#This Row],[Vista membership]]-DATABASE_Table[[#This Row],[FF&amp;E]]</f>
        <v>570000</v>
      </c>
      <c r="X1005" s="216">
        <v>0</v>
      </c>
      <c r="Y1005" s="232">
        <v>570000</v>
      </c>
      <c r="Z1005" s="233">
        <f>DATABASE_Table[[#This Row],[Sell price (Total)]]-DATABASE_Table[[#This Row],[FF&amp;E]]-DATABASE_Table[[#This Row],[Vista membership]]</f>
        <v>570000</v>
      </c>
      <c r="AA1005" s="315">
        <v>45504</v>
      </c>
      <c r="AB1005" s="321"/>
      <c r="AC1005" s="198" t="s">
        <v>10</v>
      </c>
      <c r="AD1005" s="198" t="s">
        <v>23</v>
      </c>
      <c r="AE1005" s="279" t="s">
        <v>24</v>
      </c>
      <c r="AF1005" s="279" t="s">
        <v>803</v>
      </c>
      <c r="AG1005" s="279" t="s">
        <v>25</v>
      </c>
      <c r="AH1005" s="279" t="s">
        <v>804</v>
      </c>
      <c r="AI1005" s="198" t="s">
        <v>26</v>
      </c>
      <c r="AJ1005" s="274" t="s">
        <v>22</v>
      </c>
      <c r="AK1005"/>
    </row>
    <row r="1006" spans="1:37" ht="15.75" hidden="1" customHeight="1">
      <c r="A1006" s="198" t="s">
        <v>689</v>
      </c>
      <c r="B1006" s="198" t="s">
        <v>691</v>
      </c>
      <c r="C1006" s="214" t="s">
        <v>352</v>
      </c>
      <c r="D1006" s="198"/>
      <c r="E1006" s="198" t="s">
        <v>384</v>
      </c>
      <c r="F1006" s="198">
        <v>152.73410000000001</v>
      </c>
      <c r="G1006" s="198"/>
      <c r="H1006" s="214" t="s">
        <v>325</v>
      </c>
      <c r="I1006" s="214" t="s">
        <v>325</v>
      </c>
      <c r="J1006" s="271"/>
      <c r="K1006" s="198"/>
      <c r="L1006" s="198"/>
      <c r="M1006" s="198"/>
      <c r="N1006" s="198"/>
      <c r="O1006" s="198">
        <v>152.73410000000001</v>
      </c>
      <c r="P1006" s="198"/>
      <c r="Q1006" s="198" t="s">
        <v>929</v>
      </c>
      <c r="R1006" s="230">
        <f>DATABASE_Table[[#This Row],[Inicial Asking Price (€) (Total)]]-DATABASE_Table[[#This Row],[Vista membership]]-DATABASE_Table[[#This Row],[FF&amp;E]]</f>
        <v>989205</v>
      </c>
      <c r="S1006" s="231">
        <v>989205</v>
      </c>
      <c r="T1006" s="232">
        <v>995000</v>
      </c>
      <c r="U1006" s="198"/>
      <c r="V1006" s="198"/>
      <c r="W1006" s="233">
        <f>DATABASE_Table[[#This Row],[Current Asking price( Total)]]-DATABASE_Table[[#This Row],[Vista membership]]-DATABASE_Table[[#This Row],[FF&amp;E]]</f>
        <v>995000</v>
      </c>
      <c r="X1006" s="216">
        <v>1.11022302462516E-16</v>
      </c>
      <c r="Y1006" s="232">
        <v>995000</v>
      </c>
      <c r="Z1006" s="233">
        <f>DATABASE_Table[[#This Row],[Sell price (Total)]]-DATABASE_Table[[#This Row],[FF&amp;E]]-DATABASE_Table[[#This Row],[Vista membership]]</f>
        <v>995000</v>
      </c>
      <c r="AA1006" s="315">
        <v>45147</v>
      </c>
      <c r="AB1006" s="321"/>
      <c r="AC1006" s="198"/>
      <c r="AD1006" s="198"/>
      <c r="AE1006" s="279"/>
      <c r="AF1006" s="279"/>
      <c r="AG1006" s="279"/>
      <c r="AH1006" s="279"/>
      <c r="AI1006" s="198"/>
      <c r="AJ1006" s="274" t="s">
        <v>689</v>
      </c>
      <c r="AK1006"/>
    </row>
    <row r="1007" spans="1:37" ht="15.75" hidden="1" customHeight="1">
      <c r="A1007" s="198" t="s">
        <v>564</v>
      </c>
      <c r="B1007" s="198" t="s">
        <v>691</v>
      </c>
      <c r="C1007" s="214" t="s">
        <v>352</v>
      </c>
      <c r="D1007" s="198" t="s">
        <v>9</v>
      </c>
      <c r="E1007" s="198" t="s">
        <v>416</v>
      </c>
      <c r="F1007" s="198">
        <v>117.68</v>
      </c>
      <c r="G1007" s="198"/>
      <c r="H1007" s="214" t="s">
        <v>325</v>
      </c>
      <c r="I1007" s="214" t="s">
        <v>325</v>
      </c>
      <c r="J1007" s="271">
        <v>29</v>
      </c>
      <c r="K1007" s="198"/>
      <c r="L1007" s="198"/>
      <c r="M1007" s="198"/>
      <c r="N1007" s="198"/>
      <c r="O1007" s="198">
        <v>88.68</v>
      </c>
      <c r="P1007" s="198"/>
      <c r="Q1007" s="198" t="s">
        <v>329</v>
      </c>
      <c r="R1007" s="230">
        <f>DATABASE_Table[[#This Row],[Inicial Asking Price (€) (Total)]]-DATABASE_Table[[#This Row],[Vista membership]]-DATABASE_Table[[#This Row],[FF&amp;E]]</f>
        <v>667676.64</v>
      </c>
      <c r="S1007" s="231">
        <v>732276.64</v>
      </c>
      <c r="T1007" s="232">
        <v>800000</v>
      </c>
      <c r="U1007" s="198">
        <v>24600</v>
      </c>
      <c r="V1007" s="198">
        <v>40000</v>
      </c>
      <c r="W1007" s="233">
        <f>DATABASE_Table[[#This Row],[Current Asking price( Total)]]-DATABASE_Table[[#This Row],[Vista membership]]-DATABASE_Table[[#This Row],[FF&amp;E]]</f>
        <v>735400</v>
      </c>
      <c r="X1007" s="216"/>
      <c r="Y1007" s="232">
        <v>800000</v>
      </c>
      <c r="Z1007" s="233">
        <f>DATABASE_Table[[#This Row],[Sell price (Total)]]-DATABASE_Table[[#This Row],[FF&amp;E]]-DATABASE_Table[[#This Row],[Vista membership]]</f>
        <v>735400</v>
      </c>
      <c r="AA1007" s="315"/>
      <c r="AB1007" s="321"/>
      <c r="AC1007" s="198" t="s">
        <v>10</v>
      </c>
      <c r="AD1007" s="198" t="s">
        <v>35</v>
      </c>
      <c r="AE1007" s="279" t="s">
        <v>43</v>
      </c>
      <c r="AF1007" s="279" t="s">
        <v>44</v>
      </c>
      <c r="AG1007" s="279" t="s">
        <v>45</v>
      </c>
      <c r="AH1007" s="279" t="s">
        <v>46</v>
      </c>
      <c r="AI1007" s="198" t="s">
        <v>47</v>
      </c>
      <c r="AJ1007" s="274" t="s">
        <v>42</v>
      </c>
      <c r="AK1007"/>
    </row>
    <row r="1008" spans="1:37" ht="15.75" hidden="1" customHeight="1">
      <c r="A1008" s="198" t="s">
        <v>630</v>
      </c>
      <c r="B1008" s="198" t="s">
        <v>691</v>
      </c>
      <c r="C1008" s="214" t="s">
        <v>353</v>
      </c>
      <c r="D1008" s="198" t="s">
        <v>9</v>
      </c>
      <c r="E1008" s="198" t="s">
        <v>320</v>
      </c>
      <c r="F1008" s="198">
        <v>223.91</v>
      </c>
      <c r="G1008" s="198"/>
      <c r="H1008" s="214" t="s">
        <v>849</v>
      </c>
      <c r="I1008" s="214" t="s">
        <v>325</v>
      </c>
      <c r="J1008" s="271">
        <v>33.85</v>
      </c>
      <c r="K1008" s="198"/>
      <c r="L1008" s="198"/>
      <c r="M1008" s="198">
        <v>21.79</v>
      </c>
      <c r="N1008" s="198"/>
      <c r="O1008" s="198">
        <v>168.27</v>
      </c>
      <c r="P1008" s="198"/>
      <c r="Q1008" s="198" t="s">
        <v>329</v>
      </c>
      <c r="R1008" s="230">
        <f>DATABASE_Table[[#This Row],[Inicial Asking Price (€) (Total)]]-DATABASE_Table[[#This Row],[Vista membership]]-DATABASE_Table[[#This Row],[FF&amp;E]]</f>
        <v>1502029.62</v>
      </c>
      <c r="S1008" s="231">
        <v>1502029.62</v>
      </c>
      <c r="T1008" s="232">
        <v>1510000</v>
      </c>
      <c r="U1008" s="198"/>
      <c r="V1008" s="198"/>
      <c r="W1008" s="233">
        <f>DATABASE_Table[[#This Row],[Current Asking price( Total)]]-DATABASE_Table[[#This Row],[Vista membership]]-DATABASE_Table[[#This Row],[FF&amp;E]]</f>
        <v>1510000</v>
      </c>
      <c r="X1008" s="216"/>
      <c r="Y1008" s="232">
        <v>1510000</v>
      </c>
      <c r="Z1008" s="233">
        <f>DATABASE_Table[[#This Row],[Sell price (Total)]]-DATABASE_Table[[#This Row],[FF&amp;E]]-DATABASE_Table[[#This Row],[Vista membership]]</f>
        <v>1510000</v>
      </c>
      <c r="AA1008" s="315"/>
      <c r="AB1008" s="321"/>
      <c r="AC1008" s="198" t="s">
        <v>10</v>
      </c>
      <c r="AD1008" s="198" t="s">
        <v>11</v>
      </c>
      <c r="AE1008" s="279" t="s">
        <v>53</v>
      </c>
      <c r="AF1008" s="279" t="s">
        <v>54</v>
      </c>
      <c r="AG1008" s="279" t="s">
        <v>811</v>
      </c>
      <c r="AH1008" s="279" t="s">
        <v>812</v>
      </c>
      <c r="AI1008" s="198" t="s">
        <v>36</v>
      </c>
      <c r="AJ1008" s="274" t="s">
        <v>52</v>
      </c>
      <c r="AK1008"/>
    </row>
    <row r="1009" spans="1:37" ht="15.75" hidden="1" customHeight="1">
      <c r="A1009" s="198" t="s">
        <v>558</v>
      </c>
      <c r="B1009" s="198" t="s">
        <v>691</v>
      </c>
      <c r="C1009" s="214" t="s">
        <v>353</v>
      </c>
      <c r="D1009" s="198" t="s">
        <v>9</v>
      </c>
      <c r="E1009" s="198" t="s">
        <v>320</v>
      </c>
      <c r="F1009" s="198">
        <v>164.1</v>
      </c>
      <c r="G1009" s="198">
        <v>4.46</v>
      </c>
      <c r="H1009" s="214" t="s">
        <v>612</v>
      </c>
      <c r="I1009" s="214" t="s">
        <v>590</v>
      </c>
      <c r="J1009" s="271">
        <v>11.25</v>
      </c>
      <c r="K1009" s="198"/>
      <c r="L1009" s="198"/>
      <c r="M1009" s="198"/>
      <c r="N1009" s="198"/>
      <c r="O1009" s="198">
        <v>164.1</v>
      </c>
      <c r="P1009" s="198"/>
      <c r="Q1009" s="198" t="s">
        <v>329</v>
      </c>
      <c r="R1009" s="230">
        <f>DATABASE_Table[[#This Row],[Inicial Asking Price (€) (Total)]]-DATABASE_Table[[#This Row],[Vista membership]]-DATABASE_Table[[#This Row],[FF&amp;E]]</f>
        <v>1140000</v>
      </c>
      <c r="S1009" s="231">
        <v>1140000</v>
      </c>
      <c r="T1009" s="232">
        <v>1140000</v>
      </c>
      <c r="U1009" s="198"/>
      <c r="V1009" s="198"/>
      <c r="W1009" s="233">
        <f>DATABASE_Table[[#This Row],[Current Asking price( Total)]]-DATABASE_Table[[#This Row],[Vista membership]]-DATABASE_Table[[#This Row],[FF&amp;E]]</f>
        <v>1140000</v>
      </c>
      <c r="X1009" s="216"/>
      <c r="Y1009" s="232">
        <v>1140000</v>
      </c>
      <c r="Z1009" s="233">
        <f>DATABASE_Table[[#This Row],[Sell price (Total)]]-DATABASE_Table[[#This Row],[FF&amp;E]]-DATABASE_Table[[#This Row],[Vista membership]]</f>
        <v>1140000</v>
      </c>
      <c r="AA1009" s="315"/>
      <c r="AB1009" s="321"/>
      <c r="AC1009" s="198" t="s">
        <v>10</v>
      </c>
      <c r="AD1009" s="198" t="s">
        <v>11</v>
      </c>
      <c r="AE1009" s="279" t="s">
        <v>12</v>
      </c>
      <c r="AF1009" s="279" t="s">
        <v>801</v>
      </c>
      <c r="AG1009" s="279" t="s">
        <v>13</v>
      </c>
      <c r="AH1009" s="279" t="s">
        <v>14</v>
      </c>
      <c r="AI1009" s="198" t="s">
        <v>15</v>
      </c>
      <c r="AJ1009" s="274" t="s">
        <v>8</v>
      </c>
      <c r="AK1009"/>
    </row>
    <row r="1010" spans="1:37" ht="15.75" hidden="1" customHeight="1">
      <c r="A1010" s="198" t="s">
        <v>31</v>
      </c>
      <c r="B1010" s="198" t="s">
        <v>691</v>
      </c>
      <c r="C1010" s="214" t="s">
        <v>353</v>
      </c>
      <c r="D1010" s="198" t="s">
        <v>9</v>
      </c>
      <c r="E1010" s="198" t="s">
        <v>320</v>
      </c>
      <c r="F1010" s="198"/>
      <c r="G1010" s="198"/>
      <c r="H1010" s="214" t="s">
        <v>325</v>
      </c>
      <c r="I1010" s="214" t="s">
        <v>590</v>
      </c>
      <c r="J1010" s="271"/>
      <c r="K1010" s="198">
        <v>0</v>
      </c>
      <c r="L1010" s="198"/>
      <c r="M1010" s="198">
        <v>138</v>
      </c>
      <c r="N1010" s="198"/>
      <c r="O1010" s="198">
        <v>140</v>
      </c>
      <c r="P1010" s="198"/>
      <c r="Q1010" s="198" t="s">
        <v>326</v>
      </c>
      <c r="R1010" s="230">
        <f>DATABASE_Table[[#This Row],[Inicial Asking Price (€) (Total)]]-DATABASE_Table[[#This Row],[Vista membership]]-DATABASE_Table[[#This Row],[FF&amp;E]]</f>
        <v>930000</v>
      </c>
      <c r="S1010" s="232">
        <v>930000</v>
      </c>
      <c r="T1010" s="232">
        <v>930000</v>
      </c>
      <c r="U1010" s="198"/>
      <c r="V1010" s="198"/>
      <c r="W1010" s="233">
        <f>DATABASE_Table[[#This Row],[Current Asking price( Total)]]-DATABASE_Table[[#This Row],[Vista membership]]-DATABASE_Table[[#This Row],[FF&amp;E]]</f>
        <v>930000</v>
      </c>
      <c r="X1010" s="216">
        <v>0</v>
      </c>
      <c r="Y1010" s="232">
        <v>930000</v>
      </c>
      <c r="Z1010" s="233">
        <f>DATABASE_Table[[#This Row],[Sell price (Total)]]-DATABASE_Table[[#This Row],[FF&amp;E]]-DATABASE_Table[[#This Row],[Vista membership]]</f>
        <v>930000</v>
      </c>
      <c r="AA1010" s="315">
        <v>46115</v>
      </c>
      <c r="AB1010" s="321"/>
      <c r="AC1010" s="198" t="s">
        <v>10</v>
      </c>
      <c r="AD1010" s="198" t="s">
        <v>807</v>
      </c>
      <c r="AE1010" s="279" t="s">
        <v>32</v>
      </c>
      <c r="AF1010" s="279" t="s">
        <v>808</v>
      </c>
      <c r="AG1010" s="279" t="s">
        <v>33</v>
      </c>
      <c r="AH1010" s="279" t="s">
        <v>809</v>
      </c>
      <c r="AI1010" s="198" t="s">
        <v>15</v>
      </c>
      <c r="AJ1010" s="274" t="s">
        <v>31</v>
      </c>
      <c r="AK1010"/>
    </row>
    <row r="1011" spans="1:37" ht="15.75" hidden="1" customHeight="1">
      <c r="A1011" s="198" t="s">
        <v>690</v>
      </c>
      <c r="B1011" s="198" t="s">
        <v>691</v>
      </c>
      <c r="C1011" s="214" t="s">
        <v>353</v>
      </c>
      <c r="D1011" s="198" t="s">
        <v>9</v>
      </c>
      <c r="E1011" s="198" t="s">
        <v>763</v>
      </c>
      <c r="F1011" s="198">
        <v>296.95999999999998</v>
      </c>
      <c r="G1011" s="198">
        <v>113.29</v>
      </c>
      <c r="H1011" s="214" t="s">
        <v>325</v>
      </c>
      <c r="I1011" s="214" t="s">
        <v>325</v>
      </c>
      <c r="J1011" s="271">
        <v>18.66</v>
      </c>
      <c r="K1011" s="198"/>
      <c r="L1011" s="198"/>
      <c r="M1011" s="198"/>
      <c r="N1011" s="198"/>
      <c r="O1011" s="198">
        <v>165.01</v>
      </c>
      <c r="P1011" s="198"/>
      <c r="Q1011" s="198" t="s">
        <v>329</v>
      </c>
      <c r="R1011" s="230">
        <f>DATABASE_Table[[#This Row],[Inicial Asking Price (€) (Total)]]-DATABASE_Table[[#This Row],[Vista membership]]-DATABASE_Table[[#This Row],[FF&amp;E]]</f>
        <v>1752100</v>
      </c>
      <c r="S1011" s="231">
        <v>1841050</v>
      </c>
      <c r="T1011" s="232">
        <v>1930000</v>
      </c>
      <c r="U1011" s="198">
        <v>24600</v>
      </c>
      <c r="V1011" s="198">
        <v>64350</v>
      </c>
      <c r="W1011" s="233">
        <f>DATABASE_Table[[#This Row],[Current Asking price( Total)]]-DATABASE_Table[[#This Row],[Vista membership]]-DATABASE_Table[[#This Row],[FF&amp;E]]</f>
        <v>1841050</v>
      </c>
      <c r="X1011" s="216"/>
      <c r="Y1011" s="232">
        <v>1930000</v>
      </c>
      <c r="Z1011" s="233">
        <f>DATABASE_Table[[#This Row],[Sell price (Total)]]-DATABASE_Table[[#This Row],[FF&amp;E]]-DATABASE_Table[[#This Row],[Vista membership]]</f>
        <v>1841050</v>
      </c>
      <c r="AA1011" s="315"/>
      <c r="AB1011" s="321"/>
      <c r="AC1011" s="198" t="s">
        <v>10</v>
      </c>
      <c r="AD1011" s="198" t="s">
        <v>35</v>
      </c>
      <c r="AE1011" s="279" t="s">
        <v>38</v>
      </c>
      <c r="AF1011" s="279" t="s">
        <v>39</v>
      </c>
      <c r="AG1011" s="279" t="s">
        <v>40</v>
      </c>
      <c r="AH1011" s="279" t="s">
        <v>810</v>
      </c>
      <c r="AI1011" s="198" t="s">
        <v>41</v>
      </c>
      <c r="AJ1011" s="274" t="s">
        <v>37</v>
      </c>
      <c r="AK1011"/>
    </row>
    <row r="1012" spans="1:37" ht="15.75" hidden="1" customHeight="1">
      <c r="A1012" s="198" t="s">
        <v>777</v>
      </c>
      <c r="B1012" s="198" t="s">
        <v>769</v>
      </c>
      <c r="C1012" s="214" t="s">
        <v>855</v>
      </c>
      <c r="D1012" s="198" t="s">
        <v>74</v>
      </c>
      <c r="E1012" s="198" t="s">
        <v>553</v>
      </c>
      <c r="F1012" s="198">
        <v>500</v>
      </c>
      <c r="G1012" s="198"/>
      <c r="H1012" s="214" t="s">
        <v>325</v>
      </c>
      <c r="I1012" s="214" t="s">
        <v>325</v>
      </c>
      <c r="J1012" s="271"/>
      <c r="K1012" s="198"/>
      <c r="L1012" s="198"/>
      <c r="M1012" s="198"/>
      <c r="N1012" s="198"/>
      <c r="O1012" s="198">
        <v>500</v>
      </c>
      <c r="P1012" s="198"/>
      <c r="Q1012" s="198" t="s">
        <v>329</v>
      </c>
      <c r="R1012" s="230">
        <f>DATABASE_Table[[#This Row],[Inicial Asking Price (€) (Total)]]-DATABASE_Table[[#This Row],[Vista membership]]-DATABASE_Table[[#This Row],[FF&amp;E]]</f>
        <v>2355000</v>
      </c>
      <c r="S1012" s="234">
        <v>2355000</v>
      </c>
      <c r="T1012" s="235">
        <v>1680000</v>
      </c>
      <c r="U1012" s="198"/>
      <c r="V1012" s="198"/>
      <c r="W1012" s="233">
        <f>DATABASE_Table[[#This Row],[Current Asking price( Total)]]-DATABASE_Table[[#This Row],[Vista membership]]-DATABASE_Table[[#This Row],[FF&amp;E]]</f>
        <v>1680000</v>
      </c>
      <c r="X1012" s="236"/>
      <c r="Y1012" s="235"/>
      <c r="Z1012" s="233">
        <f>DATABASE_Table[[#This Row],[Sell price (Total)]]-DATABASE_Table[[#This Row],[FF&amp;E]]-DATABASE_Table[[#This Row],[Vista membership]]</f>
        <v>0</v>
      </c>
      <c r="AA1012" s="315"/>
      <c r="AB1012" s="321" t="s">
        <v>32</v>
      </c>
      <c r="AC1012" s="198" t="s">
        <v>57</v>
      </c>
      <c r="AD1012" s="198"/>
      <c r="AE1012" s="279" t="s">
        <v>75</v>
      </c>
      <c r="AF1012" s="279" t="s">
        <v>554</v>
      </c>
      <c r="AG1012" s="279" t="s">
        <v>76</v>
      </c>
      <c r="AH1012" s="279" t="s">
        <v>77</v>
      </c>
      <c r="AI1012" s="198" t="s">
        <v>32</v>
      </c>
      <c r="AJ1012" s="274" t="s">
        <v>73</v>
      </c>
      <c r="AK1012"/>
    </row>
    <row r="1013" spans="1:37" ht="15.75" hidden="1" customHeight="1">
      <c r="A1013" s="198" t="s">
        <v>563</v>
      </c>
      <c r="B1013" s="198" t="s">
        <v>691</v>
      </c>
      <c r="C1013" s="214" t="s">
        <v>353</v>
      </c>
      <c r="D1013" s="198" t="s">
        <v>9</v>
      </c>
      <c r="E1013" s="198" t="s">
        <v>319</v>
      </c>
      <c r="F1013" s="198">
        <v>104.7</v>
      </c>
      <c r="G1013" s="198"/>
      <c r="H1013" s="214" t="s">
        <v>325</v>
      </c>
      <c r="I1013" s="214" t="s">
        <v>325</v>
      </c>
      <c r="J1013" s="271"/>
      <c r="K1013" s="198"/>
      <c r="L1013" s="198"/>
      <c r="M1013" s="198"/>
      <c r="N1013" s="198"/>
      <c r="O1013" s="198">
        <v>104.7</v>
      </c>
      <c r="P1013" s="198"/>
      <c r="Q1013" s="198" t="s">
        <v>628</v>
      </c>
      <c r="R1013" s="230">
        <f>DATABASE_Table[[#This Row],[Inicial Asking Price (€) (Total)]]-DATABASE_Table[[#This Row],[Vista membership]]-DATABASE_Table[[#This Row],[FF&amp;E]]</f>
        <v>575000</v>
      </c>
      <c r="S1013" s="231">
        <v>575000</v>
      </c>
      <c r="T1013" s="232">
        <v>575000</v>
      </c>
      <c r="U1013" s="198"/>
      <c r="V1013" s="198"/>
      <c r="W1013" s="233">
        <f>DATABASE_Table[[#This Row],[Current Asking price( Total)]]-DATABASE_Table[[#This Row],[Vista membership]]-DATABASE_Table[[#This Row],[FF&amp;E]]</f>
        <v>575000</v>
      </c>
      <c r="X1013" s="216">
        <v>0</v>
      </c>
      <c r="Y1013" s="232">
        <v>575000</v>
      </c>
      <c r="Z1013" s="233">
        <f>DATABASE_Table[[#This Row],[Sell price (Total)]]-DATABASE_Table[[#This Row],[FF&amp;E]]-DATABASE_Table[[#This Row],[Vista membership]]</f>
        <v>575000</v>
      </c>
      <c r="AA1013" s="316">
        <v>45876</v>
      </c>
      <c r="AB1013" s="321"/>
      <c r="AC1013" s="198" t="s">
        <v>10</v>
      </c>
      <c r="AD1013" s="198" t="s">
        <v>11</v>
      </c>
      <c r="AE1013" s="279" t="s">
        <v>28</v>
      </c>
      <c r="AF1013" s="279" t="s">
        <v>29</v>
      </c>
      <c r="AG1013" s="279" t="s">
        <v>805</v>
      </c>
      <c r="AH1013" s="279" t="s">
        <v>806</v>
      </c>
      <c r="AI1013" s="198" t="s">
        <v>30</v>
      </c>
      <c r="AJ1013" s="274" t="s">
        <v>27</v>
      </c>
      <c r="AK1013"/>
    </row>
    <row r="1014" spans="1:37" ht="15.75" hidden="1" customHeight="1">
      <c r="A1014" s="198" t="s">
        <v>776</v>
      </c>
      <c r="B1014" s="198" t="s">
        <v>769</v>
      </c>
      <c r="C1014" s="214" t="s">
        <v>835</v>
      </c>
      <c r="D1014" s="198" t="s">
        <v>74</v>
      </c>
      <c r="E1014" s="198" t="s">
        <v>553</v>
      </c>
      <c r="F1014" s="198">
        <v>700</v>
      </c>
      <c r="G1014" s="198"/>
      <c r="H1014" s="214" t="s">
        <v>325</v>
      </c>
      <c r="I1014" s="214" t="s">
        <v>325</v>
      </c>
      <c r="J1014" s="271"/>
      <c r="K1014" s="198"/>
      <c r="L1014" s="198"/>
      <c r="M1014" s="198"/>
      <c r="N1014" s="198"/>
      <c r="O1014" s="198">
        <v>700</v>
      </c>
      <c r="P1014" s="198"/>
      <c r="Q1014" s="198" t="s">
        <v>329</v>
      </c>
      <c r="R1014" s="230">
        <f>DATABASE_Table[[#This Row],[Inicial Asking Price (€) (Total)]]-DATABASE_Table[[#This Row],[Vista membership]]-DATABASE_Table[[#This Row],[FF&amp;E]]</f>
        <v>2375000</v>
      </c>
      <c r="S1014" s="234">
        <v>2375000</v>
      </c>
      <c r="T1014" s="235">
        <v>1710000</v>
      </c>
      <c r="U1014" s="198"/>
      <c r="V1014" s="198"/>
      <c r="W1014" s="233">
        <f>DATABASE_Table[[#This Row],[Current Asking price( Total)]]-DATABASE_Table[[#This Row],[Vista membership]]-DATABASE_Table[[#This Row],[FF&amp;E]]</f>
        <v>1710000</v>
      </c>
      <c r="X1014" s="236"/>
      <c r="Y1014" s="235"/>
      <c r="Z1014" s="233">
        <f>DATABASE_Table[[#This Row],[Sell price (Total)]]-DATABASE_Table[[#This Row],[FF&amp;E]]-DATABASE_Table[[#This Row],[Vista membership]]</f>
        <v>0</v>
      </c>
      <c r="AA1014" s="315"/>
      <c r="AB1014" s="321" t="s">
        <v>32</v>
      </c>
      <c r="AC1014" s="198" t="s">
        <v>57</v>
      </c>
      <c r="AD1014" s="198"/>
      <c r="AE1014" s="279" t="s">
        <v>75</v>
      </c>
      <c r="AF1014" s="279" t="s">
        <v>554</v>
      </c>
      <c r="AG1014" s="279" t="s">
        <v>76</v>
      </c>
      <c r="AH1014" s="279" t="s">
        <v>77</v>
      </c>
      <c r="AI1014" s="198" t="s">
        <v>32</v>
      </c>
      <c r="AJ1014" s="274" t="s">
        <v>73</v>
      </c>
      <c r="AK1014"/>
    </row>
    <row r="1015" spans="1:37" ht="15.75" hidden="1" customHeight="1">
      <c r="A1015" s="198" t="s">
        <v>562</v>
      </c>
      <c r="B1015" s="198" t="s">
        <v>691</v>
      </c>
      <c r="C1015" s="214" t="s">
        <v>353</v>
      </c>
      <c r="D1015" s="198" t="s">
        <v>9</v>
      </c>
      <c r="E1015" s="198" t="s">
        <v>319</v>
      </c>
      <c r="F1015" s="198">
        <v>117</v>
      </c>
      <c r="G1015" s="198"/>
      <c r="H1015" s="214" t="s">
        <v>325</v>
      </c>
      <c r="I1015" s="214" t="s">
        <v>325</v>
      </c>
      <c r="J1015" s="271"/>
      <c r="K1015" s="198"/>
      <c r="L1015" s="198"/>
      <c r="M1015" s="198"/>
      <c r="N1015" s="198"/>
      <c r="O1015" s="198">
        <v>117</v>
      </c>
      <c r="P1015" s="198"/>
      <c r="Q1015" s="198" t="s">
        <v>929</v>
      </c>
      <c r="R1015" s="230">
        <f>DATABASE_Table[[#This Row],[Inicial Asking Price (€) (Total)]]-DATABASE_Table[[#This Row],[Vista membership]]-DATABASE_Table[[#This Row],[FF&amp;E]]</f>
        <v>550000</v>
      </c>
      <c r="S1015" s="231">
        <v>550000</v>
      </c>
      <c r="T1015" s="232">
        <v>570000</v>
      </c>
      <c r="U1015" s="198"/>
      <c r="V1015" s="198"/>
      <c r="W1015" s="233">
        <f>DATABASE_Table[[#This Row],[Current Asking price( Total)]]-DATABASE_Table[[#This Row],[Vista membership]]-DATABASE_Table[[#This Row],[FF&amp;E]]</f>
        <v>570000</v>
      </c>
      <c r="X1015" s="216">
        <v>0</v>
      </c>
      <c r="Y1015" s="232">
        <v>570000</v>
      </c>
      <c r="Z1015" s="233">
        <f>DATABASE_Table[[#This Row],[Sell price (Total)]]-DATABASE_Table[[#This Row],[FF&amp;E]]-DATABASE_Table[[#This Row],[Vista membership]]</f>
        <v>570000</v>
      </c>
      <c r="AA1015" s="315">
        <v>45420</v>
      </c>
      <c r="AB1015" s="321"/>
      <c r="AC1015" s="198" t="s">
        <v>10</v>
      </c>
      <c r="AD1015" s="198" t="s">
        <v>23</v>
      </c>
      <c r="AE1015" s="279" t="s">
        <v>24</v>
      </c>
      <c r="AF1015" s="279" t="s">
        <v>803</v>
      </c>
      <c r="AG1015" s="279" t="s">
        <v>25</v>
      </c>
      <c r="AH1015" s="279" t="s">
        <v>804</v>
      </c>
      <c r="AI1015" s="198" t="s">
        <v>26</v>
      </c>
      <c r="AJ1015" s="274" t="s">
        <v>22</v>
      </c>
      <c r="AK1015"/>
    </row>
    <row r="1016" spans="1:37" ht="15.75" hidden="1" customHeight="1">
      <c r="A1016" s="198" t="s">
        <v>689</v>
      </c>
      <c r="B1016" s="198" t="s">
        <v>691</v>
      </c>
      <c r="C1016" s="214" t="s">
        <v>353</v>
      </c>
      <c r="D1016" s="198"/>
      <c r="E1016" s="198" t="s">
        <v>384</v>
      </c>
      <c r="F1016" s="198">
        <v>152.87280000000001</v>
      </c>
      <c r="G1016" s="198"/>
      <c r="H1016" s="214" t="s">
        <v>325</v>
      </c>
      <c r="I1016" s="214" t="s">
        <v>325</v>
      </c>
      <c r="J1016" s="271"/>
      <c r="K1016" s="198"/>
      <c r="L1016" s="198"/>
      <c r="M1016" s="198"/>
      <c r="N1016" s="198"/>
      <c r="O1016" s="198">
        <v>152.87280000000001</v>
      </c>
      <c r="P1016" s="198"/>
      <c r="Q1016" s="198" t="s">
        <v>929</v>
      </c>
      <c r="R1016" s="230">
        <f>DATABASE_Table[[#This Row],[Inicial Asking Price (€) (Total)]]-DATABASE_Table[[#This Row],[Vista membership]]-DATABASE_Table[[#This Row],[FF&amp;E]]</f>
        <v>894995</v>
      </c>
      <c r="S1016" s="231">
        <v>894995</v>
      </c>
      <c r="T1016" s="232">
        <v>960000</v>
      </c>
      <c r="U1016" s="198"/>
      <c r="V1016" s="198"/>
      <c r="W1016" s="233">
        <f>DATABASE_Table[[#This Row],[Current Asking price( Total)]]-DATABASE_Table[[#This Row],[Vista membership]]-DATABASE_Table[[#This Row],[FF&amp;E]]</f>
        <v>960000</v>
      </c>
      <c r="X1016" s="216">
        <v>0</v>
      </c>
      <c r="Y1016" s="232">
        <v>960000</v>
      </c>
      <c r="Z1016" s="233">
        <f>DATABASE_Table[[#This Row],[Sell price (Total)]]-DATABASE_Table[[#This Row],[FF&amp;E]]-DATABASE_Table[[#This Row],[Vista membership]]</f>
        <v>960000</v>
      </c>
      <c r="AA1016" s="315">
        <v>44756</v>
      </c>
      <c r="AB1016" s="321"/>
      <c r="AC1016" s="198"/>
      <c r="AD1016" s="198"/>
      <c r="AE1016" s="279"/>
      <c r="AF1016" s="279"/>
      <c r="AG1016" s="279"/>
      <c r="AH1016" s="279"/>
      <c r="AI1016" s="198"/>
      <c r="AJ1016" s="274" t="s">
        <v>689</v>
      </c>
      <c r="AK1016"/>
    </row>
    <row r="1017" spans="1:37" ht="15.75" hidden="1" customHeight="1">
      <c r="A1017" s="198" t="s">
        <v>564</v>
      </c>
      <c r="B1017" s="198" t="s">
        <v>691</v>
      </c>
      <c r="C1017" s="214" t="s">
        <v>353</v>
      </c>
      <c r="D1017" s="198" t="s">
        <v>9</v>
      </c>
      <c r="E1017" s="198" t="s">
        <v>416</v>
      </c>
      <c r="F1017" s="198">
        <v>116.76</v>
      </c>
      <c r="G1017" s="198"/>
      <c r="H1017" s="214" t="s">
        <v>325</v>
      </c>
      <c r="I1017" s="214" t="s">
        <v>325</v>
      </c>
      <c r="J1017" s="271">
        <v>28.58</v>
      </c>
      <c r="K1017" s="198"/>
      <c r="L1017" s="198"/>
      <c r="M1017" s="198"/>
      <c r="N1017" s="198"/>
      <c r="O1017" s="198">
        <v>88.18</v>
      </c>
      <c r="P1017" s="198"/>
      <c r="Q1017" s="198" t="s">
        <v>628</v>
      </c>
      <c r="R1017" s="230">
        <f>DATABASE_Table[[#This Row],[Inicial Asking Price (€) (Total)]]-DATABASE_Table[[#This Row],[Vista membership]]-DATABASE_Table[[#This Row],[FF&amp;E]]</f>
        <v>663281.04</v>
      </c>
      <c r="S1017" s="231">
        <v>727881.04</v>
      </c>
      <c r="T1017" s="232">
        <v>780000</v>
      </c>
      <c r="U1017" s="198">
        <v>24600</v>
      </c>
      <c r="V1017" s="198">
        <v>40000</v>
      </c>
      <c r="W1017" s="233">
        <f>DATABASE_Table[[#This Row],[Current Asking price( Total)]]-DATABASE_Table[[#This Row],[Vista membership]]-DATABASE_Table[[#This Row],[FF&amp;E]]</f>
        <v>715400</v>
      </c>
      <c r="X1017" s="216">
        <v>0</v>
      </c>
      <c r="Y1017" s="232">
        <v>780000</v>
      </c>
      <c r="Z1017" s="233">
        <f>DATABASE_Table[[#This Row],[Sell price (Total)]]-DATABASE_Table[[#This Row],[FF&amp;E]]-DATABASE_Table[[#This Row],[Vista membership]]</f>
        <v>715400</v>
      </c>
      <c r="AA1017" s="316">
        <v>46120</v>
      </c>
      <c r="AB1017" s="321"/>
      <c r="AC1017" s="198" t="s">
        <v>10</v>
      </c>
      <c r="AD1017" s="198" t="s">
        <v>35</v>
      </c>
      <c r="AE1017" s="279" t="s">
        <v>43</v>
      </c>
      <c r="AF1017" s="279" t="s">
        <v>44</v>
      </c>
      <c r="AG1017" s="279" t="s">
        <v>45</v>
      </c>
      <c r="AH1017" s="279" t="s">
        <v>46</v>
      </c>
      <c r="AI1017" s="198" t="s">
        <v>47</v>
      </c>
      <c r="AJ1017" s="274" t="s">
        <v>42</v>
      </c>
      <c r="AK1017"/>
    </row>
    <row r="1018" spans="1:37" ht="15.75" hidden="1" customHeight="1">
      <c r="A1018" s="198" t="s">
        <v>630</v>
      </c>
      <c r="B1018" s="198" t="s">
        <v>691</v>
      </c>
      <c r="C1018" s="214" t="s">
        <v>354</v>
      </c>
      <c r="D1018" s="198" t="s">
        <v>9</v>
      </c>
      <c r="E1018" s="198" t="s">
        <v>319</v>
      </c>
      <c r="F1018" s="198">
        <v>146.33000000000001</v>
      </c>
      <c r="G1018" s="198"/>
      <c r="H1018" s="214" t="s">
        <v>849</v>
      </c>
      <c r="I1018" s="214" t="s">
        <v>325</v>
      </c>
      <c r="J1018" s="271">
        <v>13.97</v>
      </c>
      <c r="K1018" s="198"/>
      <c r="L1018" s="198"/>
      <c r="M1018" s="198">
        <v>14.42</v>
      </c>
      <c r="N1018" s="198"/>
      <c r="O1018" s="198">
        <v>117.94</v>
      </c>
      <c r="P1018" s="198"/>
      <c r="Q1018" s="198" t="s">
        <v>327</v>
      </c>
      <c r="R1018" s="230">
        <f>DATABASE_Table[[#This Row],[Inicial Asking Price (€) (Total)]]-DATABASE_Table[[#This Row],[Vista membership]]-DATABASE_Table[[#This Row],[FF&amp;E]]</f>
        <v>901385.49600000004</v>
      </c>
      <c r="S1018" s="231">
        <v>901385.49600000004</v>
      </c>
      <c r="T1018" s="232">
        <v>910000</v>
      </c>
      <c r="U1018" s="198"/>
      <c r="V1018" s="198"/>
      <c r="W1018" s="233">
        <f>DATABASE_Table[[#This Row],[Current Asking price( Total)]]-DATABASE_Table[[#This Row],[Vista membership]]-DATABASE_Table[[#This Row],[FF&amp;E]]</f>
        <v>910000</v>
      </c>
      <c r="X1018" s="216">
        <v>0</v>
      </c>
      <c r="Y1018" s="232">
        <v>910000</v>
      </c>
      <c r="Z1018" s="233">
        <f>DATABASE_Table[[#This Row],[Sell price (Total)]]-DATABASE_Table[[#This Row],[FF&amp;E]]-DATABASE_Table[[#This Row],[Vista membership]]</f>
        <v>910000</v>
      </c>
      <c r="AA1018" s="315"/>
      <c r="AB1018" s="321"/>
      <c r="AC1018" s="198" t="s">
        <v>10</v>
      </c>
      <c r="AD1018" s="198" t="s">
        <v>11</v>
      </c>
      <c r="AE1018" s="279" t="s">
        <v>53</v>
      </c>
      <c r="AF1018" s="279" t="s">
        <v>54</v>
      </c>
      <c r="AG1018" s="279" t="s">
        <v>811</v>
      </c>
      <c r="AH1018" s="279" t="s">
        <v>812</v>
      </c>
      <c r="AI1018" s="198" t="s">
        <v>36</v>
      </c>
      <c r="AJ1018" s="274" t="s">
        <v>52</v>
      </c>
      <c r="AK1018"/>
    </row>
    <row r="1019" spans="1:37" ht="15.75" hidden="1" customHeight="1">
      <c r="A1019" s="198" t="s">
        <v>776</v>
      </c>
      <c r="B1019" s="198" t="s">
        <v>769</v>
      </c>
      <c r="C1019" s="214" t="s">
        <v>852</v>
      </c>
      <c r="D1019" s="198" t="s">
        <v>74</v>
      </c>
      <c r="E1019" s="198" t="s">
        <v>553</v>
      </c>
      <c r="F1019" s="198">
        <v>500</v>
      </c>
      <c r="G1019" s="198"/>
      <c r="H1019" s="214" t="s">
        <v>325</v>
      </c>
      <c r="I1019" s="214" t="s">
        <v>325</v>
      </c>
      <c r="J1019" s="271"/>
      <c r="K1019" s="198"/>
      <c r="L1019" s="198"/>
      <c r="M1019" s="198"/>
      <c r="N1019" s="198"/>
      <c r="O1019" s="198">
        <v>500</v>
      </c>
      <c r="P1019" s="198"/>
      <c r="Q1019" s="198" t="s">
        <v>329</v>
      </c>
      <c r="R1019" s="230">
        <f>DATABASE_Table[[#This Row],[Inicial Asking Price (€) (Total)]]-DATABASE_Table[[#This Row],[Vista membership]]-DATABASE_Table[[#This Row],[FF&amp;E]]</f>
        <v>2525000</v>
      </c>
      <c r="S1019" s="234">
        <v>2525000</v>
      </c>
      <c r="T1019" s="235">
        <v>1560000</v>
      </c>
      <c r="U1019" s="198"/>
      <c r="V1019" s="198"/>
      <c r="W1019" s="233">
        <f>DATABASE_Table[[#This Row],[Current Asking price( Total)]]-DATABASE_Table[[#This Row],[Vista membership]]-DATABASE_Table[[#This Row],[FF&amp;E]]</f>
        <v>1560000</v>
      </c>
      <c r="X1019" s="236"/>
      <c r="Y1019" s="235"/>
      <c r="Z1019" s="233">
        <f>DATABASE_Table[[#This Row],[Sell price (Total)]]-DATABASE_Table[[#This Row],[FF&amp;E]]-DATABASE_Table[[#This Row],[Vista membership]]</f>
        <v>0</v>
      </c>
      <c r="AA1019" s="315"/>
      <c r="AB1019" s="321" t="s">
        <v>32</v>
      </c>
      <c r="AC1019" s="198" t="s">
        <v>57</v>
      </c>
      <c r="AD1019" s="198"/>
      <c r="AE1019" s="279" t="s">
        <v>75</v>
      </c>
      <c r="AF1019" s="279" t="s">
        <v>554</v>
      </c>
      <c r="AG1019" s="279" t="s">
        <v>76</v>
      </c>
      <c r="AH1019" s="279" t="s">
        <v>77</v>
      </c>
      <c r="AI1019" s="198" t="s">
        <v>32</v>
      </c>
      <c r="AJ1019" s="274" t="s">
        <v>73</v>
      </c>
      <c r="AK1019"/>
    </row>
    <row r="1020" spans="1:37" ht="15.75" hidden="1" customHeight="1">
      <c r="A1020" s="198" t="s">
        <v>779</v>
      </c>
      <c r="B1020" s="198" t="s">
        <v>786</v>
      </c>
      <c r="C1020" s="214" t="s">
        <v>213</v>
      </c>
      <c r="D1020" s="198" t="s">
        <v>79</v>
      </c>
      <c r="E1020" s="198" t="s">
        <v>316</v>
      </c>
      <c r="F1020" s="198">
        <v>72.5</v>
      </c>
      <c r="G1020" s="198"/>
      <c r="H1020" s="214" t="s">
        <v>848</v>
      </c>
      <c r="I1020" s="214" t="s">
        <v>325</v>
      </c>
      <c r="J1020" s="271">
        <v>12</v>
      </c>
      <c r="K1020" s="198"/>
      <c r="L1020" s="198"/>
      <c r="M1020" s="198"/>
      <c r="N1020" s="198"/>
      <c r="O1020" s="198">
        <v>60.5</v>
      </c>
      <c r="P1020" s="198"/>
      <c r="Q1020" s="198" t="s">
        <v>628</v>
      </c>
      <c r="R1020" s="230">
        <f>DATABASE_Table[[#This Row],[Inicial Asking Price (€) (Total)]]-DATABASE_Table[[#This Row],[Vista membership]]-DATABASE_Table[[#This Row],[FF&amp;E]]</f>
        <v>465000</v>
      </c>
      <c r="S1020" s="234">
        <v>500000</v>
      </c>
      <c r="T1020" s="235">
        <v>500000</v>
      </c>
      <c r="U1020" s="198"/>
      <c r="V1020" s="235">
        <v>35000</v>
      </c>
      <c r="W1020" s="233">
        <f>DATABASE_Table[[#This Row],[Current Asking price( Total)]]-DATABASE_Table[[#This Row],[Vista membership]]-DATABASE_Table[[#This Row],[FF&amp;E]]</f>
        <v>465000</v>
      </c>
      <c r="X1020" s="236">
        <v>0</v>
      </c>
      <c r="Y1020" s="235">
        <v>500000</v>
      </c>
      <c r="Z1020" s="233">
        <f>DATABASE_Table[[#This Row],[Sell price (Total)]]-DATABASE_Table[[#This Row],[FF&amp;E]]-DATABASE_Table[[#This Row],[Vista membership]]</f>
        <v>465000</v>
      </c>
      <c r="AA1020" s="316">
        <v>46056</v>
      </c>
      <c r="AB1020" s="321">
        <v>47118</v>
      </c>
      <c r="AC1020" s="198" t="s">
        <v>80</v>
      </c>
      <c r="AD1020" s="198" t="s">
        <v>81</v>
      </c>
      <c r="AE1020" s="279" t="s">
        <v>82</v>
      </c>
      <c r="AF1020" s="279" t="s">
        <v>83</v>
      </c>
      <c r="AG1020" s="279" t="s">
        <v>84</v>
      </c>
      <c r="AH1020" s="279" t="s">
        <v>85</v>
      </c>
      <c r="AI1020" s="198" t="s">
        <v>86</v>
      </c>
      <c r="AJ1020" s="274" t="s">
        <v>78</v>
      </c>
      <c r="AK1020"/>
    </row>
    <row r="1021" spans="1:37" ht="15.75" hidden="1" customHeight="1">
      <c r="A1021" s="198" t="s">
        <v>782</v>
      </c>
      <c r="B1021" s="198" t="s">
        <v>786</v>
      </c>
      <c r="C1021" s="214" t="s">
        <v>297</v>
      </c>
      <c r="D1021" s="198" t="s">
        <v>79</v>
      </c>
      <c r="E1021" s="198" t="s">
        <v>321</v>
      </c>
      <c r="F1021" s="198">
        <v>553</v>
      </c>
      <c r="G1021" s="198"/>
      <c r="H1021" s="214" t="s">
        <v>849</v>
      </c>
      <c r="I1021" s="214" t="s">
        <v>848</v>
      </c>
      <c r="J1021" s="271"/>
      <c r="K1021" s="198"/>
      <c r="L1021" s="198"/>
      <c r="M1021" s="198">
        <v>193</v>
      </c>
      <c r="N1021" s="198">
        <v>65</v>
      </c>
      <c r="O1021" s="198">
        <v>295</v>
      </c>
      <c r="P1021" s="198"/>
      <c r="Q1021" s="198" t="s">
        <v>329</v>
      </c>
      <c r="R1021" s="230">
        <f>DATABASE_Table[[#This Row],[Inicial Asking Price (€) (Total)]]-DATABASE_Table[[#This Row],[Vista membership]]-DATABASE_Table[[#This Row],[FF&amp;E]]</f>
        <v>2500000</v>
      </c>
      <c r="S1021" s="234">
        <v>2570000</v>
      </c>
      <c r="T1021" s="235">
        <v>2570000</v>
      </c>
      <c r="U1021" s="198"/>
      <c r="V1021" s="235">
        <v>70000</v>
      </c>
      <c r="W1021" s="233">
        <f>DATABASE_Table[[#This Row],[Current Asking price( Total)]]-DATABASE_Table[[#This Row],[Vista membership]]-DATABASE_Table[[#This Row],[FF&amp;E]]</f>
        <v>2500000</v>
      </c>
      <c r="X1021" s="236"/>
      <c r="Y1021" s="235"/>
      <c r="Z1021" s="233">
        <f>DATABASE_Table[[#This Row],[Sell price (Total)]]-DATABASE_Table[[#This Row],[FF&amp;E]]-DATABASE_Table[[#This Row],[Vista membership]]</f>
        <v>-70000</v>
      </c>
      <c r="AA1021" s="315"/>
      <c r="AB1021" s="321">
        <v>47118</v>
      </c>
      <c r="AC1021" s="198" t="s">
        <v>80</v>
      </c>
      <c r="AD1021" s="198" t="s">
        <v>81</v>
      </c>
      <c r="AE1021" s="279" t="s">
        <v>82</v>
      </c>
      <c r="AF1021" s="279" t="s">
        <v>83</v>
      </c>
      <c r="AG1021" s="279" t="s">
        <v>84</v>
      </c>
      <c r="AH1021" s="279" t="s">
        <v>85</v>
      </c>
      <c r="AI1021" s="198" t="s">
        <v>86</v>
      </c>
      <c r="AJ1021" s="274" t="s">
        <v>78</v>
      </c>
      <c r="AK1021"/>
    </row>
    <row r="1022" spans="1:37" ht="15.75" hidden="1" customHeight="1">
      <c r="A1022" s="198" t="s">
        <v>782</v>
      </c>
      <c r="B1022" s="198" t="s">
        <v>786</v>
      </c>
      <c r="C1022" s="214" t="s">
        <v>298</v>
      </c>
      <c r="D1022" s="198" t="s">
        <v>79</v>
      </c>
      <c r="E1022" s="198" t="s">
        <v>321</v>
      </c>
      <c r="F1022" s="198">
        <v>553</v>
      </c>
      <c r="G1022" s="198"/>
      <c r="H1022" s="214" t="s">
        <v>849</v>
      </c>
      <c r="I1022" s="214" t="s">
        <v>848</v>
      </c>
      <c r="J1022" s="271"/>
      <c r="K1022" s="198"/>
      <c r="L1022" s="198"/>
      <c r="M1022" s="198">
        <v>193</v>
      </c>
      <c r="N1022" s="198">
        <v>65</v>
      </c>
      <c r="O1022" s="198">
        <v>295</v>
      </c>
      <c r="P1022" s="198"/>
      <c r="Q1022" s="198" t="s">
        <v>329</v>
      </c>
      <c r="R1022" s="230">
        <f>DATABASE_Table[[#This Row],[Inicial Asking Price (€) (Total)]]-DATABASE_Table[[#This Row],[Vista membership]]-DATABASE_Table[[#This Row],[FF&amp;E]]</f>
        <v>2500000</v>
      </c>
      <c r="S1022" s="234">
        <v>2570000</v>
      </c>
      <c r="T1022" s="235">
        <v>2600000</v>
      </c>
      <c r="U1022" s="198"/>
      <c r="V1022" s="235">
        <v>70000</v>
      </c>
      <c r="W1022" s="233">
        <f>DATABASE_Table[[#This Row],[Current Asking price( Total)]]-DATABASE_Table[[#This Row],[Vista membership]]-DATABASE_Table[[#This Row],[FF&amp;E]]</f>
        <v>2530000</v>
      </c>
      <c r="X1022" s="236"/>
      <c r="Y1022" s="235"/>
      <c r="Z1022" s="233">
        <f>DATABASE_Table[[#This Row],[Sell price (Total)]]-DATABASE_Table[[#This Row],[FF&amp;E]]-DATABASE_Table[[#This Row],[Vista membership]]</f>
        <v>-70000</v>
      </c>
      <c r="AA1022" s="315"/>
      <c r="AB1022" s="321">
        <v>47118</v>
      </c>
      <c r="AC1022" s="198" t="s">
        <v>80</v>
      </c>
      <c r="AD1022" s="198" t="s">
        <v>81</v>
      </c>
      <c r="AE1022" s="279" t="s">
        <v>82</v>
      </c>
      <c r="AF1022" s="279" t="s">
        <v>83</v>
      </c>
      <c r="AG1022" s="279" t="s">
        <v>84</v>
      </c>
      <c r="AH1022" s="279" t="s">
        <v>85</v>
      </c>
      <c r="AI1022" s="198" t="s">
        <v>86</v>
      </c>
      <c r="AJ1022" s="274" t="s">
        <v>78</v>
      </c>
      <c r="AK1022"/>
    </row>
    <row r="1023" spans="1:37" ht="15.75" hidden="1" customHeight="1">
      <c r="A1023" s="198" t="s">
        <v>782</v>
      </c>
      <c r="B1023" s="198" t="s">
        <v>786</v>
      </c>
      <c r="C1023" s="214" t="s">
        <v>299</v>
      </c>
      <c r="D1023" s="198" t="s">
        <v>79</v>
      </c>
      <c r="E1023" s="198" t="s">
        <v>321</v>
      </c>
      <c r="F1023" s="198">
        <v>554</v>
      </c>
      <c r="G1023" s="198"/>
      <c r="H1023" s="214" t="s">
        <v>849</v>
      </c>
      <c r="I1023" s="214" t="s">
        <v>848</v>
      </c>
      <c r="J1023" s="271"/>
      <c r="K1023" s="198"/>
      <c r="L1023" s="198"/>
      <c r="M1023" s="198">
        <v>193</v>
      </c>
      <c r="N1023" s="198">
        <v>65</v>
      </c>
      <c r="O1023" s="198">
        <v>296</v>
      </c>
      <c r="P1023" s="198"/>
      <c r="Q1023" s="198" t="s">
        <v>329</v>
      </c>
      <c r="R1023" s="230">
        <f>DATABASE_Table[[#This Row],[Inicial Asking Price (€) (Total)]]-DATABASE_Table[[#This Row],[Vista membership]]-DATABASE_Table[[#This Row],[FF&amp;E]]</f>
        <v>2500000</v>
      </c>
      <c r="S1023" s="234">
        <v>2570000</v>
      </c>
      <c r="T1023" s="235">
        <v>2600000</v>
      </c>
      <c r="U1023" s="198"/>
      <c r="V1023" s="235">
        <v>70000</v>
      </c>
      <c r="W1023" s="233">
        <f>DATABASE_Table[[#This Row],[Current Asking price( Total)]]-DATABASE_Table[[#This Row],[Vista membership]]-DATABASE_Table[[#This Row],[FF&amp;E]]</f>
        <v>2530000</v>
      </c>
      <c r="X1023" s="236"/>
      <c r="Y1023" s="235"/>
      <c r="Z1023" s="233">
        <f>DATABASE_Table[[#This Row],[Sell price (Total)]]-DATABASE_Table[[#This Row],[FF&amp;E]]-DATABASE_Table[[#This Row],[Vista membership]]</f>
        <v>-70000</v>
      </c>
      <c r="AA1023" s="315"/>
      <c r="AB1023" s="321">
        <v>47118</v>
      </c>
      <c r="AC1023" s="198" t="s">
        <v>80</v>
      </c>
      <c r="AD1023" s="198" t="s">
        <v>81</v>
      </c>
      <c r="AE1023" s="279" t="s">
        <v>82</v>
      </c>
      <c r="AF1023" s="279" t="s">
        <v>83</v>
      </c>
      <c r="AG1023" s="279" t="s">
        <v>84</v>
      </c>
      <c r="AH1023" s="279" t="s">
        <v>85</v>
      </c>
      <c r="AI1023" s="198" t="s">
        <v>86</v>
      </c>
      <c r="AJ1023" s="274" t="s">
        <v>78</v>
      </c>
      <c r="AK1023"/>
    </row>
    <row r="1024" spans="1:37" ht="15.75" hidden="1" customHeight="1">
      <c r="A1024" s="198" t="s">
        <v>558</v>
      </c>
      <c r="B1024" s="198" t="s">
        <v>691</v>
      </c>
      <c r="C1024" s="214" t="s">
        <v>354</v>
      </c>
      <c r="D1024" s="198" t="s">
        <v>9</v>
      </c>
      <c r="E1024" s="198" t="s">
        <v>320</v>
      </c>
      <c r="F1024" s="198">
        <v>164.59</v>
      </c>
      <c r="G1024" s="198">
        <v>4.47</v>
      </c>
      <c r="H1024" s="214" t="s">
        <v>613</v>
      </c>
      <c r="I1024" s="214" t="s">
        <v>590</v>
      </c>
      <c r="J1024" s="271">
        <v>5.68</v>
      </c>
      <c r="K1024" s="198"/>
      <c r="L1024" s="198"/>
      <c r="M1024" s="198"/>
      <c r="N1024" s="198"/>
      <c r="O1024" s="198">
        <v>164.59</v>
      </c>
      <c r="P1024" s="198"/>
      <c r="Q1024" s="198" t="s">
        <v>329</v>
      </c>
      <c r="R1024" s="230">
        <f>DATABASE_Table[[#This Row],[Inicial Asking Price (€) (Total)]]-DATABASE_Table[[#This Row],[Vista membership]]-DATABASE_Table[[#This Row],[FF&amp;E]]</f>
        <v>1120000</v>
      </c>
      <c r="S1024" s="231">
        <v>1120000</v>
      </c>
      <c r="T1024" s="232">
        <v>1120000</v>
      </c>
      <c r="U1024" s="198"/>
      <c r="V1024" s="198"/>
      <c r="W1024" s="233">
        <f>DATABASE_Table[[#This Row],[Current Asking price( Total)]]-DATABASE_Table[[#This Row],[Vista membership]]-DATABASE_Table[[#This Row],[FF&amp;E]]</f>
        <v>1120000</v>
      </c>
      <c r="X1024" s="216"/>
      <c r="Y1024" s="232">
        <v>1120000</v>
      </c>
      <c r="Z1024" s="233">
        <f>DATABASE_Table[[#This Row],[Sell price (Total)]]-DATABASE_Table[[#This Row],[FF&amp;E]]-DATABASE_Table[[#This Row],[Vista membership]]</f>
        <v>1120000</v>
      </c>
      <c r="AA1024" s="315"/>
      <c r="AB1024" s="321"/>
      <c r="AC1024" s="198" t="s">
        <v>10</v>
      </c>
      <c r="AD1024" s="198" t="s">
        <v>11</v>
      </c>
      <c r="AE1024" s="279" t="s">
        <v>12</v>
      </c>
      <c r="AF1024" s="279" t="s">
        <v>801</v>
      </c>
      <c r="AG1024" s="279" t="s">
        <v>13</v>
      </c>
      <c r="AH1024" s="279" t="s">
        <v>14</v>
      </c>
      <c r="AI1024" s="198" t="s">
        <v>15</v>
      </c>
      <c r="AJ1024" s="274" t="s">
        <v>8</v>
      </c>
      <c r="AK1024"/>
    </row>
    <row r="1025" spans="1:37" ht="15.75" hidden="1" customHeight="1">
      <c r="A1025" s="198" t="s">
        <v>31</v>
      </c>
      <c r="B1025" s="198" t="s">
        <v>691</v>
      </c>
      <c r="C1025" s="214" t="s">
        <v>354</v>
      </c>
      <c r="D1025" s="198" t="s">
        <v>9</v>
      </c>
      <c r="E1025" s="198" t="s">
        <v>319</v>
      </c>
      <c r="F1025" s="198"/>
      <c r="G1025" s="198"/>
      <c r="H1025" s="214" t="s">
        <v>325</v>
      </c>
      <c r="I1025" s="214" t="s">
        <v>325</v>
      </c>
      <c r="J1025" s="271"/>
      <c r="K1025" s="198">
        <v>0</v>
      </c>
      <c r="L1025" s="198"/>
      <c r="M1025" s="198">
        <v>16</v>
      </c>
      <c r="N1025" s="198"/>
      <c r="O1025" s="198">
        <v>107</v>
      </c>
      <c r="P1025" s="198"/>
      <c r="Q1025" s="198" t="s">
        <v>326</v>
      </c>
      <c r="R1025" s="230">
        <f>DATABASE_Table[[#This Row],[Inicial Asking Price (€) (Total)]]-DATABASE_Table[[#This Row],[Vista membership]]-DATABASE_Table[[#This Row],[FF&amp;E]]</f>
        <v>670000</v>
      </c>
      <c r="S1025" s="232">
        <v>670000</v>
      </c>
      <c r="T1025" s="232">
        <v>670000</v>
      </c>
      <c r="U1025" s="198"/>
      <c r="V1025" s="198"/>
      <c r="W1025" s="233">
        <f>DATABASE_Table[[#This Row],[Current Asking price( Total)]]-DATABASE_Table[[#This Row],[Vista membership]]-DATABASE_Table[[#This Row],[FF&amp;E]]</f>
        <v>670000</v>
      </c>
      <c r="X1025" s="216">
        <v>2.5000000000000001E-2</v>
      </c>
      <c r="Y1025" s="232">
        <v>653250</v>
      </c>
      <c r="Z1025" s="233">
        <f>DATABASE_Table[[#This Row],[Sell price (Total)]]-DATABASE_Table[[#This Row],[FF&amp;E]]-DATABASE_Table[[#This Row],[Vista membership]]</f>
        <v>653250</v>
      </c>
      <c r="AA1025" s="315">
        <v>46114</v>
      </c>
      <c r="AB1025" s="321"/>
      <c r="AC1025" s="198" t="s">
        <v>10</v>
      </c>
      <c r="AD1025" s="198" t="s">
        <v>807</v>
      </c>
      <c r="AE1025" s="279" t="s">
        <v>32</v>
      </c>
      <c r="AF1025" s="279" t="s">
        <v>808</v>
      </c>
      <c r="AG1025" s="279" t="s">
        <v>33</v>
      </c>
      <c r="AH1025" s="279" t="s">
        <v>809</v>
      </c>
      <c r="AI1025" s="198" t="s">
        <v>15</v>
      </c>
      <c r="AJ1025" s="274" t="s">
        <v>31</v>
      </c>
      <c r="AK1025"/>
    </row>
    <row r="1026" spans="1:37" ht="15.75" hidden="1" customHeight="1">
      <c r="A1026" s="198" t="s">
        <v>690</v>
      </c>
      <c r="B1026" s="198" t="s">
        <v>691</v>
      </c>
      <c r="C1026" s="214" t="s">
        <v>354</v>
      </c>
      <c r="D1026" s="198" t="s">
        <v>9</v>
      </c>
      <c r="E1026" s="198" t="s">
        <v>762</v>
      </c>
      <c r="F1026" s="198">
        <v>404.86</v>
      </c>
      <c r="G1026" s="198">
        <v>163.77000000000001</v>
      </c>
      <c r="H1026" s="214" t="s">
        <v>325</v>
      </c>
      <c r="I1026" s="214" t="s">
        <v>325</v>
      </c>
      <c r="J1026" s="271">
        <v>19.649999999999999</v>
      </c>
      <c r="K1026" s="198"/>
      <c r="L1026" s="198"/>
      <c r="M1026" s="198"/>
      <c r="N1026" s="198"/>
      <c r="O1026" s="198">
        <v>221.44</v>
      </c>
      <c r="P1026" s="198"/>
      <c r="Q1026" s="198" t="s">
        <v>329</v>
      </c>
      <c r="R1026" s="230">
        <f>DATABASE_Table[[#This Row],[Inicial Asking Price (€) (Total)]]-DATABASE_Table[[#This Row],[Vista membership]]-DATABASE_Table[[#This Row],[FF&amp;E]]</f>
        <v>2314600</v>
      </c>
      <c r="S1026" s="231">
        <v>2422300</v>
      </c>
      <c r="T1026" s="232">
        <v>2530000</v>
      </c>
      <c r="U1026" s="198">
        <v>24600</v>
      </c>
      <c r="V1026" s="198">
        <v>83100</v>
      </c>
      <c r="W1026" s="233">
        <f>DATABASE_Table[[#This Row],[Current Asking price( Total)]]-DATABASE_Table[[#This Row],[Vista membership]]-DATABASE_Table[[#This Row],[FF&amp;E]]</f>
        <v>2422300</v>
      </c>
      <c r="X1026" s="216"/>
      <c r="Y1026" s="232">
        <v>2530000</v>
      </c>
      <c r="Z1026" s="233">
        <f>DATABASE_Table[[#This Row],[Sell price (Total)]]-DATABASE_Table[[#This Row],[FF&amp;E]]-DATABASE_Table[[#This Row],[Vista membership]]</f>
        <v>2422300</v>
      </c>
      <c r="AA1026" s="315"/>
      <c r="AB1026" s="321"/>
      <c r="AC1026" s="198" t="s">
        <v>10</v>
      </c>
      <c r="AD1026" s="198" t="s">
        <v>35</v>
      </c>
      <c r="AE1026" s="279" t="s">
        <v>38</v>
      </c>
      <c r="AF1026" s="279" t="s">
        <v>39</v>
      </c>
      <c r="AG1026" s="279" t="s">
        <v>40</v>
      </c>
      <c r="AH1026" s="279" t="s">
        <v>810</v>
      </c>
      <c r="AI1026" s="198" t="s">
        <v>41</v>
      </c>
      <c r="AJ1026" s="274" t="s">
        <v>37</v>
      </c>
      <c r="AK1026"/>
    </row>
    <row r="1027" spans="1:37" ht="15.75" hidden="1" customHeight="1">
      <c r="A1027" s="198" t="s">
        <v>563</v>
      </c>
      <c r="B1027" s="198" t="s">
        <v>691</v>
      </c>
      <c r="C1027" s="214" t="s">
        <v>354</v>
      </c>
      <c r="D1027" s="198" t="s">
        <v>9</v>
      </c>
      <c r="E1027" s="198" t="s">
        <v>320</v>
      </c>
      <c r="F1027" s="198">
        <v>130.91999999999999</v>
      </c>
      <c r="G1027" s="198"/>
      <c r="H1027" s="214" t="s">
        <v>325</v>
      </c>
      <c r="I1027" s="214" t="s">
        <v>325</v>
      </c>
      <c r="J1027" s="271"/>
      <c r="K1027" s="198"/>
      <c r="L1027" s="198"/>
      <c r="M1027" s="198"/>
      <c r="N1027" s="198"/>
      <c r="O1027" s="198">
        <v>130.91999999999999</v>
      </c>
      <c r="P1027" s="198"/>
      <c r="Q1027" s="198" t="s">
        <v>628</v>
      </c>
      <c r="R1027" s="230">
        <f>DATABASE_Table[[#This Row],[Inicial Asking Price (€) (Total)]]-DATABASE_Table[[#This Row],[Vista membership]]-DATABASE_Table[[#This Row],[FF&amp;E]]</f>
        <v>700000</v>
      </c>
      <c r="S1027" s="231">
        <v>700000</v>
      </c>
      <c r="T1027" s="232">
        <v>700000</v>
      </c>
      <c r="U1027" s="198"/>
      <c r="V1027" s="198"/>
      <c r="W1027" s="233">
        <f>DATABASE_Table[[#This Row],[Current Asking price( Total)]]-DATABASE_Table[[#This Row],[Vista membership]]-DATABASE_Table[[#This Row],[FF&amp;E]]</f>
        <v>700000</v>
      </c>
      <c r="X1027" s="216">
        <v>0</v>
      </c>
      <c r="Y1027" s="232">
        <v>700000</v>
      </c>
      <c r="Z1027" s="233">
        <f>DATABASE_Table[[#This Row],[Sell price (Total)]]-DATABASE_Table[[#This Row],[FF&amp;E]]-DATABASE_Table[[#This Row],[Vista membership]]</f>
        <v>700000</v>
      </c>
      <c r="AA1027" s="316">
        <v>45891</v>
      </c>
      <c r="AB1027" s="321"/>
      <c r="AC1027" s="198" t="s">
        <v>10</v>
      </c>
      <c r="AD1027" s="198" t="s">
        <v>11</v>
      </c>
      <c r="AE1027" s="279" t="s">
        <v>28</v>
      </c>
      <c r="AF1027" s="279" t="s">
        <v>29</v>
      </c>
      <c r="AG1027" s="279" t="s">
        <v>805</v>
      </c>
      <c r="AH1027" s="279" t="s">
        <v>806</v>
      </c>
      <c r="AI1027" s="198" t="s">
        <v>30</v>
      </c>
      <c r="AJ1027" s="274" t="s">
        <v>27</v>
      </c>
      <c r="AK1027"/>
    </row>
    <row r="1028" spans="1:37" ht="15.75" hidden="1" customHeight="1">
      <c r="A1028" s="198" t="s">
        <v>562</v>
      </c>
      <c r="B1028" s="198" t="s">
        <v>691</v>
      </c>
      <c r="C1028" s="214" t="s">
        <v>354</v>
      </c>
      <c r="D1028" s="198" t="s">
        <v>9</v>
      </c>
      <c r="E1028" s="198" t="s">
        <v>319</v>
      </c>
      <c r="F1028" s="198">
        <v>117</v>
      </c>
      <c r="G1028" s="198"/>
      <c r="H1028" s="214" t="s">
        <v>325</v>
      </c>
      <c r="I1028" s="214" t="s">
        <v>325</v>
      </c>
      <c r="J1028" s="271"/>
      <c r="K1028" s="198"/>
      <c r="L1028" s="198"/>
      <c r="M1028" s="198"/>
      <c r="N1028" s="198"/>
      <c r="O1028" s="198">
        <v>117</v>
      </c>
      <c r="P1028" s="198"/>
      <c r="Q1028" s="198" t="s">
        <v>929</v>
      </c>
      <c r="R1028" s="230">
        <f>DATABASE_Table[[#This Row],[Inicial Asking Price (€) (Total)]]-DATABASE_Table[[#This Row],[Vista membership]]-DATABASE_Table[[#This Row],[FF&amp;E]]</f>
        <v>550000</v>
      </c>
      <c r="S1028" s="231">
        <v>550000</v>
      </c>
      <c r="T1028" s="232">
        <v>570000</v>
      </c>
      <c r="U1028" s="198"/>
      <c r="V1028" s="198"/>
      <c r="W1028" s="233">
        <f>DATABASE_Table[[#This Row],[Current Asking price( Total)]]-DATABASE_Table[[#This Row],[Vista membership]]-DATABASE_Table[[#This Row],[FF&amp;E]]</f>
        <v>570000</v>
      </c>
      <c r="X1028" s="216">
        <v>0</v>
      </c>
      <c r="Y1028" s="232">
        <v>570000</v>
      </c>
      <c r="Z1028" s="233">
        <f>DATABASE_Table[[#This Row],[Sell price (Total)]]-DATABASE_Table[[#This Row],[FF&amp;E]]-DATABASE_Table[[#This Row],[Vista membership]]</f>
        <v>570000</v>
      </c>
      <c r="AA1028" s="315">
        <v>45128</v>
      </c>
      <c r="AB1028" s="321"/>
      <c r="AC1028" s="198" t="s">
        <v>10</v>
      </c>
      <c r="AD1028" s="198" t="s">
        <v>23</v>
      </c>
      <c r="AE1028" s="279" t="s">
        <v>24</v>
      </c>
      <c r="AF1028" s="279" t="s">
        <v>803</v>
      </c>
      <c r="AG1028" s="279" t="s">
        <v>25</v>
      </c>
      <c r="AH1028" s="279" t="s">
        <v>804</v>
      </c>
      <c r="AI1028" s="198" t="s">
        <v>26</v>
      </c>
      <c r="AJ1028" s="274" t="s">
        <v>22</v>
      </c>
      <c r="AK1028"/>
    </row>
    <row r="1029" spans="1:37" ht="15.75" hidden="1" customHeight="1">
      <c r="A1029" s="198" t="s">
        <v>689</v>
      </c>
      <c r="B1029" s="198" t="s">
        <v>691</v>
      </c>
      <c r="C1029" s="214" t="s">
        <v>354</v>
      </c>
      <c r="D1029" s="198"/>
      <c r="E1029" s="198" t="s">
        <v>384</v>
      </c>
      <c r="F1029" s="198">
        <v>156.83949999999999</v>
      </c>
      <c r="G1029" s="198"/>
      <c r="H1029" s="214" t="s">
        <v>325</v>
      </c>
      <c r="I1029" s="214" t="s">
        <v>325</v>
      </c>
      <c r="J1029" s="271"/>
      <c r="K1029" s="198"/>
      <c r="L1029" s="198"/>
      <c r="M1029" s="198"/>
      <c r="N1029" s="198"/>
      <c r="O1029" s="198">
        <v>156.83949999999999</v>
      </c>
      <c r="P1029" s="198"/>
      <c r="Q1029" s="198" t="s">
        <v>929</v>
      </c>
      <c r="R1029" s="230">
        <f>DATABASE_Table[[#This Row],[Inicial Asking Price (€) (Total)]]-DATABASE_Table[[#This Row],[Vista membership]]-DATABASE_Table[[#This Row],[FF&amp;E]]</f>
        <v>912950</v>
      </c>
      <c r="S1029" s="231">
        <v>912950</v>
      </c>
      <c r="T1029" s="232">
        <v>992000</v>
      </c>
      <c r="U1029" s="198"/>
      <c r="V1029" s="198"/>
      <c r="W1029" s="233">
        <f>DATABASE_Table[[#This Row],[Current Asking price( Total)]]-DATABASE_Table[[#This Row],[Vista membership]]-DATABASE_Table[[#This Row],[FF&amp;E]]</f>
        <v>992000</v>
      </c>
      <c r="X1029" s="216">
        <v>0</v>
      </c>
      <c r="Y1029" s="232">
        <v>992000</v>
      </c>
      <c r="Z1029" s="233">
        <f>DATABASE_Table[[#This Row],[Sell price (Total)]]-DATABASE_Table[[#This Row],[FF&amp;E]]-DATABASE_Table[[#This Row],[Vista membership]]</f>
        <v>992000</v>
      </c>
      <c r="AA1029" s="315">
        <v>45163</v>
      </c>
      <c r="AB1029" s="321"/>
      <c r="AC1029" s="198"/>
      <c r="AD1029" s="198"/>
      <c r="AE1029" s="279"/>
      <c r="AF1029" s="279"/>
      <c r="AG1029" s="279"/>
      <c r="AH1029" s="279"/>
      <c r="AI1029" s="198"/>
      <c r="AJ1029" s="274" t="s">
        <v>689</v>
      </c>
      <c r="AK1029"/>
    </row>
    <row r="1030" spans="1:37" ht="15.75" hidden="1" customHeight="1">
      <c r="A1030" s="198" t="s">
        <v>564</v>
      </c>
      <c r="B1030" s="198" t="s">
        <v>691</v>
      </c>
      <c r="C1030" s="214" t="s">
        <v>354</v>
      </c>
      <c r="D1030" s="198" t="s">
        <v>9</v>
      </c>
      <c r="E1030" s="198" t="s">
        <v>416</v>
      </c>
      <c r="F1030" s="198">
        <v>116.78</v>
      </c>
      <c r="G1030" s="198"/>
      <c r="H1030" s="214" t="s">
        <v>325</v>
      </c>
      <c r="I1030" s="214" t="s">
        <v>325</v>
      </c>
      <c r="J1030" s="271">
        <v>28.57</v>
      </c>
      <c r="K1030" s="198"/>
      <c r="L1030" s="198"/>
      <c r="M1030" s="198"/>
      <c r="N1030" s="198"/>
      <c r="O1030" s="198">
        <v>88.21</v>
      </c>
      <c r="P1030" s="198"/>
      <c r="Q1030" s="198" t="s">
        <v>329</v>
      </c>
      <c r="R1030" s="230">
        <f>DATABASE_Table[[#This Row],[Inicial Asking Price (€) (Total)]]-DATABASE_Table[[#This Row],[Vista membership]]-DATABASE_Table[[#This Row],[FF&amp;E]]</f>
        <v>663492.68000000005</v>
      </c>
      <c r="S1030" s="231">
        <v>728092.68</v>
      </c>
      <c r="T1030" s="232">
        <v>770000</v>
      </c>
      <c r="U1030" s="198">
        <v>24600</v>
      </c>
      <c r="V1030" s="198">
        <v>40000</v>
      </c>
      <c r="W1030" s="233">
        <f>DATABASE_Table[[#This Row],[Current Asking price( Total)]]-DATABASE_Table[[#This Row],[Vista membership]]-DATABASE_Table[[#This Row],[FF&amp;E]]</f>
        <v>705400</v>
      </c>
      <c r="X1030" s="216"/>
      <c r="Y1030" s="232">
        <v>770000</v>
      </c>
      <c r="Z1030" s="233">
        <f>DATABASE_Table[[#This Row],[Sell price (Total)]]-DATABASE_Table[[#This Row],[FF&amp;E]]-DATABASE_Table[[#This Row],[Vista membership]]</f>
        <v>705400</v>
      </c>
      <c r="AA1030" s="315"/>
      <c r="AB1030" s="321"/>
      <c r="AC1030" s="198" t="s">
        <v>10</v>
      </c>
      <c r="AD1030" s="198" t="s">
        <v>35</v>
      </c>
      <c r="AE1030" s="279" t="s">
        <v>43</v>
      </c>
      <c r="AF1030" s="279" t="s">
        <v>44</v>
      </c>
      <c r="AG1030" s="279" t="s">
        <v>45</v>
      </c>
      <c r="AH1030" s="279" t="s">
        <v>46</v>
      </c>
      <c r="AI1030" s="198" t="s">
        <v>47</v>
      </c>
      <c r="AJ1030" s="274" t="s">
        <v>42</v>
      </c>
      <c r="AK1030"/>
    </row>
    <row r="1031" spans="1:37" ht="15.75" hidden="1" customHeight="1">
      <c r="A1031" s="198" t="s">
        <v>772</v>
      </c>
      <c r="B1031" s="198" t="s">
        <v>769</v>
      </c>
      <c r="C1031" s="214" t="s">
        <v>528</v>
      </c>
      <c r="D1031" s="198"/>
      <c r="E1031" s="198" t="s">
        <v>319</v>
      </c>
      <c r="F1031" s="198">
        <v>144.94999999999999</v>
      </c>
      <c r="G1031" s="198"/>
      <c r="H1031" s="214" t="s">
        <v>675</v>
      </c>
      <c r="I1031" s="214" t="s">
        <v>325</v>
      </c>
      <c r="J1031" s="271"/>
      <c r="K1031" s="198"/>
      <c r="L1031" s="198"/>
      <c r="M1031" s="198">
        <v>29.65</v>
      </c>
      <c r="N1031" s="198"/>
      <c r="O1031" s="198">
        <v>115.3</v>
      </c>
      <c r="P1031" s="198"/>
      <c r="Q1031" s="198" t="s">
        <v>326</v>
      </c>
      <c r="R1031" s="230">
        <f>DATABASE_Table[[#This Row],[Inicial Asking Price (€) (Total)]]-DATABASE_Table[[#This Row],[Vista membership]]-DATABASE_Table[[#This Row],[FF&amp;E]]</f>
        <v>660000</v>
      </c>
      <c r="S1031" s="234">
        <v>660000</v>
      </c>
      <c r="T1031" s="235">
        <v>950000</v>
      </c>
      <c r="U1031" s="198"/>
      <c r="V1031" s="198"/>
      <c r="W1031" s="233">
        <f>DATABASE_Table[[#This Row],[Current Asking price( Total)]]-DATABASE_Table[[#This Row],[Vista membership]]-DATABASE_Table[[#This Row],[FF&amp;E]]</f>
        <v>950000</v>
      </c>
      <c r="X1031" s="236">
        <v>0</v>
      </c>
      <c r="Y1031" s="235">
        <v>950000</v>
      </c>
      <c r="Z1031" s="233">
        <f>DATABASE_Table[[#This Row],[Sell price (Total)]]-DATABASE_Table[[#This Row],[FF&amp;E]]-DATABASE_Table[[#This Row],[Vista membership]]</f>
        <v>950000</v>
      </c>
      <c r="AA1031" s="315">
        <v>46175</v>
      </c>
      <c r="AB1031" s="321">
        <v>46843</v>
      </c>
      <c r="AC1031" s="198"/>
      <c r="AD1031" s="198"/>
      <c r="AE1031" s="279"/>
      <c r="AF1031" s="279"/>
      <c r="AG1031" s="279"/>
      <c r="AH1031" s="279"/>
      <c r="AI1031" s="198"/>
      <c r="AJ1031" s="274" t="s">
        <v>66</v>
      </c>
      <c r="AK1031"/>
    </row>
    <row r="1032" spans="1:37" ht="15.75" hidden="1" customHeight="1">
      <c r="A1032" s="198" t="s">
        <v>772</v>
      </c>
      <c r="B1032" s="198" t="s">
        <v>769</v>
      </c>
      <c r="C1032" s="214" t="s">
        <v>529</v>
      </c>
      <c r="D1032" s="198"/>
      <c r="E1032" s="198" t="s">
        <v>319</v>
      </c>
      <c r="F1032" s="198">
        <v>144.94999999999999</v>
      </c>
      <c r="G1032" s="198"/>
      <c r="H1032" s="214" t="s">
        <v>676</v>
      </c>
      <c r="I1032" s="214" t="s">
        <v>325</v>
      </c>
      <c r="J1032" s="271"/>
      <c r="K1032" s="198"/>
      <c r="L1032" s="198"/>
      <c r="M1032" s="198">
        <v>29.65</v>
      </c>
      <c r="N1032" s="198"/>
      <c r="O1032" s="198">
        <v>115.3</v>
      </c>
      <c r="P1032" s="198"/>
      <c r="Q1032" s="198" t="s">
        <v>628</v>
      </c>
      <c r="R1032" s="230">
        <f>DATABASE_Table[[#This Row],[Inicial Asking Price (€) (Total)]]-DATABASE_Table[[#This Row],[Vista membership]]-DATABASE_Table[[#This Row],[FF&amp;E]]</f>
        <v>540000</v>
      </c>
      <c r="S1032" s="234">
        <v>540000</v>
      </c>
      <c r="T1032" s="235">
        <v>850000</v>
      </c>
      <c r="U1032" s="198"/>
      <c r="V1032" s="198"/>
      <c r="W1032" s="233">
        <f>DATABASE_Table[[#This Row],[Current Asking price( Total)]]-DATABASE_Table[[#This Row],[Vista membership]]-DATABASE_Table[[#This Row],[FF&amp;E]]</f>
        <v>850000</v>
      </c>
      <c r="X1032" s="236">
        <v>0</v>
      </c>
      <c r="Y1032" s="235">
        <v>850000</v>
      </c>
      <c r="Z1032" s="233">
        <f>DATABASE_Table[[#This Row],[Sell price (Total)]]-DATABASE_Table[[#This Row],[FF&amp;E]]-DATABASE_Table[[#This Row],[Vista membership]]</f>
        <v>850000</v>
      </c>
      <c r="AA1032" s="316">
        <v>45099</v>
      </c>
      <c r="AB1032" s="321">
        <v>46843</v>
      </c>
      <c r="AC1032" s="198"/>
      <c r="AD1032" s="198"/>
      <c r="AE1032" s="279"/>
      <c r="AF1032" s="279"/>
      <c r="AG1032" s="279"/>
      <c r="AH1032" s="279"/>
      <c r="AI1032" s="198"/>
      <c r="AJ1032" s="274" t="s">
        <v>66</v>
      </c>
      <c r="AK1032"/>
    </row>
    <row r="1033" spans="1:37" ht="15.75" hidden="1" customHeight="1">
      <c r="A1033" s="198" t="s">
        <v>630</v>
      </c>
      <c r="B1033" s="198" t="s">
        <v>691</v>
      </c>
      <c r="C1033" s="214" t="s">
        <v>355</v>
      </c>
      <c r="D1033" s="198" t="s">
        <v>9</v>
      </c>
      <c r="E1033" s="198" t="s">
        <v>319</v>
      </c>
      <c r="F1033" s="198">
        <v>142.88999999999999</v>
      </c>
      <c r="G1033" s="198"/>
      <c r="H1033" s="214" t="s">
        <v>849</v>
      </c>
      <c r="I1033" s="214" t="s">
        <v>325</v>
      </c>
      <c r="J1033" s="271">
        <v>26.79</v>
      </c>
      <c r="K1033" s="198"/>
      <c r="L1033" s="198"/>
      <c r="M1033" s="198">
        <v>1.61</v>
      </c>
      <c r="N1033" s="198"/>
      <c r="O1033" s="198">
        <v>114.49</v>
      </c>
      <c r="P1033" s="198"/>
      <c r="Q1033" s="198" t="s">
        <v>329</v>
      </c>
      <c r="R1033" s="230">
        <f>DATABASE_Table[[#This Row],[Inicial Asking Price (€) (Total)]]-DATABASE_Table[[#This Row],[Vista membership]]-DATABASE_Table[[#This Row],[FF&amp;E]]</f>
        <v>925527.24</v>
      </c>
      <c r="S1033" s="231">
        <v>925527.24</v>
      </c>
      <c r="T1033" s="232">
        <v>950000</v>
      </c>
      <c r="U1033" s="198"/>
      <c r="V1033" s="198"/>
      <c r="W1033" s="233">
        <f>DATABASE_Table[[#This Row],[Current Asking price( Total)]]-DATABASE_Table[[#This Row],[Vista membership]]-DATABASE_Table[[#This Row],[FF&amp;E]]</f>
        <v>950000</v>
      </c>
      <c r="X1033" s="216"/>
      <c r="Y1033" s="232">
        <v>930000</v>
      </c>
      <c r="Z1033" s="233">
        <f>DATABASE_Table[[#This Row],[Sell price (Total)]]-DATABASE_Table[[#This Row],[FF&amp;E]]-DATABASE_Table[[#This Row],[Vista membership]]</f>
        <v>930000</v>
      </c>
      <c r="AA1033" s="315"/>
      <c r="AB1033" s="321"/>
      <c r="AC1033" s="198" t="s">
        <v>10</v>
      </c>
      <c r="AD1033" s="198" t="s">
        <v>11</v>
      </c>
      <c r="AE1033" s="279" t="s">
        <v>53</v>
      </c>
      <c r="AF1033" s="279" t="s">
        <v>54</v>
      </c>
      <c r="AG1033" s="279" t="s">
        <v>811</v>
      </c>
      <c r="AH1033" s="279" t="s">
        <v>812</v>
      </c>
      <c r="AI1033" s="198" t="s">
        <v>36</v>
      </c>
      <c r="AJ1033" s="274" t="s">
        <v>52</v>
      </c>
      <c r="AK1033"/>
    </row>
    <row r="1034" spans="1:37" ht="15.75" hidden="1" customHeight="1">
      <c r="A1034" s="198" t="s">
        <v>558</v>
      </c>
      <c r="B1034" s="198" t="s">
        <v>691</v>
      </c>
      <c r="C1034" s="214" t="s">
        <v>355</v>
      </c>
      <c r="D1034" s="198" t="s">
        <v>9</v>
      </c>
      <c r="E1034" s="198" t="s">
        <v>320</v>
      </c>
      <c r="F1034" s="198">
        <v>152.91</v>
      </c>
      <c r="G1034" s="198">
        <v>3.99</v>
      </c>
      <c r="H1034" s="214" t="s">
        <v>904</v>
      </c>
      <c r="I1034" s="214" t="s">
        <v>590</v>
      </c>
      <c r="J1034" s="271"/>
      <c r="K1034" s="198"/>
      <c r="L1034" s="198"/>
      <c r="M1034" s="198"/>
      <c r="N1034" s="198"/>
      <c r="O1034" s="198">
        <v>152.91</v>
      </c>
      <c r="P1034" s="198"/>
      <c r="Q1034" s="198" t="s">
        <v>329</v>
      </c>
      <c r="R1034" s="230">
        <f>DATABASE_Table[[#This Row],[Inicial Asking Price (€) (Total)]]-DATABASE_Table[[#This Row],[Vista membership]]-DATABASE_Table[[#This Row],[FF&amp;E]]</f>
        <v>1110000</v>
      </c>
      <c r="S1034" s="231">
        <v>1110000</v>
      </c>
      <c r="T1034" s="232">
        <v>1110000</v>
      </c>
      <c r="U1034" s="198"/>
      <c r="V1034" s="198"/>
      <c r="W1034" s="233">
        <f>DATABASE_Table[[#This Row],[Current Asking price( Total)]]-DATABASE_Table[[#This Row],[Vista membership]]-DATABASE_Table[[#This Row],[FF&amp;E]]</f>
        <v>1110000</v>
      </c>
      <c r="X1034" s="216"/>
      <c r="Y1034" s="232">
        <v>1110000</v>
      </c>
      <c r="Z1034" s="233">
        <f>DATABASE_Table[[#This Row],[Sell price (Total)]]-DATABASE_Table[[#This Row],[FF&amp;E]]-DATABASE_Table[[#This Row],[Vista membership]]</f>
        <v>1110000</v>
      </c>
      <c r="AA1034" s="315"/>
      <c r="AB1034" s="321"/>
      <c r="AC1034" s="198" t="s">
        <v>10</v>
      </c>
      <c r="AD1034" s="198" t="s">
        <v>11</v>
      </c>
      <c r="AE1034" s="279" t="s">
        <v>12</v>
      </c>
      <c r="AF1034" s="279" t="s">
        <v>801</v>
      </c>
      <c r="AG1034" s="279" t="s">
        <v>13</v>
      </c>
      <c r="AH1034" s="279" t="s">
        <v>14</v>
      </c>
      <c r="AI1034" s="198" t="s">
        <v>15</v>
      </c>
      <c r="AJ1034" s="274" t="s">
        <v>8</v>
      </c>
      <c r="AK1034"/>
    </row>
    <row r="1035" spans="1:37" ht="15.75" hidden="1" customHeight="1">
      <c r="A1035" s="198" t="s">
        <v>782</v>
      </c>
      <c r="B1035" s="198" t="s">
        <v>786</v>
      </c>
      <c r="C1035" s="214" t="s">
        <v>301</v>
      </c>
      <c r="D1035" s="198" t="s">
        <v>79</v>
      </c>
      <c r="E1035" s="198" t="s">
        <v>322</v>
      </c>
      <c r="F1035" s="198">
        <v>533.5</v>
      </c>
      <c r="G1035" s="198"/>
      <c r="H1035" s="214" t="s">
        <v>849</v>
      </c>
      <c r="I1035" s="214" t="s">
        <v>848</v>
      </c>
      <c r="J1035" s="271"/>
      <c r="K1035" s="198"/>
      <c r="L1035" s="198"/>
      <c r="M1035" s="198">
        <v>142</v>
      </c>
      <c r="N1035" s="198">
        <v>59</v>
      </c>
      <c r="O1035" s="198">
        <v>332.5</v>
      </c>
      <c r="P1035" s="198"/>
      <c r="Q1035" s="198" t="s">
        <v>329</v>
      </c>
      <c r="R1035" s="230">
        <f>DATABASE_Table[[#This Row],[Inicial Asking Price (€) (Total)]]-DATABASE_Table[[#This Row],[Vista membership]]-DATABASE_Table[[#This Row],[FF&amp;E]]</f>
        <v>2875000</v>
      </c>
      <c r="S1035" s="234">
        <v>2955000</v>
      </c>
      <c r="T1035" s="235">
        <v>2955000</v>
      </c>
      <c r="U1035" s="198"/>
      <c r="V1035" s="235">
        <v>80000</v>
      </c>
      <c r="W1035" s="233">
        <f>DATABASE_Table[[#This Row],[Current Asking price( Total)]]-DATABASE_Table[[#This Row],[Vista membership]]-DATABASE_Table[[#This Row],[FF&amp;E]]</f>
        <v>2875000</v>
      </c>
      <c r="X1035" s="236"/>
      <c r="Y1035" s="235"/>
      <c r="Z1035" s="233">
        <f>DATABASE_Table[[#This Row],[Sell price (Total)]]-DATABASE_Table[[#This Row],[FF&amp;E]]-DATABASE_Table[[#This Row],[Vista membership]]</f>
        <v>-80000</v>
      </c>
      <c r="AA1035" s="315"/>
      <c r="AB1035" s="321">
        <v>47118</v>
      </c>
      <c r="AC1035" s="198" t="s">
        <v>80</v>
      </c>
      <c r="AD1035" s="198" t="s">
        <v>81</v>
      </c>
      <c r="AE1035" s="279" t="s">
        <v>82</v>
      </c>
      <c r="AF1035" s="279" t="s">
        <v>83</v>
      </c>
      <c r="AG1035" s="279" t="s">
        <v>84</v>
      </c>
      <c r="AH1035" s="279" t="s">
        <v>85</v>
      </c>
      <c r="AI1035" s="198" t="s">
        <v>86</v>
      </c>
      <c r="AJ1035" s="274" t="s">
        <v>78</v>
      </c>
      <c r="AK1035"/>
    </row>
    <row r="1036" spans="1:37" ht="15.75" hidden="1" customHeight="1">
      <c r="A1036" s="198" t="s">
        <v>933</v>
      </c>
      <c r="B1036" s="198" t="s">
        <v>769</v>
      </c>
      <c r="C1036" s="214" t="s">
        <v>441</v>
      </c>
      <c r="D1036" s="198"/>
      <c r="E1036" s="198" t="s">
        <v>530</v>
      </c>
      <c r="F1036" s="198">
        <v>143.08000000000001</v>
      </c>
      <c r="G1036" s="198"/>
      <c r="H1036" s="214" t="s">
        <v>325</v>
      </c>
      <c r="I1036" s="214" t="s">
        <v>912</v>
      </c>
      <c r="J1036" s="271"/>
      <c r="K1036" s="198"/>
      <c r="L1036" s="198"/>
      <c r="M1036" s="198">
        <v>34.6</v>
      </c>
      <c r="N1036" s="198"/>
      <c r="O1036" s="198">
        <v>100.11</v>
      </c>
      <c r="P1036" s="198"/>
      <c r="Q1036" s="198" t="s">
        <v>326</v>
      </c>
      <c r="R1036" s="230">
        <f>DATABASE_Table[[#This Row],[Inicial Asking Price (€) (Total)]]-DATABASE_Table[[#This Row],[Vista membership]]-DATABASE_Table[[#This Row],[FF&amp;E]]</f>
        <v>800000</v>
      </c>
      <c r="S1036" s="234">
        <v>800000</v>
      </c>
      <c r="T1036" s="235">
        <v>800000</v>
      </c>
      <c r="U1036" s="198"/>
      <c r="V1036" s="198"/>
      <c r="W1036" s="233">
        <f>DATABASE_Table[[#This Row],[Current Asking price( Total)]]-DATABASE_Table[[#This Row],[Vista membership]]-DATABASE_Table[[#This Row],[FF&amp;E]]</f>
        <v>800000</v>
      </c>
      <c r="X1036" s="236"/>
      <c r="Y1036" s="235">
        <v>800000</v>
      </c>
      <c r="Z1036" s="233">
        <f>DATABASE_Table[[#This Row],[Sell price (Total)]]-DATABASE_Table[[#This Row],[FF&amp;E]]-DATABASE_Table[[#This Row],[Vista membership]]</f>
        <v>800000</v>
      </c>
      <c r="AA1036" s="315"/>
      <c r="AB1036" s="321">
        <v>46843</v>
      </c>
      <c r="AC1036" s="198"/>
      <c r="AD1036" s="198"/>
      <c r="AE1036" s="279"/>
      <c r="AF1036" s="279"/>
      <c r="AG1036" s="279"/>
      <c r="AH1036" s="279"/>
      <c r="AI1036" s="198"/>
      <c r="AJ1036" s="274" t="s">
        <v>66</v>
      </c>
      <c r="AK1036"/>
    </row>
    <row r="1037" spans="1:37" ht="15.75" hidden="1" customHeight="1">
      <c r="A1037" s="198" t="s">
        <v>933</v>
      </c>
      <c r="B1037" s="198" t="s">
        <v>769</v>
      </c>
      <c r="C1037" s="214" t="s">
        <v>531</v>
      </c>
      <c r="D1037" s="198"/>
      <c r="E1037" s="198" t="s">
        <v>419</v>
      </c>
      <c r="F1037" s="198">
        <v>93.05</v>
      </c>
      <c r="G1037" s="198"/>
      <c r="H1037" s="214" t="s">
        <v>325</v>
      </c>
      <c r="I1037" s="214" t="s">
        <v>912</v>
      </c>
      <c r="J1037" s="271"/>
      <c r="K1037" s="198"/>
      <c r="L1037" s="198"/>
      <c r="M1037" s="198">
        <v>18.989999999999998</v>
      </c>
      <c r="N1037" s="198"/>
      <c r="O1037" s="198">
        <v>65.69</v>
      </c>
      <c r="P1037" s="198"/>
      <c r="Q1037" s="198" t="s">
        <v>329</v>
      </c>
      <c r="R1037" s="230">
        <f>DATABASE_Table[[#This Row],[Inicial Asking Price (€) (Total)]]-DATABASE_Table[[#This Row],[Vista membership]]-DATABASE_Table[[#This Row],[FF&amp;E]]</f>
        <v>710000</v>
      </c>
      <c r="S1037" s="234">
        <v>710000</v>
      </c>
      <c r="T1037" s="235">
        <v>710000</v>
      </c>
      <c r="U1037" s="198"/>
      <c r="V1037" s="198"/>
      <c r="W1037" s="233">
        <f>DATABASE_Table[[#This Row],[Current Asking price( Total)]]-DATABASE_Table[[#This Row],[Vista membership]]-DATABASE_Table[[#This Row],[FF&amp;E]]</f>
        <v>710000</v>
      </c>
      <c r="X1037" s="236"/>
      <c r="Y1037" s="235">
        <v>710000</v>
      </c>
      <c r="Z1037" s="233">
        <f>DATABASE_Table[[#This Row],[Sell price (Total)]]-DATABASE_Table[[#This Row],[FF&amp;E]]-DATABASE_Table[[#This Row],[Vista membership]]</f>
        <v>710000</v>
      </c>
      <c r="AA1037" s="315"/>
      <c r="AB1037" s="321">
        <v>46843</v>
      </c>
      <c r="AC1037" s="198"/>
      <c r="AD1037" s="198"/>
      <c r="AE1037" s="279"/>
      <c r="AF1037" s="279"/>
      <c r="AG1037" s="279"/>
      <c r="AH1037" s="279"/>
      <c r="AI1037" s="198"/>
      <c r="AJ1037" s="274" t="s">
        <v>66</v>
      </c>
      <c r="AK1037"/>
    </row>
    <row r="1038" spans="1:37" ht="15.75" hidden="1" customHeight="1">
      <c r="A1038" s="198" t="s">
        <v>31</v>
      </c>
      <c r="B1038" s="198" t="s">
        <v>691</v>
      </c>
      <c r="C1038" s="214" t="s">
        <v>355</v>
      </c>
      <c r="D1038" s="198" t="s">
        <v>9</v>
      </c>
      <c r="E1038" s="198" t="s">
        <v>319</v>
      </c>
      <c r="F1038" s="198"/>
      <c r="G1038" s="198"/>
      <c r="H1038" s="214" t="s">
        <v>325</v>
      </c>
      <c r="I1038" s="214" t="s">
        <v>325</v>
      </c>
      <c r="J1038" s="271"/>
      <c r="K1038" s="198">
        <v>0</v>
      </c>
      <c r="L1038" s="198"/>
      <c r="M1038" s="198">
        <v>19</v>
      </c>
      <c r="N1038" s="198"/>
      <c r="O1038" s="198">
        <v>108</v>
      </c>
      <c r="P1038" s="198"/>
      <c r="Q1038" s="198" t="s">
        <v>326</v>
      </c>
      <c r="R1038" s="230">
        <f>DATABASE_Table[[#This Row],[Inicial Asking Price (€) (Total)]]-DATABASE_Table[[#This Row],[Vista membership]]-DATABASE_Table[[#This Row],[FF&amp;E]]</f>
        <v>710000</v>
      </c>
      <c r="S1038" s="232">
        <v>710000</v>
      </c>
      <c r="T1038" s="232">
        <v>710000</v>
      </c>
      <c r="U1038" s="198"/>
      <c r="V1038" s="198"/>
      <c r="W1038" s="233">
        <f>DATABASE_Table[[#This Row],[Current Asking price( Total)]]-DATABASE_Table[[#This Row],[Vista membership]]-DATABASE_Table[[#This Row],[FF&amp;E]]</f>
        <v>710000</v>
      </c>
      <c r="X1038" s="216">
        <v>0</v>
      </c>
      <c r="Y1038" s="232">
        <v>710000</v>
      </c>
      <c r="Z1038" s="233">
        <f>DATABASE_Table[[#This Row],[Sell price (Total)]]-DATABASE_Table[[#This Row],[FF&amp;E]]-DATABASE_Table[[#This Row],[Vista membership]]</f>
        <v>710000</v>
      </c>
      <c r="AA1038" s="315"/>
      <c r="AB1038" s="321"/>
      <c r="AC1038" s="198" t="s">
        <v>10</v>
      </c>
      <c r="AD1038" s="198" t="s">
        <v>807</v>
      </c>
      <c r="AE1038" s="279" t="s">
        <v>32</v>
      </c>
      <c r="AF1038" s="279" t="s">
        <v>808</v>
      </c>
      <c r="AG1038" s="279" t="s">
        <v>33</v>
      </c>
      <c r="AH1038" s="279" t="s">
        <v>809</v>
      </c>
      <c r="AI1038" s="198" t="s">
        <v>15</v>
      </c>
      <c r="AJ1038" s="274" t="s">
        <v>31</v>
      </c>
      <c r="AK1038"/>
    </row>
    <row r="1039" spans="1:37" ht="15.75" hidden="1" customHeight="1">
      <c r="A1039" s="198" t="s">
        <v>690</v>
      </c>
      <c r="B1039" s="198" t="s">
        <v>691</v>
      </c>
      <c r="C1039" s="214" t="s">
        <v>355</v>
      </c>
      <c r="D1039" s="198" t="s">
        <v>9</v>
      </c>
      <c r="E1039" s="198" t="s">
        <v>383</v>
      </c>
      <c r="F1039" s="198">
        <v>321.57</v>
      </c>
      <c r="G1039" s="198">
        <v>163.77000000000001</v>
      </c>
      <c r="H1039" s="214" t="s">
        <v>325</v>
      </c>
      <c r="I1039" s="214" t="s">
        <v>325</v>
      </c>
      <c r="J1039" s="271"/>
      <c r="K1039" s="198"/>
      <c r="L1039" s="198"/>
      <c r="M1039" s="198"/>
      <c r="N1039" s="198"/>
      <c r="O1039" s="198">
        <v>157.80000000000001</v>
      </c>
      <c r="P1039" s="198"/>
      <c r="Q1039" s="198" t="s">
        <v>329</v>
      </c>
      <c r="R1039" s="230">
        <f>DATABASE_Table[[#This Row],[Inicial Asking Price (€) (Total)]]-DATABASE_Table[[#This Row],[Vista membership]]-DATABASE_Table[[#This Row],[FF&amp;E]]</f>
        <v>1552100</v>
      </c>
      <c r="S1039" s="231">
        <v>1641050</v>
      </c>
      <c r="T1039" s="232">
        <v>1730000</v>
      </c>
      <c r="U1039" s="198">
        <v>24600</v>
      </c>
      <c r="V1039" s="198">
        <v>64350</v>
      </c>
      <c r="W1039" s="233">
        <f>DATABASE_Table[[#This Row],[Current Asking price( Total)]]-DATABASE_Table[[#This Row],[Vista membership]]-DATABASE_Table[[#This Row],[FF&amp;E]]</f>
        <v>1641050</v>
      </c>
      <c r="X1039" s="216"/>
      <c r="Y1039" s="232">
        <v>1730000</v>
      </c>
      <c r="Z1039" s="233">
        <f>DATABASE_Table[[#This Row],[Sell price (Total)]]-DATABASE_Table[[#This Row],[FF&amp;E]]-DATABASE_Table[[#This Row],[Vista membership]]</f>
        <v>1641050</v>
      </c>
      <c r="AA1039" s="315"/>
      <c r="AB1039" s="321"/>
      <c r="AC1039" s="198" t="s">
        <v>10</v>
      </c>
      <c r="AD1039" s="198" t="s">
        <v>35</v>
      </c>
      <c r="AE1039" s="279" t="s">
        <v>38</v>
      </c>
      <c r="AF1039" s="279" t="s">
        <v>39</v>
      </c>
      <c r="AG1039" s="279" t="s">
        <v>40</v>
      </c>
      <c r="AH1039" s="279" t="s">
        <v>810</v>
      </c>
      <c r="AI1039" s="198" t="s">
        <v>41</v>
      </c>
      <c r="AJ1039" s="274" t="s">
        <v>37</v>
      </c>
      <c r="AK1039"/>
    </row>
    <row r="1040" spans="1:37" ht="15.75" hidden="1" customHeight="1">
      <c r="A1040" s="198" t="s">
        <v>782</v>
      </c>
      <c r="B1040" s="198" t="s">
        <v>786</v>
      </c>
      <c r="C1040" s="214" t="s">
        <v>300</v>
      </c>
      <c r="D1040" s="198" t="s">
        <v>79</v>
      </c>
      <c r="E1040" s="198" t="s">
        <v>322</v>
      </c>
      <c r="F1040" s="198">
        <v>587.4</v>
      </c>
      <c r="G1040" s="198"/>
      <c r="H1040" s="214" t="s">
        <v>849</v>
      </c>
      <c r="I1040" s="214" t="s">
        <v>848</v>
      </c>
      <c r="J1040" s="271"/>
      <c r="K1040" s="198"/>
      <c r="L1040" s="198"/>
      <c r="M1040" s="198">
        <v>167</v>
      </c>
      <c r="N1040" s="198">
        <v>79</v>
      </c>
      <c r="O1040" s="198">
        <v>341.4</v>
      </c>
      <c r="P1040" s="198"/>
      <c r="Q1040" s="198" t="s">
        <v>329</v>
      </c>
      <c r="R1040" s="230">
        <f>DATABASE_Table[[#This Row],[Inicial Asking Price (€) (Total)]]-DATABASE_Table[[#This Row],[Vista membership]]-DATABASE_Table[[#This Row],[FF&amp;E]]</f>
        <v>3060000</v>
      </c>
      <c r="S1040" s="234">
        <v>3140000</v>
      </c>
      <c r="T1040" s="235">
        <v>3140000</v>
      </c>
      <c r="U1040" s="198"/>
      <c r="V1040" s="235">
        <v>80000</v>
      </c>
      <c r="W1040" s="233">
        <f>DATABASE_Table[[#This Row],[Current Asking price( Total)]]-DATABASE_Table[[#This Row],[Vista membership]]-DATABASE_Table[[#This Row],[FF&amp;E]]</f>
        <v>3060000</v>
      </c>
      <c r="X1040" s="236"/>
      <c r="Y1040" s="235"/>
      <c r="Z1040" s="233">
        <f>DATABASE_Table[[#This Row],[Sell price (Total)]]-DATABASE_Table[[#This Row],[FF&amp;E]]-DATABASE_Table[[#This Row],[Vista membership]]</f>
        <v>-80000</v>
      </c>
      <c r="AA1040" s="315"/>
      <c r="AB1040" s="321">
        <v>47118</v>
      </c>
      <c r="AC1040" s="198" t="s">
        <v>80</v>
      </c>
      <c r="AD1040" s="198" t="s">
        <v>81</v>
      </c>
      <c r="AE1040" s="279" t="s">
        <v>82</v>
      </c>
      <c r="AF1040" s="279" t="s">
        <v>83</v>
      </c>
      <c r="AG1040" s="279" t="s">
        <v>84</v>
      </c>
      <c r="AH1040" s="279" t="s">
        <v>85</v>
      </c>
      <c r="AI1040" s="198" t="s">
        <v>86</v>
      </c>
      <c r="AJ1040" s="274" t="s">
        <v>78</v>
      </c>
      <c r="AK1040"/>
    </row>
    <row r="1041" spans="1:37" ht="15.75" hidden="1" customHeight="1">
      <c r="A1041" s="198" t="s">
        <v>563</v>
      </c>
      <c r="B1041" s="198" t="s">
        <v>691</v>
      </c>
      <c r="C1041" s="214" t="s">
        <v>355</v>
      </c>
      <c r="D1041" s="198" t="s">
        <v>9</v>
      </c>
      <c r="E1041" s="198" t="s">
        <v>320</v>
      </c>
      <c r="F1041" s="198">
        <v>130.91999999999999</v>
      </c>
      <c r="G1041" s="198"/>
      <c r="H1041" s="214" t="s">
        <v>325</v>
      </c>
      <c r="I1041" s="214" t="s">
        <v>325</v>
      </c>
      <c r="J1041" s="271"/>
      <c r="K1041" s="198"/>
      <c r="L1041" s="198"/>
      <c r="M1041" s="198"/>
      <c r="N1041" s="198"/>
      <c r="O1041" s="198">
        <v>130.91999999999999</v>
      </c>
      <c r="P1041" s="198"/>
      <c r="Q1041" s="198" t="s">
        <v>628</v>
      </c>
      <c r="R1041" s="230">
        <f>DATABASE_Table[[#This Row],[Inicial Asking Price (€) (Total)]]-DATABASE_Table[[#This Row],[Vista membership]]-DATABASE_Table[[#This Row],[FF&amp;E]]</f>
        <v>660000</v>
      </c>
      <c r="S1041" s="231">
        <v>660000</v>
      </c>
      <c r="T1041" s="232">
        <v>660000</v>
      </c>
      <c r="U1041" s="198"/>
      <c r="V1041" s="198"/>
      <c r="W1041" s="233">
        <f>DATABASE_Table[[#This Row],[Current Asking price( Total)]]-DATABASE_Table[[#This Row],[Vista membership]]-DATABASE_Table[[#This Row],[FF&amp;E]]</f>
        <v>660000</v>
      </c>
      <c r="X1041" s="216">
        <v>0</v>
      </c>
      <c r="Y1041" s="232">
        <v>660000</v>
      </c>
      <c r="Z1041" s="233">
        <f>DATABASE_Table[[#This Row],[Sell price (Total)]]-DATABASE_Table[[#This Row],[FF&amp;E]]-DATABASE_Table[[#This Row],[Vista membership]]</f>
        <v>660000</v>
      </c>
      <c r="AA1041" s="316">
        <v>45967</v>
      </c>
      <c r="AB1041" s="321"/>
      <c r="AC1041" s="198" t="s">
        <v>10</v>
      </c>
      <c r="AD1041" s="198" t="s">
        <v>11</v>
      </c>
      <c r="AE1041" s="279" t="s">
        <v>28</v>
      </c>
      <c r="AF1041" s="279" t="s">
        <v>29</v>
      </c>
      <c r="AG1041" s="279" t="s">
        <v>805</v>
      </c>
      <c r="AH1041" s="279" t="s">
        <v>806</v>
      </c>
      <c r="AI1041" s="198" t="s">
        <v>30</v>
      </c>
      <c r="AJ1041" s="274" t="s">
        <v>27</v>
      </c>
      <c r="AK1041"/>
    </row>
    <row r="1042" spans="1:37" ht="15.75" hidden="1" customHeight="1">
      <c r="A1042" s="198" t="s">
        <v>562</v>
      </c>
      <c r="B1042" s="198" t="s">
        <v>691</v>
      </c>
      <c r="C1042" s="214" t="s">
        <v>355</v>
      </c>
      <c r="D1042" s="198" t="s">
        <v>9</v>
      </c>
      <c r="E1042" s="198" t="s">
        <v>319</v>
      </c>
      <c r="F1042" s="198">
        <v>117</v>
      </c>
      <c r="G1042" s="198"/>
      <c r="H1042" s="214" t="s">
        <v>325</v>
      </c>
      <c r="I1042" s="214" t="s">
        <v>325</v>
      </c>
      <c r="J1042" s="271"/>
      <c r="K1042" s="198"/>
      <c r="L1042" s="198"/>
      <c r="M1042" s="198"/>
      <c r="N1042" s="198"/>
      <c r="O1042" s="198">
        <v>117</v>
      </c>
      <c r="P1042" s="198"/>
      <c r="Q1042" s="198" t="s">
        <v>929</v>
      </c>
      <c r="R1042" s="230">
        <f>DATABASE_Table[[#This Row],[Inicial Asking Price (€) (Total)]]-DATABASE_Table[[#This Row],[Vista membership]]-DATABASE_Table[[#This Row],[FF&amp;E]]</f>
        <v>550000</v>
      </c>
      <c r="S1042" s="231">
        <v>550000</v>
      </c>
      <c r="T1042" s="232">
        <v>570000</v>
      </c>
      <c r="U1042" s="198"/>
      <c r="V1042" s="198"/>
      <c r="W1042" s="233">
        <f>DATABASE_Table[[#This Row],[Current Asking price( Total)]]-DATABASE_Table[[#This Row],[Vista membership]]-DATABASE_Table[[#This Row],[FF&amp;E]]</f>
        <v>570000</v>
      </c>
      <c r="X1042" s="216">
        <v>0</v>
      </c>
      <c r="Y1042" s="232">
        <v>570000</v>
      </c>
      <c r="Z1042" s="233">
        <f>DATABASE_Table[[#This Row],[Sell price (Total)]]-DATABASE_Table[[#This Row],[FF&amp;E]]-DATABASE_Table[[#This Row],[Vista membership]]</f>
        <v>570000</v>
      </c>
      <c r="AA1042" s="315">
        <v>45504</v>
      </c>
      <c r="AB1042" s="321"/>
      <c r="AC1042" s="198" t="s">
        <v>10</v>
      </c>
      <c r="AD1042" s="198" t="s">
        <v>23</v>
      </c>
      <c r="AE1042" s="279" t="s">
        <v>24</v>
      </c>
      <c r="AF1042" s="279" t="s">
        <v>803</v>
      </c>
      <c r="AG1042" s="279" t="s">
        <v>25</v>
      </c>
      <c r="AH1042" s="279" t="s">
        <v>804</v>
      </c>
      <c r="AI1042" s="198" t="s">
        <v>26</v>
      </c>
      <c r="AJ1042" s="274" t="s">
        <v>22</v>
      </c>
      <c r="AK1042"/>
    </row>
    <row r="1043" spans="1:37" ht="15.75" hidden="1" customHeight="1">
      <c r="A1043" s="198" t="s">
        <v>689</v>
      </c>
      <c r="B1043" s="198" t="s">
        <v>691</v>
      </c>
      <c r="C1043" s="214" t="s">
        <v>355</v>
      </c>
      <c r="D1043" s="198"/>
      <c r="E1043" s="198" t="s">
        <v>384</v>
      </c>
      <c r="F1043" s="198">
        <v>158.05609999999999</v>
      </c>
      <c r="G1043" s="198"/>
      <c r="H1043" s="214" t="s">
        <v>325</v>
      </c>
      <c r="I1043" s="214" t="s">
        <v>325</v>
      </c>
      <c r="J1043" s="271"/>
      <c r="K1043" s="198"/>
      <c r="L1043" s="198"/>
      <c r="M1043" s="198"/>
      <c r="N1043" s="198"/>
      <c r="O1043" s="198">
        <v>158.05609999999999</v>
      </c>
      <c r="P1043" s="198"/>
      <c r="Q1043" s="198" t="s">
        <v>929</v>
      </c>
      <c r="R1043" s="230">
        <f>DATABASE_Table[[#This Row],[Inicial Asking Price (€) (Total)]]-DATABASE_Table[[#This Row],[Vista membership]]-DATABASE_Table[[#This Row],[FF&amp;E]]</f>
        <v>928815</v>
      </c>
      <c r="S1043" s="231">
        <v>928815</v>
      </c>
      <c r="T1043" s="232">
        <v>992000</v>
      </c>
      <c r="U1043" s="198"/>
      <c r="V1043" s="198"/>
      <c r="W1043" s="233">
        <f>DATABASE_Table[[#This Row],[Current Asking price( Total)]]-DATABASE_Table[[#This Row],[Vista membership]]-DATABASE_Table[[#This Row],[FF&amp;E]]</f>
        <v>992000</v>
      </c>
      <c r="X1043" s="216">
        <v>0</v>
      </c>
      <c r="Y1043" s="232">
        <v>992000</v>
      </c>
      <c r="Z1043" s="233">
        <f>DATABASE_Table[[#This Row],[Sell price (Total)]]-DATABASE_Table[[#This Row],[FF&amp;E]]-DATABASE_Table[[#This Row],[Vista membership]]</f>
        <v>992000</v>
      </c>
      <c r="AA1043" s="315">
        <v>45051</v>
      </c>
      <c r="AB1043" s="321"/>
      <c r="AC1043" s="198"/>
      <c r="AD1043" s="198"/>
      <c r="AE1043" s="279"/>
      <c r="AF1043" s="279"/>
      <c r="AG1043" s="279"/>
      <c r="AH1043" s="279"/>
      <c r="AI1043" s="198"/>
      <c r="AJ1043" s="274" t="s">
        <v>689</v>
      </c>
      <c r="AK1043"/>
    </row>
    <row r="1044" spans="1:37" ht="15.75" hidden="1" customHeight="1">
      <c r="A1044" s="198" t="s">
        <v>564</v>
      </c>
      <c r="B1044" s="198" t="s">
        <v>691</v>
      </c>
      <c r="C1044" s="214" t="s">
        <v>355</v>
      </c>
      <c r="D1044" s="198" t="s">
        <v>9</v>
      </c>
      <c r="E1044" s="198" t="s">
        <v>319</v>
      </c>
      <c r="F1044" s="198">
        <v>140.91999999999999</v>
      </c>
      <c r="G1044" s="198"/>
      <c r="H1044" s="214" t="s">
        <v>325</v>
      </c>
      <c r="I1044" s="214" t="s">
        <v>325</v>
      </c>
      <c r="J1044" s="271">
        <v>50.58</v>
      </c>
      <c r="K1044" s="198"/>
      <c r="L1044" s="198"/>
      <c r="M1044" s="198"/>
      <c r="N1044" s="198"/>
      <c r="O1044" s="198">
        <v>90.34</v>
      </c>
      <c r="P1044" s="198"/>
      <c r="Q1044" s="198" t="s">
        <v>329</v>
      </c>
      <c r="R1044" s="230">
        <f>DATABASE_Table[[#This Row],[Inicial Asking Price (€) (Total)]]-DATABASE_Table[[#This Row],[Vista membership]]-DATABASE_Table[[#This Row],[FF&amp;E]]</f>
        <v>724585.6</v>
      </c>
      <c r="S1044" s="231">
        <v>789185.6</v>
      </c>
      <c r="T1044" s="232">
        <v>860000</v>
      </c>
      <c r="U1044" s="198">
        <v>24600</v>
      </c>
      <c r="V1044" s="198">
        <v>40000</v>
      </c>
      <c r="W1044" s="233">
        <f>DATABASE_Table[[#This Row],[Current Asking price( Total)]]-DATABASE_Table[[#This Row],[Vista membership]]-DATABASE_Table[[#This Row],[FF&amp;E]]</f>
        <v>795400</v>
      </c>
      <c r="X1044" s="216"/>
      <c r="Y1044" s="232">
        <v>860000</v>
      </c>
      <c r="Z1044" s="233">
        <f>DATABASE_Table[[#This Row],[Sell price (Total)]]-DATABASE_Table[[#This Row],[FF&amp;E]]-DATABASE_Table[[#This Row],[Vista membership]]</f>
        <v>795400</v>
      </c>
      <c r="AA1044" s="315"/>
      <c r="AB1044" s="321"/>
      <c r="AC1044" s="198" t="s">
        <v>10</v>
      </c>
      <c r="AD1044" s="198" t="s">
        <v>35</v>
      </c>
      <c r="AE1044" s="279" t="s">
        <v>43</v>
      </c>
      <c r="AF1044" s="279" t="s">
        <v>44</v>
      </c>
      <c r="AG1044" s="279" t="s">
        <v>45</v>
      </c>
      <c r="AH1044" s="279" t="s">
        <v>46</v>
      </c>
      <c r="AI1044" s="198" t="s">
        <v>47</v>
      </c>
      <c r="AJ1044" s="274" t="s">
        <v>42</v>
      </c>
      <c r="AK1044"/>
    </row>
    <row r="1045" spans="1:37" ht="15.75" hidden="1" customHeight="1">
      <c r="A1045" s="198" t="s">
        <v>630</v>
      </c>
      <c r="B1045" s="198" t="s">
        <v>691</v>
      </c>
      <c r="C1045" s="214" t="s">
        <v>356</v>
      </c>
      <c r="D1045" s="198" t="s">
        <v>9</v>
      </c>
      <c r="E1045" s="198" t="s">
        <v>319</v>
      </c>
      <c r="F1045" s="198">
        <v>151.37</v>
      </c>
      <c r="G1045" s="198"/>
      <c r="H1045" s="214" t="s">
        <v>849</v>
      </c>
      <c r="I1045" s="214" t="s">
        <v>325</v>
      </c>
      <c r="J1045" s="271">
        <v>20.100000000000001</v>
      </c>
      <c r="K1045" s="198"/>
      <c r="L1045" s="198"/>
      <c r="M1045" s="198">
        <v>7.51</v>
      </c>
      <c r="N1045" s="198"/>
      <c r="O1045" s="198">
        <v>123.76</v>
      </c>
      <c r="P1045" s="198"/>
      <c r="Q1045" s="198" t="s">
        <v>329</v>
      </c>
      <c r="R1045" s="230">
        <f>DATABASE_Table[[#This Row],[Inicial Asking Price (€) (Total)]]-DATABASE_Table[[#This Row],[Vista membership]]-DATABASE_Table[[#This Row],[FF&amp;E]]</f>
        <v>923772.82799999998</v>
      </c>
      <c r="S1045" s="231">
        <v>923772.82799999998</v>
      </c>
      <c r="T1045" s="232">
        <v>895000</v>
      </c>
      <c r="U1045" s="198"/>
      <c r="V1045" s="198"/>
      <c r="W1045" s="233">
        <f>DATABASE_Table[[#This Row],[Current Asking price( Total)]]-DATABASE_Table[[#This Row],[Vista membership]]-DATABASE_Table[[#This Row],[FF&amp;E]]</f>
        <v>895000</v>
      </c>
      <c r="X1045" s="216"/>
      <c r="Y1045" s="232">
        <v>930000</v>
      </c>
      <c r="Z1045" s="233">
        <f>DATABASE_Table[[#This Row],[Sell price (Total)]]-DATABASE_Table[[#This Row],[FF&amp;E]]-DATABASE_Table[[#This Row],[Vista membership]]</f>
        <v>930000</v>
      </c>
      <c r="AA1045" s="315"/>
      <c r="AB1045" s="321"/>
      <c r="AC1045" s="198" t="s">
        <v>10</v>
      </c>
      <c r="AD1045" s="198" t="s">
        <v>11</v>
      </c>
      <c r="AE1045" s="279" t="s">
        <v>53</v>
      </c>
      <c r="AF1045" s="279" t="s">
        <v>54</v>
      </c>
      <c r="AG1045" s="279" t="s">
        <v>811</v>
      </c>
      <c r="AH1045" s="279" t="s">
        <v>812</v>
      </c>
      <c r="AI1045" s="198" t="s">
        <v>36</v>
      </c>
      <c r="AJ1045" s="274" t="s">
        <v>52</v>
      </c>
      <c r="AK1045"/>
    </row>
    <row r="1046" spans="1:37" ht="15.75" hidden="1" customHeight="1">
      <c r="A1046" s="198" t="s">
        <v>782</v>
      </c>
      <c r="B1046" s="198" t="s">
        <v>786</v>
      </c>
      <c r="C1046" s="214" t="s">
        <v>293</v>
      </c>
      <c r="D1046" s="198" t="s">
        <v>79</v>
      </c>
      <c r="E1046" s="198" t="s">
        <v>322</v>
      </c>
      <c r="F1046" s="198">
        <v>594.79999999999995</v>
      </c>
      <c r="G1046" s="198"/>
      <c r="H1046" s="214" t="s">
        <v>849</v>
      </c>
      <c r="I1046" s="214" t="s">
        <v>848</v>
      </c>
      <c r="J1046" s="271"/>
      <c r="K1046" s="198"/>
      <c r="L1046" s="198"/>
      <c r="M1046" s="198">
        <v>198.8</v>
      </c>
      <c r="N1046" s="198">
        <v>47</v>
      </c>
      <c r="O1046" s="198">
        <v>349</v>
      </c>
      <c r="P1046" s="198"/>
      <c r="Q1046" s="198" t="s">
        <v>326</v>
      </c>
      <c r="R1046" s="230">
        <f>DATABASE_Table[[#This Row],[Inicial Asking Price (€) (Total)]]-DATABASE_Table[[#This Row],[Vista membership]]-DATABASE_Table[[#This Row],[FF&amp;E]]</f>
        <v>3145000</v>
      </c>
      <c r="S1046" s="234">
        <v>3225000</v>
      </c>
      <c r="T1046" s="235">
        <v>3225000</v>
      </c>
      <c r="U1046" s="198"/>
      <c r="V1046" s="235">
        <v>80000</v>
      </c>
      <c r="W1046" s="233">
        <f>DATABASE_Table[[#This Row],[Current Asking price( Total)]]-DATABASE_Table[[#This Row],[Vista membership]]-DATABASE_Table[[#This Row],[FF&amp;E]]</f>
        <v>3145000</v>
      </c>
      <c r="X1046" s="236">
        <v>0</v>
      </c>
      <c r="Y1046" s="235">
        <v>3225000</v>
      </c>
      <c r="Z1046" s="233">
        <f>DATABASE_Table[[#This Row],[Sell price (Total)]]-DATABASE_Table[[#This Row],[FF&amp;E]]-DATABASE_Table[[#This Row],[Vista membership]]</f>
        <v>3145000</v>
      </c>
      <c r="AA1046" s="315">
        <v>46091</v>
      </c>
      <c r="AB1046" s="321">
        <v>47118</v>
      </c>
      <c r="AC1046" s="198" t="s">
        <v>80</v>
      </c>
      <c r="AD1046" s="198" t="s">
        <v>81</v>
      </c>
      <c r="AE1046" s="279" t="s">
        <v>82</v>
      </c>
      <c r="AF1046" s="279" t="s">
        <v>83</v>
      </c>
      <c r="AG1046" s="279" t="s">
        <v>84</v>
      </c>
      <c r="AH1046" s="279" t="s">
        <v>85</v>
      </c>
      <c r="AI1046" s="198" t="s">
        <v>86</v>
      </c>
      <c r="AJ1046" s="274" t="s">
        <v>78</v>
      </c>
      <c r="AK1046"/>
    </row>
    <row r="1047" spans="1:37" ht="15.75" hidden="1" customHeight="1">
      <c r="A1047" s="198" t="s">
        <v>782</v>
      </c>
      <c r="B1047" s="198" t="s">
        <v>786</v>
      </c>
      <c r="C1047" s="214" t="s">
        <v>295</v>
      </c>
      <c r="D1047" s="198" t="s">
        <v>79</v>
      </c>
      <c r="E1047" s="198" t="s">
        <v>322</v>
      </c>
      <c r="F1047" s="198">
        <v>602</v>
      </c>
      <c r="G1047" s="198"/>
      <c r="H1047" s="214" t="s">
        <v>849</v>
      </c>
      <c r="I1047" s="214" t="s">
        <v>848</v>
      </c>
      <c r="J1047" s="271"/>
      <c r="K1047" s="198"/>
      <c r="L1047" s="198"/>
      <c r="M1047" s="198">
        <v>203</v>
      </c>
      <c r="N1047" s="198">
        <v>47</v>
      </c>
      <c r="O1047" s="198">
        <v>352</v>
      </c>
      <c r="P1047" s="198"/>
      <c r="Q1047" s="198" t="s">
        <v>326</v>
      </c>
      <c r="R1047" s="230">
        <f>DATABASE_Table[[#This Row],[Inicial Asking Price (€) (Total)]]-DATABASE_Table[[#This Row],[Vista membership]]-DATABASE_Table[[#This Row],[FF&amp;E]]</f>
        <v>3145000</v>
      </c>
      <c r="S1047" s="234">
        <v>3225000</v>
      </c>
      <c r="T1047" s="235">
        <v>3225000</v>
      </c>
      <c r="U1047" s="198"/>
      <c r="V1047" s="235">
        <v>80000</v>
      </c>
      <c r="W1047" s="233">
        <f>DATABASE_Table[[#This Row],[Current Asking price( Total)]]-DATABASE_Table[[#This Row],[Vista membership]]-DATABASE_Table[[#This Row],[FF&amp;E]]</f>
        <v>3145000</v>
      </c>
      <c r="X1047" s="236">
        <v>0</v>
      </c>
      <c r="Y1047" s="235">
        <v>3225000</v>
      </c>
      <c r="Z1047" s="233">
        <f>DATABASE_Table[[#This Row],[Sell price (Total)]]-DATABASE_Table[[#This Row],[FF&amp;E]]-DATABASE_Table[[#This Row],[Vista membership]]</f>
        <v>3145000</v>
      </c>
      <c r="AA1047" s="315">
        <v>46091</v>
      </c>
      <c r="AB1047" s="321">
        <v>47118</v>
      </c>
      <c r="AC1047" s="198" t="s">
        <v>80</v>
      </c>
      <c r="AD1047" s="198" t="s">
        <v>81</v>
      </c>
      <c r="AE1047" s="279" t="s">
        <v>82</v>
      </c>
      <c r="AF1047" s="279" t="s">
        <v>83</v>
      </c>
      <c r="AG1047" s="279" t="s">
        <v>84</v>
      </c>
      <c r="AH1047" s="279" t="s">
        <v>85</v>
      </c>
      <c r="AI1047" s="198" t="s">
        <v>86</v>
      </c>
      <c r="AJ1047" s="274" t="s">
        <v>78</v>
      </c>
      <c r="AK1047"/>
    </row>
    <row r="1048" spans="1:37" ht="15.75" hidden="1" customHeight="1">
      <c r="A1048" s="198" t="s">
        <v>782</v>
      </c>
      <c r="B1048" s="198" t="s">
        <v>786</v>
      </c>
      <c r="C1048" s="214" t="s">
        <v>294</v>
      </c>
      <c r="D1048" s="198" t="s">
        <v>79</v>
      </c>
      <c r="E1048" s="198" t="s">
        <v>322</v>
      </c>
      <c r="F1048" s="198">
        <v>594.4</v>
      </c>
      <c r="G1048" s="198"/>
      <c r="H1048" s="214" t="s">
        <v>849</v>
      </c>
      <c r="I1048" s="214" t="s">
        <v>848</v>
      </c>
      <c r="J1048" s="271"/>
      <c r="K1048" s="198"/>
      <c r="L1048" s="198"/>
      <c r="M1048" s="198">
        <v>199.4</v>
      </c>
      <c r="N1048" s="198">
        <v>47</v>
      </c>
      <c r="O1048" s="198">
        <v>348</v>
      </c>
      <c r="P1048" s="198"/>
      <c r="Q1048" s="198" t="s">
        <v>329</v>
      </c>
      <c r="R1048" s="230">
        <f>DATABASE_Table[[#This Row],[Inicial Asking Price (€) (Total)]]-DATABASE_Table[[#This Row],[Vista membership]]-DATABASE_Table[[#This Row],[FF&amp;E]]</f>
        <v>3145000</v>
      </c>
      <c r="S1048" s="234">
        <v>3225000</v>
      </c>
      <c r="T1048" s="235">
        <v>3225000</v>
      </c>
      <c r="U1048" s="198"/>
      <c r="V1048" s="235">
        <v>80000</v>
      </c>
      <c r="W1048" s="233">
        <f>DATABASE_Table[[#This Row],[Current Asking price( Total)]]-DATABASE_Table[[#This Row],[Vista membership]]-DATABASE_Table[[#This Row],[FF&amp;E]]</f>
        <v>3145000</v>
      </c>
      <c r="X1048" s="236"/>
      <c r="Y1048" s="235"/>
      <c r="Z1048" s="233">
        <f>DATABASE_Table[[#This Row],[Sell price (Total)]]-DATABASE_Table[[#This Row],[FF&amp;E]]-DATABASE_Table[[#This Row],[Vista membership]]</f>
        <v>-80000</v>
      </c>
      <c r="AA1048" s="315"/>
      <c r="AB1048" s="321">
        <v>47118</v>
      </c>
      <c r="AC1048" s="198" t="s">
        <v>80</v>
      </c>
      <c r="AD1048" s="198" t="s">
        <v>81</v>
      </c>
      <c r="AE1048" s="279" t="s">
        <v>82</v>
      </c>
      <c r="AF1048" s="279" t="s">
        <v>83</v>
      </c>
      <c r="AG1048" s="279" t="s">
        <v>84</v>
      </c>
      <c r="AH1048" s="279" t="s">
        <v>85</v>
      </c>
      <c r="AI1048" s="198" t="s">
        <v>86</v>
      </c>
      <c r="AJ1048" s="274" t="s">
        <v>78</v>
      </c>
      <c r="AK1048"/>
    </row>
    <row r="1049" spans="1:37" ht="15.75" hidden="1" customHeight="1">
      <c r="A1049" s="198" t="s">
        <v>558</v>
      </c>
      <c r="B1049" s="198" t="s">
        <v>691</v>
      </c>
      <c r="C1049" s="214" t="s">
        <v>356</v>
      </c>
      <c r="D1049" s="198" t="s">
        <v>9</v>
      </c>
      <c r="E1049" s="198" t="s">
        <v>319</v>
      </c>
      <c r="F1049" s="198">
        <v>106.61</v>
      </c>
      <c r="G1049" s="198"/>
      <c r="H1049" s="214" t="s">
        <v>614</v>
      </c>
      <c r="I1049" s="214" t="s">
        <v>325</v>
      </c>
      <c r="J1049" s="271"/>
      <c r="K1049" s="198"/>
      <c r="L1049" s="198"/>
      <c r="M1049" s="198"/>
      <c r="N1049" s="198"/>
      <c r="O1049" s="198">
        <v>106.61</v>
      </c>
      <c r="P1049" s="198"/>
      <c r="Q1049" s="198" t="s">
        <v>329</v>
      </c>
      <c r="R1049" s="230">
        <f>DATABASE_Table[[#This Row],[Inicial Asking Price (€) (Total)]]-DATABASE_Table[[#This Row],[Vista membership]]-DATABASE_Table[[#This Row],[FF&amp;E]]</f>
        <v>710000</v>
      </c>
      <c r="S1049" s="231">
        <v>710000</v>
      </c>
      <c r="T1049" s="232">
        <v>710000</v>
      </c>
      <c r="U1049" s="198"/>
      <c r="V1049" s="198"/>
      <c r="W1049" s="233">
        <f>DATABASE_Table[[#This Row],[Current Asking price( Total)]]-DATABASE_Table[[#This Row],[Vista membership]]-DATABASE_Table[[#This Row],[FF&amp;E]]</f>
        <v>710000</v>
      </c>
      <c r="X1049" s="216"/>
      <c r="Y1049" s="232">
        <v>710000</v>
      </c>
      <c r="Z1049" s="233">
        <f>DATABASE_Table[[#This Row],[Sell price (Total)]]-DATABASE_Table[[#This Row],[FF&amp;E]]-DATABASE_Table[[#This Row],[Vista membership]]</f>
        <v>710000</v>
      </c>
      <c r="AA1049" s="315"/>
      <c r="AB1049" s="321"/>
      <c r="AC1049" s="198" t="s">
        <v>10</v>
      </c>
      <c r="AD1049" s="198" t="s">
        <v>11</v>
      </c>
      <c r="AE1049" s="279" t="s">
        <v>12</v>
      </c>
      <c r="AF1049" s="279" t="s">
        <v>801</v>
      </c>
      <c r="AG1049" s="279" t="s">
        <v>13</v>
      </c>
      <c r="AH1049" s="279" t="s">
        <v>14</v>
      </c>
      <c r="AI1049" s="198" t="s">
        <v>15</v>
      </c>
      <c r="AJ1049" s="274" t="s">
        <v>8</v>
      </c>
      <c r="AK1049"/>
    </row>
    <row r="1050" spans="1:37" ht="15.75" hidden="1" customHeight="1">
      <c r="A1050" s="198" t="s">
        <v>31</v>
      </c>
      <c r="B1050" s="198" t="s">
        <v>691</v>
      </c>
      <c r="C1050" s="214" t="s">
        <v>356</v>
      </c>
      <c r="D1050" s="198" t="s">
        <v>9</v>
      </c>
      <c r="E1050" s="198" t="s">
        <v>319</v>
      </c>
      <c r="F1050" s="198"/>
      <c r="G1050" s="198"/>
      <c r="H1050" s="214" t="s">
        <v>325</v>
      </c>
      <c r="I1050" s="214" t="s">
        <v>325</v>
      </c>
      <c r="J1050" s="271"/>
      <c r="K1050" s="198">
        <v>0</v>
      </c>
      <c r="L1050" s="198"/>
      <c r="M1050" s="198">
        <v>21</v>
      </c>
      <c r="N1050" s="198"/>
      <c r="O1050" s="198">
        <v>108</v>
      </c>
      <c r="P1050" s="198"/>
      <c r="Q1050" s="198" t="s">
        <v>329</v>
      </c>
      <c r="R1050" s="230">
        <f>DATABASE_Table[[#This Row],[Inicial Asking Price (€) (Total)]]-DATABASE_Table[[#This Row],[Vista membership]]-DATABASE_Table[[#This Row],[FF&amp;E]]</f>
        <v>790000</v>
      </c>
      <c r="S1050" s="232">
        <v>790000</v>
      </c>
      <c r="T1050" s="232">
        <v>790000</v>
      </c>
      <c r="U1050" s="198"/>
      <c r="V1050" s="198"/>
      <c r="W1050" s="233">
        <f>DATABASE_Table[[#This Row],[Current Asking price( Total)]]-DATABASE_Table[[#This Row],[Vista membership]]-DATABASE_Table[[#This Row],[FF&amp;E]]</f>
        <v>790000</v>
      </c>
      <c r="X1050" s="216"/>
      <c r="Y1050" s="232">
        <v>780000</v>
      </c>
      <c r="Z1050" s="233">
        <f>DATABASE_Table[[#This Row],[Sell price (Total)]]-DATABASE_Table[[#This Row],[FF&amp;E]]-DATABASE_Table[[#This Row],[Vista membership]]</f>
        <v>780000</v>
      </c>
      <c r="AA1050" s="315"/>
      <c r="AB1050" s="321"/>
      <c r="AC1050" s="198" t="s">
        <v>10</v>
      </c>
      <c r="AD1050" s="198" t="s">
        <v>807</v>
      </c>
      <c r="AE1050" s="279" t="s">
        <v>32</v>
      </c>
      <c r="AF1050" s="279" t="s">
        <v>808</v>
      </c>
      <c r="AG1050" s="279" t="s">
        <v>33</v>
      </c>
      <c r="AH1050" s="279" t="s">
        <v>809</v>
      </c>
      <c r="AI1050" s="198" t="s">
        <v>15</v>
      </c>
      <c r="AJ1050" s="274" t="s">
        <v>31</v>
      </c>
      <c r="AK1050"/>
    </row>
    <row r="1051" spans="1:37" ht="15.75" hidden="1" customHeight="1">
      <c r="A1051" s="198" t="s">
        <v>776</v>
      </c>
      <c r="B1051" s="198" t="s">
        <v>769</v>
      </c>
      <c r="C1051" s="214" t="s">
        <v>843</v>
      </c>
      <c r="D1051" s="198" t="s">
        <v>74</v>
      </c>
      <c r="E1051" s="198" t="s">
        <v>553</v>
      </c>
      <c r="F1051" s="198">
        <v>650</v>
      </c>
      <c r="G1051" s="198"/>
      <c r="H1051" s="214" t="s">
        <v>325</v>
      </c>
      <c r="I1051" s="214" t="s">
        <v>325</v>
      </c>
      <c r="J1051" s="271"/>
      <c r="K1051" s="198"/>
      <c r="L1051" s="198"/>
      <c r="M1051" s="198"/>
      <c r="N1051" s="198"/>
      <c r="O1051" s="198">
        <v>650</v>
      </c>
      <c r="P1051" s="198"/>
      <c r="Q1051" s="198" t="s">
        <v>329</v>
      </c>
      <c r="R1051" s="230">
        <f>DATABASE_Table[[#This Row],[Inicial Asking Price (€) (Total)]]-DATABASE_Table[[#This Row],[Vista membership]]-DATABASE_Table[[#This Row],[FF&amp;E]]</f>
        <v>3250000</v>
      </c>
      <c r="S1051" s="234">
        <v>3250000</v>
      </c>
      <c r="T1051" s="235">
        <v>2260000</v>
      </c>
      <c r="U1051" s="198"/>
      <c r="V1051" s="198"/>
      <c r="W1051" s="233">
        <f>DATABASE_Table[[#This Row],[Current Asking price( Total)]]-DATABASE_Table[[#This Row],[Vista membership]]-DATABASE_Table[[#This Row],[FF&amp;E]]</f>
        <v>2260000</v>
      </c>
      <c r="X1051" s="236"/>
      <c r="Y1051" s="235"/>
      <c r="Z1051" s="233">
        <f>DATABASE_Table[[#This Row],[Sell price (Total)]]-DATABASE_Table[[#This Row],[FF&amp;E]]-DATABASE_Table[[#This Row],[Vista membership]]</f>
        <v>0</v>
      </c>
      <c r="AA1051" s="315"/>
      <c r="AB1051" s="321" t="s">
        <v>32</v>
      </c>
      <c r="AC1051" s="198" t="s">
        <v>57</v>
      </c>
      <c r="AD1051" s="198"/>
      <c r="AE1051" s="279" t="s">
        <v>75</v>
      </c>
      <c r="AF1051" s="279" t="s">
        <v>554</v>
      </c>
      <c r="AG1051" s="279" t="s">
        <v>76</v>
      </c>
      <c r="AH1051" s="279" t="s">
        <v>77</v>
      </c>
      <c r="AI1051" s="198" t="s">
        <v>32</v>
      </c>
      <c r="AJ1051" s="274" t="s">
        <v>73</v>
      </c>
      <c r="AK1051"/>
    </row>
    <row r="1052" spans="1:37" ht="15.75" hidden="1" customHeight="1">
      <c r="A1052" s="198" t="s">
        <v>690</v>
      </c>
      <c r="B1052" s="198" t="s">
        <v>691</v>
      </c>
      <c r="C1052" s="214" t="s">
        <v>356</v>
      </c>
      <c r="D1052" s="198" t="s">
        <v>9</v>
      </c>
      <c r="E1052" s="198" t="s">
        <v>383</v>
      </c>
      <c r="F1052" s="198">
        <v>321.57</v>
      </c>
      <c r="G1052" s="198">
        <v>163.77000000000001</v>
      </c>
      <c r="H1052" s="214" t="s">
        <v>325</v>
      </c>
      <c r="I1052" s="214" t="s">
        <v>325</v>
      </c>
      <c r="J1052" s="271"/>
      <c r="K1052" s="198"/>
      <c r="L1052" s="198"/>
      <c r="M1052" s="198"/>
      <c r="N1052" s="198"/>
      <c r="O1052" s="198">
        <v>157.80000000000001</v>
      </c>
      <c r="P1052" s="198"/>
      <c r="Q1052" s="198" t="s">
        <v>329</v>
      </c>
      <c r="R1052" s="230">
        <f>DATABASE_Table[[#This Row],[Inicial Asking Price (€) (Total)]]-DATABASE_Table[[#This Row],[Vista membership]]-DATABASE_Table[[#This Row],[FF&amp;E]]</f>
        <v>1552100</v>
      </c>
      <c r="S1052" s="231">
        <v>1641050</v>
      </c>
      <c r="T1052" s="232">
        <v>1730000</v>
      </c>
      <c r="U1052" s="198">
        <v>24600</v>
      </c>
      <c r="V1052" s="198">
        <v>64350</v>
      </c>
      <c r="W1052" s="233">
        <f>DATABASE_Table[[#This Row],[Current Asking price( Total)]]-DATABASE_Table[[#This Row],[Vista membership]]-DATABASE_Table[[#This Row],[FF&amp;E]]</f>
        <v>1641050</v>
      </c>
      <c r="X1052" s="216"/>
      <c r="Y1052" s="232">
        <v>1730000</v>
      </c>
      <c r="Z1052" s="233">
        <f>DATABASE_Table[[#This Row],[Sell price (Total)]]-DATABASE_Table[[#This Row],[FF&amp;E]]-DATABASE_Table[[#This Row],[Vista membership]]</f>
        <v>1641050</v>
      </c>
      <c r="AA1052" s="315"/>
      <c r="AB1052" s="321"/>
      <c r="AC1052" s="198" t="s">
        <v>10</v>
      </c>
      <c r="AD1052" s="198" t="s">
        <v>35</v>
      </c>
      <c r="AE1052" s="279" t="s">
        <v>38</v>
      </c>
      <c r="AF1052" s="279" t="s">
        <v>39</v>
      </c>
      <c r="AG1052" s="279" t="s">
        <v>40</v>
      </c>
      <c r="AH1052" s="279" t="s">
        <v>810</v>
      </c>
      <c r="AI1052" s="198" t="s">
        <v>41</v>
      </c>
      <c r="AJ1052" s="274" t="s">
        <v>37</v>
      </c>
      <c r="AK1052"/>
    </row>
    <row r="1053" spans="1:37" ht="15.75" hidden="1" customHeight="1">
      <c r="A1053" s="198" t="s">
        <v>563</v>
      </c>
      <c r="B1053" s="198" t="s">
        <v>691</v>
      </c>
      <c r="C1053" s="214" t="s">
        <v>356</v>
      </c>
      <c r="D1053" s="198" t="s">
        <v>9</v>
      </c>
      <c r="E1053" s="198" t="s">
        <v>320</v>
      </c>
      <c r="F1053" s="198">
        <v>130.91999999999999</v>
      </c>
      <c r="G1053" s="198"/>
      <c r="H1053" s="214" t="s">
        <v>325</v>
      </c>
      <c r="I1053" s="214" t="s">
        <v>325</v>
      </c>
      <c r="J1053" s="271"/>
      <c r="K1053" s="198"/>
      <c r="L1053" s="198"/>
      <c r="M1053" s="198"/>
      <c r="N1053" s="198"/>
      <c r="O1053" s="198">
        <v>130.91999999999999</v>
      </c>
      <c r="P1053" s="198"/>
      <c r="Q1053" s="198" t="s">
        <v>628</v>
      </c>
      <c r="R1053" s="230">
        <f>DATABASE_Table[[#This Row],[Inicial Asking Price (€) (Total)]]-DATABASE_Table[[#This Row],[Vista membership]]-DATABASE_Table[[#This Row],[FF&amp;E]]</f>
        <v>660000</v>
      </c>
      <c r="S1053" s="231">
        <v>660000</v>
      </c>
      <c r="T1053" s="232">
        <v>680000</v>
      </c>
      <c r="U1053" s="198"/>
      <c r="V1053" s="198"/>
      <c r="W1053" s="233">
        <f>DATABASE_Table[[#This Row],[Current Asking price( Total)]]-DATABASE_Table[[#This Row],[Vista membership]]-DATABASE_Table[[#This Row],[FF&amp;E]]</f>
        <v>680000</v>
      </c>
      <c r="X1053" s="216">
        <v>0</v>
      </c>
      <c r="Y1053" s="232">
        <v>680000</v>
      </c>
      <c r="Z1053" s="233">
        <f>DATABASE_Table[[#This Row],[Sell price (Total)]]-DATABASE_Table[[#This Row],[FF&amp;E]]-DATABASE_Table[[#This Row],[Vista membership]]</f>
        <v>680000</v>
      </c>
      <c r="AA1053" s="316">
        <v>45922</v>
      </c>
      <c r="AB1053" s="321"/>
      <c r="AC1053" s="198" t="s">
        <v>10</v>
      </c>
      <c r="AD1053" s="198" t="s">
        <v>11</v>
      </c>
      <c r="AE1053" s="279" t="s">
        <v>28</v>
      </c>
      <c r="AF1053" s="279" t="s">
        <v>29</v>
      </c>
      <c r="AG1053" s="279" t="s">
        <v>805</v>
      </c>
      <c r="AH1053" s="279" t="s">
        <v>806</v>
      </c>
      <c r="AI1053" s="198" t="s">
        <v>30</v>
      </c>
      <c r="AJ1053" s="274" t="s">
        <v>27</v>
      </c>
      <c r="AK1053"/>
    </row>
    <row r="1054" spans="1:37" ht="15.75" hidden="1" customHeight="1">
      <c r="A1054" s="198" t="s">
        <v>562</v>
      </c>
      <c r="B1054" s="198" t="s">
        <v>691</v>
      </c>
      <c r="C1054" s="214" t="s">
        <v>356</v>
      </c>
      <c r="D1054" s="198" t="s">
        <v>9</v>
      </c>
      <c r="E1054" s="198" t="s">
        <v>319</v>
      </c>
      <c r="F1054" s="198">
        <v>117</v>
      </c>
      <c r="G1054" s="198"/>
      <c r="H1054" s="214" t="s">
        <v>325</v>
      </c>
      <c r="I1054" s="214" t="s">
        <v>325</v>
      </c>
      <c r="J1054" s="271"/>
      <c r="K1054" s="198"/>
      <c r="L1054" s="198"/>
      <c r="M1054" s="198"/>
      <c r="N1054" s="198"/>
      <c r="O1054" s="198">
        <v>117</v>
      </c>
      <c r="P1054" s="198"/>
      <c r="Q1054" s="198" t="s">
        <v>929</v>
      </c>
      <c r="R1054" s="230">
        <f>DATABASE_Table[[#This Row],[Inicial Asking Price (€) (Total)]]-DATABASE_Table[[#This Row],[Vista membership]]-DATABASE_Table[[#This Row],[FF&amp;E]]</f>
        <v>550000</v>
      </c>
      <c r="S1054" s="231">
        <v>550000</v>
      </c>
      <c r="T1054" s="232">
        <v>580000</v>
      </c>
      <c r="U1054" s="198"/>
      <c r="V1054" s="198"/>
      <c r="W1054" s="233">
        <f>DATABASE_Table[[#This Row],[Current Asking price( Total)]]-DATABASE_Table[[#This Row],[Vista membership]]-DATABASE_Table[[#This Row],[FF&amp;E]]</f>
        <v>580000</v>
      </c>
      <c r="X1054" s="216">
        <v>0</v>
      </c>
      <c r="Y1054" s="232">
        <v>580000</v>
      </c>
      <c r="Z1054" s="233">
        <f>DATABASE_Table[[#This Row],[Sell price (Total)]]-DATABASE_Table[[#This Row],[FF&amp;E]]-DATABASE_Table[[#This Row],[Vista membership]]</f>
        <v>580000</v>
      </c>
      <c r="AA1054" s="315">
        <v>45471</v>
      </c>
      <c r="AB1054" s="321"/>
      <c r="AC1054" s="198" t="s">
        <v>10</v>
      </c>
      <c r="AD1054" s="198" t="s">
        <v>23</v>
      </c>
      <c r="AE1054" s="279" t="s">
        <v>24</v>
      </c>
      <c r="AF1054" s="279" t="s">
        <v>803</v>
      </c>
      <c r="AG1054" s="279" t="s">
        <v>25</v>
      </c>
      <c r="AH1054" s="279" t="s">
        <v>804</v>
      </c>
      <c r="AI1054" s="198" t="s">
        <v>26</v>
      </c>
      <c r="AJ1054" s="274" t="s">
        <v>22</v>
      </c>
      <c r="AK1054"/>
    </row>
    <row r="1055" spans="1:37" ht="15.75" hidden="1" customHeight="1">
      <c r="A1055" s="198" t="s">
        <v>689</v>
      </c>
      <c r="B1055" s="198" t="s">
        <v>691</v>
      </c>
      <c r="C1055" s="214" t="s">
        <v>356</v>
      </c>
      <c r="D1055" s="198"/>
      <c r="E1055" s="198" t="s">
        <v>384</v>
      </c>
      <c r="F1055" s="198">
        <v>152.87280000000001</v>
      </c>
      <c r="G1055" s="198"/>
      <c r="H1055" s="214" t="s">
        <v>325</v>
      </c>
      <c r="I1055" s="214" t="s">
        <v>325</v>
      </c>
      <c r="J1055" s="271"/>
      <c r="K1055" s="198"/>
      <c r="L1055" s="198"/>
      <c r="M1055" s="198"/>
      <c r="N1055" s="198"/>
      <c r="O1055" s="198">
        <v>152.87280000000001</v>
      </c>
      <c r="P1055" s="198"/>
      <c r="Q1055" s="198" t="s">
        <v>929</v>
      </c>
      <c r="R1055" s="230">
        <f>DATABASE_Table[[#This Row],[Inicial Asking Price (€) (Total)]]-DATABASE_Table[[#This Row],[Vista membership]]-DATABASE_Table[[#This Row],[FF&amp;E]]</f>
        <v>894995</v>
      </c>
      <c r="S1055" s="231">
        <v>894995</v>
      </c>
      <c r="T1055" s="232">
        <v>960000</v>
      </c>
      <c r="U1055" s="198"/>
      <c r="V1055" s="198"/>
      <c r="W1055" s="233">
        <f>DATABASE_Table[[#This Row],[Current Asking price( Total)]]-DATABASE_Table[[#This Row],[Vista membership]]-DATABASE_Table[[#This Row],[FF&amp;E]]</f>
        <v>960000</v>
      </c>
      <c r="X1055" s="216">
        <v>0</v>
      </c>
      <c r="Y1055" s="232">
        <v>960000</v>
      </c>
      <c r="Z1055" s="233">
        <f>DATABASE_Table[[#This Row],[Sell price (Total)]]-DATABASE_Table[[#This Row],[FF&amp;E]]-DATABASE_Table[[#This Row],[Vista membership]]</f>
        <v>960000</v>
      </c>
      <c r="AA1055" s="315">
        <v>45083</v>
      </c>
      <c r="AB1055" s="321"/>
      <c r="AC1055" s="198"/>
      <c r="AD1055" s="198"/>
      <c r="AE1055" s="279"/>
      <c r="AF1055" s="279"/>
      <c r="AG1055" s="279"/>
      <c r="AH1055" s="279"/>
      <c r="AI1055" s="198"/>
      <c r="AJ1055" s="274" t="s">
        <v>689</v>
      </c>
      <c r="AK1055"/>
    </row>
    <row r="1056" spans="1:37" ht="15.75" hidden="1" customHeight="1">
      <c r="A1056" s="198" t="s">
        <v>782</v>
      </c>
      <c r="B1056" s="198" t="s">
        <v>786</v>
      </c>
      <c r="C1056" s="214" t="s">
        <v>292</v>
      </c>
      <c r="D1056" s="198" t="s">
        <v>79</v>
      </c>
      <c r="E1056" s="198" t="s">
        <v>322</v>
      </c>
      <c r="F1056" s="198">
        <v>927.5</v>
      </c>
      <c r="G1056" s="198"/>
      <c r="H1056" s="214" t="s">
        <v>849</v>
      </c>
      <c r="I1056" s="214" t="s">
        <v>848</v>
      </c>
      <c r="J1056" s="271"/>
      <c r="K1056" s="198"/>
      <c r="L1056" s="198"/>
      <c r="M1056" s="198">
        <v>370</v>
      </c>
      <c r="N1056" s="198">
        <v>125.5</v>
      </c>
      <c r="O1056" s="198">
        <v>432</v>
      </c>
      <c r="P1056" s="198"/>
      <c r="Q1056" s="198" t="s">
        <v>326</v>
      </c>
      <c r="R1056" s="230">
        <f>DATABASE_Table[[#This Row],[Inicial Asking Price (€) (Total)]]-DATABASE_Table[[#This Row],[Vista membership]]-DATABASE_Table[[#This Row],[FF&amp;E]]</f>
        <v>3870000</v>
      </c>
      <c r="S1056" s="234">
        <v>3950000</v>
      </c>
      <c r="T1056" s="235">
        <v>4100000</v>
      </c>
      <c r="U1056" s="198"/>
      <c r="V1056" s="235">
        <v>80000</v>
      </c>
      <c r="W1056" s="233">
        <f>DATABASE_Table[[#This Row],[Current Asking price( Total)]]-DATABASE_Table[[#This Row],[Vista membership]]-DATABASE_Table[[#This Row],[FF&amp;E]]</f>
        <v>4020000</v>
      </c>
      <c r="X1056" s="236">
        <v>-3.1707317073170802E-2</v>
      </c>
      <c r="Y1056" s="235">
        <v>4230000</v>
      </c>
      <c r="Z1056" s="233">
        <f>DATABASE_Table[[#This Row],[Sell price (Total)]]-DATABASE_Table[[#This Row],[FF&amp;E]]-DATABASE_Table[[#This Row],[Vista membership]]</f>
        <v>4150000</v>
      </c>
      <c r="AA1056" s="315">
        <v>46090</v>
      </c>
      <c r="AB1056" s="321">
        <v>47118</v>
      </c>
      <c r="AC1056" s="198" t="s">
        <v>80</v>
      </c>
      <c r="AD1056" s="198" t="s">
        <v>81</v>
      </c>
      <c r="AE1056" s="279" t="s">
        <v>82</v>
      </c>
      <c r="AF1056" s="279" t="s">
        <v>83</v>
      </c>
      <c r="AG1056" s="279" t="s">
        <v>84</v>
      </c>
      <c r="AH1056" s="279" t="s">
        <v>85</v>
      </c>
      <c r="AI1056" s="198" t="s">
        <v>86</v>
      </c>
      <c r="AJ1056" s="274" t="s">
        <v>78</v>
      </c>
      <c r="AK1056"/>
    </row>
    <row r="1057" spans="1:37" ht="15.75" hidden="1" customHeight="1">
      <c r="A1057" s="198" t="s">
        <v>55</v>
      </c>
      <c r="B1057" s="198" t="s">
        <v>769</v>
      </c>
      <c r="C1057" s="214" t="s">
        <v>344</v>
      </c>
      <c r="D1057" s="198" t="s">
        <v>56</v>
      </c>
      <c r="E1057" s="198" t="s">
        <v>320</v>
      </c>
      <c r="F1057" s="198">
        <v>456</v>
      </c>
      <c r="G1057" s="198"/>
      <c r="H1057" s="214" t="s">
        <v>847</v>
      </c>
      <c r="I1057" s="214" t="s">
        <v>325</v>
      </c>
      <c r="J1057" s="271"/>
      <c r="K1057" s="198"/>
      <c r="L1057" s="198"/>
      <c r="M1057" s="198">
        <v>213</v>
      </c>
      <c r="N1057" s="198"/>
      <c r="O1057" s="198">
        <v>243</v>
      </c>
      <c r="P1057" s="198"/>
      <c r="Q1057" s="198" t="s">
        <v>329</v>
      </c>
      <c r="R1057" s="230">
        <f>DATABASE_Table[[#This Row],[Inicial Asking Price (€) (Total)]]-DATABASE_Table[[#This Row],[Vista membership]]-DATABASE_Table[[#This Row],[FF&amp;E]]</f>
        <v>4000000</v>
      </c>
      <c r="S1057" s="234">
        <v>4000000</v>
      </c>
      <c r="T1057" s="234">
        <v>4000000</v>
      </c>
      <c r="U1057" s="198"/>
      <c r="V1057" s="198"/>
      <c r="W1057" s="233">
        <f>DATABASE_Table[[#This Row],[Current Asking price( Total)]]-DATABASE_Table[[#This Row],[Vista membership]]-DATABASE_Table[[#This Row],[FF&amp;E]]</f>
        <v>4000000</v>
      </c>
      <c r="X1057" s="236">
        <v>0</v>
      </c>
      <c r="Y1057" s="235">
        <v>4000000</v>
      </c>
      <c r="Z1057" s="233">
        <f>DATABASE_Table[[#This Row],[Sell price (Total)]]-DATABASE_Table[[#This Row],[FF&amp;E]]-DATABASE_Table[[#This Row],[Vista membership]]</f>
        <v>4000000</v>
      </c>
      <c r="AA1057" s="315"/>
      <c r="AB1057" s="321" t="s">
        <v>32</v>
      </c>
      <c r="AC1057" s="198" t="s">
        <v>57</v>
      </c>
      <c r="AD1057" s="198" t="s">
        <v>58</v>
      </c>
      <c r="AE1057" s="279" t="s">
        <v>32</v>
      </c>
      <c r="AF1057" s="279" t="s">
        <v>813</v>
      </c>
      <c r="AG1057" s="279" t="s">
        <v>59</v>
      </c>
      <c r="AH1057" s="279" t="s">
        <v>60</v>
      </c>
      <c r="AI1057" s="198" t="s">
        <v>41</v>
      </c>
      <c r="AJ1057" s="274" t="s">
        <v>55</v>
      </c>
      <c r="AK1057"/>
    </row>
    <row r="1058" spans="1:37" ht="15.75" hidden="1" customHeight="1">
      <c r="A1058" s="198" t="s">
        <v>55</v>
      </c>
      <c r="B1058" s="198" t="s">
        <v>769</v>
      </c>
      <c r="C1058" s="214" t="s">
        <v>336</v>
      </c>
      <c r="D1058" s="198" t="s">
        <v>56</v>
      </c>
      <c r="E1058" s="198" t="s">
        <v>320</v>
      </c>
      <c r="F1058" s="198">
        <v>456</v>
      </c>
      <c r="G1058" s="198"/>
      <c r="H1058" s="214" t="s">
        <v>847</v>
      </c>
      <c r="I1058" s="214" t="s">
        <v>325</v>
      </c>
      <c r="J1058" s="271"/>
      <c r="K1058" s="198"/>
      <c r="L1058" s="198"/>
      <c r="M1058" s="198">
        <v>213</v>
      </c>
      <c r="N1058" s="198"/>
      <c r="O1058" s="198">
        <v>243</v>
      </c>
      <c r="P1058" s="198"/>
      <c r="Q1058" s="198" t="s">
        <v>329</v>
      </c>
      <c r="R1058" s="230">
        <f>DATABASE_Table[[#This Row],[Inicial Asking Price (€) (Total)]]-DATABASE_Table[[#This Row],[Vista membership]]-DATABASE_Table[[#This Row],[FF&amp;E]]</f>
        <v>4100000</v>
      </c>
      <c r="S1058" s="234">
        <v>4100000</v>
      </c>
      <c r="T1058" s="234">
        <v>4100000</v>
      </c>
      <c r="U1058" s="198"/>
      <c r="V1058" s="198"/>
      <c r="W1058" s="233">
        <f>DATABASE_Table[[#This Row],[Current Asking price( Total)]]-DATABASE_Table[[#This Row],[Vista membership]]-DATABASE_Table[[#This Row],[FF&amp;E]]</f>
        <v>4100000</v>
      </c>
      <c r="X1058" s="236">
        <v>0</v>
      </c>
      <c r="Y1058" s="235">
        <v>4100000</v>
      </c>
      <c r="Z1058" s="233">
        <f>DATABASE_Table[[#This Row],[Sell price (Total)]]-DATABASE_Table[[#This Row],[FF&amp;E]]-DATABASE_Table[[#This Row],[Vista membership]]</f>
        <v>4100000</v>
      </c>
      <c r="AA1058" s="315"/>
      <c r="AB1058" s="321" t="s">
        <v>32</v>
      </c>
      <c r="AC1058" s="198" t="s">
        <v>57</v>
      </c>
      <c r="AD1058" s="198" t="s">
        <v>58</v>
      </c>
      <c r="AE1058" s="279" t="s">
        <v>32</v>
      </c>
      <c r="AF1058" s="279" t="s">
        <v>813</v>
      </c>
      <c r="AG1058" s="279" t="s">
        <v>59</v>
      </c>
      <c r="AH1058" s="279" t="s">
        <v>60</v>
      </c>
      <c r="AI1058" s="198" t="s">
        <v>41</v>
      </c>
      <c r="AJ1058" s="274" t="s">
        <v>55</v>
      </c>
      <c r="AK1058"/>
    </row>
    <row r="1059" spans="1:37" ht="15.75" hidden="1" customHeight="1">
      <c r="A1059" s="198" t="s">
        <v>55</v>
      </c>
      <c r="B1059" s="198" t="s">
        <v>769</v>
      </c>
      <c r="C1059" s="214" t="s">
        <v>337</v>
      </c>
      <c r="D1059" s="198" t="s">
        <v>56</v>
      </c>
      <c r="E1059" s="198" t="s">
        <v>320</v>
      </c>
      <c r="F1059" s="198">
        <v>454</v>
      </c>
      <c r="G1059" s="198"/>
      <c r="H1059" s="214" t="s">
        <v>847</v>
      </c>
      <c r="I1059" s="214" t="s">
        <v>325</v>
      </c>
      <c r="J1059" s="271"/>
      <c r="K1059" s="198"/>
      <c r="L1059" s="198"/>
      <c r="M1059" s="198">
        <v>213</v>
      </c>
      <c r="N1059" s="198"/>
      <c r="O1059" s="198">
        <v>241</v>
      </c>
      <c r="P1059" s="198"/>
      <c r="Q1059" s="198" t="s">
        <v>329</v>
      </c>
      <c r="R1059" s="230">
        <f>DATABASE_Table[[#This Row],[Inicial Asking Price (€) (Total)]]-DATABASE_Table[[#This Row],[Vista membership]]-DATABASE_Table[[#This Row],[FF&amp;E]]</f>
        <v>4300000</v>
      </c>
      <c r="S1059" s="234">
        <v>4300000</v>
      </c>
      <c r="T1059" s="234">
        <v>4300000</v>
      </c>
      <c r="U1059" s="198"/>
      <c r="V1059" s="198"/>
      <c r="W1059" s="233">
        <f>DATABASE_Table[[#This Row],[Current Asking price( Total)]]-DATABASE_Table[[#This Row],[Vista membership]]-DATABASE_Table[[#This Row],[FF&amp;E]]</f>
        <v>4300000</v>
      </c>
      <c r="X1059" s="236">
        <v>0</v>
      </c>
      <c r="Y1059" s="235">
        <v>4300000</v>
      </c>
      <c r="Z1059" s="233">
        <f>DATABASE_Table[[#This Row],[Sell price (Total)]]-DATABASE_Table[[#This Row],[FF&amp;E]]-DATABASE_Table[[#This Row],[Vista membership]]</f>
        <v>4300000</v>
      </c>
      <c r="AA1059" s="315"/>
      <c r="AB1059" s="321" t="s">
        <v>32</v>
      </c>
      <c r="AC1059" s="198" t="s">
        <v>57</v>
      </c>
      <c r="AD1059" s="198" t="s">
        <v>58</v>
      </c>
      <c r="AE1059" s="279" t="s">
        <v>32</v>
      </c>
      <c r="AF1059" s="279" t="s">
        <v>813</v>
      </c>
      <c r="AG1059" s="279" t="s">
        <v>59</v>
      </c>
      <c r="AH1059" s="279" t="s">
        <v>60</v>
      </c>
      <c r="AI1059" s="198" t="s">
        <v>41</v>
      </c>
      <c r="AJ1059" s="274" t="s">
        <v>55</v>
      </c>
      <c r="AK1059"/>
    </row>
    <row r="1060" spans="1:37" ht="15.75" hidden="1" customHeight="1">
      <c r="A1060" s="198" t="s">
        <v>55</v>
      </c>
      <c r="B1060" s="198" t="s">
        <v>769</v>
      </c>
      <c r="C1060" s="214" t="s">
        <v>343</v>
      </c>
      <c r="D1060" s="198" t="s">
        <v>56</v>
      </c>
      <c r="E1060" s="198" t="s">
        <v>320</v>
      </c>
      <c r="F1060" s="198">
        <v>454</v>
      </c>
      <c r="G1060" s="198"/>
      <c r="H1060" s="214" t="s">
        <v>847</v>
      </c>
      <c r="I1060" s="214" t="s">
        <v>325</v>
      </c>
      <c r="J1060" s="271"/>
      <c r="K1060" s="198"/>
      <c r="L1060" s="198"/>
      <c r="M1060" s="198">
        <v>213</v>
      </c>
      <c r="N1060" s="198"/>
      <c r="O1060" s="198">
        <v>241</v>
      </c>
      <c r="P1060" s="198"/>
      <c r="Q1060" s="198" t="s">
        <v>326</v>
      </c>
      <c r="R1060" s="230">
        <f>DATABASE_Table[[#This Row],[Inicial Asking Price (€) (Total)]]-DATABASE_Table[[#This Row],[Vista membership]]-DATABASE_Table[[#This Row],[FF&amp;E]]</f>
        <v>4500000</v>
      </c>
      <c r="S1060" s="234">
        <v>4500000</v>
      </c>
      <c r="T1060" s="235">
        <v>4500000</v>
      </c>
      <c r="U1060" s="198"/>
      <c r="V1060" s="198"/>
      <c r="W1060" s="233">
        <f>DATABASE_Table[[#This Row],[Current Asking price( Total)]]-DATABASE_Table[[#This Row],[Vista membership]]-DATABASE_Table[[#This Row],[FF&amp;E]]</f>
        <v>4500000</v>
      </c>
      <c r="X1060" s="236">
        <v>0.05</v>
      </c>
      <c r="Y1060" s="235">
        <v>4275000</v>
      </c>
      <c r="Z1060" s="233">
        <f>DATABASE_Table[[#This Row],[Sell price (Total)]]-DATABASE_Table[[#This Row],[FF&amp;E]]-DATABASE_Table[[#This Row],[Vista membership]]</f>
        <v>4275000</v>
      </c>
      <c r="AA1060" s="315">
        <v>45979</v>
      </c>
      <c r="AB1060" s="321" t="s">
        <v>32</v>
      </c>
      <c r="AC1060" s="198" t="s">
        <v>57</v>
      </c>
      <c r="AD1060" s="198" t="s">
        <v>58</v>
      </c>
      <c r="AE1060" s="279" t="s">
        <v>32</v>
      </c>
      <c r="AF1060" s="279" t="s">
        <v>813</v>
      </c>
      <c r="AG1060" s="279" t="s">
        <v>59</v>
      </c>
      <c r="AH1060" s="279" t="s">
        <v>60</v>
      </c>
      <c r="AI1060" s="198" t="s">
        <v>61</v>
      </c>
      <c r="AJ1060" s="274" t="s">
        <v>55</v>
      </c>
      <c r="AK1060"/>
    </row>
    <row r="1061" spans="1:37" ht="15.75" hidden="1" customHeight="1">
      <c r="A1061" s="198" t="s">
        <v>564</v>
      </c>
      <c r="B1061" s="198" t="s">
        <v>691</v>
      </c>
      <c r="C1061" s="214" t="s">
        <v>356</v>
      </c>
      <c r="D1061" s="198" t="s">
        <v>9</v>
      </c>
      <c r="E1061" s="198" t="s">
        <v>319</v>
      </c>
      <c r="F1061" s="198">
        <v>118.99</v>
      </c>
      <c r="G1061" s="198"/>
      <c r="H1061" s="214" t="s">
        <v>325</v>
      </c>
      <c r="I1061" s="214" t="s">
        <v>325</v>
      </c>
      <c r="J1061" s="271">
        <v>28.9</v>
      </c>
      <c r="K1061" s="198"/>
      <c r="L1061" s="198"/>
      <c r="M1061" s="198"/>
      <c r="N1061" s="198"/>
      <c r="O1061" s="198">
        <v>90.09</v>
      </c>
      <c r="P1061" s="198"/>
      <c r="Q1061" s="198" t="s">
        <v>329</v>
      </c>
      <c r="R1061" s="230">
        <f>DATABASE_Table[[#This Row],[Inicial Asking Price (€) (Total)]]-DATABASE_Table[[#This Row],[Vista membership]]-DATABASE_Table[[#This Row],[FF&amp;E]]</f>
        <v>711904.61959999998</v>
      </c>
      <c r="S1061" s="231">
        <v>776504.61959999998</v>
      </c>
      <c r="T1061" s="232">
        <v>850000</v>
      </c>
      <c r="U1061" s="198">
        <v>24600</v>
      </c>
      <c r="V1061" s="198">
        <v>40000</v>
      </c>
      <c r="W1061" s="233">
        <f>DATABASE_Table[[#This Row],[Current Asking price( Total)]]-DATABASE_Table[[#This Row],[Vista membership]]-DATABASE_Table[[#This Row],[FF&amp;E]]</f>
        <v>785400</v>
      </c>
      <c r="X1061" s="216"/>
      <c r="Y1061" s="232">
        <v>850000</v>
      </c>
      <c r="Z1061" s="233">
        <f>DATABASE_Table[[#This Row],[Sell price (Total)]]-DATABASE_Table[[#This Row],[FF&amp;E]]-DATABASE_Table[[#This Row],[Vista membership]]</f>
        <v>785400</v>
      </c>
      <c r="AA1061" s="315"/>
      <c r="AB1061" s="321"/>
      <c r="AC1061" s="198" t="s">
        <v>10</v>
      </c>
      <c r="AD1061" s="198" t="s">
        <v>35</v>
      </c>
      <c r="AE1061" s="279" t="s">
        <v>43</v>
      </c>
      <c r="AF1061" s="279" t="s">
        <v>44</v>
      </c>
      <c r="AG1061" s="279" t="s">
        <v>45</v>
      </c>
      <c r="AH1061" s="279" t="s">
        <v>46</v>
      </c>
      <c r="AI1061" s="198" t="s">
        <v>47</v>
      </c>
      <c r="AJ1061" s="274" t="s">
        <v>42</v>
      </c>
      <c r="AK1061"/>
    </row>
    <row r="1062" spans="1:37" ht="15.75" hidden="1" customHeight="1">
      <c r="A1062" s="198" t="s">
        <v>630</v>
      </c>
      <c r="B1062" s="198" t="s">
        <v>691</v>
      </c>
      <c r="C1062" s="214" t="s">
        <v>357</v>
      </c>
      <c r="D1062" s="198" t="s">
        <v>9</v>
      </c>
      <c r="E1062" s="198" t="s">
        <v>319</v>
      </c>
      <c r="F1062" s="198">
        <v>151.25</v>
      </c>
      <c r="G1062" s="198"/>
      <c r="H1062" s="214" t="s">
        <v>849</v>
      </c>
      <c r="I1062" s="214" t="s">
        <v>325</v>
      </c>
      <c r="J1062" s="271">
        <v>20.100000000000001</v>
      </c>
      <c r="K1062" s="198"/>
      <c r="L1062" s="198"/>
      <c r="M1062" s="198">
        <v>7.51</v>
      </c>
      <c r="N1062" s="198"/>
      <c r="O1062" s="198">
        <v>123.64</v>
      </c>
      <c r="P1062" s="198"/>
      <c r="Q1062" s="198" t="s">
        <v>329</v>
      </c>
      <c r="R1062" s="230">
        <f>DATABASE_Table[[#This Row],[Inicial Asking Price (€) (Total)]]-DATABASE_Table[[#This Row],[Vista membership]]-DATABASE_Table[[#This Row],[FF&amp;E]]</f>
        <v>922933.30799999996</v>
      </c>
      <c r="S1062" s="231">
        <v>922933.30799999996</v>
      </c>
      <c r="T1062" s="232">
        <v>930000</v>
      </c>
      <c r="U1062" s="198"/>
      <c r="V1062" s="198"/>
      <c r="W1062" s="233">
        <f>DATABASE_Table[[#This Row],[Current Asking price( Total)]]-DATABASE_Table[[#This Row],[Vista membership]]-DATABASE_Table[[#This Row],[FF&amp;E]]</f>
        <v>930000</v>
      </c>
      <c r="X1062" s="216"/>
      <c r="Y1062" s="232">
        <v>930000</v>
      </c>
      <c r="Z1062" s="233">
        <f>DATABASE_Table[[#This Row],[Sell price (Total)]]-DATABASE_Table[[#This Row],[FF&amp;E]]-DATABASE_Table[[#This Row],[Vista membership]]</f>
        <v>930000</v>
      </c>
      <c r="AA1062" s="315"/>
      <c r="AB1062" s="321"/>
      <c r="AC1062" s="198" t="s">
        <v>10</v>
      </c>
      <c r="AD1062" s="198" t="s">
        <v>11</v>
      </c>
      <c r="AE1062" s="279" t="s">
        <v>53</v>
      </c>
      <c r="AF1062" s="279" t="s">
        <v>54</v>
      </c>
      <c r="AG1062" s="279" t="s">
        <v>811</v>
      </c>
      <c r="AH1062" s="279" t="s">
        <v>812</v>
      </c>
      <c r="AI1062" s="198" t="s">
        <v>36</v>
      </c>
      <c r="AJ1062" s="274" t="s">
        <v>52</v>
      </c>
      <c r="AK1062"/>
    </row>
    <row r="1063" spans="1:37" ht="15.75" hidden="1" customHeight="1">
      <c r="A1063" s="198" t="s">
        <v>55</v>
      </c>
      <c r="B1063" s="198" t="s">
        <v>769</v>
      </c>
      <c r="C1063" s="214" t="s">
        <v>338</v>
      </c>
      <c r="D1063" s="198" t="s">
        <v>56</v>
      </c>
      <c r="E1063" s="198" t="s">
        <v>320</v>
      </c>
      <c r="F1063" s="198">
        <v>454</v>
      </c>
      <c r="G1063" s="198"/>
      <c r="H1063" s="214" t="s">
        <v>847</v>
      </c>
      <c r="I1063" s="214" t="s">
        <v>325</v>
      </c>
      <c r="J1063" s="271"/>
      <c r="K1063" s="198"/>
      <c r="L1063" s="198"/>
      <c r="M1063" s="198">
        <v>213</v>
      </c>
      <c r="N1063" s="198"/>
      <c r="O1063" s="198">
        <v>241</v>
      </c>
      <c r="P1063" s="198"/>
      <c r="Q1063" s="198" t="s">
        <v>329</v>
      </c>
      <c r="R1063" s="230">
        <f>DATABASE_Table[[#This Row],[Inicial Asking Price (€) (Total)]]-DATABASE_Table[[#This Row],[Vista membership]]-DATABASE_Table[[#This Row],[FF&amp;E]]</f>
        <v>4700000</v>
      </c>
      <c r="S1063" s="234">
        <v>4700000</v>
      </c>
      <c r="T1063" s="234">
        <v>4700000</v>
      </c>
      <c r="U1063" s="198"/>
      <c r="V1063" s="198"/>
      <c r="W1063" s="233">
        <f>DATABASE_Table[[#This Row],[Current Asking price( Total)]]-DATABASE_Table[[#This Row],[Vista membership]]-DATABASE_Table[[#This Row],[FF&amp;E]]</f>
        <v>4700000</v>
      </c>
      <c r="X1063" s="236">
        <v>0</v>
      </c>
      <c r="Y1063" s="235">
        <v>4700000</v>
      </c>
      <c r="Z1063" s="233">
        <f>DATABASE_Table[[#This Row],[Sell price (Total)]]-DATABASE_Table[[#This Row],[FF&amp;E]]-DATABASE_Table[[#This Row],[Vista membership]]</f>
        <v>4700000</v>
      </c>
      <c r="AA1063" s="315"/>
      <c r="AB1063" s="321" t="s">
        <v>32</v>
      </c>
      <c r="AC1063" s="198" t="s">
        <v>57</v>
      </c>
      <c r="AD1063" s="198" t="s">
        <v>58</v>
      </c>
      <c r="AE1063" s="279" t="s">
        <v>32</v>
      </c>
      <c r="AF1063" s="279" t="s">
        <v>813</v>
      </c>
      <c r="AG1063" s="279" t="s">
        <v>59</v>
      </c>
      <c r="AH1063" s="279" t="s">
        <v>60</v>
      </c>
      <c r="AI1063" s="198" t="s">
        <v>41</v>
      </c>
      <c r="AJ1063" s="274" t="s">
        <v>55</v>
      </c>
      <c r="AK1063"/>
    </row>
    <row r="1064" spans="1:37" ht="15.75" hidden="1" customHeight="1">
      <c r="A1064" s="198" t="s">
        <v>55</v>
      </c>
      <c r="B1064" s="198" t="s">
        <v>769</v>
      </c>
      <c r="C1064" s="214" t="s">
        <v>342</v>
      </c>
      <c r="D1064" s="198" t="s">
        <v>56</v>
      </c>
      <c r="E1064" s="198" t="s">
        <v>320</v>
      </c>
      <c r="F1064" s="198">
        <v>454</v>
      </c>
      <c r="G1064" s="198"/>
      <c r="H1064" s="214" t="s">
        <v>847</v>
      </c>
      <c r="I1064" s="214" t="s">
        <v>325</v>
      </c>
      <c r="J1064" s="271"/>
      <c r="K1064" s="198"/>
      <c r="L1064" s="198"/>
      <c r="M1064" s="198">
        <v>213</v>
      </c>
      <c r="N1064" s="198"/>
      <c r="O1064" s="198">
        <v>241</v>
      </c>
      <c r="P1064" s="198"/>
      <c r="Q1064" s="198" t="s">
        <v>329</v>
      </c>
      <c r="R1064" s="230">
        <f>DATABASE_Table[[#This Row],[Inicial Asking Price (€) (Total)]]-DATABASE_Table[[#This Row],[Vista membership]]-DATABASE_Table[[#This Row],[FF&amp;E]]</f>
        <v>5000000</v>
      </c>
      <c r="S1064" s="234">
        <v>5000000</v>
      </c>
      <c r="T1064" s="234">
        <v>5000000</v>
      </c>
      <c r="U1064" s="198"/>
      <c r="V1064" s="198"/>
      <c r="W1064" s="233">
        <f>DATABASE_Table[[#This Row],[Current Asking price( Total)]]-DATABASE_Table[[#This Row],[Vista membership]]-DATABASE_Table[[#This Row],[FF&amp;E]]</f>
        <v>5000000</v>
      </c>
      <c r="X1064" s="236"/>
      <c r="Y1064" s="235">
        <v>5000000</v>
      </c>
      <c r="Z1064" s="233">
        <f>DATABASE_Table[[#This Row],[Sell price (Total)]]-DATABASE_Table[[#This Row],[FF&amp;E]]-DATABASE_Table[[#This Row],[Vista membership]]</f>
        <v>5000000</v>
      </c>
      <c r="AA1064" s="315"/>
      <c r="AB1064" s="321" t="s">
        <v>32</v>
      </c>
      <c r="AC1064" s="198" t="s">
        <v>57</v>
      </c>
      <c r="AD1064" s="198" t="s">
        <v>58</v>
      </c>
      <c r="AE1064" s="279" t="s">
        <v>32</v>
      </c>
      <c r="AF1064" s="279" t="s">
        <v>813</v>
      </c>
      <c r="AG1064" s="279" t="s">
        <v>59</v>
      </c>
      <c r="AH1064" s="279" t="s">
        <v>60</v>
      </c>
      <c r="AI1064" s="198" t="s">
        <v>61</v>
      </c>
      <c r="AJ1064" s="274" t="s">
        <v>55</v>
      </c>
      <c r="AK1064"/>
    </row>
    <row r="1065" spans="1:37" ht="15.75" hidden="1" customHeight="1">
      <c r="A1065" s="198" t="s">
        <v>55</v>
      </c>
      <c r="B1065" s="198" t="s">
        <v>769</v>
      </c>
      <c r="C1065" s="214" t="s">
        <v>339</v>
      </c>
      <c r="D1065" s="198" t="s">
        <v>56</v>
      </c>
      <c r="E1065" s="198" t="s">
        <v>320</v>
      </c>
      <c r="F1065" s="198">
        <v>454</v>
      </c>
      <c r="G1065" s="198"/>
      <c r="H1065" s="214" t="s">
        <v>847</v>
      </c>
      <c r="I1065" s="214" t="s">
        <v>325</v>
      </c>
      <c r="J1065" s="271"/>
      <c r="K1065" s="198"/>
      <c r="L1065" s="198"/>
      <c r="M1065" s="198">
        <v>213</v>
      </c>
      <c r="N1065" s="198"/>
      <c r="O1065" s="198">
        <v>241</v>
      </c>
      <c r="P1065" s="198"/>
      <c r="Q1065" s="198" t="s">
        <v>327</v>
      </c>
      <c r="R1065" s="230">
        <f>DATABASE_Table[[#This Row],[Inicial Asking Price (€) (Total)]]-DATABASE_Table[[#This Row],[Vista membership]]-DATABASE_Table[[#This Row],[FF&amp;E]]</f>
        <v>5200000</v>
      </c>
      <c r="S1065" s="234">
        <v>5200000</v>
      </c>
      <c r="T1065" s="234">
        <v>5200000</v>
      </c>
      <c r="U1065" s="198"/>
      <c r="V1065" s="198"/>
      <c r="W1065" s="233">
        <f>DATABASE_Table[[#This Row],[Current Asking price( Total)]]-DATABASE_Table[[#This Row],[Vista membership]]-DATABASE_Table[[#This Row],[FF&amp;E]]</f>
        <v>5200000</v>
      </c>
      <c r="X1065" s="236">
        <v>0</v>
      </c>
      <c r="Y1065" s="235">
        <v>5200000</v>
      </c>
      <c r="Z1065" s="233">
        <f>DATABASE_Table[[#This Row],[Sell price (Total)]]-DATABASE_Table[[#This Row],[FF&amp;E]]-DATABASE_Table[[#This Row],[Vista membership]]</f>
        <v>5200000</v>
      </c>
      <c r="AA1065" s="315">
        <v>45991</v>
      </c>
      <c r="AB1065" s="321" t="s">
        <v>32</v>
      </c>
      <c r="AC1065" s="198" t="s">
        <v>57</v>
      </c>
      <c r="AD1065" s="198" t="s">
        <v>58</v>
      </c>
      <c r="AE1065" s="279" t="s">
        <v>32</v>
      </c>
      <c r="AF1065" s="279" t="s">
        <v>813</v>
      </c>
      <c r="AG1065" s="279" t="s">
        <v>59</v>
      </c>
      <c r="AH1065" s="279" t="s">
        <v>60</v>
      </c>
      <c r="AI1065" s="198" t="s">
        <v>61</v>
      </c>
      <c r="AJ1065" s="274" t="s">
        <v>55</v>
      </c>
      <c r="AK1065"/>
    </row>
    <row r="1066" spans="1:37" ht="15.75" hidden="1" customHeight="1">
      <c r="A1066" s="198" t="s">
        <v>55</v>
      </c>
      <c r="B1066" s="198" t="s">
        <v>769</v>
      </c>
      <c r="C1066" s="214" t="s">
        <v>345</v>
      </c>
      <c r="D1066" s="198" t="s">
        <v>56</v>
      </c>
      <c r="E1066" s="198" t="s">
        <v>631</v>
      </c>
      <c r="F1066" s="198">
        <v>460</v>
      </c>
      <c r="G1066" s="198"/>
      <c r="H1066" s="214" t="s">
        <v>847</v>
      </c>
      <c r="I1066" s="214" t="s">
        <v>325</v>
      </c>
      <c r="J1066" s="271"/>
      <c r="K1066" s="198"/>
      <c r="L1066" s="198"/>
      <c r="M1066" s="198">
        <v>196</v>
      </c>
      <c r="N1066" s="198"/>
      <c r="O1066" s="198">
        <v>264</v>
      </c>
      <c r="P1066" s="198"/>
      <c r="Q1066" s="198" t="s">
        <v>329</v>
      </c>
      <c r="R1066" s="230">
        <f>DATABASE_Table[[#This Row],[Inicial Asking Price (€) (Total)]]-DATABASE_Table[[#This Row],[Vista membership]]-DATABASE_Table[[#This Row],[FF&amp;E]]</f>
        <v>5300000</v>
      </c>
      <c r="S1066" s="234">
        <v>5300000</v>
      </c>
      <c r="T1066" s="234">
        <v>5300000</v>
      </c>
      <c r="U1066" s="198"/>
      <c r="V1066" s="198"/>
      <c r="W1066" s="233">
        <f>DATABASE_Table[[#This Row],[Current Asking price( Total)]]-DATABASE_Table[[#This Row],[Vista membership]]-DATABASE_Table[[#This Row],[FF&amp;E]]</f>
        <v>5300000</v>
      </c>
      <c r="X1066" s="236">
        <v>0</v>
      </c>
      <c r="Y1066" s="235">
        <v>5300000</v>
      </c>
      <c r="Z1066" s="233">
        <f>DATABASE_Table[[#This Row],[Sell price (Total)]]-DATABASE_Table[[#This Row],[FF&amp;E]]-DATABASE_Table[[#This Row],[Vista membership]]</f>
        <v>5300000</v>
      </c>
      <c r="AA1066" s="315"/>
      <c r="AB1066" s="321" t="s">
        <v>32</v>
      </c>
      <c r="AC1066" s="198" t="s">
        <v>57</v>
      </c>
      <c r="AD1066" s="198" t="s">
        <v>58</v>
      </c>
      <c r="AE1066" s="279" t="s">
        <v>32</v>
      </c>
      <c r="AF1066" s="279" t="s">
        <v>813</v>
      </c>
      <c r="AG1066" s="279" t="s">
        <v>59</v>
      </c>
      <c r="AH1066" s="279" t="s">
        <v>60</v>
      </c>
      <c r="AI1066" s="198" t="s">
        <v>41</v>
      </c>
      <c r="AJ1066" s="274" t="s">
        <v>55</v>
      </c>
      <c r="AK1066"/>
    </row>
    <row r="1067" spans="1:37" ht="15.75" hidden="1" customHeight="1">
      <c r="A1067" s="198" t="s">
        <v>55</v>
      </c>
      <c r="B1067" s="198" t="s">
        <v>769</v>
      </c>
      <c r="C1067" s="214" t="s">
        <v>341</v>
      </c>
      <c r="D1067" s="198" t="s">
        <v>56</v>
      </c>
      <c r="E1067" s="198" t="s">
        <v>320</v>
      </c>
      <c r="F1067" s="198">
        <v>454</v>
      </c>
      <c r="G1067" s="198"/>
      <c r="H1067" s="214" t="s">
        <v>847</v>
      </c>
      <c r="I1067" s="214" t="s">
        <v>325</v>
      </c>
      <c r="J1067" s="271"/>
      <c r="K1067" s="198"/>
      <c r="L1067" s="198"/>
      <c r="M1067" s="198">
        <v>213</v>
      </c>
      <c r="N1067" s="198"/>
      <c r="O1067" s="198">
        <v>241</v>
      </c>
      <c r="P1067" s="198"/>
      <c r="Q1067" s="198" t="s">
        <v>329</v>
      </c>
      <c r="R1067" s="230">
        <f>DATABASE_Table[[#This Row],[Inicial Asking Price (€) (Total)]]-DATABASE_Table[[#This Row],[Vista membership]]-DATABASE_Table[[#This Row],[FF&amp;E]]</f>
        <v>5500000</v>
      </c>
      <c r="S1067" s="234">
        <v>5500000</v>
      </c>
      <c r="T1067" s="234">
        <v>5500000</v>
      </c>
      <c r="U1067" s="198"/>
      <c r="V1067" s="198"/>
      <c r="W1067" s="233">
        <f>DATABASE_Table[[#This Row],[Current Asking price( Total)]]-DATABASE_Table[[#This Row],[Vista membership]]-DATABASE_Table[[#This Row],[FF&amp;E]]</f>
        <v>5500000</v>
      </c>
      <c r="X1067" s="236"/>
      <c r="Y1067" s="235">
        <v>5225000</v>
      </c>
      <c r="Z1067" s="233">
        <f>DATABASE_Table[[#This Row],[Sell price (Total)]]-DATABASE_Table[[#This Row],[FF&amp;E]]-DATABASE_Table[[#This Row],[Vista membership]]</f>
        <v>5225000</v>
      </c>
      <c r="AA1067" s="315"/>
      <c r="AB1067" s="321" t="s">
        <v>32</v>
      </c>
      <c r="AC1067" s="198" t="s">
        <v>57</v>
      </c>
      <c r="AD1067" s="198" t="s">
        <v>58</v>
      </c>
      <c r="AE1067" s="279" t="s">
        <v>32</v>
      </c>
      <c r="AF1067" s="279" t="s">
        <v>813</v>
      </c>
      <c r="AG1067" s="279" t="s">
        <v>59</v>
      </c>
      <c r="AH1067" s="279" t="s">
        <v>60</v>
      </c>
      <c r="AI1067" s="198" t="s">
        <v>61</v>
      </c>
      <c r="AJ1067" s="274" t="s">
        <v>55</v>
      </c>
      <c r="AK1067"/>
    </row>
    <row r="1068" spans="1:37" ht="15.75" hidden="1" customHeight="1">
      <c r="A1068" s="198" t="s">
        <v>55</v>
      </c>
      <c r="B1068" s="198" t="s">
        <v>769</v>
      </c>
      <c r="C1068" s="214" t="s">
        <v>347</v>
      </c>
      <c r="D1068" s="198" t="s">
        <v>56</v>
      </c>
      <c r="E1068" s="198" t="s">
        <v>631</v>
      </c>
      <c r="F1068" s="198">
        <v>460</v>
      </c>
      <c r="G1068" s="198"/>
      <c r="H1068" s="214" t="s">
        <v>847</v>
      </c>
      <c r="I1068" s="214" t="s">
        <v>325</v>
      </c>
      <c r="J1068" s="271"/>
      <c r="K1068" s="198"/>
      <c r="L1068" s="198"/>
      <c r="M1068" s="198">
        <v>196</v>
      </c>
      <c r="N1068" s="198"/>
      <c r="O1068" s="198">
        <v>264</v>
      </c>
      <c r="P1068" s="198"/>
      <c r="Q1068" s="198" t="s">
        <v>329</v>
      </c>
      <c r="R1068" s="230">
        <f>DATABASE_Table[[#This Row],[Inicial Asking Price (€) (Total)]]-DATABASE_Table[[#This Row],[Vista membership]]-DATABASE_Table[[#This Row],[FF&amp;E]]</f>
        <v>5700000</v>
      </c>
      <c r="S1068" s="234">
        <v>5700000</v>
      </c>
      <c r="T1068" s="234">
        <v>5700000</v>
      </c>
      <c r="U1068" s="198"/>
      <c r="V1068" s="198"/>
      <c r="W1068" s="233">
        <f>DATABASE_Table[[#This Row],[Current Asking price( Total)]]-DATABASE_Table[[#This Row],[Vista membership]]-DATABASE_Table[[#This Row],[FF&amp;E]]</f>
        <v>5700000</v>
      </c>
      <c r="X1068" s="236">
        <v>0</v>
      </c>
      <c r="Y1068" s="235">
        <v>5700000</v>
      </c>
      <c r="Z1068" s="233">
        <f>DATABASE_Table[[#This Row],[Sell price (Total)]]-DATABASE_Table[[#This Row],[FF&amp;E]]-DATABASE_Table[[#This Row],[Vista membership]]</f>
        <v>5700000</v>
      </c>
      <c r="AA1068" s="315"/>
      <c r="AB1068" s="321" t="s">
        <v>32</v>
      </c>
      <c r="AC1068" s="198" t="s">
        <v>57</v>
      </c>
      <c r="AD1068" s="198" t="s">
        <v>58</v>
      </c>
      <c r="AE1068" s="279" t="s">
        <v>32</v>
      </c>
      <c r="AF1068" s="279" t="s">
        <v>813</v>
      </c>
      <c r="AG1068" s="279" t="s">
        <v>59</v>
      </c>
      <c r="AH1068" s="279" t="s">
        <v>60</v>
      </c>
      <c r="AI1068" s="198" t="s">
        <v>41</v>
      </c>
      <c r="AJ1068" s="274" t="s">
        <v>55</v>
      </c>
      <c r="AK1068"/>
    </row>
    <row r="1069" spans="1:37" ht="15.75" hidden="1" customHeight="1">
      <c r="A1069" s="198" t="s">
        <v>55</v>
      </c>
      <c r="B1069" s="198" t="s">
        <v>769</v>
      </c>
      <c r="C1069" s="214" t="s">
        <v>340</v>
      </c>
      <c r="D1069" s="198" t="s">
        <v>56</v>
      </c>
      <c r="E1069" s="198" t="s">
        <v>320</v>
      </c>
      <c r="F1069" s="198">
        <v>458</v>
      </c>
      <c r="G1069" s="198"/>
      <c r="H1069" s="214" t="s">
        <v>847</v>
      </c>
      <c r="I1069" s="214" t="s">
        <v>325</v>
      </c>
      <c r="J1069" s="271"/>
      <c r="K1069" s="198"/>
      <c r="L1069" s="198"/>
      <c r="M1069" s="198">
        <v>213</v>
      </c>
      <c r="N1069" s="198"/>
      <c r="O1069" s="198">
        <v>245</v>
      </c>
      <c r="P1069" s="198"/>
      <c r="Q1069" s="198" t="s">
        <v>327</v>
      </c>
      <c r="R1069" s="230">
        <f>DATABASE_Table[[#This Row],[Inicial Asking Price (€) (Total)]]-DATABASE_Table[[#This Row],[Vista membership]]-DATABASE_Table[[#This Row],[FF&amp;E]]</f>
        <v>5700000</v>
      </c>
      <c r="S1069" s="234">
        <v>5700000</v>
      </c>
      <c r="T1069" s="234">
        <v>5700000</v>
      </c>
      <c r="U1069" s="198"/>
      <c r="V1069" s="198"/>
      <c r="W1069" s="233">
        <f>DATABASE_Table[[#This Row],[Current Asking price( Total)]]-DATABASE_Table[[#This Row],[Vista membership]]-DATABASE_Table[[#This Row],[FF&amp;E]]</f>
        <v>5700000</v>
      </c>
      <c r="X1069" s="236">
        <v>0</v>
      </c>
      <c r="Y1069" s="235">
        <v>5700000</v>
      </c>
      <c r="Z1069" s="233">
        <f>DATABASE_Table[[#This Row],[Sell price (Total)]]-DATABASE_Table[[#This Row],[FF&amp;E]]-DATABASE_Table[[#This Row],[Vista membership]]</f>
        <v>5700000</v>
      </c>
      <c r="AA1069" s="315">
        <v>45991</v>
      </c>
      <c r="AB1069" s="321" t="s">
        <v>32</v>
      </c>
      <c r="AC1069" s="198" t="s">
        <v>57</v>
      </c>
      <c r="AD1069" s="198" t="s">
        <v>58</v>
      </c>
      <c r="AE1069" s="279" t="s">
        <v>32</v>
      </c>
      <c r="AF1069" s="279" t="s">
        <v>813</v>
      </c>
      <c r="AG1069" s="279" t="s">
        <v>59</v>
      </c>
      <c r="AH1069" s="279" t="s">
        <v>60</v>
      </c>
      <c r="AI1069" s="198" t="s">
        <v>61</v>
      </c>
      <c r="AJ1069" s="274" t="s">
        <v>55</v>
      </c>
      <c r="AK1069"/>
    </row>
    <row r="1070" spans="1:37" ht="15.75" hidden="1" customHeight="1">
      <c r="A1070" s="198" t="s">
        <v>55</v>
      </c>
      <c r="B1070" s="198" t="s">
        <v>769</v>
      </c>
      <c r="C1070" s="214" t="s">
        <v>348</v>
      </c>
      <c r="D1070" s="198" t="s">
        <v>56</v>
      </c>
      <c r="E1070" s="198" t="s">
        <v>631</v>
      </c>
      <c r="F1070" s="198">
        <v>458</v>
      </c>
      <c r="G1070" s="198"/>
      <c r="H1070" s="214" t="s">
        <v>906</v>
      </c>
      <c r="I1070" s="214" t="s">
        <v>325</v>
      </c>
      <c r="J1070" s="271"/>
      <c r="K1070" s="198"/>
      <c r="L1070" s="198"/>
      <c r="M1070" s="198">
        <v>196</v>
      </c>
      <c r="N1070" s="198"/>
      <c r="O1070" s="198">
        <v>262</v>
      </c>
      <c r="P1070" s="198"/>
      <c r="Q1070" s="198" t="s">
        <v>329</v>
      </c>
      <c r="R1070" s="230">
        <f>DATABASE_Table[[#This Row],[Inicial Asking Price (€) (Total)]]-DATABASE_Table[[#This Row],[Vista membership]]-DATABASE_Table[[#This Row],[FF&amp;E]]</f>
        <v>6100000</v>
      </c>
      <c r="S1070" s="234">
        <v>6100000</v>
      </c>
      <c r="T1070" s="234">
        <v>6100000</v>
      </c>
      <c r="U1070" s="198"/>
      <c r="V1070" s="198"/>
      <c r="W1070" s="233">
        <f>DATABASE_Table[[#This Row],[Current Asking price( Total)]]-DATABASE_Table[[#This Row],[Vista membership]]-DATABASE_Table[[#This Row],[FF&amp;E]]</f>
        <v>6100000</v>
      </c>
      <c r="X1070" s="236"/>
      <c r="Y1070" s="235">
        <v>5795000</v>
      </c>
      <c r="Z1070" s="233">
        <f>DATABASE_Table[[#This Row],[Sell price (Total)]]-DATABASE_Table[[#This Row],[FF&amp;E]]-DATABASE_Table[[#This Row],[Vista membership]]</f>
        <v>5795000</v>
      </c>
      <c r="AA1070" s="315"/>
      <c r="AB1070" s="321" t="s">
        <v>32</v>
      </c>
      <c r="AC1070" s="198" t="s">
        <v>57</v>
      </c>
      <c r="AD1070" s="198" t="s">
        <v>58</v>
      </c>
      <c r="AE1070" s="279" t="s">
        <v>32</v>
      </c>
      <c r="AF1070" s="279" t="s">
        <v>813</v>
      </c>
      <c r="AG1070" s="279" t="s">
        <v>59</v>
      </c>
      <c r="AH1070" s="279" t="s">
        <v>60</v>
      </c>
      <c r="AI1070" s="198" t="s">
        <v>61</v>
      </c>
      <c r="AJ1070" s="274" t="s">
        <v>55</v>
      </c>
      <c r="AK1070"/>
    </row>
    <row r="1071" spans="1:37" ht="15.75" hidden="1" customHeight="1">
      <c r="A1071" s="198" t="s">
        <v>55</v>
      </c>
      <c r="B1071" s="198" t="s">
        <v>769</v>
      </c>
      <c r="C1071" s="214" t="s">
        <v>352</v>
      </c>
      <c r="D1071" s="198" t="s">
        <v>56</v>
      </c>
      <c r="E1071" s="198" t="s">
        <v>632</v>
      </c>
      <c r="F1071" s="198">
        <v>654</v>
      </c>
      <c r="G1071" s="198"/>
      <c r="H1071" s="214" t="s">
        <v>846</v>
      </c>
      <c r="I1071" s="214" t="s">
        <v>325</v>
      </c>
      <c r="J1071" s="271"/>
      <c r="K1071" s="198"/>
      <c r="L1071" s="198"/>
      <c r="M1071" s="198">
        <v>290</v>
      </c>
      <c r="N1071" s="198"/>
      <c r="O1071" s="198">
        <v>364</v>
      </c>
      <c r="P1071" s="198"/>
      <c r="Q1071" s="198" t="s">
        <v>329</v>
      </c>
      <c r="R1071" s="230">
        <f>DATABASE_Table[[#This Row],[Inicial Asking Price (€) (Total)]]-DATABASE_Table[[#This Row],[Vista membership]]-DATABASE_Table[[#This Row],[FF&amp;E]]</f>
        <v>7700000</v>
      </c>
      <c r="S1071" s="234">
        <v>7700000</v>
      </c>
      <c r="T1071" s="234">
        <v>7700000</v>
      </c>
      <c r="U1071" s="198"/>
      <c r="V1071" s="198"/>
      <c r="W1071" s="233">
        <f>DATABASE_Table[[#This Row],[Current Asking price( Total)]]-DATABASE_Table[[#This Row],[Vista membership]]-DATABASE_Table[[#This Row],[FF&amp;E]]</f>
        <v>7700000</v>
      </c>
      <c r="X1071" s="236">
        <v>0</v>
      </c>
      <c r="Y1071" s="235">
        <v>7700000</v>
      </c>
      <c r="Z1071" s="233">
        <f>DATABASE_Table[[#This Row],[Sell price (Total)]]-DATABASE_Table[[#This Row],[FF&amp;E]]-DATABASE_Table[[#This Row],[Vista membership]]</f>
        <v>7700000</v>
      </c>
      <c r="AA1071" s="315"/>
      <c r="AB1071" s="321" t="s">
        <v>32</v>
      </c>
      <c r="AC1071" s="198" t="s">
        <v>57</v>
      </c>
      <c r="AD1071" s="198" t="s">
        <v>58</v>
      </c>
      <c r="AE1071" s="279" t="s">
        <v>32</v>
      </c>
      <c r="AF1071" s="279" t="s">
        <v>813</v>
      </c>
      <c r="AG1071" s="279" t="s">
        <v>59</v>
      </c>
      <c r="AH1071" s="279" t="s">
        <v>60</v>
      </c>
      <c r="AI1071" s="198" t="s">
        <v>41</v>
      </c>
      <c r="AJ1071" s="274" t="s">
        <v>55</v>
      </c>
      <c r="AK1071"/>
    </row>
    <row r="1072" spans="1:37" ht="15.75" hidden="1" customHeight="1">
      <c r="A1072" s="198" t="s">
        <v>55</v>
      </c>
      <c r="B1072" s="198" t="s">
        <v>769</v>
      </c>
      <c r="C1072" s="214" t="s">
        <v>351</v>
      </c>
      <c r="D1072" s="198" t="s">
        <v>56</v>
      </c>
      <c r="E1072" s="198" t="s">
        <v>632</v>
      </c>
      <c r="F1072" s="198">
        <v>654</v>
      </c>
      <c r="G1072" s="198"/>
      <c r="H1072" s="214" t="s">
        <v>846</v>
      </c>
      <c r="I1072" s="214" t="s">
        <v>325</v>
      </c>
      <c r="J1072" s="271"/>
      <c r="K1072" s="198"/>
      <c r="L1072" s="198"/>
      <c r="M1072" s="198">
        <v>290</v>
      </c>
      <c r="N1072" s="198"/>
      <c r="O1072" s="198">
        <v>364</v>
      </c>
      <c r="P1072" s="198"/>
      <c r="Q1072" s="198" t="s">
        <v>329</v>
      </c>
      <c r="R1072" s="230">
        <f>DATABASE_Table[[#This Row],[Inicial Asking Price (€) (Total)]]-DATABASE_Table[[#This Row],[Vista membership]]-DATABASE_Table[[#This Row],[FF&amp;E]]</f>
        <v>8400000</v>
      </c>
      <c r="S1072" s="234">
        <v>8400000</v>
      </c>
      <c r="T1072" s="234">
        <v>8400000</v>
      </c>
      <c r="U1072" s="198"/>
      <c r="V1072" s="198"/>
      <c r="W1072" s="233">
        <f>DATABASE_Table[[#This Row],[Current Asking price( Total)]]-DATABASE_Table[[#This Row],[Vista membership]]-DATABASE_Table[[#This Row],[FF&amp;E]]</f>
        <v>8400000</v>
      </c>
      <c r="X1072" s="236">
        <v>0</v>
      </c>
      <c r="Y1072" s="235">
        <v>8400000</v>
      </c>
      <c r="Z1072" s="233">
        <f>DATABASE_Table[[#This Row],[Sell price (Total)]]-DATABASE_Table[[#This Row],[FF&amp;E]]-DATABASE_Table[[#This Row],[Vista membership]]</f>
        <v>8400000</v>
      </c>
      <c r="AA1072" s="315"/>
      <c r="AB1072" s="321" t="s">
        <v>32</v>
      </c>
      <c r="AC1072" s="198" t="s">
        <v>57</v>
      </c>
      <c r="AD1072" s="198" t="s">
        <v>58</v>
      </c>
      <c r="AE1072" s="279" t="s">
        <v>32</v>
      </c>
      <c r="AF1072" s="279" t="s">
        <v>813</v>
      </c>
      <c r="AG1072" s="279" t="s">
        <v>59</v>
      </c>
      <c r="AH1072" s="279" t="s">
        <v>60</v>
      </c>
      <c r="AI1072" s="198" t="s">
        <v>41</v>
      </c>
      <c r="AJ1072" s="274" t="s">
        <v>55</v>
      </c>
      <c r="AK1072"/>
    </row>
    <row r="1073" spans="1:37" ht="15.75" hidden="1" customHeight="1">
      <c r="A1073" s="198" t="s">
        <v>55</v>
      </c>
      <c r="B1073" s="198" t="s">
        <v>769</v>
      </c>
      <c r="C1073" s="214" t="s">
        <v>349</v>
      </c>
      <c r="D1073" s="198" t="s">
        <v>56</v>
      </c>
      <c r="E1073" s="198" t="s">
        <v>632</v>
      </c>
      <c r="F1073" s="198">
        <v>654</v>
      </c>
      <c r="G1073" s="198"/>
      <c r="H1073" s="214" t="s">
        <v>847</v>
      </c>
      <c r="I1073" s="214" t="s">
        <v>325</v>
      </c>
      <c r="J1073" s="271"/>
      <c r="K1073" s="198"/>
      <c r="L1073" s="198"/>
      <c r="M1073" s="198">
        <v>290</v>
      </c>
      <c r="N1073" s="198"/>
      <c r="O1073" s="198">
        <v>364</v>
      </c>
      <c r="P1073" s="198"/>
      <c r="Q1073" s="198" t="s">
        <v>329</v>
      </c>
      <c r="R1073" s="230">
        <f>DATABASE_Table[[#This Row],[Inicial Asking Price (€) (Total)]]-DATABASE_Table[[#This Row],[Vista membership]]-DATABASE_Table[[#This Row],[FF&amp;E]]</f>
        <v>9000000</v>
      </c>
      <c r="S1073" s="234">
        <v>9000000</v>
      </c>
      <c r="T1073" s="234">
        <v>9000000</v>
      </c>
      <c r="U1073" s="198"/>
      <c r="V1073" s="198"/>
      <c r="W1073" s="233">
        <f>DATABASE_Table[[#This Row],[Current Asking price( Total)]]-DATABASE_Table[[#This Row],[Vista membership]]-DATABASE_Table[[#This Row],[FF&amp;E]]</f>
        <v>9000000</v>
      </c>
      <c r="X1073" s="236">
        <v>0</v>
      </c>
      <c r="Y1073" s="235">
        <v>9000000</v>
      </c>
      <c r="Z1073" s="233">
        <f>DATABASE_Table[[#This Row],[Sell price (Total)]]-DATABASE_Table[[#This Row],[FF&amp;E]]-DATABASE_Table[[#This Row],[Vista membership]]</f>
        <v>9000000</v>
      </c>
      <c r="AA1073" s="315"/>
      <c r="AB1073" s="321" t="s">
        <v>32</v>
      </c>
      <c r="AC1073" s="198" t="s">
        <v>57</v>
      </c>
      <c r="AD1073" s="198" t="s">
        <v>58</v>
      </c>
      <c r="AE1073" s="279" t="s">
        <v>32</v>
      </c>
      <c r="AF1073" s="279" t="s">
        <v>813</v>
      </c>
      <c r="AG1073" s="279" t="s">
        <v>59</v>
      </c>
      <c r="AH1073" s="279" t="s">
        <v>60</v>
      </c>
      <c r="AI1073" s="198" t="s">
        <v>41</v>
      </c>
      <c r="AJ1073" s="274" t="s">
        <v>55</v>
      </c>
      <c r="AK1073"/>
    </row>
    <row r="1074" spans="1:37" ht="15.75" hidden="1" customHeight="1">
      <c r="A1074" s="198" t="s">
        <v>55</v>
      </c>
      <c r="B1074" s="198" t="s">
        <v>769</v>
      </c>
      <c r="C1074" s="214" t="s">
        <v>350</v>
      </c>
      <c r="D1074" s="198" t="s">
        <v>56</v>
      </c>
      <c r="E1074" s="198" t="s">
        <v>632</v>
      </c>
      <c r="F1074" s="198">
        <v>654</v>
      </c>
      <c r="G1074" s="198"/>
      <c r="H1074" s="214" t="s">
        <v>846</v>
      </c>
      <c r="I1074" s="214" t="s">
        <v>325</v>
      </c>
      <c r="J1074" s="271"/>
      <c r="K1074" s="198"/>
      <c r="L1074" s="198"/>
      <c r="M1074" s="198">
        <v>290</v>
      </c>
      <c r="N1074" s="198"/>
      <c r="O1074" s="198">
        <v>364</v>
      </c>
      <c r="P1074" s="198"/>
      <c r="Q1074" s="198" t="s">
        <v>329</v>
      </c>
      <c r="R1074" s="230">
        <f>DATABASE_Table[[#This Row],[Inicial Asking Price (€) (Total)]]-DATABASE_Table[[#This Row],[Vista membership]]-DATABASE_Table[[#This Row],[FF&amp;E]]</f>
        <v>9600000</v>
      </c>
      <c r="S1074" s="234">
        <v>9600000</v>
      </c>
      <c r="T1074" s="234">
        <v>9600000</v>
      </c>
      <c r="U1074" s="198"/>
      <c r="V1074" s="198"/>
      <c r="W1074" s="233">
        <f>DATABASE_Table[[#This Row],[Current Asking price( Total)]]-DATABASE_Table[[#This Row],[Vista membership]]-DATABASE_Table[[#This Row],[FF&amp;E]]</f>
        <v>9600000</v>
      </c>
      <c r="X1074" s="236">
        <v>0</v>
      </c>
      <c r="Y1074" s="235">
        <v>9600000</v>
      </c>
      <c r="Z1074" s="233">
        <f>DATABASE_Table[[#This Row],[Sell price (Total)]]-DATABASE_Table[[#This Row],[FF&amp;E]]-DATABASE_Table[[#This Row],[Vista membership]]</f>
        <v>9600000</v>
      </c>
      <c r="AA1074" s="315"/>
      <c r="AB1074" s="321" t="s">
        <v>32</v>
      </c>
      <c r="AC1074" s="198" t="s">
        <v>57</v>
      </c>
      <c r="AD1074" s="198" t="s">
        <v>58</v>
      </c>
      <c r="AE1074" s="279" t="s">
        <v>32</v>
      </c>
      <c r="AF1074" s="279" t="s">
        <v>813</v>
      </c>
      <c r="AG1074" s="279" t="s">
        <v>59</v>
      </c>
      <c r="AH1074" s="279" t="s">
        <v>60</v>
      </c>
      <c r="AI1074" s="198" t="s">
        <v>41</v>
      </c>
      <c r="AJ1074" s="274" t="s">
        <v>55</v>
      </c>
      <c r="AK1074"/>
    </row>
    <row r="1075" spans="1:37" ht="15.75" hidden="1" customHeight="1">
      <c r="A1075" s="198" t="s">
        <v>62</v>
      </c>
      <c r="B1075" s="198" t="s">
        <v>769</v>
      </c>
      <c r="C1075" s="214" t="s">
        <v>338</v>
      </c>
      <c r="D1075" s="198" t="s">
        <v>63</v>
      </c>
      <c r="E1075" s="198" t="s">
        <v>506</v>
      </c>
      <c r="F1075" s="198">
        <v>399.41</v>
      </c>
      <c r="G1075" s="198"/>
      <c r="H1075" s="214" t="s">
        <v>907</v>
      </c>
      <c r="I1075" s="214" t="s">
        <v>590</v>
      </c>
      <c r="J1075" s="271">
        <v>9</v>
      </c>
      <c r="K1075" s="198"/>
      <c r="L1075" s="198"/>
      <c r="M1075" s="198">
        <v>19.66</v>
      </c>
      <c r="N1075" s="198"/>
      <c r="O1075" s="198">
        <v>200.37</v>
      </c>
      <c r="P1075" s="198"/>
      <c r="Q1075" s="198" t="s">
        <v>329</v>
      </c>
      <c r="R1075" s="230">
        <f>DATABASE_Table[[#This Row],[Inicial Asking Price (€) (Total)]]-DATABASE_Table[[#This Row],[Vista membership]]-DATABASE_Table[[#This Row],[FF&amp;E]]</f>
        <v>2700000</v>
      </c>
      <c r="S1075" s="235">
        <v>2700000</v>
      </c>
      <c r="T1075" s="235">
        <v>2700000</v>
      </c>
      <c r="U1075" s="198"/>
      <c r="V1075" s="198"/>
      <c r="W1075" s="233">
        <f>DATABASE_Table[[#This Row],[Current Asking price( Total)]]-DATABASE_Table[[#This Row],[Vista membership]]-DATABASE_Table[[#This Row],[FF&amp;E]]</f>
        <v>2700000</v>
      </c>
      <c r="X1075" s="236"/>
      <c r="Y1075" s="235">
        <v>2700000</v>
      </c>
      <c r="Z1075" s="233">
        <f>DATABASE_Table[[#This Row],[Sell price (Total)]]-DATABASE_Table[[#This Row],[FF&amp;E]]-DATABASE_Table[[#This Row],[Vista membership]]</f>
        <v>2700000</v>
      </c>
      <c r="AA1075" s="315"/>
      <c r="AB1075" s="321">
        <v>46752</v>
      </c>
      <c r="AC1075" s="198" t="s">
        <v>57</v>
      </c>
      <c r="AD1075" s="198" t="s">
        <v>58</v>
      </c>
      <c r="AE1075" s="279" t="s">
        <v>64</v>
      </c>
      <c r="AF1075" s="279" t="s">
        <v>814</v>
      </c>
      <c r="AG1075" s="279" t="s">
        <v>65</v>
      </c>
      <c r="AH1075" s="279" t="s">
        <v>815</v>
      </c>
      <c r="AI1075" s="198" t="s">
        <v>61</v>
      </c>
      <c r="AJ1075" s="274" t="s">
        <v>62</v>
      </c>
      <c r="AK1075"/>
    </row>
    <row r="1076" spans="1:37" ht="15.75" hidden="1" customHeight="1">
      <c r="A1076" s="198" t="s">
        <v>62</v>
      </c>
      <c r="B1076" s="198" t="s">
        <v>769</v>
      </c>
      <c r="C1076" s="214" t="s">
        <v>339</v>
      </c>
      <c r="D1076" s="198" t="s">
        <v>63</v>
      </c>
      <c r="E1076" s="198" t="s">
        <v>506</v>
      </c>
      <c r="F1076" s="198">
        <v>367.73</v>
      </c>
      <c r="G1076" s="198"/>
      <c r="H1076" s="214" t="s">
        <v>907</v>
      </c>
      <c r="I1076" s="214" t="s">
        <v>590</v>
      </c>
      <c r="J1076" s="271">
        <v>9</v>
      </c>
      <c r="K1076" s="198"/>
      <c r="L1076" s="198"/>
      <c r="M1076" s="198">
        <v>17.41</v>
      </c>
      <c r="N1076" s="198"/>
      <c r="O1076" s="198">
        <v>190.24</v>
      </c>
      <c r="P1076" s="198"/>
      <c r="Q1076" s="198" t="s">
        <v>329</v>
      </c>
      <c r="R1076" s="230">
        <f>DATABASE_Table[[#This Row],[Inicial Asking Price (€) (Total)]]-DATABASE_Table[[#This Row],[Vista membership]]-DATABASE_Table[[#This Row],[FF&amp;E]]</f>
        <v>2750000</v>
      </c>
      <c r="S1076" s="235">
        <v>2750000</v>
      </c>
      <c r="T1076" s="235">
        <v>2750000</v>
      </c>
      <c r="U1076" s="198"/>
      <c r="V1076" s="198"/>
      <c r="W1076" s="233">
        <f>DATABASE_Table[[#This Row],[Current Asking price( Total)]]-DATABASE_Table[[#This Row],[Vista membership]]-DATABASE_Table[[#This Row],[FF&amp;E]]</f>
        <v>2750000</v>
      </c>
      <c r="X1076" s="236"/>
      <c r="Y1076" s="235">
        <v>2750000</v>
      </c>
      <c r="Z1076" s="233">
        <f>DATABASE_Table[[#This Row],[Sell price (Total)]]-DATABASE_Table[[#This Row],[FF&amp;E]]-DATABASE_Table[[#This Row],[Vista membership]]</f>
        <v>2750000</v>
      </c>
      <c r="AA1076" s="315"/>
      <c r="AB1076" s="321">
        <v>46752</v>
      </c>
      <c r="AC1076" s="198" t="s">
        <v>57</v>
      </c>
      <c r="AD1076" s="198" t="s">
        <v>58</v>
      </c>
      <c r="AE1076" s="279" t="s">
        <v>64</v>
      </c>
      <c r="AF1076" s="279" t="s">
        <v>814</v>
      </c>
      <c r="AG1076" s="279" t="s">
        <v>65</v>
      </c>
      <c r="AH1076" s="279" t="s">
        <v>815</v>
      </c>
      <c r="AI1076" s="198" t="s">
        <v>61</v>
      </c>
      <c r="AJ1076" s="274" t="s">
        <v>62</v>
      </c>
      <c r="AK1076"/>
    </row>
    <row r="1077" spans="1:37" ht="15.75" hidden="1" customHeight="1">
      <c r="A1077" s="198" t="s">
        <v>62</v>
      </c>
      <c r="B1077" s="198" t="s">
        <v>769</v>
      </c>
      <c r="C1077" s="214" t="s">
        <v>340</v>
      </c>
      <c r="D1077" s="198" t="s">
        <v>63</v>
      </c>
      <c r="E1077" s="198" t="s">
        <v>320</v>
      </c>
      <c r="F1077" s="198">
        <v>424.71</v>
      </c>
      <c r="G1077" s="198"/>
      <c r="H1077" s="214" t="s">
        <v>907</v>
      </c>
      <c r="I1077" s="214" t="s">
        <v>590</v>
      </c>
      <c r="J1077" s="271">
        <v>22.5</v>
      </c>
      <c r="K1077" s="198"/>
      <c r="L1077" s="198"/>
      <c r="M1077" s="198">
        <v>0</v>
      </c>
      <c r="N1077" s="198"/>
      <c r="O1077" s="198">
        <v>195.9</v>
      </c>
      <c r="P1077" s="198"/>
      <c r="Q1077" s="198" t="s">
        <v>329</v>
      </c>
      <c r="R1077" s="230">
        <f>DATABASE_Table[[#This Row],[Inicial Asking Price (€) (Total)]]-DATABASE_Table[[#This Row],[Vista membership]]-DATABASE_Table[[#This Row],[FF&amp;E]]</f>
        <v>3650000</v>
      </c>
      <c r="S1077" s="235">
        <v>3650000</v>
      </c>
      <c r="T1077" s="235">
        <v>3650000</v>
      </c>
      <c r="U1077" s="198"/>
      <c r="V1077" s="198"/>
      <c r="W1077" s="233">
        <f>DATABASE_Table[[#This Row],[Current Asking price( Total)]]-DATABASE_Table[[#This Row],[Vista membership]]-DATABASE_Table[[#This Row],[FF&amp;E]]</f>
        <v>3650000</v>
      </c>
      <c r="X1077" s="236"/>
      <c r="Y1077" s="235">
        <v>3650000</v>
      </c>
      <c r="Z1077" s="233">
        <f>DATABASE_Table[[#This Row],[Sell price (Total)]]-DATABASE_Table[[#This Row],[FF&amp;E]]-DATABASE_Table[[#This Row],[Vista membership]]</f>
        <v>3650000</v>
      </c>
      <c r="AA1077" s="315"/>
      <c r="AB1077" s="321">
        <v>46752</v>
      </c>
      <c r="AC1077" s="198" t="s">
        <v>57</v>
      </c>
      <c r="AD1077" s="198" t="s">
        <v>58</v>
      </c>
      <c r="AE1077" s="279" t="s">
        <v>64</v>
      </c>
      <c r="AF1077" s="279" t="s">
        <v>814</v>
      </c>
      <c r="AG1077" s="279" t="s">
        <v>65</v>
      </c>
      <c r="AH1077" s="279" t="s">
        <v>815</v>
      </c>
      <c r="AI1077" s="198" t="s">
        <v>61</v>
      </c>
      <c r="AJ1077" s="274" t="s">
        <v>62</v>
      </c>
      <c r="AK1077"/>
    </row>
    <row r="1078" spans="1:37" ht="15.75" hidden="1" customHeight="1">
      <c r="A1078" s="198" t="s">
        <v>62</v>
      </c>
      <c r="B1078" s="198" t="s">
        <v>769</v>
      </c>
      <c r="C1078" s="214" t="s">
        <v>341</v>
      </c>
      <c r="D1078" s="198" t="s">
        <v>63</v>
      </c>
      <c r="E1078" s="198" t="s">
        <v>320</v>
      </c>
      <c r="F1078" s="198">
        <v>420.09</v>
      </c>
      <c r="G1078" s="198"/>
      <c r="H1078" s="214" t="s">
        <v>907</v>
      </c>
      <c r="I1078" s="214" t="s">
        <v>590</v>
      </c>
      <c r="J1078" s="271">
        <v>18</v>
      </c>
      <c r="K1078" s="198"/>
      <c r="L1078" s="198"/>
      <c r="M1078" s="198">
        <v>0</v>
      </c>
      <c r="N1078" s="198"/>
      <c r="O1078" s="198">
        <v>195.78</v>
      </c>
      <c r="P1078" s="198"/>
      <c r="Q1078" s="198" t="s">
        <v>329</v>
      </c>
      <c r="R1078" s="230">
        <f>DATABASE_Table[[#This Row],[Inicial Asking Price (€) (Total)]]-DATABASE_Table[[#This Row],[Vista membership]]-DATABASE_Table[[#This Row],[FF&amp;E]]</f>
        <v>3650000</v>
      </c>
      <c r="S1078" s="235">
        <v>3650000</v>
      </c>
      <c r="T1078" s="235">
        <v>3650000</v>
      </c>
      <c r="U1078" s="198"/>
      <c r="V1078" s="198"/>
      <c r="W1078" s="233">
        <f>DATABASE_Table[[#This Row],[Current Asking price( Total)]]-DATABASE_Table[[#This Row],[Vista membership]]-DATABASE_Table[[#This Row],[FF&amp;E]]</f>
        <v>3650000</v>
      </c>
      <c r="X1078" s="236"/>
      <c r="Y1078" s="235">
        <v>3650000</v>
      </c>
      <c r="Z1078" s="233">
        <f>DATABASE_Table[[#This Row],[Sell price (Total)]]-DATABASE_Table[[#This Row],[FF&amp;E]]-DATABASE_Table[[#This Row],[Vista membership]]</f>
        <v>3650000</v>
      </c>
      <c r="AA1078" s="315"/>
      <c r="AB1078" s="321">
        <v>46752</v>
      </c>
      <c r="AC1078" s="198" t="s">
        <v>57</v>
      </c>
      <c r="AD1078" s="198" t="s">
        <v>58</v>
      </c>
      <c r="AE1078" s="279" t="s">
        <v>64</v>
      </c>
      <c r="AF1078" s="279" t="s">
        <v>814</v>
      </c>
      <c r="AG1078" s="279" t="s">
        <v>65</v>
      </c>
      <c r="AH1078" s="279" t="s">
        <v>815</v>
      </c>
      <c r="AI1078" s="198" t="s">
        <v>61</v>
      </c>
      <c r="AJ1078" s="274" t="s">
        <v>62</v>
      </c>
      <c r="AK1078"/>
    </row>
    <row r="1079" spans="1:37" ht="15.75" hidden="1" customHeight="1">
      <c r="A1079" s="198" t="s">
        <v>62</v>
      </c>
      <c r="B1079" s="198" t="s">
        <v>769</v>
      </c>
      <c r="C1079" s="214" t="s">
        <v>342</v>
      </c>
      <c r="D1079" s="198" t="s">
        <v>63</v>
      </c>
      <c r="E1079" s="198" t="s">
        <v>506</v>
      </c>
      <c r="F1079" s="198">
        <v>276.85000000000002</v>
      </c>
      <c r="G1079" s="198"/>
      <c r="H1079" s="214" t="s">
        <v>908</v>
      </c>
      <c r="I1079" s="214" t="s">
        <v>590</v>
      </c>
      <c r="J1079" s="271">
        <v>7.25</v>
      </c>
      <c r="K1079" s="198"/>
      <c r="L1079" s="198"/>
      <c r="M1079" s="198">
        <v>6.54</v>
      </c>
      <c r="N1079" s="198"/>
      <c r="O1079" s="198">
        <v>176.9</v>
      </c>
      <c r="P1079" s="198"/>
      <c r="Q1079" s="198" t="s">
        <v>329</v>
      </c>
      <c r="R1079" s="230">
        <f>DATABASE_Table[[#This Row],[Inicial Asking Price (€) (Total)]]-DATABASE_Table[[#This Row],[Vista membership]]-DATABASE_Table[[#This Row],[FF&amp;E]]</f>
        <v>1950000</v>
      </c>
      <c r="S1079" s="235">
        <v>1950000</v>
      </c>
      <c r="T1079" s="235">
        <v>1950000</v>
      </c>
      <c r="U1079" s="198"/>
      <c r="V1079" s="198"/>
      <c r="W1079" s="233">
        <f>DATABASE_Table[[#This Row],[Current Asking price( Total)]]-DATABASE_Table[[#This Row],[Vista membership]]-DATABASE_Table[[#This Row],[FF&amp;E]]</f>
        <v>1950000</v>
      </c>
      <c r="X1079" s="236"/>
      <c r="Y1079" s="235">
        <v>1950000</v>
      </c>
      <c r="Z1079" s="233">
        <f>DATABASE_Table[[#This Row],[Sell price (Total)]]-DATABASE_Table[[#This Row],[FF&amp;E]]-DATABASE_Table[[#This Row],[Vista membership]]</f>
        <v>1950000</v>
      </c>
      <c r="AA1079" s="315"/>
      <c r="AB1079" s="321">
        <v>46752</v>
      </c>
      <c r="AC1079" s="198" t="s">
        <v>57</v>
      </c>
      <c r="AD1079" s="198" t="s">
        <v>58</v>
      </c>
      <c r="AE1079" s="279" t="s">
        <v>64</v>
      </c>
      <c r="AF1079" s="279" t="s">
        <v>814</v>
      </c>
      <c r="AG1079" s="279" t="s">
        <v>65</v>
      </c>
      <c r="AH1079" s="279" t="s">
        <v>815</v>
      </c>
      <c r="AI1079" s="198" t="s">
        <v>61</v>
      </c>
      <c r="AJ1079" s="274" t="s">
        <v>62</v>
      </c>
      <c r="AK1079"/>
    </row>
    <row r="1080" spans="1:37" ht="15.75" hidden="1" customHeight="1">
      <c r="A1080" s="198" t="s">
        <v>62</v>
      </c>
      <c r="B1080" s="198" t="s">
        <v>769</v>
      </c>
      <c r="C1080" s="214" t="s">
        <v>343</v>
      </c>
      <c r="D1080" s="198" t="s">
        <v>63</v>
      </c>
      <c r="E1080" s="198" t="s">
        <v>506</v>
      </c>
      <c r="F1080" s="198">
        <v>251.07</v>
      </c>
      <c r="G1080" s="198"/>
      <c r="H1080" s="214" t="s">
        <v>908</v>
      </c>
      <c r="I1080" s="214" t="s">
        <v>590</v>
      </c>
      <c r="J1080" s="271">
        <v>7.25</v>
      </c>
      <c r="K1080" s="198"/>
      <c r="L1080" s="198"/>
      <c r="M1080" s="198">
        <v>6.5</v>
      </c>
      <c r="N1080" s="198"/>
      <c r="O1080" s="198">
        <v>153.16</v>
      </c>
      <c r="P1080" s="198"/>
      <c r="Q1080" s="198" t="s">
        <v>329</v>
      </c>
      <c r="R1080" s="230">
        <f>DATABASE_Table[[#This Row],[Inicial Asking Price (€) (Total)]]-DATABASE_Table[[#This Row],[Vista membership]]-DATABASE_Table[[#This Row],[FF&amp;E]]</f>
        <v>1750000</v>
      </c>
      <c r="S1080" s="235">
        <v>1750000</v>
      </c>
      <c r="T1080" s="235">
        <v>1750000</v>
      </c>
      <c r="U1080" s="198"/>
      <c r="V1080" s="198"/>
      <c r="W1080" s="233">
        <f>DATABASE_Table[[#This Row],[Current Asking price( Total)]]-DATABASE_Table[[#This Row],[Vista membership]]-DATABASE_Table[[#This Row],[FF&amp;E]]</f>
        <v>1750000</v>
      </c>
      <c r="X1080" s="236"/>
      <c r="Y1080" s="235">
        <v>1750000</v>
      </c>
      <c r="Z1080" s="233">
        <f>DATABASE_Table[[#This Row],[Sell price (Total)]]-DATABASE_Table[[#This Row],[FF&amp;E]]-DATABASE_Table[[#This Row],[Vista membership]]</f>
        <v>1750000</v>
      </c>
      <c r="AA1080" s="315"/>
      <c r="AB1080" s="321">
        <v>46752</v>
      </c>
      <c r="AC1080" s="198" t="s">
        <v>57</v>
      </c>
      <c r="AD1080" s="198" t="s">
        <v>58</v>
      </c>
      <c r="AE1080" s="279" t="s">
        <v>64</v>
      </c>
      <c r="AF1080" s="279" t="s">
        <v>814</v>
      </c>
      <c r="AG1080" s="279" t="s">
        <v>65</v>
      </c>
      <c r="AH1080" s="279" t="s">
        <v>815</v>
      </c>
      <c r="AI1080" s="198" t="s">
        <v>61</v>
      </c>
      <c r="AJ1080" s="274" t="s">
        <v>62</v>
      </c>
      <c r="AK1080"/>
    </row>
    <row r="1081" spans="1:37" ht="15.75" hidden="1" customHeight="1">
      <c r="A1081" s="198" t="s">
        <v>62</v>
      </c>
      <c r="B1081" s="198" t="s">
        <v>769</v>
      </c>
      <c r="C1081" s="214" t="s">
        <v>344</v>
      </c>
      <c r="D1081" s="198" t="s">
        <v>63</v>
      </c>
      <c r="E1081" s="198" t="s">
        <v>506</v>
      </c>
      <c r="F1081" s="198">
        <v>250.97</v>
      </c>
      <c r="G1081" s="198"/>
      <c r="H1081" s="214" t="s">
        <v>909</v>
      </c>
      <c r="I1081" s="214" t="s">
        <v>590</v>
      </c>
      <c r="J1081" s="271">
        <v>7.25</v>
      </c>
      <c r="K1081" s="198"/>
      <c r="L1081" s="198"/>
      <c r="M1081" s="198">
        <v>6.4</v>
      </c>
      <c r="N1081" s="198"/>
      <c r="O1081" s="198">
        <v>153.16</v>
      </c>
      <c r="P1081" s="198"/>
      <c r="Q1081" s="198" t="s">
        <v>329</v>
      </c>
      <c r="R1081" s="230">
        <f>DATABASE_Table[[#This Row],[Inicial Asking Price (€) (Total)]]-DATABASE_Table[[#This Row],[Vista membership]]-DATABASE_Table[[#This Row],[FF&amp;E]]</f>
        <v>1750000</v>
      </c>
      <c r="S1081" s="235">
        <v>1750000</v>
      </c>
      <c r="T1081" s="235">
        <v>1750000</v>
      </c>
      <c r="U1081" s="198"/>
      <c r="V1081" s="198"/>
      <c r="W1081" s="233">
        <f>DATABASE_Table[[#This Row],[Current Asking price( Total)]]-DATABASE_Table[[#This Row],[Vista membership]]-DATABASE_Table[[#This Row],[FF&amp;E]]</f>
        <v>1750000</v>
      </c>
      <c r="X1081" s="236"/>
      <c r="Y1081" s="235">
        <v>1750000</v>
      </c>
      <c r="Z1081" s="233">
        <f>DATABASE_Table[[#This Row],[Sell price (Total)]]-DATABASE_Table[[#This Row],[FF&amp;E]]-DATABASE_Table[[#This Row],[Vista membership]]</f>
        <v>1750000</v>
      </c>
      <c r="AA1081" s="315"/>
      <c r="AB1081" s="321">
        <v>46752</v>
      </c>
      <c r="AC1081" s="198" t="s">
        <v>57</v>
      </c>
      <c r="AD1081" s="198" t="s">
        <v>58</v>
      </c>
      <c r="AE1081" s="279" t="s">
        <v>64</v>
      </c>
      <c r="AF1081" s="279" t="s">
        <v>814</v>
      </c>
      <c r="AG1081" s="279" t="s">
        <v>65</v>
      </c>
      <c r="AH1081" s="279" t="s">
        <v>815</v>
      </c>
      <c r="AI1081" s="198" t="s">
        <v>61</v>
      </c>
      <c r="AJ1081" s="274" t="s">
        <v>62</v>
      </c>
      <c r="AK1081"/>
    </row>
    <row r="1082" spans="1:37" ht="15.75" hidden="1" customHeight="1">
      <c r="A1082" s="198" t="s">
        <v>62</v>
      </c>
      <c r="B1082" s="198" t="s">
        <v>769</v>
      </c>
      <c r="C1082" s="214" t="s">
        <v>345</v>
      </c>
      <c r="D1082" s="198" t="s">
        <v>63</v>
      </c>
      <c r="E1082" s="198" t="s">
        <v>506</v>
      </c>
      <c r="F1082" s="198">
        <v>270.81</v>
      </c>
      <c r="G1082" s="198"/>
      <c r="H1082" s="214" t="s">
        <v>909</v>
      </c>
      <c r="I1082" s="214" t="s">
        <v>590</v>
      </c>
      <c r="J1082" s="271">
        <v>7.25</v>
      </c>
      <c r="K1082" s="198"/>
      <c r="L1082" s="198"/>
      <c r="M1082" s="198">
        <v>6.38</v>
      </c>
      <c r="N1082" s="198"/>
      <c r="O1082" s="198">
        <v>172.9</v>
      </c>
      <c r="P1082" s="198"/>
      <c r="Q1082" s="198" t="s">
        <v>329</v>
      </c>
      <c r="R1082" s="230">
        <f>DATABASE_Table[[#This Row],[Inicial Asking Price (€) (Total)]]-DATABASE_Table[[#This Row],[Vista membership]]-DATABASE_Table[[#This Row],[FF&amp;E]]</f>
        <v>1850000</v>
      </c>
      <c r="S1082" s="235">
        <v>1850000</v>
      </c>
      <c r="T1082" s="235">
        <v>1850000</v>
      </c>
      <c r="U1082" s="198"/>
      <c r="V1082" s="198"/>
      <c r="W1082" s="233">
        <f>DATABASE_Table[[#This Row],[Current Asking price( Total)]]-DATABASE_Table[[#This Row],[Vista membership]]-DATABASE_Table[[#This Row],[FF&amp;E]]</f>
        <v>1850000</v>
      </c>
      <c r="X1082" s="236"/>
      <c r="Y1082" s="235">
        <v>1850000</v>
      </c>
      <c r="Z1082" s="233">
        <f>DATABASE_Table[[#This Row],[Sell price (Total)]]-DATABASE_Table[[#This Row],[FF&amp;E]]-DATABASE_Table[[#This Row],[Vista membership]]</f>
        <v>1850000</v>
      </c>
      <c r="AA1082" s="315"/>
      <c r="AB1082" s="321">
        <v>46752</v>
      </c>
      <c r="AC1082" s="198" t="s">
        <v>57</v>
      </c>
      <c r="AD1082" s="198" t="s">
        <v>58</v>
      </c>
      <c r="AE1082" s="279" t="s">
        <v>64</v>
      </c>
      <c r="AF1082" s="279" t="s">
        <v>814</v>
      </c>
      <c r="AG1082" s="279" t="s">
        <v>65</v>
      </c>
      <c r="AH1082" s="279" t="s">
        <v>815</v>
      </c>
      <c r="AI1082" s="198" t="s">
        <v>61</v>
      </c>
      <c r="AJ1082" s="274" t="s">
        <v>62</v>
      </c>
      <c r="AK1082"/>
    </row>
    <row r="1083" spans="1:37" ht="15.75" hidden="1" customHeight="1">
      <c r="A1083" s="198" t="s">
        <v>62</v>
      </c>
      <c r="B1083" s="198" t="s">
        <v>769</v>
      </c>
      <c r="C1083" s="214" t="s">
        <v>346</v>
      </c>
      <c r="D1083" s="198" t="s">
        <v>63</v>
      </c>
      <c r="E1083" s="198" t="s">
        <v>320</v>
      </c>
      <c r="F1083" s="198">
        <v>345.06</v>
      </c>
      <c r="G1083" s="198"/>
      <c r="H1083" s="214" t="s">
        <v>908</v>
      </c>
      <c r="I1083" s="214" t="s">
        <v>590</v>
      </c>
      <c r="J1083" s="271">
        <v>17.399999999999999</v>
      </c>
      <c r="K1083" s="198"/>
      <c r="L1083" s="198"/>
      <c r="M1083" s="198">
        <v>0</v>
      </c>
      <c r="N1083" s="198"/>
      <c r="O1083" s="198">
        <v>160.9</v>
      </c>
      <c r="P1083" s="198"/>
      <c r="Q1083" s="198" t="s">
        <v>329</v>
      </c>
      <c r="R1083" s="230">
        <f>DATABASE_Table[[#This Row],[Inicial Asking Price (€) (Total)]]-DATABASE_Table[[#This Row],[Vista membership]]-DATABASE_Table[[#This Row],[FF&amp;E]]</f>
        <v>1950000</v>
      </c>
      <c r="S1083" s="235">
        <v>1950000</v>
      </c>
      <c r="T1083" s="235">
        <v>1950000</v>
      </c>
      <c r="U1083" s="198"/>
      <c r="V1083" s="198"/>
      <c r="W1083" s="233">
        <f>DATABASE_Table[[#This Row],[Current Asking price( Total)]]-DATABASE_Table[[#This Row],[Vista membership]]-DATABASE_Table[[#This Row],[FF&amp;E]]</f>
        <v>1950000</v>
      </c>
      <c r="X1083" s="236"/>
      <c r="Y1083" s="235">
        <v>1950000</v>
      </c>
      <c r="Z1083" s="233">
        <f>DATABASE_Table[[#This Row],[Sell price (Total)]]-DATABASE_Table[[#This Row],[FF&amp;E]]-DATABASE_Table[[#This Row],[Vista membership]]</f>
        <v>1950000</v>
      </c>
      <c r="AA1083" s="315"/>
      <c r="AB1083" s="321">
        <v>46752</v>
      </c>
      <c r="AC1083" s="198" t="s">
        <v>57</v>
      </c>
      <c r="AD1083" s="198" t="s">
        <v>58</v>
      </c>
      <c r="AE1083" s="279" t="s">
        <v>64</v>
      </c>
      <c r="AF1083" s="279" t="s">
        <v>814</v>
      </c>
      <c r="AG1083" s="279" t="s">
        <v>65</v>
      </c>
      <c r="AH1083" s="279" t="s">
        <v>815</v>
      </c>
      <c r="AI1083" s="198" t="s">
        <v>61</v>
      </c>
      <c r="AJ1083" s="274" t="s">
        <v>62</v>
      </c>
      <c r="AK1083"/>
    </row>
    <row r="1084" spans="1:37" ht="15.75" hidden="1" customHeight="1">
      <c r="A1084" s="198" t="s">
        <v>62</v>
      </c>
      <c r="B1084" s="198" t="s">
        <v>769</v>
      </c>
      <c r="C1084" s="214" t="s">
        <v>347</v>
      </c>
      <c r="D1084" s="198" t="s">
        <v>63</v>
      </c>
      <c r="E1084" s="198" t="s">
        <v>320</v>
      </c>
      <c r="F1084" s="198">
        <v>344.10500000000002</v>
      </c>
      <c r="G1084" s="198"/>
      <c r="H1084" s="214" t="s">
        <v>909</v>
      </c>
      <c r="I1084" s="214" t="s">
        <v>590</v>
      </c>
      <c r="J1084" s="271">
        <v>13.484999999999999</v>
      </c>
      <c r="K1084" s="198"/>
      <c r="L1084" s="198"/>
      <c r="M1084" s="198">
        <v>0</v>
      </c>
      <c r="N1084" s="198"/>
      <c r="O1084" s="198">
        <v>162.97999999999999</v>
      </c>
      <c r="P1084" s="198"/>
      <c r="Q1084" s="198" t="s">
        <v>329</v>
      </c>
      <c r="R1084" s="230">
        <f>DATABASE_Table[[#This Row],[Inicial Asking Price (€) (Total)]]-DATABASE_Table[[#This Row],[Vista membership]]-DATABASE_Table[[#This Row],[FF&amp;E]]</f>
        <v>2100000</v>
      </c>
      <c r="S1084" s="235">
        <v>2100000</v>
      </c>
      <c r="T1084" s="235">
        <v>2100000</v>
      </c>
      <c r="U1084" s="198"/>
      <c r="V1084" s="198"/>
      <c r="W1084" s="233">
        <f>DATABASE_Table[[#This Row],[Current Asking price( Total)]]-DATABASE_Table[[#This Row],[Vista membership]]-DATABASE_Table[[#This Row],[FF&amp;E]]</f>
        <v>2100000</v>
      </c>
      <c r="X1084" s="236"/>
      <c r="Y1084" s="235">
        <v>2100000</v>
      </c>
      <c r="Z1084" s="233">
        <f>DATABASE_Table[[#This Row],[Sell price (Total)]]-DATABASE_Table[[#This Row],[FF&amp;E]]-DATABASE_Table[[#This Row],[Vista membership]]</f>
        <v>2100000</v>
      </c>
      <c r="AA1084" s="315"/>
      <c r="AB1084" s="321">
        <v>46752</v>
      </c>
      <c r="AC1084" s="198" t="s">
        <v>57</v>
      </c>
      <c r="AD1084" s="198" t="s">
        <v>58</v>
      </c>
      <c r="AE1084" s="279" t="s">
        <v>64</v>
      </c>
      <c r="AF1084" s="279" t="s">
        <v>814</v>
      </c>
      <c r="AG1084" s="279" t="s">
        <v>65</v>
      </c>
      <c r="AH1084" s="279" t="s">
        <v>815</v>
      </c>
      <c r="AI1084" s="198" t="s">
        <v>61</v>
      </c>
      <c r="AJ1084" s="274" t="s">
        <v>62</v>
      </c>
      <c r="AK1084"/>
    </row>
    <row r="1085" spans="1:37" ht="15.75" hidden="1" customHeight="1">
      <c r="A1085" s="198" t="s">
        <v>62</v>
      </c>
      <c r="B1085" s="198" t="s">
        <v>769</v>
      </c>
      <c r="C1085" s="214" t="s">
        <v>348</v>
      </c>
      <c r="D1085" s="198" t="s">
        <v>63</v>
      </c>
      <c r="E1085" s="198" t="s">
        <v>320</v>
      </c>
      <c r="F1085" s="198">
        <v>351.88</v>
      </c>
      <c r="G1085" s="198"/>
      <c r="H1085" s="214" t="s">
        <v>910</v>
      </c>
      <c r="I1085" s="214" t="s">
        <v>590</v>
      </c>
      <c r="J1085" s="271">
        <v>14.5</v>
      </c>
      <c r="K1085" s="198"/>
      <c r="L1085" s="198"/>
      <c r="M1085" s="198">
        <v>0</v>
      </c>
      <c r="N1085" s="198"/>
      <c r="O1085" s="198">
        <v>160.11000000000001</v>
      </c>
      <c r="P1085" s="198"/>
      <c r="Q1085" s="198" t="s">
        <v>329</v>
      </c>
      <c r="R1085" s="230">
        <f>DATABASE_Table[[#This Row],[Inicial Asking Price (€) (Total)]]-DATABASE_Table[[#This Row],[Vista membership]]-DATABASE_Table[[#This Row],[FF&amp;E]]</f>
        <v>2900000</v>
      </c>
      <c r="S1085" s="235">
        <v>2900000</v>
      </c>
      <c r="T1085" s="235">
        <v>2900000</v>
      </c>
      <c r="U1085" s="198"/>
      <c r="V1085" s="198"/>
      <c r="W1085" s="233">
        <f>DATABASE_Table[[#This Row],[Current Asking price( Total)]]-DATABASE_Table[[#This Row],[Vista membership]]-DATABASE_Table[[#This Row],[FF&amp;E]]</f>
        <v>2900000</v>
      </c>
      <c r="X1085" s="236"/>
      <c r="Y1085" s="235">
        <v>2900000</v>
      </c>
      <c r="Z1085" s="233">
        <f>DATABASE_Table[[#This Row],[Sell price (Total)]]-DATABASE_Table[[#This Row],[FF&amp;E]]-DATABASE_Table[[#This Row],[Vista membership]]</f>
        <v>2900000</v>
      </c>
      <c r="AA1085" s="315"/>
      <c r="AB1085" s="321">
        <v>46752</v>
      </c>
      <c r="AC1085" s="198" t="s">
        <v>57</v>
      </c>
      <c r="AD1085" s="198" t="s">
        <v>58</v>
      </c>
      <c r="AE1085" s="279" t="s">
        <v>64</v>
      </c>
      <c r="AF1085" s="279" t="s">
        <v>814</v>
      </c>
      <c r="AG1085" s="279" t="s">
        <v>65</v>
      </c>
      <c r="AH1085" s="279" t="s">
        <v>815</v>
      </c>
      <c r="AI1085" s="198" t="s">
        <v>61</v>
      </c>
      <c r="AJ1085" s="274" t="s">
        <v>62</v>
      </c>
      <c r="AK1085"/>
    </row>
    <row r="1086" spans="1:37" ht="15.75" hidden="1" customHeight="1">
      <c r="A1086" s="198" t="s">
        <v>62</v>
      </c>
      <c r="B1086" s="198" t="s">
        <v>769</v>
      </c>
      <c r="C1086" s="214" t="s">
        <v>349</v>
      </c>
      <c r="D1086" s="198" t="s">
        <v>63</v>
      </c>
      <c r="E1086" s="198" t="s">
        <v>320</v>
      </c>
      <c r="F1086" s="198">
        <v>347.97</v>
      </c>
      <c r="G1086" s="198"/>
      <c r="H1086" s="214" t="s">
        <v>910</v>
      </c>
      <c r="I1086" s="214" t="s">
        <v>590</v>
      </c>
      <c r="J1086" s="271">
        <v>14.5</v>
      </c>
      <c r="K1086" s="198"/>
      <c r="L1086" s="198"/>
      <c r="M1086" s="198">
        <v>0</v>
      </c>
      <c r="N1086" s="198"/>
      <c r="O1086" s="198">
        <v>158.08000000000001</v>
      </c>
      <c r="P1086" s="198"/>
      <c r="Q1086" s="198" t="s">
        <v>329</v>
      </c>
      <c r="R1086" s="230">
        <f>DATABASE_Table[[#This Row],[Inicial Asking Price (€) (Total)]]-DATABASE_Table[[#This Row],[Vista membership]]-DATABASE_Table[[#This Row],[FF&amp;E]]</f>
        <v>2300000</v>
      </c>
      <c r="S1086" s="235">
        <v>2300000</v>
      </c>
      <c r="T1086" s="235">
        <v>2300000</v>
      </c>
      <c r="U1086" s="198"/>
      <c r="V1086" s="198"/>
      <c r="W1086" s="233">
        <f>DATABASE_Table[[#This Row],[Current Asking price( Total)]]-DATABASE_Table[[#This Row],[Vista membership]]-DATABASE_Table[[#This Row],[FF&amp;E]]</f>
        <v>2300000</v>
      </c>
      <c r="X1086" s="236"/>
      <c r="Y1086" s="235">
        <v>2300000</v>
      </c>
      <c r="Z1086" s="233">
        <f>DATABASE_Table[[#This Row],[Sell price (Total)]]-DATABASE_Table[[#This Row],[FF&amp;E]]-DATABASE_Table[[#This Row],[Vista membership]]</f>
        <v>2300000</v>
      </c>
      <c r="AA1086" s="315"/>
      <c r="AB1086" s="321">
        <v>46752</v>
      </c>
      <c r="AC1086" s="198" t="s">
        <v>57</v>
      </c>
      <c r="AD1086" s="198" t="s">
        <v>58</v>
      </c>
      <c r="AE1086" s="279" t="s">
        <v>64</v>
      </c>
      <c r="AF1086" s="279" t="s">
        <v>814</v>
      </c>
      <c r="AG1086" s="279" t="s">
        <v>65</v>
      </c>
      <c r="AH1086" s="279" t="s">
        <v>815</v>
      </c>
      <c r="AI1086" s="198" t="s">
        <v>61</v>
      </c>
      <c r="AJ1086" s="274" t="s">
        <v>62</v>
      </c>
      <c r="AK1086"/>
    </row>
    <row r="1087" spans="1:37" ht="15.75" hidden="1" customHeight="1">
      <c r="A1087" s="198" t="s">
        <v>62</v>
      </c>
      <c r="B1087" s="198" t="s">
        <v>769</v>
      </c>
      <c r="C1087" s="214" t="s">
        <v>350</v>
      </c>
      <c r="D1087" s="198" t="s">
        <v>63</v>
      </c>
      <c r="E1087" s="198" t="s">
        <v>320</v>
      </c>
      <c r="F1087" s="198">
        <v>347.87</v>
      </c>
      <c r="G1087" s="198"/>
      <c r="H1087" s="214" t="s">
        <v>910</v>
      </c>
      <c r="I1087" s="214" t="s">
        <v>590</v>
      </c>
      <c r="J1087" s="271">
        <v>14.5</v>
      </c>
      <c r="K1087" s="198"/>
      <c r="L1087" s="198"/>
      <c r="M1087" s="198">
        <v>0</v>
      </c>
      <c r="N1087" s="198"/>
      <c r="O1087" s="198">
        <v>158.06</v>
      </c>
      <c r="P1087" s="198"/>
      <c r="Q1087" s="198" t="s">
        <v>329</v>
      </c>
      <c r="R1087" s="230">
        <f>DATABASE_Table[[#This Row],[Inicial Asking Price (€) (Total)]]-DATABASE_Table[[#This Row],[Vista membership]]-DATABASE_Table[[#This Row],[FF&amp;E]]</f>
        <v>2300000</v>
      </c>
      <c r="S1087" s="235">
        <v>2300000</v>
      </c>
      <c r="T1087" s="235">
        <v>2300000</v>
      </c>
      <c r="U1087" s="198"/>
      <c r="V1087" s="198"/>
      <c r="W1087" s="233">
        <f>DATABASE_Table[[#This Row],[Current Asking price( Total)]]-DATABASE_Table[[#This Row],[Vista membership]]-DATABASE_Table[[#This Row],[FF&amp;E]]</f>
        <v>2300000</v>
      </c>
      <c r="X1087" s="236"/>
      <c r="Y1087" s="235">
        <v>2300000</v>
      </c>
      <c r="Z1087" s="233">
        <f>DATABASE_Table[[#This Row],[Sell price (Total)]]-DATABASE_Table[[#This Row],[FF&amp;E]]-DATABASE_Table[[#This Row],[Vista membership]]</f>
        <v>2300000</v>
      </c>
      <c r="AA1087" s="315"/>
      <c r="AB1087" s="321">
        <v>46752</v>
      </c>
      <c r="AC1087" s="198" t="s">
        <v>57</v>
      </c>
      <c r="AD1087" s="198" t="s">
        <v>58</v>
      </c>
      <c r="AE1087" s="279" t="s">
        <v>64</v>
      </c>
      <c r="AF1087" s="279" t="s">
        <v>814</v>
      </c>
      <c r="AG1087" s="279" t="s">
        <v>65</v>
      </c>
      <c r="AH1087" s="279" t="s">
        <v>815</v>
      </c>
      <c r="AI1087" s="198" t="s">
        <v>61</v>
      </c>
      <c r="AJ1087" s="274" t="s">
        <v>62</v>
      </c>
      <c r="AK1087"/>
    </row>
    <row r="1088" spans="1:37" ht="15.75" hidden="1" customHeight="1">
      <c r="A1088" s="198" t="s">
        <v>62</v>
      </c>
      <c r="B1088" s="198" t="s">
        <v>769</v>
      </c>
      <c r="C1088" s="214" t="s">
        <v>351</v>
      </c>
      <c r="D1088" s="198" t="s">
        <v>63</v>
      </c>
      <c r="E1088" s="198" t="s">
        <v>320</v>
      </c>
      <c r="F1088" s="198">
        <v>352</v>
      </c>
      <c r="G1088" s="198"/>
      <c r="H1088" s="214" t="s">
        <v>910</v>
      </c>
      <c r="I1088" s="214" t="s">
        <v>590</v>
      </c>
      <c r="J1088" s="271">
        <v>14.5</v>
      </c>
      <c r="K1088" s="198"/>
      <c r="L1088" s="198"/>
      <c r="M1088" s="198">
        <v>0</v>
      </c>
      <c r="N1088" s="198"/>
      <c r="O1088" s="198">
        <v>160.11000000000001</v>
      </c>
      <c r="P1088" s="198"/>
      <c r="Q1088" s="198" t="s">
        <v>329</v>
      </c>
      <c r="R1088" s="230">
        <f>DATABASE_Table[[#This Row],[Inicial Asking Price (€) (Total)]]-DATABASE_Table[[#This Row],[Vista membership]]-DATABASE_Table[[#This Row],[FF&amp;E]]</f>
        <v>2400000</v>
      </c>
      <c r="S1088" s="235">
        <v>2400000</v>
      </c>
      <c r="T1088" s="235">
        <v>2400000</v>
      </c>
      <c r="U1088" s="198"/>
      <c r="V1088" s="198"/>
      <c r="W1088" s="233">
        <f>DATABASE_Table[[#This Row],[Current Asking price( Total)]]-DATABASE_Table[[#This Row],[Vista membership]]-DATABASE_Table[[#This Row],[FF&amp;E]]</f>
        <v>2400000</v>
      </c>
      <c r="X1088" s="236"/>
      <c r="Y1088" s="235">
        <v>2400000</v>
      </c>
      <c r="Z1088" s="233">
        <f>DATABASE_Table[[#This Row],[Sell price (Total)]]-DATABASE_Table[[#This Row],[FF&amp;E]]-DATABASE_Table[[#This Row],[Vista membership]]</f>
        <v>2400000</v>
      </c>
      <c r="AA1088" s="315"/>
      <c r="AB1088" s="321">
        <v>46752</v>
      </c>
      <c r="AC1088" s="198" t="s">
        <v>57</v>
      </c>
      <c r="AD1088" s="198" t="s">
        <v>58</v>
      </c>
      <c r="AE1088" s="279" t="s">
        <v>64</v>
      </c>
      <c r="AF1088" s="279" t="s">
        <v>814</v>
      </c>
      <c r="AG1088" s="279" t="s">
        <v>65</v>
      </c>
      <c r="AH1088" s="279" t="s">
        <v>815</v>
      </c>
      <c r="AI1088" s="198" t="s">
        <v>61</v>
      </c>
      <c r="AJ1088" s="274" t="s">
        <v>62</v>
      </c>
      <c r="AK1088"/>
    </row>
    <row r="1089" spans="1:37" ht="15.75" hidden="1" customHeight="1">
      <c r="A1089" s="198" t="s">
        <v>62</v>
      </c>
      <c r="B1089" s="198" t="s">
        <v>769</v>
      </c>
      <c r="C1089" s="214" t="s">
        <v>337</v>
      </c>
      <c r="D1089" s="198" t="s">
        <v>63</v>
      </c>
      <c r="E1089" s="198" t="s">
        <v>506</v>
      </c>
      <c r="F1089" s="198">
        <v>399.41</v>
      </c>
      <c r="G1089" s="198"/>
      <c r="H1089" s="214" t="s">
        <v>907</v>
      </c>
      <c r="I1089" s="214" t="s">
        <v>590</v>
      </c>
      <c r="J1089" s="271">
        <v>9</v>
      </c>
      <c r="K1089" s="198"/>
      <c r="L1089" s="198"/>
      <c r="M1089" s="198">
        <v>19.66</v>
      </c>
      <c r="N1089" s="198"/>
      <c r="O1089" s="198">
        <v>200.37</v>
      </c>
      <c r="P1089" s="198"/>
      <c r="Q1089" s="198" t="s">
        <v>628</v>
      </c>
      <c r="R1089" s="230">
        <f>DATABASE_Table[[#This Row],[Inicial Asking Price (€) (Total)]]-DATABASE_Table[[#This Row],[Vista membership]]-DATABASE_Table[[#This Row],[FF&amp;E]]</f>
        <v>2700000</v>
      </c>
      <c r="S1089" s="235">
        <v>2700000</v>
      </c>
      <c r="T1089" s="235">
        <v>2700000</v>
      </c>
      <c r="U1089" s="198"/>
      <c r="V1089" s="198"/>
      <c r="W1089" s="233">
        <f>DATABASE_Table[[#This Row],[Current Asking price( Total)]]-DATABASE_Table[[#This Row],[Vista membership]]-DATABASE_Table[[#This Row],[FF&amp;E]]</f>
        <v>2700000</v>
      </c>
      <c r="X1089" s="236"/>
      <c r="Y1089" s="235">
        <v>2700000</v>
      </c>
      <c r="Z1089" s="233">
        <f>DATABASE_Table[[#This Row],[Sell price (Total)]]-DATABASE_Table[[#This Row],[FF&amp;E]]-DATABASE_Table[[#This Row],[Vista membership]]</f>
        <v>2700000</v>
      </c>
      <c r="AA1089" s="315">
        <v>46191</v>
      </c>
      <c r="AB1089" s="321">
        <v>46752</v>
      </c>
      <c r="AC1089" s="198" t="s">
        <v>57</v>
      </c>
      <c r="AD1089" s="198" t="s">
        <v>58</v>
      </c>
      <c r="AE1089" s="279" t="s">
        <v>64</v>
      </c>
      <c r="AF1089" s="279" t="s">
        <v>814</v>
      </c>
      <c r="AG1089" s="279" t="s">
        <v>65</v>
      </c>
      <c r="AH1089" s="279" t="s">
        <v>815</v>
      </c>
      <c r="AI1089" s="198" t="s">
        <v>61</v>
      </c>
      <c r="AJ1089" s="274" t="s">
        <v>62</v>
      </c>
      <c r="AK1089"/>
    </row>
    <row r="1090" spans="1:37" ht="15.75" hidden="1" customHeight="1">
      <c r="A1090" s="198" t="s">
        <v>62</v>
      </c>
      <c r="B1090" s="198" t="s">
        <v>769</v>
      </c>
      <c r="C1090" s="214" t="s">
        <v>336</v>
      </c>
      <c r="D1090" s="198" t="s">
        <v>63</v>
      </c>
      <c r="E1090" s="198" t="s">
        <v>506</v>
      </c>
      <c r="F1090" s="198">
        <v>367.73</v>
      </c>
      <c r="G1090" s="198"/>
      <c r="H1090" s="214" t="s">
        <v>907</v>
      </c>
      <c r="I1090" s="214" t="s">
        <v>590</v>
      </c>
      <c r="J1090" s="271">
        <v>9</v>
      </c>
      <c r="K1090" s="198"/>
      <c r="L1090" s="198"/>
      <c r="M1090" s="198">
        <v>17.41</v>
      </c>
      <c r="N1090" s="198"/>
      <c r="O1090" s="198">
        <v>190.24</v>
      </c>
      <c r="P1090" s="198"/>
      <c r="Q1090" s="198" t="s">
        <v>326</v>
      </c>
      <c r="R1090" s="230">
        <f>DATABASE_Table[[#This Row],[Inicial Asking Price (€) (Total)]]-DATABASE_Table[[#This Row],[Vista membership]]-DATABASE_Table[[#This Row],[FF&amp;E]]</f>
        <v>2610000</v>
      </c>
      <c r="S1090" s="235">
        <v>2610000</v>
      </c>
      <c r="T1090" s="235">
        <v>2610000</v>
      </c>
      <c r="U1090" s="198"/>
      <c r="V1090" s="198"/>
      <c r="W1090" s="233">
        <f>DATABASE_Table[[#This Row],[Current Asking price( Total)]]-DATABASE_Table[[#This Row],[Vista membership]]-DATABASE_Table[[#This Row],[FF&amp;E]]</f>
        <v>2610000</v>
      </c>
      <c r="X1090" s="236"/>
      <c r="Y1090" s="235">
        <v>2610000</v>
      </c>
      <c r="Z1090" s="233">
        <f>DATABASE_Table[[#This Row],[Sell price (Total)]]-DATABASE_Table[[#This Row],[FF&amp;E]]-DATABASE_Table[[#This Row],[Vista membership]]</f>
        <v>2610000</v>
      </c>
      <c r="AA1090" s="315">
        <v>46157</v>
      </c>
      <c r="AB1090" s="321">
        <v>46752</v>
      </c>
      <c r="AC1090" s="198" t="s">
        <v>57</v>
      </c>
      <c r="AD1090" s="198" t="s">
        <v>58</v>
      </c>
      <c r="AE1090" s="279" t="s">
        <v>64</v>
      </c>
      <c r="AF1090" s="279" t="s">
        <v>814</v>
      </c>
      <c r="AG1090" s="279" t="s">
        <v>65</v>
      </c>
      <c r="AH1090" s="279" t="s">
        <v>815</v>
      </c>
      <c r="AI1090" s="198" t="s">
        <v>61</v>
      </c>
      <c r="AJ1090" s="274" t="s">
        <v>62</v>
      </c>
      <c r="AK1090"/>
    </row>
    <row r="1091" spans="1:37" ht="15.75" hidden="1" customHeight="1">
      <c r="A1091" s="198" t="s">
        <v>775</v>
      </c>
      <c r="B1091" s="198" t="s">
        <v>769</v>
      </c>
      <c r="C1091" s="214" t="s">
        <v>368</v>
      </c>
      <c r="D1091" s="198" t="s">
        <v>74</v>
      </c>
      <c r="E1091" s="198" t="s">
        <v>320</v>
      </c>
      <c r="F1091" s="198">
        <v>422.36</v>
      </c>
      <c r="G1091" s="198">
        <v>45.06</v>
      </c>
      <c r="H1091" s="214" t="s">
        <v>325</v>
      </c>
      <c r="I1091" s="214" t="s">
        <v>325</v>
      </c>
      <c r="J1091" s="271">
        <v>131.68</v>
      </c>
      <c r="K1091" s="198"/>
      <c r="L1091" s="198"/>
      <c r="M1091" s="198"/>
      <c r="N1091" s="198"/>
      <c r="O1091" s="198">
        <v>245.62</v>
      </c>
      <c r="P1091" s="198"/>
      <c r="Q1091" s="198" t="s">
        <v>329</v>
      </c>
      <c r="R1091" s="230">
        <f>DATABASE_Table[[#This Row],[Inicial Asking Price (€) (Total)]]-DATABASE_Table[[#This Row],[Vista membership]]-DATABASE_Table[[#This Row],[FF&amp;E]]</f>
        <v>1340000</v>
      </c>
      <c r="S1091" s="235">
        <v>1340000</v>
      </c>
      <c r="T1091" s="235">
        <v>1340000</v>
      </c>
      <c r="U1091" s="198"/>
      <c r="V1091" s="198"/>
      <c r="W1091" s="233">
        <f>DATABASE_Table[[#This Row],[Current Asking price( Total)]]-DATABASE_Table[[#This Row],[Vista membership]]-DATABASE_Table[[#This Row],[FF&amp;E]]</f>
        <v>1340000</v>
      </c>
      <c r="X1091" s="236"/>
      <c r="Y1091" s="235"/>
      <c r="Z1091" s="233">
        <f>DATABASE_Table[[#This Row],[Sell price (Total)]]-DATABASE_Table[[#This Row],[FF&amp;E]]-DATABASE_Table[[#This Row],[Vista membership]]</f>
        <v>0</v>
      </c>
      <c r="AA1091" s="315"/>
      <c r="AB1091" s="321" t="s">
        <v>32</v>
      </c>
      <c r="AC1091" s="198" t="s">
        <v>57</v>
      </c>
      <c r="AD1091" s="198"/>
      <c r="AE1091" s="279" t="s">
        <v>75</v>
      </c>
      <c r="AF1091" s="279" t="s">
        <v>554</v>
      </c>
      <c r="AG1091" s="279" t="s">
        <v>76</v>
      </c>
      <c r="AH1091" s="279" t="s">
        <v>77</v>
      </c>
      <c r="AI1091" s="198" t="s">
        <v>32</v>
      </c>
      <c r="AJ1091" s="274" t="s">
        <v>73</v>
      </c>
      <c r="AK1091"/>
    </row>
    <row r="1092" spans="1:37" ht="15.75" hidden="1" customHeight="1">
      <c r="A1092" s="198" t="s">
        <v>558</v>
      </c>
      <c r="B1092" s="198" t="s">
        <v>691</v>
      </c>
      <c r="C1092" s="214" t="s">
        <v>357</v>
      </c>
      <c r="D1092" s="198" t="s">
        <v>9</v>
      </c>
      <c r="E1092" s="198" t="s">
        <v>320</v>
      </c>
      <c r="F1092" s="198">
        <v>152.91</v>
      </c>
      <c r="G1092" s="198">
        <v>3.37</v>
      </c>
      <c r="H1092" s="214" t="s">
        <v>615</v>
      </c>
      <c r="I1092" s="214" t="s">
        <v>325</v>
      </c>
      <c r="J1092" s="271">
        <v>45.97</v>
      </c>
      <c r="K1092" s="198"/>
      <c r="L1092" s="198"/>
      <c r="M1092" s="198"/>
      <c r="N1092" s="198"/>
      <c r="O1092" s="198">
        <v>152.91</v>
      </c>
      <c r="P1092" s="198"/>
      <c r="Q1092" s="198" t="s">
        <v>329</v>
      </c>
      <c r="R1092" s="230">
        <f>DATABASE_Table[[#This Row],[Inicial Asking Price (€) (Total)]]-DATABASE_Table[[#This Row],[Vista membership]]-DATABASE_Table[[#This Row],[FF&amp;E]]</f>
        <v>1010000</v>
      </c>
      <c r="S1092" s="231">
        <v>1010000</v>
      </c>
      <c r="T1092" s="232">
        <v>1010000</v>
      </c>
      <c r="U1092" s="198"/>
      <c r="V1092" s="198"/>
      <c r="W1092" s="233">
        <f>DATABASE_Table[[#This Row],[Current Asking price( Total)]]-DATABASE_Table[[#This Row],[Vista membership]]-DATABASE_Table[[#This Row],[FF&amp;E]]</f>
        <v>1010000</v>
      </c>
      <c r="X1092" s="216"/>
      <c r="Y1092" s="232">
        <v>1010000</v>
      </c>
      <c r="Z1092" s="233">
        <f>DATABASE_Table[[#This Row],[Sell price (Total)]]-DATABASE_Table[[#This Row],[FF&amp;E]]-DATABASE_Table[[#This Row],[Vista membership]]</f>
        <v>1010000</v>
      </c>
      <c r="AA1092" s="315"/>
      <c r="AB1092" s="321"/>
      <c r="AC1092" s="198" t="s">
        <v>10</v>
      </c>
      <c r="AD1092" s="198" t="s">
        <v>11</v>
      </c>
      <c r="AE1092" s="279" t="s">
        <v>12</v>
      </c>
      <c r="AF1092" s="279" t="s">
        <v>801</v>
      </c>
      <c r="AG1092" s="279" t="s">
        <v>13</v>
      </c>
      <c r="AH1092" s="279" t="s">
        <v>14</v>
      </c>
      <c r="AI1092" s="198" t="s">
        <v>15</v>
      </c>
      <c r="AJ1092" s="274" t="s">
        <v>8</v>
      </c>
      <c r="AK1092"/>
    </row>
    <row r="1093" spans="1:37" ht="15.75" hidden="1" customHeight="1">
      <c r="A1093" s="198" t="s">
        <v>31</v>
      </c>
      <c r="B1093" s="198" t="s">
        <v>691</v>
      </c>
      <c r="C1093" s="214" t="s">
        <v>357</v>
      </c>
      <c r="D1093" s="198" t="s">
        <v>9</v>
      </c>
      <c r="E1093" s="198" t="s">
        <v>320</v>
      </c>
      <c r="F1093" s="198"/>
      <c r="G1093" s="198"/>
      <c r="H1093" s="214" t="s">
        <v>325</v>
      </c>
      <c r="I1093" s="214" t="s">
        <v>325</v>
      </c>
      <c r="J1093" s="271"/>
      <c r="K1093" s="198">
        <v>0</v>
      </c>
      <c r="L1093" s="198"/>
      <c r="M1093" s="198">
        <v>18</v>
      </c>
      <c r="N1093" s="198"/>
      <c r="O1093" s="198">
        <v>137</v>
      </c>
      <c r="P1093" s="198"/>
      <c r="Q1093" s="198" t="s">
        <v>326</v>
      </c>
      <c r="R1093" s="230">
        <f>DATABASE_Table[[#This Row],[Inicial Asking Price (€) (Total)]]-DATABASE_Table[[#This Row],[Vista membership]]-DATABASE_Table[[#This Row],[FF&amp;E]]</f>
        <v>800000</v>
      </c>
      <c r="S1093" s="232">
        <v>800000</v>
      </c>
      <c r="T1093" s="232">
        <v>800000</v>
      </c>
      <c r="U1093" s="198"/>
      <c r="V1093" s="198"/>
      <c r="W1093" s="233">
        <f>DATABASE_Table[[#This Row],[Current Asking price( Total)]]-DATABASE_Table[[#This Row],[Vista membership]]-DATABASE_Table[[#This Row],[FF&amp;E]]</f>
        <v>800000</v>
      </c>
      <c r="X1093" s="216">
        <v>0.02</v>
      </c>
      <c r="Y1093" s="232">
        <v>784000</v>
      </c>
      <c r="Z1093" s="233">
        <f>DATABASE_Table[[#This Row],[Sell price (Total)]]-DATABASE_Table[[#This Row],[FF&amp;E]]-DATABASE_Table[[#This Row],[Vista membership]]</f>
        <v>784000</v>
      </c>
      <c r="AA1093" s="315"/>
      <c r="AB1093" s="321"/>
      <c r="AC1093" s="198" t="s">
        <v>10</v>
      </c>
      <c r="AD1093" s="198" t="s">
        <v>807</v>
      </c>
      <c r="AE1093" s="279" t="s">
        <v>32</v>
      </c>
      <c r="AF1093" s="279" t="s">
        <v>808</v>
      </c>
      <c r="AG1093" s="279" t="s">
        <v>33</v>
      </c>
      <c r="AH1093" s="279" t="s">
        <v>809</v>
      </c>
      <c r="AI1093" s="198" t="s">
        <v>15</v>
      </c>
      <c r="AJ1093" s="274" t="s">
        <v>31</v>
      </c>
      <c r="AK1093"/>
    </row>
    <row r="1094" spans="1:37" ht="15.75" hidden="1" customHeight="1">
      <c r="A1094" s="198" t="s">
        <v>690</v>
      </c>
      <c r="B1094" s="198" t="s">
        <v>691</v>
      </c>
      <c r="C1094" s="214" t="s">
        <v>357</v>
      </c>
      <c r="D1094" s="198" t="s">
        <v>9</v>
      </c>
      <c r="E1094" s="198" t="s">
        <v>383</v>
      </c>
      <c r="F1094" s="198">
        <v>323.58999999999997</v>
      </c>
      <c r="G1094" s="198">
        <v>165.79</v>
      </c>
      <c r="H1094" s="214" t="s">
        <v>325</v>
      </c>
      <c r="I1094" s="214" t="s">
        <v>325</v>
      </c>
      <c r="J1094" s="271"/>
      <c r="K1094" s="198"/>
      <c r="L1094" s="198"/>
      <c r="M1094" s="198"/>
      <c r="N1094" s="198"/>
      <c r="O1094" s="198">
        <v>157.80000000000001</v>
      </c>
      <c r="P1094" s="198"/>
      <c r="Q1094" s="198" t="s">
        <v>628</v>
      </c>
      <c r="R1094" s="230">
        <f>DATABASE_Table[[#This Row],[Inicial Asking Price (€) (Total)]]-DATABASE_Table[[#This Row],[Vista membership]]-DATABASE_Table[[#This Row],[FF&amp;E]]</f>
        <v>1602100</v>
      </c>
      <c r="S1094" s="231">
        <v>1691050</v>
      </c>
      <c r="T1094" s="232">
        <v>1750000</v>
      </c>
      <c r="U1094" s="198">
        <v>24600</v>
      </c>
      <c r="V1094" s="198">
        <v>64350</v>
      </c>
      <c r="W1094" s="233">
        <f>DATABASE_Table[[#This Row],[Current Asking price( Total)]]-DATABASE_Table[[#This Row],[Vista membership]]-DATABASE_Table[[#This Row],[FF&amp;E]]</f>
        <v>1661050</v>
      </c>
      <c r="X1094" s="216">
        <v>0</v>
      </c>
      <c r="Y1094" s="232">
        <v>1750000</v>
      </c>
      <c r="Z1094" s="233">
        <f>DATABASE_Table[[#This Row],[Sell price (Total)]]-DATABASE_Table[[#This Row],[FF&amp;E]]-DATABASE_Table[[#This Row],[Vista membership]]</f>
        <v>1661050</v>
      </c>
      <c r="AA1094" s="316">
        <v>45953</v>
      </c>
      <c r="AB1094" s="321"/>
      <c r="AC1094" s="198" t="s">
        <v>10</v>
      </c>
      <c r="AD1094" s="198" t="s">
        <v>35</v>
      </c>
      <c r="AE1094" s="279" t="s">
        <v>38</v>
      </c>
      <c r="AF1094" s="279" t="s">
        <v>39</v>
      </c>
      <c r="AG1094" s="279" t="s">
        <v>40</v>
      </c>
      <c r="AH1094" s="279" t="s">
        <v>810</v>
      </c>
      <c r="AI1094" s="198" t="s">
        <v>41</v>
      </c>
      <c r="AJ1094" s="274" t="s">
        <v>37</v>
      </c>
      <c r="AK1094"/>
    </row>
    <row r="1095" spans="1:37" ht="15.75" hidden="1" customHeight="1">
      <c r="A1095" s="198" t="s">
        <v>563</v>
      </c>
      <c r="B1095" s="198" t="s">
        <v>691</v>
      </c>
      <c r="C1095" s="214" t="s">
        <v>357</v>
      </c>
      <c r="D1095" s="198" t="s">
        <v>9</v>
      </c>
      <c r="E1095" s="198" t="s">
        <v>320</v>
      </c>
      <c r="F1095" s="198">
        <v>130.91999999999999</v>
      </c>
      <c r="G1095" s="198"/>
      <c r="H1095" s="214" t="s">
        <v>325</v>
      </c>
      <c r="I1095" s="214" t="s">
        <v>325</v>
      </c>
      <c r="J1095" s="271"/>
      <c r="K1095" s="198"/>
      <c r="L1095" s="198"/>
      <c r="M1095" s="198"/>
      <c r="N1095" s="198"/>
      <c r="O1095" s="198">
        <v>130.91999999999999</v>
      </c>
      <c r="P1095" s="198"/>
      <c r="Q1095" s="198" t="s">
        <v>628</v>
      </c>
      <c r="R1095" s="230">
        <f>DATABASE_Table[[#This Row],[Inicial Asking Price (€) (Total)]]-DATABASE_Table[[#This Row],[Vista membership]]-DATABASE_Table[[#This Row],[FF&amp;E]]</f>
        <v>660000</v>
      </c>
      <c r="S1095" s="231">
        <v>660000</v>
      </c>
      <c r="T1095" s="232">
        <v>660000</v>
      </c>
      <c r="U1095" s="198"/>
      <c r="V1095" s="198"/>
      <c r="W1095" s="233">
        <f>DATABASE_Table[[#This Row],[Current Asking price( Total)]]-DATABASE_Table[[#This Row],[Vista membership]]-DATABASE_Table[[#This Row],[FF&amp;E]]</f>
        <v>660000</v>
      </c>
      <c r="X1095" s="216">
        <v>0</v>
      </c>
      <c r="Y1095" s="232">
        <v>660000</v>
      </c>
      <c r="Z1095" s="233">
        <f>DATABASE_Table[[#This Row],[Sell price (Total)]]-DATABASE_Table[[#This Row],[FF&amp;E]]-DATABASE_Table[[#This Row],[Vista membership]]</f>
        <v>660000</v>
      </c>
      <c r="AA1095" s="316">
        <v>45947</v>
      </c>
      <c r="AB1095" s="321"/>
      <c r="AC1095" s="198" t="s">
        <v>10</v>
      </c>
      <c r="AD1095" s="198" t="s">
        <v>11</v>
      </c>
      <c r="AE1095" s="279" t="s">
        <v>28</v>
      </c>
      <c r="AF1095" s="279" t="s">
        <v>29</v>
      </c>
      <c r="AG1095" s="279" t="s">
        <v>805</v>
      </c>
      <c r="AH1095" s="279" t="s">
        <v>806</v>
      </c>
      <c r="AI1095" s="198" t="s">
        <v>30</v>
      </c>
      <c r="AJ1095" s="274" t="s">
        <v>27</v>
      </c>
      <c r="AK1095"/>
    </row>
    <row r="1096" spans="1:37" ht="15.75" hidden="1" customHeight="1">
      <c r="A1096" s="198" t="s">
        <v>562</v>
      </c>
      <c r="B1096" s="198" t="s">
        <v>691</v>
      </c>
      <c r="C1096" s="214" t="s">
        <v>357</v>
      </c>
      <c r="D1096" s="198" t="s">
        <v>9</v>
      </c>
      <c r="E1096" s="198" t="s">
        <v>319</v>
      </c>
      <c r="F1096" s="198">
        <v>117</v>
      </c>
      <c r="G1096" s="198"/>
      <c r="H1096" s="214" t="s">
        <v>325</v>
      </c>
      <c r="I1096" s="214" t="s">
        <v>325</v>
      </c>
      <c r="J1096" s="271"/>
      <c r="K1096" s="198"/>
      <c r="L1096" s="198"/>
      <c r="M1096" s="198"/>
      <c r="N1096" s="198"/>
      <c r="O1096" s="198">
        <v>117</v>
      </c>
      <c r="P1096" s="198"/>
      <c r="Q1096" s="198" t="s">
        <v>929</v>
      </c>
      <c r="R1096" s="230">
        <f>DATABASE_Table[[#This Row],[Inicial Asking Price (€) (Total)]]-DATABASE_Table[[#This Row],[Vista membership]]-DATABASE_Table[[#This Row],[FF&amp;E]]</f>
        <v>550000</v>
      </c>
      <c r="S1096" s="231">
        <v>550000</v>
      </c>
      <c r="T1096" s="232">
        <v>580000</v>
      </c>
      <c r="U1096" s="198"/>
      <c r="V1096" s="198"/>
      <c r="W1096" s="233">
        <f>DATABASE_Table[[#This Row],[Current Asking price( Total)]]-DATABASE_Table[[#This Row],[Vista membership]]-DATABASE_Table[[#This Row],[FF&amp;E]]</f>
        <v>580000</v>
      </c>
      <c r="X1096" s="216">
        <v>0</v>
      </c>
      <c r="Y1096" s="232">
        <v>580000</v>
      </c>
      <c r="Z1096" s="233">
        <f>DATABASE_Table[[#This Row],[Sell price (Total)]]-DATABASE_Table[[#This Row],[FF&amp;E]]-DATABASE_Table[[#This Row],[Vista membership]]</f>
        <v>580000</v>
      </c>
      <c r="AA1096" s="315">
        <v>45414</v>
      </c>
      <c r="AB1096" s="321"/>
      <c r="AC1096" s="198" t="s">
        <v>10</v>
      </c>
      <c r="AD1096" s="198" t="s">
        <v>23</v>
      </c>
      <c r="AE1096" s="279" t="s">
        <v>24</v>
      </c>
      <c r="AF1096" s="279" t="s">
        <v>803</v>
      </c>
      <c r="AG1096" s="279" t="s">
        <v>25</v>
      </c>
      <c r="AH1096" s="279" t="s">
        <v>804</v>
      </c>
      <c r="AI1096" s="198" t="s">
        <v>26</v>
      </c>
      <c r="AJ1096" s="274" t="s">
        <v>22</v>
      </c>
      <c r="AK1096"/>
    </row>
    <row r="1097" spans="1:37" ht="15.75" hidden="1" customHeight="1">
      <c r="A1097" s="198" t="s">
        <v>689</v>
      </c>
      <c r="B1097" s="198" t="s">
        <v>691</v>
      </c>
      <c r="C1097" s="214" t="s">
        <v>357</v>
      </c>
      <c r="D1097" s="198"/>
      <c r="E1097" s="198" t="s">
        <v>384</v>
      </c>
      <c r="F1097" s="198">
        <v>152.87280000000001</v>
      </c>
      <c r="G1097" s="198"/>
      <c r="H1097" s="214" t="s">
        <v>325</v>
      </c>
      <c r="I1097" s="214" t="s">
        <v>325</v>
      </c>
      <c r="J1097" s="271"/>
      <c r="K1097" s="198"/>
      <c r="L1097" s="198"/>
      <c r="M1097" s="198"/>
      <c r="N1097" s="198"/>
      <c r="O1097" s="198">
        <v>152.87280000000001</v>
      </c>
      <c r="P1097" s="198"/>
      <c r="Q1097" s="198" t="s">
        <v>929</v>
      </c>
      <c r="R1097" s="230">
        <f>DATABASE_Table[[#This Row],[Inicial Asking Price (€) (Total)]]-DATABASE_Table[[#This Row],[Vista membership]]-DATABASE_Table[[#This Row],[FF&amp;E]]</f>
        <v>913837</v>
      </c>
      <c r="S1097" s="231">
        <v>913837</v>
      </c>
      <c r="T1097" s="232">
        <v>960000</v>
      </c>
      <c r="U1097" s="198"/>
      <c r="V1097" s="198"/>
      <c r="W1097" s="233">
        <f>DATABASE_Table[[#This Row],[Current Asking price( Total)]]-DATABASE_Table[[#This Row],[Vista membership]]-DATABASE_Table[[#This Row],[FF&amp;E]]</f>
        <v>960000</v>
      </c>
      <c r="X1097" s="216">
        <v>0</v>
      </c>
      <c r="Y1097" s="232">
        <v>960000</v>
      </c>
      <c r="Z1097" s="233">
        <f>DATABASE_Table[[#This Row],[Sell price (Total)]]-DATABASE_Table[[#This Row],[FF&amp;E]]-DATABASE_Table[[#This Row],[Vista membership]]</f>
        <v>960000</v>
      </c>
      <c r="AA1097" s="315">
        <v>45090</v>
      </c>
      <c r="AB1097" s="321"/>
      <c r="AC1097" s="198"/>
      <c r="AD1097" s="198"/>
      <c r="AE1097" s="279"/>
      <c r="AF1097" s="279"/>
      <c r="AG1097" s="279"/>
      <c r="AH1097" s="279"/>
      <c r="AI1097" s="198"/>
      <c r="AJ1097" s="274" t="s">
        <v>689</v>
      </c>
      <c r="AK1097"/>
    </row>
    <row r="1098" spans="1:37" ht="15.75" hidden="1" customHeight="1">
      <c r="A1098" s="198" t="s">
        <v>564</v>
      </c>
      <c r="B1098" s="198" t="s">
        <v>691</v>
      </c>
      <c r="C1098" s="214" t="s">
        <v>357</v>
      </c>
      <c r="D1098" s="198" t="s">
        <v>9</v>
      </c>
      <c r="E1098" s="198" t="s">
        <v>416</v>
      </c>
      <c r="F1098" s="198">
        <v>117.31</v>
      </c>
      <c r="G1098" s="198"/>
      <c r="H1098" s="214" t="s">
        <v>325</v>
      </c>
      <c r="I1098" s="214" t="s">
        <v>325</v>
      </c>
      <c r="J1098" s="271">
        <v>28.6</v>
      </c>
      <c r="K1098" s="198"/>
      <c r="L1098" s="198"/>
      <c r="M1098" s="198"/>
      <c r="N1098" s="198"/>
      <c r="O1098" s="198">
        <v>88.71</v>
      </c>
      <c r="P1098" s="198"/>
      <c r="Q1098" s="198" t="s">
        <v>329</v>
      </c>
      <c r="R1098" s="230">
        <f>DATABASE_Table[[#This Row],[Inicial Asking Price (€) (Total)]]-DATABASE_Table[[#This Row],[Vista membership]]-DATABASE_Table[[#This Row],[FF&amp;E]]</f>
        <v>700527.65240000002</v>
      </c>
      <c r="S1098" s="231">
        <v>765127.65240000002</v>
      </c>
      <c r="T1098" s="232">
        <v>840000</v>
      </c>
      <c r="U1098" s="198">
        <v>24600</v>
      </c>
      <c r="V1098" s="198">
        <v>40000</v>
      </c>
      <c r="W1098" s="233">
        <f>DATABASE_Table[[#This Row],[Current Asking price( Total)]]-DATABASE_Table[[#This Row],[Vista membership]]-DATABASE_Table[[#This Row],[FF&amp;E]]</f>
        <v>775400</v>
      </c>
      <c r="X1098" s="216"/>
      <c r="Y1098" s="232">
        <v>840000</v>
      </c>
      <c r="Z1098" s="233">
        <f>DATABASE_Table[[#This Row],[Sell price (Total)]]-DATABASE_Table[[#This Row],[FF&amp;E]]-DATABASE_Table[[#This Row],[Vista membership]]</f>
        <v>775400</v>
      </c>
      <c r="AA1098" s="315"/>
      <c r="AB1098" s="321"/>
      <c r="AC1098" s="198" t="s">
        <v>10</v>
      </c>
      <c r="AD1098" s="198" t="s">
        <v>35</v>
      </c>
      <c r="AE1098" s="279" t="s">
        <v>43</v>
      </c>
      <c r="AF1098" s="279" t="s">
        <v>44</v>
      </c>
      <c r="AG1098" s="279" t="s">
        <v>45</v>
      </c>
      <c r="AH1098" s="279" t="s">
        <v>46</v>
      </c>
      <c r="AI1098" s="198" t="s">
        <v>47</v>
      </c>
      <c r="AJ1098" s="274" t="s">
        <v>42</v>
      </c>
      <c r="AK1098"/>
    </row>
    <row r="1099" spans="1:37" ht="15.75" hidden="1" customHeight="1">
      <c r="A1099" s="198" t="s">
        <v>630</v>
      </c>
      <c r="B1099" s="198" t="s">
        <v>691</v>
      </c>
      <c r="C1099" s="214" t="s">
        <v>358</v>
      </c>
      <c r="D1099" s="198" t="s">
        <v>9</v>
      </c>
      <c r="E1099" s="198" t="s">
        <v>319</v>
      </c>
      <c r="F1099" s="198">
        <v>151.25</v>
      </c>
      <c r="G1099" s="198"/>
      <c r="H1099" s="214" t="s">
        <v>849</v>
      </c>
      <c r="I1099" s="214" t="s">
        <v>325</v>
      </c>
      <c r="J1099" s="271">
        <v>20.100000000000001</v>
      </c>
      <c r="K1099" s="198"/>
      <c r="L1099" s="198"/>
      <c r="M1099" s="198">
        <v>7.51</v>
      </c>
      <c r="N1099" s="198"/>
      <c r="O1099" s="198">
        <v>123.64</v>
      </c>
      <c r="P1099" s="198"/>
      <c r="Q1099" s="198" t="s">
        <v>329</v>
      </c>
      <c r="R1099" s="230">
        <f>DATABASE_Table[[#This Row],[Inicial Asking Price (€) (Total)]]-DATABASE_Table[[#This Row],[Vista membership]]-DATABASE_Table[[#This Row],[FF&amp;E]]</f>
        <v>922933.30799999996</v>
      </c>
      <c r="S1099" s="231">
        <v>922933.30799999996</v>
      </c>
      <c r="T1099" s="232">
        <v>950000</v>
      </c>
      <c r="U1099" s="198"/>
      <c r="V1099" s="198"/>
      <c r="W1099" s="233">
        <f>DATABASE_Table[[#This Row],[Current Asking price( Total)]]-DATABASE_Table[[#This Row],[Vista membership]]-DATABASE_Table[[#This Row],[FF&amp;E]]</f>
        <v>950000</v>
      </c>
      <c r="X1099" s="216"/>
      <c r="Y1099" s="232">
        <v>930000</v>
      </c>
      <c r="Z1099" s="233">
        <f>DATABASE_Table[[#This Row],[Sell price (Total)]]-DATABASE_Table[[#This Row],[FF&amp;E]]-DATABASE_Table[[#This Row],[Vista membership]]</f>
        <v>930000</v>
      </c>
      <c r="AA1099" s="315"/>
      <c r="AB1099" s="321"/>
      <c r="AC1099" s="198" t="s">
        <v>10</v>
      </c>
      <c r="AD1099" s="198" t="s">
        <v>11</v>
      </c>
      <c r="AE1099" s="279" t="s">
        <v>53</v>
      </c>
      <c r="AF1099" s="279" t="s">
        <v>54</v>
      </c>
      <c r="AG1099" s="279" t="s">
        <v>811</v>
      </c>
      <c r="AH1099" s="279" t="s">
        <v>812</v>
      </c>
      <c r="AI1099" s="198" t="s">
        <v>36</v>
      </c>
      <c r="AJ1099" s="274" t="s">
        <v>52</v>
      </c>
      <c r="AK1099"/>
    </row>
    <row r="1100" spans="1:37" ht="15.75" hidden="1" customHeight="1">
      <c r="A1100" s="198" t="s">
        <v>558</v>
      </c>
      <c r="B1100" s="198" t="s">
        <v>691</v>
      </c>
      <c r="C1100" s="214" t="s">
        <v>358</v>
      </c>
      <c r="D1100" s="198" t="s">
        <v>9</v>
      </c>
      <c r="E1100" s="198" t="s">
        <v>320</v>
      </c>
      <c r="F1100" s="198">
        <v>152.9</v>
      </c>
      <c r="G1100" s="198">
        <v>3.99</v>
      </c>
      <c r="H1100" s="214" t="s">
        <v>616</v>
      </c>
      <c r="I1100" s="214" t="s">
        <v>325</v>
      </c>
      <c r="J1100" s="271">
        <v>38.56</v>
      </c>
      <c r="K1100" s="198"/>
      <c r="L1100" s="198"/>
      <c r="M1100" s="198"/>
      <c r="N1100" s="198"/>
      <c r="O1100" s="198">
        <v>152.9</v>
      </c>
      <c r="P1100" s="198"/>
      <c r="Q1100" s="198" t="s">
        <v>329</v>
      </c>
      <c r="R1100" s="230">
        <f>DATABASE_Table[[#This Row],[Inicial Asking Price (€) (Total)]]-DATABASE_Table[[#This Row],[Vista membership]]-DATABASE_Table[[#This Row],[FF&amp;E]]</f>
        <v>970000</v>
      </c>
      <c r="S1100" s="231">
        <v>970000</v>
      </c>
      <c r="T1100" s="232">
        <v>970000</v>
      </c>
      <c r="U1100" s="198"/>
      <c r="V1100" s="198"/>
      <c r="W1100" s="233">
        <f>DATABASE_Table[[#This Row],[Current Asking price( Total)]]-DATABASE_Table[[#This Row],[Vista membership]]-DATABASE_Table[[#This Row],[FF&amp;E]]</f>
        <v>970000</v>
      </c>
      <c r="X1100" s="216"/>
      <c r="Y1100" s="232">
        <v>970000</v>
      </c>
      <c r="Z1100" s="233">
        <f>DATABASE_Table[[#This Row],[Sell price (Total)]]-DATABASE_Table[[#This Row],[FF&amp;E]]-DATABASE_Table[[#This Row],[Vista membership]]</f>
        <v>970000</v>
      </c>
      <c r="AA1100" s="315"/>
      <c r="AB1100" s="321"/>
      <c r="AC1100" s="198" t="s">
        <v>10</v>
      </c>
      <c r="AD1100" s="198" t="s">
        <v>11</v>
      </c>
      <c r="AE1100" s="279" t="s">
        <v>12</v>
      </c>
      <c r="AF1100" s="279" t="s">
        <v>801</v>
      </c>
      <c r="AG1100" s="279" t="s">
        <v>13</v>
      </c>
      <c r="AH1100" s="279" t="s">
        <v>14</v>
      </c>
      <c r="AI1100" s="198" t="s">
        <v>15</v>
      </c>
      <c r="AJ1100" s="274" t="s">
        <v>8</v>
      </c>
      <c r="AK1100"/>
    </row>
    <row r="1101" spans="1:37" ht="15.75" hidden="1" customHeight="1">
      <c r="A1101" s="198" t="s">
        <v>31</v>
      </c>
      <c r="B1101" s="198" t="s">
        <v>691</v>
      </c>
      <c r="C1101" s="214" t="s">
        <v>358</v>
      </c>
      <c r="D1101" s="198" t="s">
        <v>9</v>
      </c>
      <c r="E1101" s="198" t="s">
        <v>319</v>
      </c>
      <c r="F1101" s="198"/>
      <c r="G1101" s="198"/>
      <c r="H1101" s="214" t="s">
        <v>325</v>
      </c>
      <c r="I1101" s="214" t="s">
        <v>325</v>
      </c>
      <c r="J1101" s="271"/>
      <c r="K1101" s="198">
        <v>0</v>
      </c>
      <c r="L1101" s="198"/>
      <c r="M1101" s="198">
        <v>16</v>
      </c>
      <c r="N1101" s="198"/>
      <c r="O1101" s="198">
        <v>105</v>
      </c>
      <c r="P1101" s="198"/>
      <c r="Q1101" s="198" t="s">
        <v>326</v>
      </c>
      <c r="R1101" s="230">
        <f>DATABASE_Table[[#This Row],[Inicial Asking Price (€) (Total)]]-DATABASE_Table[[#This Row],[Vista membership]]-DATABASE_Table[[#This Row],[FF&amp;E]]</f>
        <v>700000</v>
      </c>
      <c r="S1101" s="232">
        <v>700000</v>
      </c>
      <c r="T1101" s="232">
        <v>700000</v>
      </c>
      <c r="U1101" s="198"/>
      <c r="V1101" s="198"/>
      <c r="W1101" s="233">
        <f>DATABASE_Table[[#This Row],[Current Asking price( Total)]]-DATABASE_Table[[#This Row],[Vista membership]]-DATABASE_Table[[#This Row],[FF&amp;E]]</f>
        <v>700000</v>
      </c>
      <c r="X1101" s="216">
        <v>0</v>
      </c>
      <c r="Y1101" s="232">
        <v>700000</v>
      </c>
      <c r="Z1101" s="233">
        <f>DATABASE_Table[[#This Row],[Sell price (Total)]]-DATABASE_Table[[#This Row],[FF&amp;E]]-DATABASE_Table[[#This Row],[Vista membership]]</f>
        <v>700000</v>
      </c>
      <c r="AA1101" s="315">
        <v>46156</v>
      </c>
      <c r="AB1101" s="321"/>
      <c r="AC1101" s="198" t="s">
        <v>10</v>
      </c>
      <c r="AD1101" s="198" t="s">
        <v>807</v>
      </c>
      <c r="AE1101" s="279" t="s">
        <v>32</v>
      </c>
      <c r="AF1101" s="279" t="s">
        <v>808</v>
      </c>
      <c r="AG1101" s="279" t="s">
        <v>33</v>
      </c>
      <c r="AH1101" s="279" t="s">
        <v>809</v>
      </c>
      <c r="AI1101" s="198" t="s">
        <v>15</v>
      </c>
      <c r="AJ1101" s="274" t="s">
        <v>31</v>
      </c>
      <c r="AK1101"/>
    </row>
    <row r="1102" spans="1:37" ht="15.75" hidden="1" customHeight="1">
      <c r="A1102" s="198" t="s">
        <v>690</v>
      </c>
      <c r="B1102" s="198" t="s">
        <v>691</v>
      </c>
      <c r="C1102" s="214" t="s">
        <v>358</v>
      </c>
      <c r="D1102" s="198" t="s">
        <v>9</v>
      </c>
      <c r="E1102" s="198" t="s">
        <v>383</v>
      </c>
      <c r="F1102" s="198">
        <v>323.58999999999997</v>
      </c>
      <c r="G1102" s="198">
        <v>165.79</v>
      </c>
      <c r="H1102" s="214" t="s">
        <v>325</v>
      </c>
      <c r="I1102" s="214" t="s">
        <v>325</v>
      </c>
      <c r="J1102" s="271"/>
      <c r="K1102" s="198"/>
      <c r="L1102" s="198"/>
      <c r="M1102" s="198"/>
      <c r="N1102" s="198"/>
      <c r="O1102" s="198">
        <v>157.80000000000001</v>
      </c>
      <c r="P1102" s="198"/>
      <c r="Q1102" s="198" t="s">
        <v>628</v>
      </c>
      <c r="R1102" s="230">
        <f>DATABASE_Table[[#This Row],[Inicial Asking Price (€) (Total)]]-DATABASE_Table[[#This Row],[Vista membership]]-DATABASE_Table[[#This Row],[FF&amp;E]]</f>
        <v>1602100</v>
      </c>
      <c r="S1102" s="231">
        <v>1691050</v>
      </c>
      <c r="T1102" s="232">
        <v>1750000</v>
      </c>
      <c r="U1102" s="198">
        <v>24600</v>
      </c>
      <c r="V1102" s="198">
        <v>64350</v>
      </c>
      <c r="W1102" s="233">
        <f>DATABASE_Table[[#This Row],[Current Asking price( Total)]]-DATABASE_Table[[#This Row],[Vista membership]]-DATABASE_Table[[#This Row],[FF&amp;E]]</f>
        <v>1661050</v>
      </c>
      <c r="X1102" s="216">
        <v>0</v>
      </c>
      <c r="Y1102" s="232">
        <v>1750000</v>
      </c>
      <c r="Z1102" s="233">
        <f>DATABASE_Table[[#This Row],[Sell price (Total)]]-DATABASE_Table[[#This Row],[FF&amp;E]]-DATABASE_Table[[#This Row],[Vista membership]]</f>
        <v>1661050</v>
      </c>
      <c r="AA1102" s="316">
        <v>45964</v>
      </c>
      <c r="AB1102" s="321"/>
      <c r="AC1102" s="198" t="s">
        <v>10</v>
      </c>
      <c r="AD1102" s="198" t="s">
        <v>35</v>
      </c>
      <c r="AE1102" s="279" t="s">
        <v>38</v>
      </c>
      <c r="AF1102" s="279" t="s">
        <v>39</v>
      </c>
      <c r="AG1102" s="279" t="s">
        <v>40</v>
      </c>
      <c r="AH1102" s="279" t="s">
        <v>810</v>
      </c>
      <c r="AI1102" s="198" t="s">
        <v>41</v>
      </c>
      <c r="AJ1102" s="274" t="s">
        <v>37</v>
      </c>
      <c r="AK1102"/>
    </row>
    <row r="1103" spans="1:37" ht="15.75" hidden="1" customHeight="1">
      <c r="A1103" s="198" t="s">
        <v>563</v>
      </c>
      <c r="B1103" s="198" t="s">
        <v>691</v>
      </c>
      <c r="C1103" s="214" t="s">
        <v>358</v>
      </c>
      <c r="D1103" s="198" t="s">
        <v>9</v>
      </c>
      <c r="E1103" s="198" t="s">
        <v>320</v>
      </c>
      <c r="F1103" s="198">
        <v>130.91999999999999</v>
      </c>
      <c r="G1103" s="198"/>
      <c r="H1103" s="214" t="s">
        <v>325</v>
      </c>
      <c r="I1103" s="214" t="s">
        <v>325</v>
      </c>
      <c r="J1103" s="271"/>
      <c r="K1103" s="198"/>
      <c r="L1103" s="198"/>
      <c r="M1103" s="198"/>
      <c r="N1103" s="198"/>
      <c r="O1103" s="198">
        <v>130.91999999999999</v>
      </c>
      <c r="P1103" s="198"/>
      <c r="Q1103" s="198" t="s">
        <v>628</v>
      </c>
      <c r="R1103" s="230">
        <f>DATABASE_Table[[#This Row],[Inicial Asking Price (€) (Total)]]-DATABASE_Table[[#This Row],[Vista membership]]-DATABASE_Table[[#This Row],[FF&amp;E]]</f>
        <v>660000</v>
      </c>
      <c r="S1103" s="231">
        <v>660000</v>
      </c>
      <c r="T1103" s="232">
        <v>660000</v>
      </c>
      <c r="U1103" s="198"/>
      <c r="V1103" s="198"/>
      <c r="W1103" s="233">
        <f>DATABASE_Table[[#This Row],[Current Asking price( Total)]]-DATABASE_Table[[#This Row],[Vista membership]]-DATABASE_Table[[#This Row],[FF&amp;E]]</f>
        <v>660000</v>
      </c>
      <c r="X1103" s="216">
        <v>0</v>
      </c>
      <c r="Y1103" s="232">
        <v>660000</v>
      </c>
      <c r="Z1103" s="233">
        <f>DATABASE_Table[[#This Row],[Sell price (Total)]]-DATABASE_Table[[#This Row],[FF&amp;E]]-DATABASE_Table[[#This Row],[Vista membership]]</f>
        <v>660000</v>
      </c>
      <c r="AA1103" s="316">
        <v>45954</v>
      </c>
      <c r="AB1103" s="321"/>
      <c r="AC1103" s="198" t="s">
        <v>10</v>
      </c>
      <c r="AD1103" s="198" t="s">
        <v>11</v>
      </c>
      <c r="AE1103" s="279" t="s">
        <v>28</v>
      </c>
      <c r="AF1103" s="279" t="s">
        <v>29</v>
      </c>
      <c r="AG1103" s="279" t="s">
        <v>805</v>
      </c>
      <c r="AH1103" s="279" t="s">
        <v>806</v>
      </c>
      <c r="AI1103" s="198" t="s">
        <v>30</v>
      </c>
      <c r="AJ1103" s="274" t="s">
        <v>27</v>
      </c>
      <c r="AK1103"/>
    </row>
    <row r="1104" spans="1:37" ht="15.75" hidden="1" customHeight="1">
      <c r="A1104" s="198" t="s">
        <v>562</v>
      </c>
      <c r="B1104" s="198" t="s">
        <v>691</v>
      </c>
      <c r="C1104" s="214" t="s">
        <v>358</v>
      </c>
      <c r="D1104" s="198" t="s">
        <v>9</v>
      </c>
      <c r="E1104" s="198" t="s">
        <v>319</v>
      </c>
      <c r="F1104" s="198">
        <v>117</v>
      </c>
      <c r="G1104" s="198"/>
      <c r="H1104" s="214" t="s">
        <v>325</v>
      </c>
      <c r="I1104" s="214" t="s">
        <v>325</v>
      </c>
      <c r="J1104" s="271"/>
      <c r="K1104" s="198"/>
      <c r="L1104" s="198"/>
      <c r="M1104" s="198"/>
      <c r="N1104" s="198"/>
      <c r="O1104" s="198">
        <v>117</v>
      </c>
      <c r="P1104" s="198"/>
      <c r="Q1104" s="198" t="s">
        <v>929</v>
      </c>
      <c r="R1104" s="230">
        <f>DATABASE_Table[[#This Row],[Inicial Asking Price (€) (Total)]]-DATABASE_Table[[#This Row],[Vista membership]]-DATABASE_Table[[#This Row],[FF&amp;E]]</f>
        <v>550000</v>
      </c>
      <c r="S1104" s="231">
        <v>550000</v>
      </c>
      <c r="T1104" s="232">
        <v>610000</v>
      </c>
      <c r="U1104" s="198"/>
      <c r="V1104" s="198"/>
      <c r="W1104" s="233">
        <f>DATABASE_Table[[#This Row],[Current Asking price( Total)]]-DATABASE_Table[[#This Row],[Vista membership]]-DATABASE_Table[[#This Row],[FF&amp;E]]</f>
        <v>610000</v>
      </c>
      <c r="X1104" s="216">
        <v>0.18</v>
      </c>
      <c r="Y1104" s="232">
        <v>500200</v>
      </c>
      <c r="Z1104" s="233">
        <f>DATABASE_Table[[#This Row],[Sell price (Total)]]-DATABASE_Table[[#This Row],[FF&amp;E]]-DATABASE_Table[[#This Row],[Vista membership]]</f>
        <v>500200</v>
      </c>
      <c r="AA1104" s="315">
        <v>45904</v>
      </c>
      <c r="AB1104" s="321"/>
      <c r="AC1104" s="198" t="s">
        <v>10</v>
      </c>
      <c r="AD1104" s="198" t="s">
        <v>23</v>
      </c>
      <c r="AE1104" s="279" t="s">
        <v>24</v>
      </c>
      <c r="AF1104" s="279" t="s">
        <v>803</v>
      </c>
      <c r="AG1104" s="279" t="s">
        <v>25</v>
      </c>
      <c r="AH1104" s="279" t="s">
        <v>804</v>
      </c>
      <c r="AI1104" s="198" t="s">
        <v>26</v>
      </c>
      <c r="AJ1104" s="274" t="s">
        <v>22</v>
      </c>
      <c r="AK1104"/>
    </row>
    <row r="1105" spans="1:37" ht="15.75" hidden="1" customHeight="1">
      <c r="A1105" s="198" t="s">
        <v>689</v>
      </c>
      <c r="B1105" s="198" t="s">
        <v>691</v>
      </c>
      <c r="C1105" s="214" t="s">
        <v>358</v>
      </c>
      <c r="D1105" s="198"/>
      <c r="E1105" s="198" t="s">
        <v>384</v>
      </c>
      <c r="F1105" s="198">
        <v>152.87280000000001</v>
      </c>
      <c r="G1105" s="198"/>
      <c r="H1105" s="214" t="s">
        <v>325</v>
      </c>
      <c r="I1105" s="214" t="s">
        <v>325</v>
      </c>
      <c r="J1105" s="271"/>
      <c r="K1105" s="198"/>
      <c r="L1105" s="198"/>
      <c r="M1105" s="198"/>
      <c r="N1105" s="198"/>
      <c r="O1105" s="198">
        <v>152.87280000000001</v>
      </c>
      <c r="P1105" s="198"/>
      <c r="Q1105" s="198" t="s">
        <v>929</v>
      </c>
      <c r="R1105" s="230">
        <f>DATABASE_Table[[#This Row],[Inicial Asking Price (€) (Total)]]-DATABASE_Table[[#This Row],[Vista membership]]-DATABASE_Table[[#This Row],[FF&amp;E]]</f>
        <v>913837</v>
      </c>
      <c r="S1105" s="231">
        <v>913837</v>
      </c>
      <c r="T1105" s="232">
        <v>960000</v>
      </c>
      <c r="U1105" s="198"/>
      <c r="V1105" s="198"/>
      <c r="W1105" s="233">
        <f>DATABASE_Table[[#This Row],[Current Asking price( Total)]]-DATABASE_Table[[#This Row],[Vista membership]]-DATABASE_Table[[#This Row],[FF&amp;E]]</f>
        <v>960000</v>
      </c>
      <c r="X1105" s="216">
        <v>0</v>
      </c>
      <c r="Y1105" s="232">
        <v>960000</v>
      </c>
      <c r="Z1105" s="233">
        <f>DATABASE_Table[[#This Row],[Sell price (Total)]]-DATABASE_Table[[#This Row],[FF&amp;E]]-DATABASE_Table[[#This Row],[Vista membership]]</f>
        <v>960000</v>
      </c>
      <c r="AA1105" s="315">
        <v>45068</v>
      </c>
      <c r="AB1105" s="321"/>
      <c r="AC1105" s="198"/>
      <c r="AD1105" s="198"/>
      <c r="AE1105" s="279"/>
      <c r="AF1105" s="279"/>
      <c r="AG1105" s="279"/>
      <c r="AH1105" s="279"/>
      <c r="AI1105" s="198"/>
      <c r="AJ1105" s="274" t="s">
        <v>689</v>
      </c>
      <c r="AK1105"/>
    </row>
    <row r="1106" spans="1:37" ht="15.75" hidden="1" customHeight="1">
      <c r="A1106" s="198" t="s">
        <v>564</v>
      </c>
      <c r="B1106" s="198" t="s">
        <v>691</v>
      </c>
      <c r="C1106" s="214" t="s">
        <v>358</v>
      </c>
      <c r="D1106" s="198" t="s">
        <v>9</v>
      </c>
      <c r="E1106" s="198" t="s">
        <v>319</v>
      </c>
      <c r="F1106" s="198">
        <v>117.44</v>
      </c>
      <c r="G1106" s="198"/>
      <c r="H1106" s="214" t="s">
        <v>325</v>
      </c>
      <c r="I1106" s="214" t="s">
        <v>325</v>
      </c>
      <c r="J1106" s="271">
        <v>28.26</v>
      </c>
      <c r="K1106" s="198"/>
      <c r="L1106" s="198"/>
      <c r="M1106" s="198"/>
      <c r="N1106" s="198"/>
      <c r="O1106" s="198">
        <v>89.18</v>
      </c>
      <c r="P1106" s="198"/>
      <c r="Q1106" s="198" t="s">
        <v>329</v>
      </c>
      <c r="R1106" s="230">
        <f>DATABASE_Table[[#This Row],[Inicial Asking Price (€) (Total)]]-DATABASE_Table[[#This Row],[Vista membership]]-DATABASE_Table[[#This Row],[FF&amp;E]]</f>
        <v>703747.99919999996</v>
      </c>
      <c r="S1106" s="231">
        <v>768347.99919999996</v>
      </c>
      <c r="T1106" s="232">
        <v>840000</v>
      </c>
      <c r="U1106" s="198">
        <v>24600</v>
      </c>
      <c r="V1106" s="198">
        <v>40000</v>
      </c>
      <c r="W1106" s="233">
        <f>DATABASE_Table[[#This Row],[Current Asking price( Total)]]-DATABASE_Table[[#This Row],[Vista membership]]-DATABASE_Table[[#This Row],[FF&amp;E]]</f>
        <v>775400</v>
      </c>
      <c r="X1106" s="216"/>
      <c r="Y1106" s="232">
        <v>840000</v>
      </c>
      <c r="Z1106" s="233">
        <f>DATABASE_Table[[#This Row],[Sell price (Total)]]-DATABASE_Table[[#This Row],[FF&amp;E]]-DATABASE_Table[[#This Row],[Vista membership]]</f>
        <v>775400</v>
      </c>
      <c r="AA1106" s="315"/>
      <c r="AB1106" s="321"/>
      <c r="AC1106" s="198" t="s">
        <v>10</v>
      </c>
      <c r="AD1106" s="198" t="s">
        <v>35</v>
      </c>
      <c r="AE1106" s="279" t="s">
        <v>43</v>
      </c>
      <c r="AF1106" s="279" t="s">
        <v>44</v>
      </c>
      <c r="AG1106" s="279" t="s">
        <v>45</v>
      </c>
      <c r="AH1106" s="279" t="s">
        <v>46</v>
      </c>
      <c r="AI1106" s="198" t="s">
        <v>47</v>
      </c>
      <c r="AJ1106" s="274" t="s">
        <v>42</v>
      </c>
      <c r="AK1106"/>
    </row>
    <row r="1107" spans="1:37" ht="15.75" hidden="1" customHeight="1">
      <c r="A1107" s="198" t="s">
        <v>630</v>
      </c>
      <c r="B1107" s="198" t="s">
        <v>691</v>
      </c>
      <c r="C1107" s="214" t="s">
        <v>359</v>
      </c>
      <c r="D1107" s="198" t="s">
        <v>9</v>
      </c>
      <c r="E1107" s="198" t="s">
        <v>319</v>
      </c>
      <c r="F1107" s="198">
        <v>151.5</v>
      </c>
      <c r="G1107" s="198"/>
      <c r="H1107" s="214" t="s">
        <v>849</v>
      </c>
      <c r="I1107" s="214" t="s">
        <v>325</v>
      </c>
      <c r="J1107" s="271">
        <v>27.61</v>
      </c>
      <c r="K1107" s="198"/>
      <c r="L1107" s="198"/>
      <c r="M1107" s="198">
        <v>0</v>
      </c>
      <c r="N1107" s="198"/>
      <c r="O1107" s="198">
        <v>123.89</v>
      </c>
      <c r="P1107" s="198"/>
      <c r="Q1107" s="198" t="s">
        <v>329</v>
      </c>
      <c r="R1107" s="230">
        <f>DATABASE_Table[[#This Row],[Inicial Asking Price (€) (Total)]]-DATABASE_Table[[#This Row],[Vista membership]]-DATABASE_Table[[#This Row],[FF&amp;E]]</f>
        <v>924682.30799999996</v>
      </c>
      <c r="S1107" s="231">
        <v>924682.30799999996</v>
      </c>
      <c r="T1107" s="232">
        <v>950000</v>
      </c>
      <c r="U1107" s="198"/>
      <c r="V1107" s="198"/>
      <c r="W1107" s="233">
        <f>DATABASE_Table[[#This Row],[Current Asking price( Total)]]-DATABASE_Table[[#This Row],[Vista membership]]-DATABASE_Table[[#This Row],[FF&amp;E]]</f>
        <v>950000</v>
      </c>
      <c r="X1107" s="216"/>
      <c r="Y1107" s="232">
        <v>930000</v>
      </c>
      <c r="Z1107" s="233">
        <f>DATABASE_Table[[#This Row],[Sell price (Total)]]-DATABASE_Table[[#This Row],[FF&amp;E]]-DATABASE_Table[[#This Row],[Vista membership]]</f>
        <v>930000</v>
      </c>
      <c r="AA1107" s="315"/>
      <c r="AB1107" s="321"/>
      <c r="AC1107" s="198" t="s">
        <v>10</v>
      </c>
      <c r="AD1107" s="198" t="s">
        <v>11</v>
      </c>
      <c r="AE1107" s="279" t="s">
        <v>53</v>
      </c>
      <c r="AF1107" s="279" t="s">
        <v>54</v>
      </c>
      <c r="AG1107" s="279" t="s">
        <v>811</v>
      </c>
      <c r="AH1107" s="279" t="s">
        <v>812</v>
      </c>
      <c r="AI1107" s="198" t="s">
        <v>36</v>
      </c>
      <c r="AJ1107" s="274" t="s">
        <v>52</v>
      </c>
      <c r="AK1107"/>
    </row>
    <row r="1108" spans="1:37" ht="15.75" hidden="1" customHeight="1">
      <c r="A1108" s="198" t="s">
        <v>558</v>
      </c>
      <c r="B1108" s="198" t="s">
        <v>691</v>
      </c>
      <c r="C1108" s="214" t="s">
        <v>359</v>
      </c>
      <c r="D1108" s="198" t="s">
        <v>9</v>
      </c>
      <c r="E1108" s="198" t="s">
        <v>319</v>
      </c>
      <c r="F1108" s="198">
        <v>111</v>
      </c>
      <c r="G1108" s="198">
        <v>4.47</v>
      </c>
      <c r="H1108" s="214" t="s">
        <v>617</v>
      </c>
      <c r="I1108" s="214" t="s">
        <v>590</v>
      </c>
      <c r="J1108" s="271">
        <v>7.8</v>
      </c>
      <c r="K1108" s="198"/>
      <c r="L1108" s="198"/>
      <c r="M1108" s="198"/>
      <c r="N1108" s="198"/>
      <c r="O1108" s="198">
        <v>111</v>
      </c>
      <c r="P1108" s="198"/>
      <c r="Q1108" s="198" t="s">
        <v>329</v>
      </c>
      <c r="R1108" s="230">
        <f>DATABASE_Table[[#This Row],[Inicial Asking Price (€) (Total)]]-DATABASE_Table[[#This Row],[Vista membership]]-DATABASE_Table[[#This Row],[FF&amp;E]]</f>
        <v>910000</v>
      </c>
      <c r="S1108" s="231">
        <v>910000</v>
      </c>
      <c r="T1108" s="232">
        <v>910000</v>
      </c>
      <c r="U1108" s="198"/>
      <c r="V1108" s="198"/>
      <c r="W1108" s="233">
        <f>DATABASE_Table[[#This Row],[Current Asking price( Total)]]-DATABASE_Table[[#This Row],[Vista membership]]-DATABASE_Table[[#This Row],[FF&amp;E]]</f>
        <v>910000</v>
      </c>
      <c r="X1108" s="216"/>
      <c r="Y1108" s="232">
        <v>910000</v>
      </c>
      <c r="Z1108" s="233">
        <f>DATABASE_Table[[#This Row],[Sell price (Total)]]-DATABASE_Table[[#This Row],[FF&amp;E]]-DATABASE_Table[[#This Row],[Vista membership]]</f>
        <v>910000</v>
      </c>
      <c r="AA1108" s="315"/>
      <c r="AB1108" s="321"/>
      <c r="AC1108" s="198" t="s">
        <v>10</v>
      </c>
      <c r="AD1108" s="198" t="s">
        <v>11</v>
      </c>
      <c r="AE1108" s="279" t="s">
        <v>12</v>
      </c>
      <c r="AF1108" s="279" t="s">
        <v>801</v>
      </c>
      <c r="AG1108" s="279" t="s">
        <v>13</v>
      </c>
      <c r="AH1108" s="279" t="s">
        <v>14</v>
      </c>
      <c r="AI1108" s="198" t="s">
        <v>15</v>
      </c>
      <c r="AJ1108" s="274" t="s">
        <v>8</v>
      </c>
      <c r="AK1108"/>
    </row>
    <row r="1109" spans="1:37" ht="15.75" hidden="1" customHeight="1">
      <c r="A1109" s="198" t="s">
        <v>31</v>
      </c>
      <c r="B1109" s="198" t="s">
        <v>691</v>
      </c>
      <c r="C1109" s="214" t="s">
        <v>359</v>
      </c>
      <c r="D1109" s="198" t="s">
        <v>9</v>
      </c>
      <c r="E1109" s="198" t="s">
        <v>320</v>
      </c>
      <c r="F1109" s="198"/>
      <c r="G1109" s="198"/>
      <c r="H1109" s="214" t="s">
        <v>325</v>
      </c>
      <c r="I1109" s="214" t="s">
        <v>590</v>
      </c>
      <c r="J1109" s="271"/>
      <c r="K1109" s="198">
        <v>0</v>
      </c>
      <c r="L1109" s="198"/>
      <c r="M1109" s="198">
        <v>137</v>
      </c>
      <c r="N1109" s="198"/>
      <c r="O1109" s="198">
        <v>140</v>
      </c>
      <c r="P1109" s="198"/>
      <c r="Q1109" s="198" t="s">
        <v>628</v>
      </c>
      <c r="R1109" s="230">
        <f>DATABASE_Table[[#This Row],[Inicial Asking Price (€) (Total)]]-DATABASE_Table[[#This Row],[Vista membership]]-DATABASE_Table[[#This Row],[FF&amp;E]]</f>
        <v>1000000</v>
      </c>
      <c r="S1109" s="232">
        <v>1000000</v>
      </c>
      <c r="T1109" s="232">
        <v>1000000</v>
      </c>
      <c r="U1109" s="198"/>
      <c r="V1109" s="198"/>
      <c r="W1109" s="233">
        <f>DATABASE_Table[[#This Row],[Current Asking price( Total)]]-DATABASE_Table[[#This Row],[Vista membership]]-DATABASE_Table[[#This Row],[FF&amp;E]]</f>
        <v>1000000</v>
      </c>
      <c r="X1109" s="216">
        <v>0</v>
      </c>
      <c r="Y1109" s="232">
        <v>1000000</v>
      </c>
      <c r="Z1109" s="233">
        <f>DATABASE_Table[[#This Row],[Sell price (Total)]]-DATABASE_Table[[#This Row],[FF&amp;E]]-DATABASE_Table[[#This Row],[Vista membership]]</f>
        <v>1000000</v>
      </c>
      <c r="AA1109" s="317">
        <v>46185</v>
      </c>
      <c r="AB1109" s="321"/>
      <c r="AC1109" s="198" t="s">
        <v>10</v>
      </c>
      <c r="AD1109" s="198" t="s">
        <v>807</v>
      </c>
      <c r="AE1109" s="279" t="s">
        <v>32</v>
      </c>
      <c r="AF1109" s="279" t="s">
        <v>808</v>
      </c>
      <c r="AG1109" s="279" t="s">
        <v>33</v>
      </c>
      <c r="AH1109" s="279" t="s">
        <v>809</v>
      </c>
      <c r="AI1109" s="198" t="s">
        <v>15</v>
      </c>
      <c r="AJ1109" s="274" t="s">
        <v>31</v>
      </c>
      <c r="AK1109"/>
    </row>
    <row r="1110" spans="1:37" ht="15.75" hidden="1" customHeight="1">
      <c r="A1110" s="198" t="s">
        <v>690</v>
      </c>
      <c r="B1110" s="198" t="s">
        <v>691</v>
      </c>
      <c r="C1110" s="214" t="s">
        <v>359</v>
      </c>
      <c r="D1110" s="198" t="s">
        <v>9</v>
      </c>
      <c r="E1110" s="198" t="s">
        <v>383</v>
      </c>
      <c r="F1110" s="198">
        <v>323.58999999999997</v>
      </c>
      <c r="G1110" s="198">
        <v>165.79</v>
      </c>
      <c r="H1110" s="214" t="s">
        <v>325</v>
      </c>
      <c r="I1110" s="214" t="s">
        <v>325</v>
      </c>
      <c r="J1110" s="271"/>
      <c r="K1110" s="198"/>
      <c r="L1110" s="198"/>
      <c r="M1110" s="198"/>
      <c r="N1110" s="198"/>
      <c r="O1110" s="198">
        <v>157.80000000000001</v>
      </c>
      <c r="P1110" s="198"/>
      <c r="Q1110" s="198" t="s">
        <v>628</v>
      </c>
      <c r="R1110" s="230">
        <f>DATABASE_Table[[#This Row],[Inicial Asking Price (€) (Total)]]-DATABASE_Table[[#This Row],[Vista membership]]-DATABASE_Table[[#This Row],[FF&amp;E]]</f>
        <v>1652100</v>
      </c>
      <c r="S1110" s="231">
        <v>1741050</v>
      </c>
      <c r="T1110" s="232">
        <v>1800000</v>
      </c>
      <c r="U1110" s="198">
        <v>24600</v>
      </c>
      <c r="V1110" s="198">
        <v>64350</v>
      </c>
      <c r="W1110" s="233">
        <f>DATABASE_Table[[#This Row],[Current Asking price( Total)]]-DATABASE_Table[[#This Row],[Vista membership]]-DATABASE_Table[[#This Row],[FF&amp;E]]</f>
        <v>1711050</v>
      </c>
      <c r="X1110" s="216">
        <v>0</v>
      </c>
      <c r="Y1110" s="232">
        <v>1800000</v>
      </c>
      <c r="Z1110" s="233">
        <f>DATABASE_Table[[#This Row],[Sell price (Total)]]-DATABASE_Table[[#This Row],[FF&amp;E]]-DATABASE_Table[[#This Row],[Vista membership]]</f>
        <v>1711050</v>
      </c>
      <c r="AA1110" s="316">
        <v>46014</v>
      </c>
      <c r="AB1110" s="321"/>
      <c r="AC1110" s="198" t="s">
        <v>10</v>
      </c>
      <c r="AD1110" s="198" t="s">
        <v>35</v>
      </c>
      <c r="AE1110" s="279" t="s">
        <v>38</v>
      </c>
      <c r="AF1110" s="279" t="s">
        <v>39</v>
      </c>
      <c r="AG1110" s="279" t="s">
        <v>40</v>
      </c>
      <c r="AH1110" s="279" t="s">
        <v>810</v>
      </c>
      <c r="AI1110" s="198" t="s">
        <v>41</v>
      </c>
      <c r="AJ1110" s="274" t="s">
        <v>37</v>
      </c>
      <c r="AK1110"/>
    </row>
    <row r="1111" spans="1:37" ht="15.75" hidden="1" customHeight="1">
      <c r="A1111" s="198" t="s">
        <v>563</v>
      </c>
      <c r="B1111" s="198" t="s">
        <v>691</v>
      </c>
      <c r="C1111" s="214" t="s">
        <v>359</v>
      </c>
      <c r="D1111" s="198" t="s">
        <v>9</v>
      </c>
      <c r="E1111" s="198" t="s">
        <v>320</v>
      </c>
      <c r="F1111" s="198">
        <v>130.91999999999999</v>
      </c>
      <c r="G1111" s="198"/>
      <c r="H1111" s="214" t="s">
        <v>325</v>
      </c>
      <c r="I1111" s="214" t="s">
        <v>325</v>
      </c>
      <c r="J1111" s="271"/>
      <c r="K1111" s="198"/>
      <c r="L1111" s="198"/>
      <c r="M1111" s="198"/>
      <c r="N1111" s="198"/>
      <c r="O1111" s="198">
        <v>130.91999999999999</v>
      </c>
      <c r="P1111" s="198"/>
      <c r="Q1111" s="198" t="s">
        <v>628</v>
      </c>
      <c r="R1111" s="230">
        <f>DATABASE_Table[[#This Row],[Inicial Asking Price (€) (Total)]]-DATABASE_Table[[#This Row],[Vista membership]]-DATABASE_Table[[#This Row],[FF&amp;E]]</f>
        <v>660000</v>
      </c>
      <c r="S1111" s="231">
        <v>660000</v>
      </c>
      <c r="T1111" s="232">
        <v>660000</v>
      </c>
      <c r="U1111" s="198"/>
      <c r="V1111" s="198"/>
      <c r="W1111" s="233">
        <f>DATABASE_Table[[#This Row],[Current Asking price( Total)]]-DATABASE_Table[[#This Row],[Vista membership]]-DATABASE_Table[[#This Row],[FF&amp;E]]</f>
        <v>660000</v>
      </c>
      <c r="X1111" s="216">
        <v>0</v>
      </c>
      <c r="Y1111" s="232">
        <v>660000</v>
      </c>
      <c r="Z1111" s="233">
        <f>DATABASE_Table[[#This Row],[Sell price (Total)]]-DATABASE_Table[[#This Row],[FF&amp;E]]-DATABASE_Table[[#This Row],[Vista membership]]</f>
        <v>660000</v>
      </c>
      <c r="AA1111" s="316">
        <v>45604</v>
      </c>
      <c r="AB1111" s="321"/>
      <c r="AC1111" s="198" t="s">
        <v>10</v>
      </c>
      <c r="AD1111" s="198" t="s">
        <v>11</v>
      </c>
      <c r="AE1111" s="279" t="s">
        <v>28</v>
      </c>
      <c r="AF1111" s="279" t="s">
        <v>29</v>
      </c>
      <c r="AG1111" s="279" t="s">
        <v>805</v>
      </c>
      <c r="AH1111" s="279" t="s">
        <v>806</v>
      </c>
      <c r="AI1111" s="198" t="s">
        <v>30</v>
      </c>
      <c r="AJ1111" s="274" t="s">
        <v>27</v>
      </c>
      <c r="AK1111"/>
    </row>
    <row r="1112" spans="1:37" ht="15.75" hidden="1" customHeight="1">
      <c r="A1112" s="198" t="s">
        <v>562</v>
      </c>
      <c r="B1112" s="198" t="s">
        <v>691</v>
      </c>
      <c r="C1112" s="214" t="s">
        <v>359</v>
      </c>
      <c r="D1112" s="198" t="s">
        <v>9</v>
      </c>
      <c r="E1112" s="198" t="s">
        <v>319</v>
      </c>
      <c r="F1112" s="198">
        <v>117</v>
      </c>
      <c r="G1112" s="198"/>
      <c r="H1112" s="214" t="s">
        <v>325</v>
      </c>
      <c r="I1112" s="214" t="s">
        <v>325</v>
      </c>
      <c r="J1112" s="271"/>
      <c r="K1112" s="198"/>
      <c r="L1112" s="198"/>
      <c r="M1112" s="198"/>
      <c r="N1112" s="198"/>
      <c r="O1112" s="198">
        <v>117</v>
      </c>
      <c r="P1112" s="198"/>
      <c r="Q1112" s="198" t="s">
        <v>929</v>
      </c>
      <c r="R1112" s="230">
        <f>DATABASE_Table[[#This Row],[Inicial Asking Price (€) (Total)]]-DATABASE_Table[[#This Row],[Vista membership]]-DATABASE_Table[[#This Row],[FF&amp;E]]</f>
        <v>490000</v>
      </c>
      <c r="S1112" s="231">
        <v>490000</v>
      </c>
      <c r="T1112" s="232">
        <v>610000</v>
      </c>
      <c r="U1112" s="198"/>
      <c r="V1112" s="198"/>
      <c r="W1112" s="233">
        <f>DATABASE_Table[[#This Row],[Current Asking price( Total)]]-DATABASE_Table[[#This Row],[Vista membership]]-DATABASE_Table[[#This Row],[FF&amp;E]]</f>
        <v>610000</v>
      </c>
      <c r="X1112" s="216">
        <v>0.18</v>
      </c>
      <c r="Y1112" s="232">
        <v>500200</v>
      </c>
      <c r="Z1112" s="233">
        <f>DATABASE_Table[[#This Row],[Sell price (Total)]]-DATABASE_Table[[#This Row],[FF&amp;E]]-DATABASE_Table[[#This Row],[Vista membership]]</f>
        <v>500200</v>
      </c>
      <c r="AA1112" s="315">
        <v>45904</v>
      </c>
      <c r="AB1112" s="321"/>
      <c r="AC1112" s="198" t="s">
        <v>10</v>
      </c>
      <c r="AD1112" s="198" t="s">
        <v>23</v>
      </c>
      <c r="AE1112" s="279" t="s">
        <v>24</v>
      </c>
      <c r="AF1112" s="279" t="s">
        <v>803</v>
      </c>
      <c r="AG1112" s="279" t="s">
        <v>25</v>
      </c>
      <c r="AH1112" s="279" t="s">
        <v>804</v>
      </c>
      <c r="AI1112" s="198" t="s">
        <v>26</v>
      </c>
      <c r="AJ1112" s="274" t="s">
        <v>22</v>
      </c>
      <c r="AK1112"/>
    </row>
    <row r="1113" spans="1:37" ht="15.75" hidden="1" customHeight="1">
      <c r="A1113" s="198" t="s">
        <v>689</v>
      </c>
      <c r="B1113" s="198" t="s">
        <v>691</v>
      </c>
      <c r="C1113" s="214" t="s">
        <v>359</v>
      </c>
      <c r="D1113" s="198"/>
      <c r="E1113" s="198" t="s">
        <v>384</v>
      </c>
      <c r="F1113" s="198">
        <v>152.87280000000001</v>
      </c>
      <c r="G1113" s="198"/>
      <c r="H1113" s="214" t="s">
        <v>325</v>
      </c>
      <c r="I1113" s="214" t="s">
        <v>325</v>
      </c>
      <c r="J1113" s="271"/>
      <c r="K1113" s="198"/>
      <c r="L1113" s="198"/>
      <c r="M1113" s="198"/>
      <c r="N1113" s="198"/>
      <c r="O1113" s="198">
        <v>152.87280000000001</v>
      </c>
      <c r="P1113" s="198"/>
      <c r="Q1113" s="198" t="s">
        <v>929</v>
      </c>
      <c r="R1113" s="230">
        <f>DATABASE_Table[[#This Row],[Inicial Asking Price (€) (Total)]]-DATABASE_Table[[#This Row],[Vista membership]]-DATABASE_Table[[#This Row],[FF&amp;E]]</f>
        <v>913837</v>
      </c>
      <c r="S1113" s="231">
        <v>913837</v>
      </c>
      <c r="T1113" s="232">
        <v>960000</v>
      </c>
      <c r="U1113" s="198"/>
      <c r="V1113" s="198"/>
      <c r="W1113" s="233">
        <f>DATABASE_Table[[#This Row],[Current Asking price( Total)]]-DATABASE_Table[[#This Row],[Vista membership]]-DATABASE_Table[[#This Row],[FF&amp;E]]</f>
        <v>960000</v>
      </c>
      <c r="X1113" s="216">
        <v>0</v>
      </c>
      <c r="Y1113" s="232">
        <v>960000</v>
      </c>
      <c r="Z1113" s="233">
        <f>DATABASE_Table[[#This Row],[Sell price (Total)]]-DATABASE_Table[[#This Row],[FF&amp;E]]-DATABASE_Table[[#This Row],[Vista membership]]</f>
        <v>960000</v>
      </c>
      <c r="AA1113" s="315">
        <v>45091</v>
      </c>
      <c r="AB1113" s="321"/>
      <c r="AC1113" s="198"/>
      <c r="AD1113" s="198"/>
      <c r="AE1113" s="279"/>
      <c r="AF1113" s="279"/>
      <c r="AG1113" s="279"/>
      <c r="AH1113" s="279"/>
      <c r="AI1113" s="198"/>
      <c r="AJ1113" s="274" t="s">
        <v>689</v>
      </c>
      <c r="AK1113"/>
    </row>
    <row r="1114" spans="1:37" ht="15.75" hidden="1" customHeight="1">
      <c r="A1114" s="198" t="s">
        <v>564</v>
      </c>
      <c r="B1114" s="198" t="s">
        <v>691</v>
      </c>
      <c r="C1114" s="214" t="s">
        <v>359</v>
      </c>
      <c r="D1114" s="198" t="s">
        <v>9</v>
      </c>
      <c r="E1114" s="198" t="s">
        <v>416</v>
      </c>
      <c r="F1114" s="198">
        <v>118.23</v>
      </c>
      <c r="G1114" s="198"/>
      <c r="H1114" s="214" t="s">
        <v>325</v>
      </c>
      <c r="I1114" s="214" t="s">
        <v>325</v>
      </c>
      <c r="J1114" s="271">
        <v>28.84</v>
      </c>
      <c r="K1114" s="198"/>
      <c r="L1114" s="198"/>
      <c r="M1114" s="198"/>
      <c r="N1114" s="198"/>
      <c r="O1114" s="198">
        <v>89.39</v>
      </c>
      <c r="P1114" s="198"/>
      <c r="Q1114" s="198" t="s">
        <v>329</v>
      </c>
      <c r="R1114" s="230">
        <f>DATABASE_Table[[#This Row],[Inicial Asking Price (€) (Total)]]-DATABASE_Table[[#This Row],[Vista membership]]-DATABASE_Table[[#This Row],[FF&amp;E]]</f>
        <v>706270.11159999995</v>
      </c>
      <c r="S1114" s="231">
        <v>770870.11159999995</v>
      </c>
      <c r="T1114" s="232">
        <v>840000</v>
      </c>
      <c r="U1114" s="198">
        <v>24600</v>
      </c>
      <c r="V1114" s="198">
        <v>40000</v>
      </c>
      <c r="W1114" s="233">
        <f>DATABASE_Table[[#This Row],[Current Asking price( Total)]]-DATABASE_Table[[#This Row],[Vista membership]]-DATABASE_Table[[#This Row],[FF&amp;E]]</f>
        <v>775400</v>
      </c>
      <c r="X1114" s="216"/>
      <c r="Y1114" s="232">
        <v>840000</v>
      </c>
      <c r="Z1114" s="233">
        <f>DATABASE_Table[[#This Row],[Sell price (Total)]]-DATABASE_Table[[#This Row],[FF&amp;E]]-DATABASE_Table[[#This Row],[Vista membership]]</f>
        <v>775400</v>
      </c>
      <c r="AA1114" s="315"/>
      <c r="AB1114" s="321"/>
      <c r="AC1114" s="198" t="s">
        <v>10</v>
      </c>
      <c r="AD1114" s="198" t="s">
        <v>35</v>
      </c>
      <c r="AE1114" s="279" t="s">
        <v>43</v>
      </c>
      <c r="AF1114" s="279" t="s">
        <v>44</v>
      </c>
      <c r="AG1114" s="279" t="s">
        <v>45</v>
      </c>
      <c r="AH1114" s="279" t="s">
        <v>46</v>
      </c>
      <c r="AI1114" s="198" t="s">
        <v>47</v>
      </c>
      <c r="AJ1114" s="274" t="s">
        <v>42</v>
      </c>
      <c r="AK1114"/>
    </row>
    <row r="1115" spans="1:37" ht="15.75" hidden="1" customHeight="1">
      <c r="A1115" s="198" t="s">
        <v>630</v>
      </c>
      <c r="B1115" s="198" t="s">
        <v>691</v>
      </c>
      <c r="C1115" s="214" t="s">
        <v>360</v>
      </c>
      <c r="D1115" s="198" t="s">
        <v>9</v>
      </c>
      <c r="E1115" s="198" t="s">
        <v>320</v>
      </c>
      <c r="F1115" s="198">
        <v>224.06</v>
      </c>
      <c r="G1115" s="198"/>
      <c r="H1115" s="214" t="s">
        <v>849</v>
      </c>
      <c r="I1115" s="214" t="s">
        <v>325</v>
      </c>
      <c r="J1115" s="271">
        <v>44.72</v>
      </c>
      <c r="K1115" s="198"/>
      <c r="L1115" s="198"/>
      <c r="M1115" s="198">
        <v>10.93</v>
      </c>
      <c r="N1115" s="198"/>
      <c r="O1115" s="198">
        <v>168.41</v>
      </c>
      <c r="P1115" s="198"/>
      <c r="Q1115" s="198" t="s">
        <v>329</v>
      </c>
      <c r="R1115" s="230">
        <f>DATABASE_Table[[#This Row],[Inicial Asking Price (€) (Total)]]-DATABASE_Table[[#This Row],[Vista membership]]-DATABASE_Table[[#This Row],[FF&amp;E]]</f>
        <v>1527052.8</v>
      </c>
      <c r="S1115" s="231">
        <v>1527052.8</v>
      </c>
      <c r="T1115" s="232">
        <v>1550000</v>
      </c>
      <c r="U1115" s="198"/>
      <c r="V1115" s="198"/>
      <c r="W1115" s="233">
        <f>DATABASE_Table[[#This Row],[Current Asking price( Total)]]-DATABASE_Table[[#This Row],[Vista membership]]-DATABASE_Table[[#This Row],[FF&amp;E]]</f>
        <v>1550000</v>
      </c>
      <c r="X1115" s="216"/>
      <c r="Y1115" s="232">
        <v>1530000</v>
      </c>
      <c r="Z1115" s="233">
        <f>DATABASE_Table[[#This Row],[Sell price (Total)]]-DATABASE_Table[[#This Row],[FF&amp;E]]-DATABASE_Table[[#This Row],[Vista membership]]</f>
        <v>1530000</v>
      </c>
      <c r="AA1115" s="315"/>
      <c r="AB1115" s="321"/>
      <c r="AC1115" s="198" t="s">
        <v>10</v>
      </c>
      <c r="AD1115" s="198" t="s">
        <v>11</v>
      </c>
      <c r="AE1115" s="279" t="s">
        <v>53</v>
      </c>
      <c r="AF1115" s="279" t="s">
        <v>54</v>
      </c>
      <c r="AG1115" s="279" t="s">
        <v>811</v>
      </c>
      <c r="AH1115" s="279" t="s">
        <v>812</v>
      </c>
      <c r="AI1115" s="198" t="s">
        <v>36</v>
      </c>
      <c r="AJ1115" s="274" t="s">
        <v>52</v>
      </c>
      <c r="AK1115"/>
    </row>
    <row r="1116" spans="1:37" ht="15.75" hidden="1" customHeight="1">
      <c r="A1116" s="198" t="s">
        <v>558</v>
      </c>
      <c r="B1116" s="198" t="s">
        <v>691</v>
      </c>
      <c r="C1116" s="214" t="s">
        <v>360</v>
      </c>
      <c r="D1116" s="198" t="s">
        <v>9</v>
      </c>
      <c r="E1116" s="198" t="s">
        <v>320</v>
      </c>
      <c r="F1116" s="198">
        <v>150.91</v>
      </c>
      <c r="G1116" s="198">
        <v>4.46</v>
      </c>
      <c r="H1116" s="214" t="s">
        <v>618</v>
      </c>
      <c r="I1116" s="214" t="s">
        <v>590</v>
      </c>
      <c r="J1116" s="271">
        <v>5.15</v>
      </c>
      <c r="K1116" s="198"/>
      <c r="L1116" s="198"/>
      <c r="M1116" s="198"/>
      <c r="N1116" s="198"/>
      <c r="O1116" s="198">
        <v>150.91</v>
      </c>
      <c r="P1116" s="198"/>
      <c r="Q1116" s="198" t="s">
        <v>628</v>
      </c>
      <c r="R1116" s="230">
        <f>DATABASE_Table[[#This Row],[Inicial Asking Price (€) (Total)]]-DATABASE_Table[[#This Row],[Vista membership]]-DATABASE_Table[[#This Row],[FF&amp;E]]</f>
        <v>1280000</v>
      </c>
      <c r="S1116" s="231">
        <v>1280000</v>
      </c>
      <c r="T1116" s="232">
        <v>1216000</v>
      </c>
      <c r="U1116" s="198"/>
      <c r="V1116" s="198"/>
      <c r="W1116" s="233">
        <f>DATABASE_Table[[#This Row],[Current Asking price( Total)]]-DATABASE_Table[[#This Row],[Vista membership]]-DATABASE_Table[[#This Row],[FF&amp;E]]</f>
        <v>1216000</v>
      </c>
      <c r="X1116" s="216">
        <v>0</v>
      </c>
      <c r="Y1116" s="232">
        <v>1216000</v>
      </c>
      <c r="Z1116" s="233">
        <f>DATABASE_Table[[#This Row],[Sell price (Total)]]-DATABASE_Table[[#This Row],[FF&amp;E]]-DATABASE_Table[[#This Row],[Vista membership]]</f>
        <v>1216000</v>
      </c>
      <c r="AA1116" s="317">
        <v>45701</v>
      </c>
      <c r="AB1116" s="321"/>
      <c r="AC1116" s="198" t="s">
        <v>10</v>
      </c>
      <c r="AD1116" s="198" t="s">
        <v>11</v>
      </c>
      <c r="AE1116" s="279" t="s">
        <v>12</v>
      </c>
      <c r="AF1116" s="279" t="s">
        <v>801</v>
      </c>
      <c r="AG1116" s="279" t="s">
        <v>13</v>
      </c>
      <c r="AH1116" s="279" t="s">
        <v>14</v>
      </c>
      <c r="AI1116" s="198" t="s">
        <v>15</v>
      </c>
      <c r="AJ1116" s="274" t="s">
        <v>8</v>
      </c>
      <c r="AK1116"/>
    </row>
    <row r="1117" spans="1:37" ht="15.75" hidden="1" customHeight="1">
      <c r="A1117" s="198" t="s">
        <v>31</v>
      </c>
      <c r="B1117" s="198" t="s">
        <v>691</v>
      </c>
      <c r="C1117" s="214" t="s">
        <v>360</v>
      </c>
      <c r="D1117" s="198" t="s">
        <v>9</v>
      </c>
      <c r="E1117" s="198" t="s">
        <v>319</v>
      </c>
      <c r="F1117" s="198"/>
      <c r="G1117" s="198"/>
      <c r="H1117" s="214" t="s">
        <v>325</v>
      </c>
      <c r="I1117" s="214" t="s">
        <v>325</v>
      </c>
      <c r="J1117" s="271"/>
      <c r="K1117" s="198">
        <v>0</v>
      </c>
      <c r="L1117" s="198"/>
      <c r="M1117" s="198">
        <v>17</v>
      </c>
      <c r="N1117" s="198"/>
      <c r="O1117" s="198">
        <v>107</v>
      </c>
      <c r="P1117" s="198"/>
      <c r="Q1117" s="198" t="s">
        <v>329</v>
      </c>
      <c r="R1117" s="230">
        <f>DATABASE_Table[[#This Row],[Inicial Asking Price (€) (Total)]]-DATABASE_Table[[#This Row],[Vista membership]]-DATABASE_Table[[#This Row],[FF&amp;E]]</f>
        <v>760000</v>
      </c>
      <c r="S1117" s="232">
        <v>760000</v>
      </c>
      <c r="T1117" s="232">
        <v>760000</v>
      </c>
      <c r="U1117" s="198"/>
      <c r="V1117" s="198"/>
      <c r="W1117" s="233">
        <f>DATABASE_Table[[#This Row],[Current Asking price( Total)]]-DATABASE_Table[[#This Row],[Vista membership]]-DATABASE_Table[[#This Row],[FF&amp;E]]</f>
        <v>760000</v>
      </c>
      <c r="X1117" s="216"/>
      <c r="Y1117" s="232">
        <v>740000</v>
      </c>
      <c r="Z1117" s="233">
        <f>DATABASE_Table[[#This Row],[Sell price (Total)]]-DATABASE_Table[[#This Row],[FF&amp;E]]-DATABASE_Table[[#This Row],[Vista membership]]</f>
        <v>740000</v>
      </c>
      <c r="AA1117" s="315"/>
      <c r="AB1117" s="321"/>
      <c r="AC1117" s="198" t="s">
        <v>10</v>
      </c>
      <c r="AD1117" s="198" t="s">
        <v>807</v>
      </c>
      <c r="AE1117" s="279" t="s">
        <v>32</v>
      </c>
      <c r="AF1117" s="279" t="s">
        <v>808</v>
      </c>
      <c r="AG1117" s="279" t="s">
        <v>33</v>
      </c>
      <c r="AH1117" s="279" t="s">
        <v>809</v>
      </c>
      <c r="AI1117" s="198" t="s">
        <v>15</v>
      </c>
      <c r="AJ1117" s="274" t="s">
        <v>31</v>
      </c>
      <c r="AK1117"/>
    </row>
    <row r="1118" spans="1:37" ht="15.75" hidden="1" customHeight="1">
      <c r="A1118" s="198" t="s">
        <v>690</v>
      </c>
      <c r="B1118" s="198" t="s">
        <v>691</v>
      </c>
      <c r="C1118" s="214" t="s">
        <v>360</v>
      </c>
      <c r="D1118" s="198" t="s">
        <v>9</v>
      </c>
      <c r="E1118" s="198" t="s">
        <v>383</v>
      </c>
      <c r="F1118" s="198">
        <v>323.58999999999997</v>
      </c>
      <c r="G1118" s="198">
        <v>165.79</v>
      </c>
      <c r="H1118" s="214" t="s">
        <v>325</v>
      </c>
      <c r="I1118" s="214" t="s">
        <v>325</v>
      </c>
      <c r="J1118" s="271"/>
      <c r="K1118" s="198"/>
      <c r="L1118" s="198"/>
      <c r="M1118" s="198"/>
      <c r="N1118" s="198"/>
      <c r="O1118" s="198">
        <v>157.80000000000001</v>
      </c>
      <c r="P1118" s="198"/>
      <c r="Q1118" s="198" t="s">
        <v>329</v>
      </c>
      <c r="R1118" s="230">
        <f>DATABASE_Table[[#This Row],[Inicial Asking Price (€) (Total)]]-DATABASE_Table[[#This Row],[Vista membership]]-DATABASE_Table[[#This Row],[FF&amp;E]]</f>
        <v>1652100</v>
      </c>
      <c r="S1118" s="231">
        <v>1741050</v>
      </c>
      <c r="T1118" s="232">
        <v>1830000</v>
      </c>
      <c r="U1118" s="198">
        <v>24600</v>
      </c>
      <c r="V1118" s="198">
        <v>64350</v>
      </c>
      <c r="W1118" s="233">
        <f>DATABASE_Table[[#This Row],[Current Asking price( Total)]]-DATABASE_Table[[#This Row],[Vista membership]]-DATABASE_Table[[#This Row],[FF&amp;E]]</f>
        <v>1741050</v>
      </c>
      <c r="X1118" s="216"/>
      <c r="Y1118" s="232">
        <v>1825000</v>
      </c>
      <c r="Z1118" s="233">
        <f>DATABASE_Table[[#This Row],[Sell price (Total)]]-DATABASE_Table[[#This Row],[FF&amp;E]]-DATABASE_Table[[#This Row],[Vista membership]]</f>
        <v>1736050</v>
      </c>
      <c r="AA1118" s="315"/>
      <c r="AB1118" s="321"/>
      <c r="AC1118" s="198" t="s">
        <v>10</v>
      </c>
      <c r="AD1118" s="198" t="s">
        <v>35</v>
      </c>
      <c r="AE1118" s="279" t="s">
        <v>38</v>
      </c>
      <c r="AF1118" s="279" t="s">
        <v>39</v>
      </c>
      <c r="AG1118" s="279" t="s">
        <v>40</v>
      </c>
      <c r="AH1118" s="279" t="s">
        <v>810</v>
      </c>
      <c r="AI1118" s="198" t="s">
        <v>41</v>
      </c>
      <c r="AJ1118" s="274" t="s">
        <v>37</v>
      </c>
      <c r="AK1118"/>
    </row>
    <row r="1119" spans="1:37" ht="15.75" hidden="1" customHeight="1">
      <c r="A1119" s="198" t="s">
        <v>563</v>
      </c>
      <c r="B1119" s="198" t="s">
        <v>691</v>
      </c>
      <c r="C1119" s="214" t="s">
        <v>360</v>
      </c>
      <c r="D1119" s="198" t="s">
        <v>9</v>
      </c>
      <c r="E1119" s="198" t="s">
        <v>320</v>
      </c>
      <c r="F1119" s="198">
        <v>130.91999999999999</v>
      </c>
      <c r="G1119" s="198"/>
      <c r="H1119" s="214" t="s">
        <v>325</v>
      </c>
      <c r="I1119" s="214" t="s">
        <v>325</v>
      </c>
      <c r="J1119" s="271"/>
      <c r="K1119" s="198"/>
      <c r="L1119" s="198"/>
      <c r="M1119" s="198"/>
      <c r="N1119" s="198"/>
      <c r="O1119" s="198">
        <v>130.91999999999999</v>
      </c>
      <c r="P1119" s="198"/>
      <c r="Q1119" s="198" t="s">
        <v>628</v>
      </c>
      <c r="R1119" s="230">
        <f>DATABASE_Table[[#This Row],[Inicial Asking Price (€) (Total)]]-DATABASE_Table[[#This Row],[Vista membership]]-DATABASE_Table[[#This Row],[FF&amp;E]]</f>
        <v>660000</v>
      </c>
      <c r="S1119" s="231">
        <v>660000</v>
      </c>
      <c r="T1119" s="232">
        <v>627000</v>
      </c>
      <c r="U1119" s="198"/>
      <c r="V1119" s="198"/>
      <c r="W1119" s="233">
        <f>DATABASE_Table[[#This Row],[Current Asking price( Total)]]-DATABASE_Table[[#This Row],[Vista membership]]-DATABASE_Table[[#This Row],[FF&amp;E]]</f>
        <v>627000</v>
      </c>
      <c r="X1119" s="216">
        <v>0</v>
      </c>
      <c r="Y1119" s="232">
        <v>627000</v>
      </c>
      <c r="Z1119" s="233">
        <f>DATABASE_Table[[#This Row],[Sell price (Total)]]-DATABASE_Table[[#This Row],[FF&amp;E]]-DATABASE_Table[[#This Row],[Vista membership]]</f>
        <v>627000</v>
      </c>
      <c r="AA1119" s="316">
        <v>45546</v>
      </c>
      <c r="AB1119" s="321"/>
      <c r="AC1119" s="198" t="s">
        <v>10</v>
      </c>
      <c r="AD1119" s="198" t="s">
        <v>11</v>
      </c>
      <c r="AE1119" s="279" t="s">
        <v>28</v>
      </c>
      <c r="AF1119" s="279" t="s">
        <v>29</v>
      </c>
      <c r="AG1119" s="279" t="s">
        <v>805</v>
      </c>
      <c r="AH1119" s="279" t="s">
        <v>806</v>
      </c>
      <c r="AI1119" s="198" t="s">
        <v>30</v>
      </c>
      <c r="AJ1119" s="274" t="s">
        <v>27</v>
      </c>
      <c r="AK1119"/>
    </row>
    <row r="1120" spans="1:37" ht="15.75" hidden="1" customHeight="1">
      <c r="A1120" s="198" t="s">
        <v>562</v>
      </c>
      <c r="B1120" s="198" t="s">
        <v>691</v>
      </c>
      <c r="C1120" s="214" t="s">
        <v>360</v>
      </c>
      <c r="D1120" s="198" t="s">
        <v>9</v>
      </c>
      <c r="E1120" s="198" t="s">
        <v>319</v>
      </c>
      <c r="F1120" s="198">
        <v>117</v>
      </c>
      <c r="G1120" s="198"/>
      <c r="H1120" s="214" t="s">
        <v>325</v>
      </c>
      <c r="I1120" s="214" t="s">
        <v>325</v>
      </c>
      <c r="J1120" s="271"/>
      <c r="K1120" s="198"/>
      <c r="L1120" s="198"/>
      <c r="M1120" s="198"/>
      <c r="N1120" s="198"/>
      <c r="O1120" s="198">
        <v>117</v>
      </c>
      <c r="P1120" s="198"/>
      <c r="Q1120" s="198" t="s">
        <v>929</v>
      </c>
      <c r="R1120" s="230">
        <f>DATABASE_Table[[#This Row],[Inicial Asking Price (€) (Total)]]-DATABASE_Table[[#This Row],[Vista membership]]-DATABASE_Table[[#This Row],[FF&amp;E]]</f>
        <v>490000</v>
      </c>
      <c r="S1120" s="231">
        <v>490000</v>
      </c>
      <c r="T1120" s="232">
        <v>610000</v>
      </c>
      <c r="U1120" s="198"/>
      <c r="V1120" s="198"/>
      <c r="W1120" s="233">
        <f>DATABASE_Table[[#This Row],[Current Asking price( Total)]]-DATABASE_Table[[#This Row],[Vista membership]]-DATABASE_Table[[#This Row],[FF&amp;E]]</f>
        <v>610000</v>
      </c>
      <c r="X1120" s="216">
        <v>0</v>
      </c>
      <c r="Y1120" s="232">
        <v>610000</v>
      </c>
      <c r="Z1120" s="233">
        <f>DATABASE_Table[[#This Row],[Sell price (Total)]]-DATABASE_Table[[#This Row],[FF&amp;E]]-DATABASE_Table[[#This Row],[Vista membership]]</f>
        <v>610000</v>
      </c>
      <c r="AA1120" s="315">
        <v>45798</v>
      </c>
      <c r="AB1120" s="321"/>
      <c r="AC1120" s="198" t="s">
        <v>10</v>
      </c>
      <c r="AD1120" s="198" t="s">
        <v>23</v>
      </c>
      <c r="AE1120" s="279" t="s">
        <v>24</v>
      </c>
      <c r="AF1120" s="279" t="s">
        <v>803</v>
      </c>
      <c r="AG1120" s="279" t="s">
        <v>25</v>
      </c>
      <c r="AH1120" s="279" t="s">
        <v>804</v>
      </c>
      <c r="AI1120" s="198" t="s">
        <v>26</v>
      </c>
      <c r="AJ1120" s="274" t="s">
        <v>22</v>
      </c>
      <c r="AK1120"/>
    </row>
    <row r="1121" spans="1:37" ht="15.75" hidden="1" customHeight="1">
      <c r="A1121" s="198" t="s">
        <v>689</v>
      </c>
      <c r="B1121" s="198" t="s">
        <v>691</v>
      </c>
      <c r="C1121" s="214" t="s">
        <v>360</v>
      </c>
      <c r="D1121" s="198"/>
      <c r="E1121" s="198" t="s">
        <v>384</v>
      </c>
      <c r="F1121" s="198">
        <v>152.87280000000001</v>
      </c>
      <c r="G1121" s="198"/>
      <c r="H1121" s="214" t="s">
        <v>325</v>
      </c>
      <c r="I1121" s="214" t="s">
        <v>325</v>
      </c>
      <c r="J1121" s="271"/>
      <c r="K1121" s="198"/>
      <c r="L1121" s="198"/>
      <c r="M1121" s="198"/>
      <c r="N1121" s="198"/>
      <c r="O1121" s="198">
        <v>152.87280000000001</v>
      </c>
      <c r="P1121" s="198"/>
      <c r="Q1121" s="198" t="s">
        <v>929</v>
      </c>
      <c r="R1121" s="230">
        <f>DATABASE_Table[[#This Row],[Inicial Asking Price (€) (Total)]]-DATABASE_Table[[#This Row],[Vista membership]]-DATABASE_Table[[#This Row],[FF&amp;E]]</f>
        <v>913837</v>
      </c>
      <c r="S1121" s="231">
        <v>913837</v>
      </c>
      <c r="T1121" s="232">
        <v>960000</v>
      </c>
      <c r="U1121" s="198"/>
      <c r="V1121" s="198"/>
      <c r="W1121" s="233">
        <f>DATABASE_Table[[#This Row],[Current Asking price( Total)]]-DATABASE_Table[[#This Row],[Vista membership]]-DATABASE_Table[[#This Row],[FF&amp;E]]</f>
        <v>960000</v>
      </c>
      <c r="X1121" s="216">
        <v>0</v>
      </c>
      <c r="Y1121" s="232">
        <v>960000</v>
      </c>
      <c r="Z1121" s="233">
        <f>DATABASE_Table[[#This Row],[Sell price (Total)]]-DATABASE_Table[[#This Row],[FF&amp;E]]-DATABASE_Table[[#This Row],[Vista membership]]</f>
        <v>960000</v>
      </c>
      <c r="AA1121" s="315">
        <v>45091</v>
      </c>
      <c r="AB1121" s="321"/>
      <c r="AC1121" s="198"/>
      <c r="AD1121" s="198"/>
      <c r="AE1121" s="279"/>
      <c r="AF1121" s="279"/>
      <c r="AG1121" s="279"/>
      <c r="AH1121" s="279"/>
      <c r="AI1121" s="198"/>
      <c r="AJ1121" s="274" t="s">
        <v>689</v>
      </c>
      <c r="AK1121"/>
    </row>
    <row r="1122" spans="1:37" ht="15.75" hidden="1" customHeight="1">
      <c r="A1122" s="198" t="s">
        <v>564</v>
      </c>
      <c r="B1122" s="198" t="s">
        <v>691</v>
      </c>
      <c r="C1122" s="214" t="s">
        <v>360</v>
      </c>
      <c r="D1122" s="198" t="s">
        <v>9</v>
      </c>
      <c r="E1122" s="198" t="s">
        <v>417</v>
      </c>
      <c r="F1122" s="198">
        <v>101.96</v>
      </c>
      <c r="G1122" s="198"/>
      <c r="H1122" s="214" t="s">
        <v>325</v>
      </c>
      <c r="I1122" s="214" t="s">
        <v>325</v>
      </c>
      <c r="J1122" s="271">
        <v>30.59</v>
      </c>
      <c r="K1122" s="198"/>
      <c r="L1122" s="198"/>
      <c r="M1122" s="198"/>
      <c r="N1122" s="198"/>
      <c r="O1122" s="198">
        <v>71.37</v>
      </c>
      <c r="P1122" s="198"/>
      <c r="Q1122" s="198" t="s">
        <v>329</v>
      </c>
      <c r="R1122" s="230">
        <f>DATABASE_Table[[#This Row],[Inicial Asking Price (€) (Total)]]-DATABASE_Table[[#This Row],[Vista membership]]-DATABASE_Table[[#This Row],[FF&amp;E]]</f>
        <v>613003.19270000001</v>
      </c>
      <c r="S1122" s="231">
        <v>667603.19270000001</v>
      </c>
      <c r="T1122" s="232">
        <v>720000</v>
      </c>
      <c r="U1122" s="198">
        <v>24600</v>
      </c>
      <c r="V1122" s="198">
        <v>30000</v>
      </c>
      <c r="W1122" s="233">
        <f>DATABASE_Table[[#This Row],[Current Asking price( Total)]]-DATABASE_Table[[#This Row],[Vista membership]]-DATABASE_Table[[#This Row],[FF&amp;E]]</f>
        <v>665400</v>
      </c>
      <c r="X1122" s="216"/>
      <c r="Y1122" s="232">
        <v>720000</v>
      </c>
      <c r="Z1122" s="233">
        <f>DATABASE_Table[[#This Row],[Sell price (Total)]]-DATABASE_Table[[#This Row],[FF&amp;E]]-DATABASE_Table[[#This Row],[Vista membership]]</f>
        <v>665400</v>
      </c>
      <c r="AA1122" s="315"/>
      <c r="AB1122" s="321"/>
      <c r="AC1122" s="198" t="s">
        <v>10</v>
      </c>
      <c r="AD1122" s="198" t="s">
        <v>35</v>
      </c>
      <c r="AE1122" s="279" t="s">
        <v>43</v>
      </c>
      <c r="AF1122" s="279" t="s">
        <v>44</v>
      </c>
      <c r="AG1122" s="279" t="s">
        <v>45</v>
      </c>
      <c r="AH1122" s="279" t="s">
        <v>46</v>
      </c>
      <c r="AI1122" s="198" t="s">
        <v>47</v>
      </c>
      <c r="AJ1122" s="274" t="s">
        <v>42</v>
      </c>
      <c r="AK1122"/>
    </row>
    <row r="1123" spans="1:37" ht="15.75" hidden="1" customHeight="1">
      <c r="A1123" s="198" t="s">
        <v>630</v>
      </c>
      <c r="B1123" s="198" t="s">
        <v>691</v>
      </c>
      <c r="C1123" s="214" t="s">
        <v>361</v>
      </c>
      <c r="D1123" s="198" t="s">
        <v>9</v>
      </c>
      <c r="E1123" s="198" t="s">
        <v>320</v>
      </c>
      <c r="F1123" s="198">
        <v>223.75</v>
      </c>
      <c r="G1123" s="198"/>
      <c r="H1123" s="214" t="s">
        <v>849</v>
      </c>
      <c r="I1123" s="214" t="s">
        <v>325</v>
      </c>
      <c r="J1123" s="271">
        <v>55.65</v>
      </c>
      <c r="K1123" s="198"/>
      <c r="L1123" s="198"/>
      <c r="M1123" s="198">
        <v>0</v>
      </c>
      <c r="N1123" s="198"/>
      <c r="O1123" s="198">
        <v>168.1</v>
      </c>
      <c r="P1123" s="198"/>
      <c r="Q1123" s="198" t="s">
        <v>329</v>
      </c>
      <c r="R1123" s="230">
        <f>DATABASE_Table[[#This Row],[Inicial Asking Price (€) (Total)]]-DATABASE_Table[[#This Row],[Vista membership]]-DATABASE_Table[[#This Row],[FF&amp;E]]</f>
        <v>1584023.35</v>
      </c>
      <c r="S1123" s="231">
        <v>1584023.35</v>
      </c>
      <c r="T1123" s="232">
        <v>1650000</v>
      </c>
      <c r="U1123" s="198"/>
      <c r="V1123" s="198"/>
      <c r="W1123" s="233">
        <f>DATABASE_Table[[#This Row],[Current Asking price( Total)]]-DATABASE_Table[[#This Row],[Vista membership]]-DATABASE_Table[[#This Row],[FF&amp;E]]</f>
        <v>1650000</v>
      </c>
      <c r="X1123" s="216"/>
      <c r="Y1123" s="232">
        <v>1637700</v>
      </c>
      <c r="Z1123" s="233">
        <f>DATABASE_Table[[#This Row],[Sell price (Total)]]-DATABASE_Table[[#This Row],[FF&amp;E]]-DATABASE_Table[[#This Row],[Vista membership]]</f>
        <v>1637700</v>
      </c>
      <c r="AA1123" s="315"/>
      <c r="AB1123" s="321"/>
      <c r="AC1123" s="198" t="s">
        <v>10</v>
      </c>
      <c r="AD1123" s="198" t="s">
        <v>11</v>
      </c>
      <c r="AE1123" s="279" t="s">
        <v>53</v>
      </c>
      <c r="AF1123" s="279" t="s">
        <v>54</v>
      </c>
      <c r="AG1123" s="279" t="s">
        <v>811</v>
      </c>
      <c r="AH1123" s="279" t="s">
        <v>812</v>
      </c>
      <c r="AI1123" s="198" t="s">
        <v>36</v>
      </c>
      <c r="AJ1123" s="274" t="s">
        <v>52</v>
      </c>
      <c r="AK1123"/>
    </row>
    <row r="1124" spans="1:37" ht="15.75" hidden="1" customHeight="1">
      <c r="A1124" s="198" t="s">
        <v>558</v>
      </c>
      <c r="B1124" s="198" t="s">
        <v>691</v>
      </c>
      <c r="C1124" s="214" t="s">
        <v>361</v>
      </c>
      <c r="D1124" s="198" t="s">
        <v>9</v>
      </c>
      <c r="E1124" s="198" t="s">
        <v>319</v>
      </c>
      <c r="F1124" s="198">
        <v>111</v>
      </c>
      <c r="G1124" s="198">
        <v>4.45</v>
      </c>
      <c r="H1124" s="214" t="s">
        <v>619</v>
      </c>
      <c r="I1124" s="214" t="s">
        <v>325</v>
      </c>
      <c r="J1124" s="271"/>
      <c r="K1124" s="198"/>
      <c r="L1124" s="198"/>
      <c r="M1124" s="198"/>
      <c r="N1124" s="198"/>
      <c r="O1124" s="198">
        <v>111</v>
      </c>
      <c r="P1124" s="198"/>
      <c r="Q1124" s="198" t="s">
        <v>329</v>
      </c>
      <c r="R1124" s="230">
        <f>DATABASE_Table[[#This Row],[Inicial Asking Price (€) (Total)]]-DATABASE_Table[[#This Row],[Vista membership]]-DATABASE_Table[[#This Row],[FF&amp;E]]</f>
        <v>890000</v>
      </c>
      <c r="S1124" s="231">
        <v>890000</v>
      </c>
      <c r="T1124" s="232">
        <v>890000</v>
      </c>
      <c r="U1124" s="198"/>
      <c r="V1124" s="198"/>
      <c r="W1124" s="233">
        <f>DATABASE_Table[[#This Row],[Current Asking price( Total)]]-DATABASE_Table[[#This Row],[Vista membership]]-DATABASE_Table[[#This Row],[FF&amp;E]]</f>
        <v>890000</v>
      </c>
      <c r="X1124" s="216"/>
      <c r="Y1124" s="232">
        <v>890000</v>
      </c>
      <c r="Z1124" s="233">
        <f>DATABASE_Table[[#This Row],[Sell price (Total)]]-DATABASE_Table[[#This Row],[FF&amp;E]]-DATABASE_Table[[#This Row],[Vista membership]]</f>
        <v>890000</v>
      </c>
      <c r="AA1124" s="315"/>
      <c r="AB1124" s="321"/>
      <c r="AC1124" s="198" t="s">
        <v>10</v>
      </c>
      <c r="AD1124" s="198" t="s">
        <v>11</v>
      </c>
      <c r="AE1124" s="279" t="s">
        <v>12</v>
      </c>
      <c r="AF1124" s="279" t="s">
        <v>801</v>
      </c>
      <c r="AG1124" s="279" t="s">
        <v>13</v>
      </c>
      <c r="AH1124" s="279" t="s">
        <v>14</v>
      </c>
      <c r="AI1124" s="198" t="s">
        <v>15</v>
      </c>
      <c r="AJ1124" s="274" t="s">
        <v>8</v>
      </c>
      <c r="AK1124"/>
    </row>
    <row r="1125" spans="1:37" ht="15.75" hidden="1" customHeight="1">
      <c r="A1125" s="198" t="s">
        <v>31</v>
      </c>
      <c r="B1125" s="198" t="s">
        <v>691</v>
      </c>
      <c r="C1125" s="214" t="s">
        <v>361</v>
      </c>
      <c r="D1125" s="198" t="s">
        <v>9</v>
      </c>
      <c r="E1125" s="198" t="s">
        <v>319</v>
      </c>
      <c r="F1125" s="198"/>
      <c r="G1125" s="198"/>
      <c r="H1125" s="214" t="s">
        <v>325</v>
      </c>
      <c r="I1125" s="214" t="s">
        <v>325</v>
      </c>
      <c r="J1125" s="271"/>
      <c r="K1125" s="198">
        <v>0</v>
      </c>
      <c r="L1125" s="198"/>
      <c r="M1125" s="198">
        <v>19</v>
      </c>
      <c r="N1125" s="198"/>
      <c r="O1125" s="198">
        <v>108</v>
      </c>
      <c r="P1125" s="198"/>
      <c r="Q1125" s="198" t="s">
        <v>327</v>
      </c>
      <c r="R1125" s="230">
        <f>DATABASE_Table[[#This Row],[Inicial Asking Price (€) (Total)]]-DATABASE_Table[[#This Row],[Vista membership]]-DATABASE_Table[[#This Row],[FF&amp;E]]</f>
        <v>750000</v>
      </c>
      <c r="S1125" s="232">
        <v>750000</v>
      </c>
      <c r="T1125" s="232">
        <v>750000</v>
      </c>
      <c r="U1125" s="198"/>
      <c r="V1125" s="198"/>
      <c r="W1125" s="233">
        <f>DATABASE_Table[[#This Row],[Current Asking price( Total)]]-DATABASE_Table[[#This Row],[Vista membership]]-DATABASE_Table[[#This Row],[FF&amp;E]]</f>
        <v>750000</v>
      </c>
      <c r="X1125" s="216">
        <v>0</v>
      </c>
      <c r="Y1125" s="232">
        <v>750000</v>
      </c>
      <c r="Z1125" s="233">
        <f>DATABASE_Table[[#This Row],[Sell price (Total)]]-DATABASE_Table[[#This Row],[FF&amp;E]]-DATABASE_Table[[#This Row],[Vista membership]]</f>
        <v>750000</v>
      </c>
      <c r="AA1125" s="315">
        <v>46166</v>
      </c>
      <c r="AB1125" s="321"/>
      <c r="AC1125" s="198" t="s">
        <v>10</v>
      </c>
      <c r="AD1125" s="198" t="s">
        <v>807</v>
      </c>
      <c r="AE1125" s="279" t="s">
        <v>32</v>
      </c>
      <c r="AF1125" s="279" t="s">
        <v>808</v>
      </c>
      <c r="AG1125" s="279" t="s">
        <v>33</v>
      </c>
      <c r="AH1125" s="279" t="s">
        <v>809</v>
      </c>
      <c r="AI1125" s="198" t="s">
        <v>15</v>
      </c>
      <c r="AJ1125" s="274" t="s">
        <v>31</v>
      </c>
      <c r="AK1125"/>
    </row>
    <row r="1126" spans="1:37" ht="15.75" hidden="1" customHeight="1">
      <c r="A1126" s="198" t="s">
        <v>690</v>
      </c>
      <c r="B1126" s="198" t="s">
        <v>691</v>
      </c>
      <c r="C1126" s="214" t="s">
        <v>361</v>
      </c>
      <c r="D1126" s="198" t="s">
        <v>9</v>
      </c>
      <c r="E1126" s="198" t="s">
        <v>764</v>
      </c>
      <c r="F1126" s="198">
        <v>296.86</v>
      </c>
      <c r="G1126" s="198">
        <v>112.83</v>
      </c>
      <c r="H1126" s="214" t="s">
        <v>325</v>
      </c>
      <c r="I1126" s="214" t="s">
        <v>325</v>
      </c>
      <c r="J1126" s="271">
        <v>18.66</v>
      </c>
      <c r="K1126" s="198"/>
      <c r="L1126" s="198"/>
      <c r="M1126" s="198"/>
      <c r="N1126" s="198"/>
      <c r="O1126" s="198">
        <v>165.37</v>
      </c>
      <c r="P1126" s="198"/>
      <c r="Q1126" s="198" t="s">
        <v>329</v>
      </c>
      <c r="R1126" s="230">
        <f>DATABASE_Table[[#This Row],[Inicial Asking Price (€) (Total)]]-DATABASE_Table[[#This Row],[Vista membership]]-DATABASE_Table[[#This Row],[FF&amp;E]]</f>
        <v>1902100</v>
      </c>
      <c r="S1126" s="231">
        <v>1991050</v>
      </c>
      <c r="T1126" s="232">
        <v>2080000</v>
      </c>
      <c r="U1126" s="198">
        <v>24600</v>
      </c>
      <c r="V1126" s="198">
        <v>64350</v>
      </c>
      <c r="W1126" s="233">
        <f>DATABASE_Table[[#This Row],[Current Asking price( Total)]]-DATABASE_Table[[#This Row],[Vista membership]]-DATABASE_Table[[#This Row],[FF&amp;E]]</f>
        <v>1991050</v>
      </c>
      <c r="X1126" s="216"/>
      <c r="Y1126" s="232">
        <v>2080000</v>
      </c>
      <c r="Z1126" s="233">
        <f>DATABASE_Table[[#This Row],[Sell price (Total)]]-DATABASE_Table[[#This Row],[FF&amp;E]]-DATABASE_Table[[#This Row],[Vista membership]]</f>
        <v>1991050</v>
      </c>
      <c r="AA1126" s="315"/>
      <c r="AB1126" s="321"/>
      <c r="AC1126" s="198" t="s">
        <v>10</v>
      </c>
      <c r="AD1126" s="198" t="s">
        <v>35</v>
      </c>
      <c r="AE1126" s="279" t="s">
        <v>38</v>
      </c>
      <c r="AF1126" s="279" t="s">
        <v>39</v>
      </c>
      <c r="AG1126" s="279" t="s">
        <v>40</v>
      </c>
      <c r="AH1126" s="279" t="s">
        <v>810</v>
      </c>
      <c r="AI1126" s="198" t="s">
        <v>41</v>
      </c>
      <c r="AJ1126" s="274" t="s">
        <v>37</v>
      </c>
      <c r="AK1126"/>
    </row>
    <row r="1127" spans="1:37" ht="15.75" hidden="1" customHeight="1">
      <c r="A1127" s="198" t="s">
        <v>563</v>
      </c>
      <c r="B1127" s="198" t="s">
        <v>691</v>
      </c>
      <c r="C1127" s="214" t="s">
        <v>361</v>
      </c>
      <c r="D1127" s="198" t="s">
        <v>9</v>
      </c>
      <c r="E1127" s="198" t="s">
        <v>319</v>
      </c>
      <c r="F1127" s="198">
        <v>104.7</v>
      </c>
      <c r="G1127" s="198"/>
      <c r="H1127" s="214" t="s">
        <v>325</v>
      </c>
      <c r="I1127" s="214" t="s">
        <v>325</v>
      </c>
      <c r="J1127" s="271"/>
      <c r="K1127" s="198"/>
      <c r="L1127" s="198"/>
      <c r="M1127" s="198"/>
      <c r="N1127" s="198"/>
      <c r="O1127" s="198">
        <v>104.7</v>
      </c>
      <c r="P1127" s="198"/>
      <c r="Q1127" s="198" t="s">
        <v>628</v>
      </c>
      <c r="R1127" s="230">
        <f>DATABASE_Table[[#This Row],[Inicial Asking Price (€) (Total)]]-DATABASE_Table[[#This Row],[Vista membership]]-DATABASE_Table[[#This Row],[FF&amp;E]]</f>
        <v>570000</v>
      </c>
      <c r="S1127" s="231">
        <v>570000</v>
      </c>
      <c r="T1127" s="232">
        <v>541500</v>
      </c>
      <c r="U1127" s="198"/>
      <c r="V1127" s="198"/>
      <c r="W1127" s="233">
        <f>DATABASE_Table[[#This Row],[Current Asking price( Total)]]-DATABASE_Table[[#This Row],[Vista membership]]-DATABASE_Table[[#This Row],[FF&amp;E]]</f>
        <v>541500</v>
      </c>
      <c r="X1127" s="216">
        <v>0</v>
      </c>
      <c r="Y1127" s="232">
        <v>541500</v>
      </c>
      <c r="Z1127" s="233">
        <f>DATABASE_Table[[#This Row],[Sell price (Total)]]-DATABASE_Table[[#This Row],[FF&amp;E]]-DATABASE_Table[[#This Row],[Vista membership]]</f>
        <v>541500</v>
      </c>
      <c r="AA1127" s="316">
        <v>45574</v>
      </c>
      <c r="AB1127" s="321"/>
      <c r="AC1127" s="198" t="s">
        <v>10</v>
      </c>
      <c r="AD1127" s="198" t="s">
        <v>11</v>
      </c>
      <c r="AE1127" s="279" t="s">
        <v>28</v>
      </c>
      <c r="AF1127" s="279" t="s">
        <v>29</v>
      </c>
      <c r="AG1127" s="279" t="s">
        <v>805</v>
      </c>
      <c r="AH1127" s="279" t="s">
        <v>806</v>
      </c>
      <c r="AI1127" s="198" t="s">
        <v>30</v>
      </c>
      <c r="AJ1127" s="274" t="s">
        <v>27</v>
      </c>
      <c r="AK1127"/>
    </row>
    <row r="1128" spans="1:37" ht="15.75" hidden="1" customHeight="1">
      <c r="A1128" s="198" t="s">
        <v>562</v>
      </c>
      <c r="B1128" s="198" t="s">
        <v>691</v>
      </c>
      <c r="C1128" s="214" t="s">
        <v>361</v>
      </c>
      <c r="D1128" s="198" t="s">
        <v>9</v>
      </c>
      <c r="E1128" s="198" t="s">
        <v>319</v>
      </c>
      <c r="F1128" s="198">
        <v>117</v>
      </c>
      <c r="G1128" s="198"/>
      <c r="H1128" s="214" t="s">
        <v>325</v>
      </c>
      <c r="I1128" s="214" t="s">
        <v>325</v>
      </c>
      <c r="J1128" s="271"/>
      <c r="K1128" s="198"/>
      <c r="L1128" s="198"/>
      <c r="M1128" s="198"/>
      <c r="N1128" s="198"/>
      <c r="O1128" s="198">
        <v>117</v>
      </c>
      <c r="P1128" s="198"/>
      <c r="Q1128" s="198" t="s">
        <v>929</v>
      </c>
      <c r="R1128" s="230">
        <f>DATABASE_Table[[#This Row],[Inicial Asking Price (€) (Total)]]-DATABASE_Table[[#This Row],[Vista membership]]-DATABASE_Table[[#This Row],[FF&amp;E]]</f>
        <v>490000</v>
      </c>
      <c r="S1128" s="231">
        <v>490000</v>
      </c>
      <c r="T1128" s="232">
        <v>490000</v>
      </c>
      <c r="U1128" s="198"/>
      <c r="V1128" s="198"/>
      <c r="W1128" s="233">
        <f>DATABASE_Table[[#This Row],[Current Asking price( Total)]]-DATABASE_Table[[#This Row],[Vista membership]]-DATABASE_Table[[#This Row],[FF&amp;E]]</f>
        <v>490000</v>
      </c>
      <c r="X1128" s="216">
        <v>0</v>
      </c>
      <c r="Y1128" s="232">
        <v>490000</v>
      </c>
      <c r="Z1128" s="233">
        <f>DATABASE_Table[[#This Row],[Sell price (Total)]]-DATABASE_Table[[#This Row],[FF&amp;E]]-DATABASE_Table[[#This Row],[Vista membership]]</f>
        <v>490000</v>
      </c>
      <c r="AA1128" s="315">
        <v>45036</v>
      </c>
      <c r="AB1128" s="321"/>
      <c r="AC1128" s="198" t="s">
        <v>10</v>
      </c>
      <c r="AD1128" s="198" t="s">
        <v>23</v>
      </c>
      <c r="AE1128" s="279" t="s">
        <v>24</v>
      </c>
      <c r="AF1128" s="279" t="s">
        <v>803</v>
      </c>
      <c r="AG1128" s="279" t="s">
        <v>25</v>
      </c>
      <c r="AH1128" s="279" t="s">
        <v>804</v>
      </c>
      <c r="AI1128" s="198" t="s">
        <v>26</v>
      </c>
      <c r="AJ1128" s="274" t="s">
        <v>22</v>
      </c>
      <c r="AK1128"/>
    </row>
    <row r="1129" spans="1:37" ht="15.75" hidden="1" customHeight="1">
      <c r="A1129" s="198" t="s">
        <v>689</v>
      </c>
      <c r="B1129" s="198" t="s">
        <v>691</v>
      </c>
      <c r="C1129" s="214" t="s">
        <v>361</v>
      </c>
      <c r="D1129" s="198"/>
      <c r="E1129" s="198" t="s">
        <v>384</v>
      </c>
      <c r="F1129" s="198">
        <v>156.83949999999999</v>
      </c>
      <c r="G1129" s="198"/>
      <c r="H1129" s="214" t="s">
        <v>325</v>
      </c>
      <c r="I1129" s="214" t="s">
        <v>325</v>
      </c>
      <c r="J1129" s="271"/>
      <c r="K1129" s="198"/>
      <c r="L1129" s="198"/>
      <c r="M1129" s="198"/>
      <c r="N1129" s="198"/>
      <c r="O1129" s="198">
        <v>156.83949999999999</v>
      </c>
      <c r="P1129" s="198"/>
      <c r="Q1129" s="198" t="s">
        <v>929</v>
      </c>
      <c r="R1129" s="230">
        <f>DATABASE_Table[[#This Row],[Inicial Asking Price (€) (Total)]]-DATABASE_Table[[#This Row],[Vista membership]]-DATABASE_Table[[#This Row],[FF&amp;E]]</f>
        <v>925768</v>
      </c>
      <c r="S1129" s="231">
        <v>925768</v>
      </c>
      <c r="T1129" s="232">
        <v>992000</v>
      </c>
      <c r="U1129" s="198"/>
      <c r="V1129" s="198"/>
      <c r="W1129" s="233">
        <f>DATABASE_Table[[#This Row],[Current Asking price( Total)]]-DATABASE_Table[[#This Row],[Vista membership]]-DATABASE_Table[[#This Row],[FF&amp;E]]</f>
        <v>992000</v>
      </c>
      <c r="X1129" s="216">
        <v>0</v>
      </c>
      <c r="Y1129" s="232">
        <v>992000</v>
      </c>
      <c r="Z1129" s="233">
        <f>DATABASE_Table[[#This Row],[Sell price (Total)]]-DATABASE_Table[[#This Row],[FF&amp;E]]-DATABASE_Table[[#This Row],[Vista membership]]</f>
        <v>992000</v>
      </c>
      <c r="AA1129" s="315">
        <v>45092</v>
      </c>
      <c r="AB1129" s="321"/>
      <c r="AC1129" s="198"/>
      <c r="AD1129" s="198"/>
      <c r="AE1129" s="279"/>
      <c r="AF1129" s="279"/>
      <c r="AG1129" s="279"/>
      <c r="AH1129" s="279"/>
      <c r="AI1129" s="198"/>
      <c r="AJ1129" s="274" t="s">
        <v>689</v>
      </c>
      <c r="AK1129"/>
    </row>
    <row r="1130" spans="1:37" ht="15.75" hidden="1" customHeight="1">
      <c r="A1130" s="198" t="s">
        <v>564</v>
      </c>
      <c r="B1130" s="198" t="s">
        <v>691</v>
      </c>
      <c r="C1130" s="214" t="s">
        <v>361</v>
      </c>
      <c r="D1130" s="198" t="s">
        <v>9</v>
      </c>
      <c r="E1130" s="198" t="s">
        <v>418</v>
      </c>
      <c r="F1130" s="198">
        <v>153.04</v>
      </c>
      <c r="G1130" s="198"/>
      <c r="H1130" s="214" t="s">
        <v>325</v>
      </c>
      <c r="I1130" s="214" t="s">
        <v>325</v>
      </c>
      <c r="J1130" s="271">
        <v>37.74</v>
      </c>
      <c r="K1130" s="198"/>
      <c r="L1130" s="198"/>
      <c r="M1130" s="198"/>
      <c r="N1130" s="198"/>
      <c r="O1130" s="198">
        <v>115.3</v>
      </c>
      <c r="P1130" s="198"/>
      <c r="Q1130" s="198" t="s">
        <v>329</v>
      </c>
      <c r="R1130" s="230">
        <f>DATABASE_Table[[#This Row],[Inicial Asking Price (€) (Total)]]-DATABASE_Table[[#This Row],[Vista membership]]-DATABASE_Table[[#This Row],[FF&amp;E]]</f>
        <v>1059822.0759999999</v>
      </c>
      <c r="S1130" s="231">
        <v>1134422.0759999999</v>
      </c>
      <c r="T1130" s="232">
        <v>1150000</v>
      </c>
      <c r="U1130" s="198">
        <v>24600</v>
      </c>
      <c r="V1130" s="198">
        <v>50000</v>
      </c>
      <c r="W1130" s="233">
        <f>DATABASE_Table[[#This Row],[Current Asking price( Total)]]-DATABASE_Table[[#This Row],[Vista membership]]-DATABASE_Table[[#This Row],[FF&amp;E]]</f>
        <v>1075400</v>
      </c>
      <c r="X1130" s="216"/>
      <c r="Y1130" s="232">
        <v>1150000</v>
      </c>
      <c r="Z1130" s="233">
        <f>DATABASE_Table[[#This Row],[Sell price (Total)]]-DATABASE_Table[[#This Row],[FF&amp;E]]-DATABASE_Table[[#This Row],[Vista membership]]</f>
        <v>1075400</v>
      </c>
      <c r="AA1130" s="315"/>
      <c r="AB1130" s="321"/>
      <c r="AC1130" s="198" t="s">
        <v>10</v>
      </c>
      <c r="AD1130" s="198" t="s">
        <v>35</v>
      </c>
      <c r="AE1130" s="279" t="s">
        <v>43</v>
      </c>
      <c r="AF1130" s="279" t="s">
        <v>44</v>
      </c>
      <c r="AG1130" s="279" t="s">
        <v>45</v>
      </c>
      <c r="AH1130" s="279" t="s">
        <v>46</v>
      </c>
      <c r="AI1130" s="198" t="s">
        <v>47</v>
      </c>
      <c r="AJ1130" s="274" t="s">
        <v>42</v>
      </c>
      <c r="AK1130"/>
    </row>
    <row r="1131" spans="1:37" ht="15.75" hidden="1" customHeight="1">
      <c r="A1131" s="198" t="s">
        <v>784</v>
      </c>
      <c r="B1131" s="198" t="s">
        <v>787</v>
      </c>
      <c r="C1131" s="214" t="s">
        <v>469</v>
      </c>
      <c r="D1131" s="198" t="s">
        <v>88</v>
      </c>
      <c r="E1131" s="198" t="s">
        <v>468</v>
      </c>
      <c r="F1131" s="198">
        <v>365.67</v>
      </c>
      <c r="G1131" s="198"/>
      <c r="H1131" s="214" t="s">
        <v>849</v>
      </c>
      <c r="I1131" s="214" t="s">
        <v>590</v>
      </c>
      <c r="J1131" s="271">
        <v>0</v>
      </c>
      <c r="K1131" s="198">
        <v>95.36</v>
      </c>
      <c r="L1131" s="198">
        <v>53.5</v>
      </c>
      <c r="M1131" s="198"/>
      <c r="N1131" s="198"/>
      <c r="O1131" s="198">
        <v>216.81</v>
      </c>
      <c r="P1131" s="198"/>
      <c r="Q1131" s="198" t="s">
        <v>327</v>
      </c>
      <c r="R1131" s="230">
        <f>DATABASE_Table[[#This Row],[Inicial Asking Price (€) (Total)]]-DATABASE_Table[[#This Row],[Vista membership]]-DATABASE_Table[[#This Row],[FF&amp;E]]</f>
        <v>1060000</v>
      </c>
      <c r="S1131" s="234">
        <v>1060000</v>
      </c>
      <c r="T1131" s="234">
        <v>1090000</v>
      </c>
      <c r="U1131" s="198"/>
      <c r="V1131" s="198"/>
      <c r="W1131" s="233">
        <f>DATABASE_Table[[#This Row],[Current Asking price( Total)]]-DATABASE_Table[[#This Row],[Vista membership]]-DATABASE_Table[[#This Row],[FF&amp;E]]</f>
        <v>1090000</v>
      </c>
      <c r="X1131" s="236">
        <v>0</v>
      </c>
      <c r="Y1131" s="235">
        <v>1090000</v>
      </c>
      <c r="Z1131" s="233">
        <f>DATABASE_Table[[#This Row],[Sell price (Total)]]-DATABASE_Table[[#This Row],[FF&amp;E]]-DATABASE_Table[[#This Row],[Vista membership]]</f>
        <v>1090000</v>
      </c>
      <c r="AA1131" s="315">
        <v>46185</v>
      </c>
      <c r="AB1131" s="321">
        <v>47208</v>
      </c>
      <c r="AC1131" s="198" t="s">
        <v>80</v>
      </c>
      <c r="AD1131" s="198" t="s">
        <v>81</v>
      </c>
      <c r="AE1131" s="279" t="s">
        <v>89</v>
      </c>
      <c r="AF1131" s="279" t="s">
        <v>90</v>
      </c>
      <c r="AG1131" s="279" t="s">
        <v>91</v>
      </c>
      <c r="AH1131" s="279" t="s">
        <v>92</v>
      </c>
      <c r="AI1131" s="198" t="s">
        <v>30</v>
      </c>
      <c r="AJ1131" s="274" t="s">
        <v>87</v>
      </c>
      <c r="AK1131"/>
    </row>
    <row r="1132" spans="1:37" ht="15.75" hidden="1" customHeight="1">
      <c r="A1132" s="198" t="s">
        <v>784</v>
      </c>
      <c r="B1132" s="198" t="s">
        <v>787</v>
      </c>
      <c r="C1132" s="214" t="s">
        <v>473</v>
      </c>
      <c r="D1132" s="198" t="s">
        <v>88</v>
      </c>
      <c r="E1132" s="198" t="s">
        <v>468</v>
      </c>
      <c r="F1132" s="198">
        <v>362.84</v>
      </c>
      <c r="G1132" s="198"/>
      <c r="H1132" s="214" t="s">
        <v>849</v>
      </c>
      <c r="I1132" s="214" t="s">
        <v>590</v>
      </c>
      <c r="J1132" s="271">
        <v>0</v>
      </c>
      <c r="K1132" s="198">
        <v>92.53</v>
      </c>
      <c r="L1132" s="198">
        <v>53.5</v>
      </c>
      <c r="M1132" s="198"/>
      <c r="N1132" s="198"/>
      <c r="O1132" s="198">
        <v>216.81</v>
      </c>
      <c r="P1132" s="198"/>
      <c r="Q1132" s="198" t="s">
        <v>329</v>
      </c>
      <c r="R1132" s="230">
        <f>DATABASE_Table[[#This Row],[Inicial Asking Price (€) (Total)]]-DATABASE_Table[[#This Row],[Vista membership]]-DATABASE_Table[[#This Row],[FF&amp;E]]</f>
        <v>1060000</v>
      </c>
      <c r="S1132" s="234">
        <v>1060000</v>
      </c>
      <c r="T1132" s="234">
        <v>1090000</v>
      </c>
      <c r="U1132" s="198"/>
      <c r="V1132" s="198"/>
      <c r="W1132" s="233">
        <f>DATABASE_Table[[#This Row],[Current Asking price( Total)]]-DATABASE_Table[[#This Row],[Vista membership]]-DATABASE_Table[[#This Row],[FF&amp;E]]</f>
        <v>1090000</v>
      </c>
      <c r="X1132" s="236"/>
      <c r="Y1132" s="235"/>
      <c r="Z1132" s="233">
        <f>DATABASE_Table[[#This Row],[Sell price (Total)]]-DATABASE_Table[[#This Row],[FF&amp;E]]-DATABASE_Table[[#This Row],[Vista membership]]</f>
        <v>0</v>
      </c>
      <c r="AA1132" s="315"/>
      <c r="AB1132" s="321">
        <v>47208</v>
      </c>
      <c r="AC1132" s="198" t="s">
        <v>80</v>
      </c>
      <c r="AD1132" s="198" t="s">
        <v>81</v>
      </c>
      <c r="AE1132" s="279" t="s">
        <v>89</v>
      </c>
      <c r="AF1132" s="279" t="s">
        <v>90</v>
      </c>
      <c r="AG1132" s="279" t="s">
        <v>91</v>
      </c>
      <c r="AH1132" s="279" t="s">
        <v>92</v>
      </c>
      <c r="AI1132" s="198" t="s">
        <v>30</v>
      </c>
      <c r="AJ1132" s="274" t="s">
        <v>87</v>
      </c>
      <c r="AK1132"/>
    </row>
    <row r="1133" spans="1:37" ht="15.75" hidden="1" customHeight="1">
      <c r="A1133" s="198" t="s">
        <v>784</v>
      </c>
      <c r="B1133" s="198" t="s">
        <v>787</v>
      </c>
      <c r="C1133" s="214" t="s">
        <v>476</v>
      </c>
      <c r="D1133" s="198" t="s">
        <v>88</v>
      </c>
      <c r="E1133" s="198" t="s">
        <v>468</v>
      </c>
      <c r="F1133" s="198">
        <v>369.54</v>
      </c>
      <c r="G1133" s="198"/>
      <c r="H1133" s="214" t="s">
        <v>849</v>
      </c>
      <c r="I1133" s="214" t="s">
        <v>590</v>
      </c>
      <c r="J1133" s="271">
        <v>0</v>
      </c>
      <c r="K1133" s="198">
        <v>90.37</v>
      </c>
      <c r="L1133" s="198">
        <v>55.07</v>
      </c>
      <c r="M1133" s="198"/>
      <c r="N1133" s="198"/>
      <c r="O1133" s="198">
        <v>224.1</v>
      </c>
      <c r="P1133" s="198"/>
      <c r="Q1133" s="198" t="s">
        <v>329</v>
      </c>
      <c r="R1133" s="230">
        <f>DATABASE_Table[[#This Row],[Inicial Asking Price (€) (Total)]]-DATABASE_Table[[#This Row],[Vista membership]]-DATABASE_Table[[#This Row],[FF&amp;E]]</f>
        <v>1090000</v>
      </c>
      <c r="S1133" s="234">
        <v>1090000</v>
      </c>
      <c r="T1133" s="234">
        <v>1120000</v>
      </c>
      <c r="U1133" s="198"/>
      <c r="V1133" s="198"/>
      <c r="W1133" s="233">
        <f>DATABASE_Table[[#This Row],[Current Asking price( Total)]]-DATABASE_Table[[#This Row],[Vista membership]]-DATABASE_Table[[#This Row],[FF&amp;E]]</f>
        <v>1120000</v>
      </c>
      <c r="X1133" s="236"/>
      <c r="Y1133" s="235"/>
      <c r="Z1133" s="233">
        <f>DATABASE_Table[[#This Row],[Sell price (Total)]]-DATABASE_Table[[#This Row],[FF&amp;E]]-DATABASE_Table[[#This Row],[Vista membership]]</f>
        <v>0</v>
      </c>
      <c r="AA1133" s="315"/>
      <c r="AB1133" s="321">
        <v>47208</v>
      </c>
      <c r="AC1133" s="198" t="s">
        <v>80</v>
      </c>
      <c r="AD1133" s="198" t="s">
        <v>81</v>
      </c>
      <c r="AE1133" s="279" t="s">
        <v>89</v>
      </c>
      <c r="AF1133" s="279" t="s">
        <v>90</v>
      </c>
      <c r="AG1133" s="279" t="s">
        <v>91</v>
      </c>
      <c r="AH1133" s="279" t="s">
        <v>92</v>
      </c>
      <c r="AI1133" s="198" t="s">
        <v>30</v>
      </c>
      <c r="AJ1133" s="274" t="s">
        <v>87</v>
      </c>
      <c r="AK1133"/>
    </row>
    <row r="1134" spans="1:37" ht="15.75" hidden="1" customHeight="1">
      <c r="A1134" s="198" t="s">
        <v>784</v>
      </c>
      <c r="B1134" s="198" t="s">
        <v>787</v>
      </c>
      <c r="C1134" s="214" t="s">
        <v>477</v>
      </c>
      <c r="D1134" s="198" t="s">
        <v>88</v>
      </c>
      <c r="E1134" s="198" t="s">
        <v>478</v>
      </c>
      <c r="F1134" s="198">
        <v>401.91</v>
      </c>
      <c r="G1134" s="198"/>
      <c r="H1134" s="214" t="s">
        <v>849</v>
      </c>
      <c r="I1134" s="214" t="s">
        <v>590</v>
      </c>
      <c r="J1134" s="271">
        <v>0</v>
      </c>
      <c r="K1134" s="198">
        <v>92.83</v>
      </c>
      <c r="L1134" s="198">
        <v>57.45</v>
      </c>
      <c r="M1134" s="198"/>
      <c r="N1134" s="198"/>
      <c r="O1134" s="198">
        <v>251.63</v>
      </c>
      <c r="P1134" s="198"/>
      <c r="Q1134" s="198" t="s">
        <v>329</v>
      </c>
      <c r="R1134" s="230">
        <f>DATABASE_Table[[#This Row],[Inicial Asking Price (€) (Total)]]-DATABASE_Table[[#This Row],[Vista membership]]-DATABASE_Table[[#This Row],[FF&amp;E]]</f>
        <v>1240000</v>
      </c>
      <c r="S1134" s="234">
        <v>1240000</v>
      </c>
      <c r="T1134" s="234">
        <v>1270000</v>
      </c>
      <c r="U1134" s="198"/>
      <c r="V1134" s="198"/>
      <c r="W1134" s="233">
        <f>DATABASE_Table[[#This Row],[Current Asking price( Total)]]-DATABASE_Table[[#This Row],[Vista membership]]-DATABASE_Table[[#This Row],[FF&amp;E]]</f>
        <v>1270000</v>
      </c>
      <c r="X1134" s="236"/>
      <c r="Y1134" s="235"/>
      <c r="Z1134" s="233">
        <f>DATABASE_Table[[#This Row],[Sell price (Total)]]-DATABASE_Table[[#This Row],[FF&amp;E]]-DATABASE_Table[[#This Row],[Vista membership]]</f>
        <v>0</v>
      </c>
      <c r="AA1134" s="315"/>
      <c r="AB1134" s="321">
        <v>47208</v>
      </c>
      <c r="AC1134" s="198" t="s">
        <v>80</v>
      </c>
      <c r="AD1134" s="198" t="s">
        <v>81</v>
      </c>
      <c r="AE1134" s="279" t="s">
        <v>89</v>
      </c>
      <c r="AF1134" s="279" t="s">
        <v>90</v>
      </c>
      <c r="AG1134" s="279" t="s">
        <v>91</v>
      </c>
      <c r="AH1134" s="279" t="s">
        <v>92</v>
      </c>
      <c r="AI1134" s="198" t="s">
        <v>30</v>
      </c>
      <c r="AJ1134" s="274" t="s">
        <v>87</v>
      </c>
      <c r="AK1134"/>
    </row>
    <row r="1135" spans="1:37" ht="15.75" hidden="1" customHeight="1">
      <c r="A1135" s="198" t="s">
        <v>784</v>
      </c>
      <c r="B1135" s="198" t="s">
        <v>787</v>
      </c>
      <c r="C1135" s="214" t="s">
        <v>470</v>
      </c>
      <c r="D1135" s="198" t="s">
        <v>88</v>
      </c>
      <c r="E1135" s="198" t="s">
        <v>468</v>
      </c>
      <c r="F1135" s="198">
        <v>365.81</v>
      </c>
      <c r="G1135" s="198"/>
      <c r="H1135" s="214" t="s">
        <v>849</v>
      </c>
      <c r="I1135" s="214" t="s">
        <v>590</v>
      </c>
      <c r="J1135" s="271">
        <v>0</v>
      </c>
      <c r="K1135" s="198">
        <v>95.5</v>
      </c>
      <c r="L1135" s="198">
        <v>53.5</v>
      </c>
      <c r="M1135" s="198"/>
      <c r="N1135" s="198"/>
      <c r="O1135" s="198">
        <v>216.81</v>
      </c>
      <c r="P1135" s="198"/>
      <c r="Q1135" s="198" t="s">
        <v>591</v>
      </c>
      <c r="R1135" s="230">
        <f>DATABASE_Table[[#This Row],[Inicial Asking Price (€) (Total)]]-DATABASE_Table[[#This Row],[Vista membership]]-DATABASE_Table[[#This Row],[FF&amp;E]]</f>
        <v>0</v>
      </c>
      <c r="S1135" s="234"/>
      <c r="T1135" s="235"/>
      <c r="U1135" s="198"/>
      <c r="V1135" s="198"/>
      <c r="W1135" s="233">
        <f>DATABASE_Table[[#This Row],[Current Asking price( Total)]]-DATABASE_Table[[#This Row],[Vista membership]]-DATABASE_Table[[#This Row],[FF&amp;E]]</f>
        <v>0</v>
      </c>
      <c r="X1135" s="236"/>
      <c r="Y1135" s="235"/>
      <c r="Z1135" s="233">
        <f>DATABASE_Table[[#This Row],[Sell price (Total)]]-DATABASE_Table[[#This Row],[FF&amp;E]]-DATABASE_Table[[#This Row],[Vista membership]]</f>
        <v>0</v>
      </c>
      <c r="AA1135" s="315"/>
      <c r="AB1135" s="321">
        <v>47208</v>
      </c>
      <c r="AC1135" s="198" t="s">
        <v>80</v>
      </c>
      <c r="AD1135" s="198" t="s">
        <v>81</v>
      </c>
      <c r="AE1135" s="279" t="s">
        <v>89</v>
      </c>
      <c r="AF1135" s="279" t="s">
        <v>90</v>
      </c>
      <c r="AG1135" s="279" t="s">
        <v>91</v>
      </c>
      <c r="AH1135" s="279" t="s">
        <v>92</v>
      </c>
      <c r="AI1135" s="198" t="s">
        <v>30</v>
      </c>
      <c r="AJ1135" s="274" t="s">
        <v>87</v>
      </c>
      <c r="AK1135"/>
    </row>
    <row r="1136" spans="1:37" ht="15.75" hidden="1" customHeight="1">
      <c r="A1136" s="198" t="s">
        <v>784</v>
      </c>
      <c r="B1136" s="198" t="s">
        <v>787</v>
      </c>
      <c r="C1136" s="214" t="s">
        <v>471</v>
      </c>
      <c r="D1136" s="198" t="s">
        <v>88</v>
      </c>
      <c r="E1136" s="198" t="s">
        <v>468</v>
      </c>
      <c r="F1136" s="198">
        <v>365.79</v>
      </c>
      <c r="G1136" s="198"/>
      <c r="H1136" s="214" t="s">
        <v>849</v>
      </c>
      <c r="I1136" s="214" t="s">
        <v>590</v>
      </c>
      <c r="J1136" s="271">
        <v>0</v>
      </c>
      <c r="K1136" s="198">
        <v>95.48</v>
      </c>
      <c r="L1136" s="198">
        <v>53.5</v>
      </c>
      <c r="M1136" s="198"/>
      <c r="N1136" s="198"/>
      <c r="O1136" s="198">
        <v>216.81</v>
      </c>
      <c r="P1136" s="198"/>
      <c r="Q1136" s="198" t="s">
        <v>591</v>
      </c>
      <c r="R1136" s="230">
        <f>DATABASE_Table[[#This Row],[Inicial Asking Price (€) (Total)]]-DATABASE_Table[[#This Row],[Vista membership]]-DATABASE_Table[[#This Row],[FF&amp;E]]</f>
        <v>0</v>
      </c>
      <c r="S1136" s="234"/>
      <c r="T1136" s="235"/>
      <c r="U1136" s="198"/>
      <c r="V1136" s="198"/>
      <c r="W1136" s="233">
        <f>DATABASE_Table[[#This Row],[Current Asking price( Total)]]-DATABASE_Table[[#This Row],[Vista membership]]-DATABASE_Table[[#This Row],[FF&amp;E]]</f>
        <v>0</v>
      </c>
      <c r="X1136" s="236"/>
      <c r="Y1136" s="235"/>
      <c r="Z1136" s="233">
        <f>DATABASE_Table[[#This Row],[Sell price (Total)]]-DATABASE_Table[[#This Row],[FF&amp;E]]-DATABASE_Table[[#This Row],[Vista membership]]</f>
        <v>0</v>
      </c>
      <c r="AA1136" s="315"/>
      <c r="AB1136" s="321">
        <v>47208</v>
      </c>
      <c r="AC1136" s="198" t="s">
        <v>80</v>
      </c>
      <c r="AD1136" s="198" t="s">
        <v>81</v>
      </c>
      <c r="AE1136" s="279" t="s">
        <v>89</v>
      </c>
      <c r="AF1136" s="279" t="s">
        <v>90</v>
      </c>
      <c r="AG1136" s="279" t="s">
        <v>91</v>
      </c>
      <c r="AH1136" s="279" t="s">
        <v>92</v>
      </c>
      <c r="AI1136" s="198" t="s">
        <v>30</v>
      </c>
      <c r="AJ1136" s="274" t="s">
        <v>87</v>
      </c>
      <c r="AK1136"/>
    </row>
    <row r="1137" spans="1:38" ht="16.149999999999999" hidden="1" customHeight="1">
      <c r="A1137" s="198" t="s">
        <v>784</v>
      </c>
      <c r="B1137" s="198" t="s">
        <v>787</v>
      </c>
      <c r="C1137" s="214" t="s">
        <v>472</v>
      </c>
      <c r="D1137" s="198" t="s">
        <v>88</v>
      </c>
      <c r="E1137" s="198" t="s">
        <v>468</v>
      </c>
      <c r="F1137" s="198">
        <v>364.63</v>
      </c>
      <c r="G1137" s="198"/>
      <c r="H1137" s="214" t="s">
        <v>849</v>
      </c>
      <c r="I1137" s="214" t="s">
        <v>590</v>
      </c>
      <c r="J1137" s="271">
        <v>0</v>
      </c>
      <c r="K1137" s="198">
        <v>94.32</v>
      </c>
      <c r="L1137" s="198">
        <v>53.5</v>
      </c>
      <c r="M1137" s="198"/>
      <c r="N1137" s="198"/>
      <c r="O1137" s="198">
        <v>216.81</v>
      </c>
      <c r="P1137" s="198"/>
      <c r="Q1137" s="198" t="s">
        <v>591</v>
      </c>
      <c r="R1137" s="230">
        <f>DATABASE_Table[[#This Row],[Inicial Asking Price (€) (Total)]]-DATABASE_Table[[#This Row],[Vista membership]]-DATABASE_Table[[#This Row],[FF&amp;E]]</f>
        <v>0</v>
      </c>
      <c r="S1137" s="234"/>
      <c r="T1137" s="235"/>
      <c r="U1137" s="198"/>
      <c r="V1137" s="198"/>
      <c r="W1137" s="233">
        <f>DATABASE_Table[[#This Row],[Current Asking price( Total)]]-DATABASE_Table[[#This Row],[Vista membership]]-DATABASE_Table[[#This Row],[FF&amp;E]]</f>
        <v>0</v>
      </c>
      <c r="X1137" s="236"/>
      <c r="Y1137" s="235"/>
      <c r="Z1137" s="233">
        <f>DATABASE_Table[[#This Row],[Sell price (Total)]]-DATABASE_Table[[#This Row],[FF&amp;E]]-DATABASE_Table[[#This Row],[Vista membership]]</f>
        <v>0</v>
      </c>
      <c r="AA1137" s="315"/>
      <c r="AB1137" s="321">
        <v>47208</v>
      </c>
      <c r="AC1137" s="198" t="s">
        <v>80</v>
      </c>
      <c r="AD1137" s="198" t="s">
        <v>81</v>
      </c>
      <c r="AE1137" s="279" t="s">
        <v>89</v>
      </c>
      <c r="AF1137" s="279" t="s">
        <v>90</v>
      </c>
      <c r="AG1137" s="279" t="s">
        <v>91</v>
      </c>
      <c r="AH1137" s="279" t="s">
        <v>92</v>
      </c>
      <c r="AI1137" s="198" t="s">
        <v>30</v>
      </c>
      <c r="AJ1137" s="274" t="s">
        <v>87</v>
      </c>
      <c r="AK1137"/>
    </row>
    <row r="1138" spans="1:38" ht="16.149999999999999" hidden="1" customHeight="1">
      <c r="A1138" s="198" t="s">
        <v>784</v>
      </c>
      <c r="B1138" s="198" t="s">
        <v>787</v>
      </c>
      <c r="C1138" s="214" t="s">
        <v>474</v>
      </c>
      <c r="D1138" s="198" t="s">
        <v>88</v>
      </c>
      <c r="E1138" s="198" t="s">
        <v>468</v>
      </c>
      <c r="F1138" s="198">
        <v>360.37</v>
      </c>
      <c r="G1138" s="198"/>
      <c r="H1138" s="214" t="s">
        <v>849</v>
      </c>
      <c r="I1138" s="214" t="s">
        <v>590</v>
      </c>
      <c r="J1138" s="271">
        <v>0</v>
      </c>
      <c r="K1138" s="198">
        <v>90.06</v>
      </c>
      <c r="L1138" s="198">
        <v>53.5</v>
      </c>
      <c r="M1138" s="198"/>
      <c r="N1138" s="198"/>
      <c r="O1138" s="198">
        <v>216.81</v>
      </c>
      <c r="P1138" s="198"/>
      <c r="Q1138" s="198" t="s">
        <v>591</v>
      </c>
      <c r="R1138" s="230">
        <f>DATABASE_Table[[#This Row],[Inicial Asking Price (€) (Total)]]-DATABASE_Table[[#This Row],[Vista membership]]-DATABASE_Table[[#This Row],[FF&amp;E]]</f>
        <v>0</v>
      </c>
      <c r="S1138" s="234"/>
      <c r="T1138" s="235"/>
      <c r="U1138" s="198"/>
      <c r="V1138" s="198"/>
      <c r="W1138" s="233">
        <f>DATABASE_Table[[#This Row],[Current Asking price( Total)]]-DATABASE_Table[[#This Row],[Vista membership]]-DATABASE_Table[[#This Row],[FF&amp;E]]</f>
        <v>0</v>
      </c>
      <c r="X1138" s="236"/>
      <c r="Y1138" s="235"/>
      <c r="Z1138" s="233">
        <f>DATABASE_Table[[#This Row],[Sell price (Total)]]-DATABASE_Table[[#This Row],[FF&amp;E]]-DATABASE_Table[[#This Row],[Vista membership]]</f>
        <v>0</v>
      </c>
      <c r="AA1138" s="315"/>
      <c r="AB1138" s="321">
        <v>47208</v>
      </c>
      <c r="AC1138" s="198" t="s">
        <v>80</v>
      </c>
      <c r="AD1138" s="198" t="s">
        <v>81</v>
      </c>
      <c r="AE1138" s="279" t="s">
        <v>89</v>
      </c>
      <c r="AF1138" s="279" t="s">
        <v>90</v>
      </c>
      <c r="AG1138" s="279" t="s">
        <v>91</v>
      </c>
      <c r="AH1138" s="279" t="s">
        <v>92</v>
      </c>
      <c r="AI1138" s="198" t="s">
        <v>30</v>
      </c>
      <c r="AJ1138" s="274" t="s">
        <v>87</v>
      </c>
      <c r="AK1138"/>
    </row>
    <row r="1139" spans="1:38" ht="16.149999999999999" hidden="1" customHeight="1">
      <c r="A1139" s="198" t="s">
        <v>784</v>
      </c>
      <c r="B1139" s="198" t="s">
        <v>787</v>
      </c>
      <c r="C1139" s="214" t="s">
        <v>475</v>
      </c>
      <c r="D1139" s="198" t="s">
        <v>88</v>
      </c>
      <c r="E1139" s="198" t="s">
        <v>468</v>
      </c>
      <c r="F1139" s="198">
        <v>358.23</v>
      </c>
      <c r="G1139" s="198"/>
      <c r="H1139" s="214" t="s">
        <v>849</v>
      </c>
      <c r="I1139" s="214" t="s">
        <v>590</v>
      </c>
      <c r="J1139" s="271">
        <v>0</v>
      </c>
      <c r="K1139" s="198">
        <v>87.92</v>
      </c>
      <c r="L1139" s="198">
        <v>53.5</v>
      </c>
      <c r="M1139" s="198"/>
      <c r="N1139" s="198"/>
      <c r="O1139" s="198">
        <v>216.81</v>
      </c>
      <c r="P1139" s="198"/>
      <c r="Q1139" s="198" t="s">
        <v>591</v>
      </c>
      <c r="R1139" s="230">
        <f>DATABASE_Table[[#This Row],[Inicial Asking Price (€) (Total)]]-DATABASE_Table[[#This Row],[Vista membership]]-DATABASE_Table[[#This Row],[FF&amp;E]]</f>
        <v>0</v>
      </c>
      <c r="S1139" s="234"/>
      <c r="T1139" s="235"/>
      <c r="U1139" s="198"/>
      <c r="V1139" s="198"/>
      <c r="W1139" s="233">
        <f>DATABASE_Table[[#This Row],[Current Asking price( Total)]]-DATABASE_Table[[#This Row],[Vista membership]]-DATABASE_Table[[#This Row],[FF&amp;E]]</f>
        <v>0</v>
      </c>
      <c r="X1139" s="236"/>
      <c r="Y1139" s="235"/>
      <c r="Z1139" s="233">
        <f>DATABASE_Table[[#This Row],[Sell price (Total)]]-DATABASE_Table[[#This Row],[FF&amp;E]]-DATABASE_Table[[#This Row],[Vista membership]]</f>
        <v>0</v>
      </c>
      <c r="AA1139" s="315"/>
      <c r="AB1139" s="321">
        <v>47208</v>
      </c>
      <c r="AC1139" s="198" t="s">
        <v>80</v>
      </c>
      <c r="AD1139" s="198" t="s">
        <v>81</v>
      </c>
      <c r="AE1139" s="279" t="s">
        <v>89</v>
      </c>
      <c r="AF1139" s="279" t="s">
        <v>90</v>
      </c>
      <c r="AG1139" s="279" t="s">
        <v>91</v>
      </c>
      <c r="AH1139" s="279" t="s">
        <v>92</v>
      </c>
      <c r="AI1139" s="198" t="s">
        <v>30</v>
      </c>
      <c r="AJ1139" s="274" t="s">
        <v>87</v>
      </c>
      <c r="AK1139"/>
    </row>
    <row r="1140" spans="1:38" ht="16.149999999999999" hidden="1" customHeight="1">
      <c r="A1140" s="198" t="s">
        <v>784</v>
      </c>
      <c r="B1140" s="198" t="s">
        <v>787</v>
      </c>
      <c r="C1140" s="214" t="s">
        <v>479</v>
      </c>
      <c r="D1140" s="198" t="s">
        <v>88</v>
      </c>
      <c r="E1140" s="198" t="s">
        <v>478</v>
      </c>
      <c r="F1140" s="198">
        <v>387.26</v>
      </c>
      <c r="G1140" s="198"/>
      <c r="H1140" s="214" t="s">
        <v>849</v>
      </c>
      <c r="I1140" s="214" t="s">
        <v>590</v>
      </c>
      <c r="J1140" s="271">
        <v>0</v>
      </c>
      <c r="K1140" s="198">
        <v>87.97</v>
      </c>
      <c r="L1140" s="198">
        <v>55.99</v>
      </c>
      <c r="M1140" s="198"/>
      <c r="N1140" s="198"/>
      <c r="O1140" s="198">
        <v>243.3</v>
      </c>
      <c r="P1140" s="198"/>
      <c r="Q1140" s="198" t="s">
        <v>591</v>
      </c>
      <c r="R1140" s="230">
        <f>DATABASE_Table[[#This Row],[Inicial Asking Price (€) (Total)]]-DATABASE_Table[[#This Row],[Vista membership]]-DATABASE_Table[[#This Row],[FF&amp;E]]</f>
        <v>0</v>
      </c>
      <c r="S1140" s="234"/>
      <c r="T1140" s="235"/>
      <c r="U1140" s="198"/>
      <c r="V1140" s="198"/>
      <c r="W1140" s="233">
        <f>DATABASE_Table[[#This Row],[Current Asking price( Total)]]-DATABASE_Table[[#This Row],[Vista membership]]-DATABASE_Table[[#This Row],[FF&amp;E]]</f>
        <v>0</v>
      </c>
      <c r="X1140" s="236"/>
      <c r="Y1140" s="235"/>
      <c r="Z1140" s="233">
        <f>DATABASE_Table[[#This Row],[Sell price (Total)]]-DATABASE_Table[[#This Row],[FF&amp;E]]-DATABASE_Table[[#This Row],[Vista membership]]</f>
        <v>0</v>
      </c>
      <c r="AA1140" s="315"/>
      <c r="AB1140" s="321">
        <v>47208</v>
      </c>
      <c r="AC1140" s="198" t="s">
        <v>80</v>
      </c>
      <c r="AD1140" s="198" t="s">
        <v>81</v>
      </c>
      <c r="AE1140" s="279" t="s">
        <v>89</v>
      </c>
      <c r="AF1140" s="279" t="s">
        <v>90</v>
      </c>
      <c r="AG1140" s="279" t="s">
        <v>91</v>
      </c>
      <c r="AH1140" s="279" t="s">
        <v>92</v>
      </c>
      <c r="AI1140" s="198" t="s">
        <v>30</v>
      </c>
      <c r="AJ1140" s="274" t="s">
        <v>87</v>
      </c>
      <c r="AK1140"/>
    </row>
    <row r="1141" spans="1:38" ht="16.149999999999999" hidden="1" customHeight="1">
      <c r="A1141" s="198" t="s">
        <v>784</v>
      </c>
      <c r="B1141" s="198" t="s">
        <v>787</v>
      </c>
      <c r="C1141" s="214" t="s">
        <v>480</v>
      </c>
      <c r="D1141" s="198" t="s">
        <v>88</v>
      </c>
      <c r="E1141" s="198" t="s">
        <v>478</v>
      </c>
      <c r="F1141" s="198">
        <v>387.03</v>
      </c>
      <c r="G1141" s="198"/>
      <c r="H1141" s="214" t="s">
        <v>849</v>
      </c>
      <c r="I1141" s="214" t="s">
        <v>590</v>
      </c>
      <c r="J1141" s="271">
        <v>0</v>
      </c>
      <c r="K1141" s="198">
        <v>87.74</v>
      </c>
      <c r="L1141" s="198">
        <v>55.99</v>
      </c>
      <c r="M1141" s="198"/>
      <c r="N1141" s="198"/>
      <c r="O1141" s="198">
        <v>243.3</v>
      </c>
      <c r="P1141" s="198"/>
      <c r="Q1141" s="198" t="s">
        <v>591</v>
      </c>
      <c r="R1141" s="230">
        <f>DATABASE_Table[[#This Row],[Inicial Asking Price (€) (Total)]]-DATABASE_Table[[#This Row],[Vista membership]]-DATABASE_Table[[#This Row],[FF&amp;E]]</f>
        <v>0</v>
      </c>
      <c r="S1141" s="234"/>
      <c r="T1141" s="235"/>
      <c r="U1141" s="198"/>
      <c r="V1141" s="198"/>
      <c r="W1141" s="233">
        <f>DATABASE_Table[[#This Row],[Current Asking price( Total)]]-DATABASE_Table[[#This Row],[Vista membership]]-DATABASE_Table[[#This Row],[FF&amp;E]]</f>
        <v>0</v>
      </c>
      <c r="X1141" s="236"/>
      <c r="Y1141" s="235"/>
      <c r="Z1141" s="233">
        <f>DATABASE_Table[[#This Row],[Sell price (Total)]]-DATABASE_Table[[#This Row],[FF&amp;E]]-DATABASE_Table[[#This Row],[Vista membership]]</f>
        <v>0</v>
      </c>
      <c r="AA1141" s="315"/>
      <c r="AB1141" s="321">
        <v>47208</v>
      </c>
      <c r="AC1141" s="198" t="s">
        <v>80</v>
      </c>
      <c r="AD1141" s="198" t="s">
        <v>81</v>
      </c>
      <c r="AE1141" s="279" t="s">
        <v>89</v>
      </c>
      <c r="AF1141" s="279" t="s">
        <v>90</v>
      </c>
      <c r="AG1141" s="279" t="s">
        <v>91</v>
      </c>
      <c r="AH1141" s="279" t="s">
        <v>92</v>
      </c>
      <c r="AI1141" s="198" t="s">
        <v>30</v>
      </c>
      <c r="AJ1141" s="274" t="s">
        <v>87</v>
      </c>
      <c r="AK1141"/>
    </row>
    <row r="1142" spans="1:38" ht="16.149999999999999" hidden="1" customHeight="1">
      <c r="A1142" s="199" t="s">
        <v>784</v>
      </c>
      <c r="B1142" s="199" t="s">
        <v>787</v>
      </c>
      <c r="C1142" s="215" t="s">
        <v>481</v>
      </c>
      <c r="D1142" s="198" t="s">
        <v>88</v>
      </c>
      <c r="E1142" s="199" t="s">
        <v>478</v>
      </c>
      <c r="F1142" s="199">
        <v>382.78</v>
      </c>
      <c r="G1142" s="199"/>
      <c r="H1142" s="215" t="s">
        <v>851</v>
      </c>
      <c r="I1142" s="215" t="s">
        <v>590</v>
      </c>
      <c r="J1142" s="280">
        <v>0</v>
      </c>
      <c r="K1142" s="199">
        <v>73.7</v>
      </c>
      <c r="L1142" s="199">
        <v>57.45</v>
      </c>
      <c r="M1142" s="199"/>
      <c r="N1142" s="199"/>
      <c r="O1142" s="199">
        <v>251.63</v>
      </c>
      <c r="P1142" s="199"/>
      <c r="Q1142" s="199" t="s">
        <v>591</v>
      </c>
      <c r="R1142" s="237">
        <f>DATABASE_Table[[#This Row],[Inicial Asking Price (€) (Total)]]-DATABASE_Table[[#This Row],[Vista membership]]-DATABASE_Table[[#This Row],[FF&amp;E]]</f>
        <v>0</v>
      </c>
      <c r="S1142" s="238"/>
      <c r="T1142" s="239"/>
      <c r="U1142" s="199"/>
      <c r="V1142" s="199"/>
      <c r="W1142" s="240">
        <f>DATABASE_Table[[#This Row],[Current Asking price( Total)]]-DATABASE_Table[[#This Row],[Vista membership]]-DATABASE_Table[[#This Row],[FF&amp;E]]</f>
        <v>0</v>
      </c>
      <c r="X1142" s="241"/>
      <c r="Y1142" s="239"/>
      <c r="Z1142" s="240">
        <f>DATABASE_Table[[#This Row],[Sell price (Total)]]-DATABASE_Table[[#This Row],[FF&amp;E]]-DATABASE_Table[[#This Row],[Vista membership]]</f>
        <v>0</v>
      </c>
      <c r="AA1142" s="319"/>
      <c r="AB1142" s="322">
        <v>47208</v>
      </c>
      <c r="AC1142" s="198" t="s">
        <v>80</v>
      </c>
      <c r="AD1142" s="198" t="s">
        <v>81</v>
      </c>
      <c r="AE1142" s="279" t="s">
        <v>89</v>
      </c>
      <c r="AF1142" s="279" t="s">
        <v>90</v>
      </c>
      <c r="AG1142" s="279" t="s">
        <v>91</v>
      </c>
      <c r="AH1142" s="279" t="s">
        <v>92</v>
      </c>
      <c r="AI1142" s="198" t="s">
        <v>30</v>
      </c>
      <c r="AJ1142" s="274" t="s">
        <v>87</v>
      </c>
      <c r="AK1142"/>
    </row>
    <row r="1143" spans="1:38">
      <c r="A1143" s="197"/>
      <c r="B1143" s="197"/>
      <c r="C1143" s="197"/>
      <c r="D1143" s="197"/>
      <c r="F1143" s="197"/>
      <c r="G1143" s="197"/>
      <c r="H1143" s="197"/>
      <c r="I1143" s="197"/>
      <c r="J1143" s="197"/>
      <c r="K1143" s="197"/>
      <c r="L1143" s="197"/>
      <c r="M1143" s="197"/>
      <c r="N1143" s="197"/>
      <c r="O1143" s="197"/>
      <c r="P1143" s="197"/>
      <c r="Q1143" s="197"/>
      <c r="R1143" s="197"/>
      <c r="S1143" s="197"/>
      <c r="T1143" s="242"/>
      <c r="U1143" s="242"/>
      <c r="V1143" s="197"/>
      <c r="W1143" s="197"/>
      <c r="X1143" s="197"/>
      <c r="Y1143" s="243" t="s">
        <v>325</v>
      </c>
      <c r="Z1143" s="242"/>
      <c r="AA1143" s="197"/>
      <c r="AB1143" s="323"/>
      <c r="AC1143" s="197"/>
      <c r="AE1143" s="197"/>
      <c r="AF1143" s="197"/>
      <c r="AG1143" s="197"/>
      <c r="AH1143" s="197"/>
      <c r="AI1143" s="197"/>
      <c r="AJ1143" s="197"/>
      <c r="AK1143" s="197"/>
    </row>
    <row r="1144" spans="1:38">
      <c r="A1144" s="197"/>
      <c r="B1144" s="197"/>
      <c r="C1144" s="197"/>
      <c r="D1144" s="197"/>
      <c r="F1144" s="197"/>
      <c r="G1144" s="197"/>
      <c r="H1144" s="197"/>
      <c r="I1144" s="197"/>
      <c r="J1144" s="197"/>
      <c r="K1144" s="197"/>
      <c r="L1144" s="197"/>
      <c r="M1144" s="197"/>
      <c r="N1144" s="197"/>
      <c r="O1144" s="197"/>
      <c r="P1144" s="197"/>
      <c r="Q1144" s="197"/>
      <c r="R1144" s="197"/>
      <c r="S1144" s="197"/>
      <c r="T1144" s="242"/>
      <c r="U1144" s="242"/>
      <c r="V1144" s="197"/>
      <c r="W1144" s="197"/>
      <c r="X1144" s="197"/>
      <c r="Y1144" s="243" t="s">
        <v>325</v>
      </c>
      <c r="Z1144" s="242"/>
      <c r="AB1144" s="323"/>
      <c r="AC1144" s="197"/>
      <c r="AE1144" s="197"/>
      <c r="AF1144" s="197"/>
      <c r="AG1144" s="197"/>
      <c r="AH1144" s="197"/>
      <c r="AI1144" s="197"/>
      <c r="AJ1144" s="197"/>
      <c r="AK1144" s="197"/>
    </row>
    <row r="1145" spans="1:38">
      <c r="A1145" s="197"/>
      <c r="B1145" s="197"/>
      <c r="C1145" s="197"/>
      <c r="D1145" s="197"/>
      <c r="F1145" s="197"/>
      <c r="G1145" s="197"/>
      <c r="H1145" s="197"/>
      <c r="I1145" s="197"/>
      <c r="J1145" s="197"/>
      <c r="K1145" s="197"/>
      <c r="L1145" s="197"/>
      <c r="M1145" s="197"/>
      <c r="N1145" s="197"/>
      <c r="O1145" s="197"/>
      <c r="P1145" s="197"/>
      <c r="Q1145" s="197"/>
      <c r="R1145" s="197"/>
      <c r="S1145" s="197"/>
      <c r="T1145" s="242"/>
      <c r="U1145" s="242"/>
      <c r="V1145" s="197"/>
      <c r="W1145" s="197"/>
      <c r="X1145" s="197"/>
      <c r="Y1145" s="243" t="s">
        <v>325</v>
      </c>
      <c r="Z1145" s="242"/>
      <c r="AB1145" s="323"/>
      <c r="AC1145" s="197"/>
      <c r="AE1145" s="197"/>
      <c r="AF1145" s="197"/>
      <c r="AG1145" s="197"/>
      <c r="AH1145" s="197"/>
      <c r="AI1145" s="197"/>
      <c r="AJ1145" s="197"/>
      <c r="AK1145" s="197"/>
    </row>
    <row r="1146" spans="1:38">
      <c r="A1146" s="197"/>
      <c r="B1146" s="197"/>
      <c r="C1146" s="197"/>
      <c r="D1146" s="197"/>
      <c r="F1146" s="197"/>
      <c r="G1146" s="197"/>
      <c r="H1146" s="197"/>
      <c r="I1146" s="197"/>
      <c r="J1146" s="197"/>
      <c r="K1146" s="197"/>
      <c r="L1146" s="197"/>
      <c r="M1146" s="197"/>
      <c r="N1146" s="197"/>
      <c r="O1146" s="197"/>
      <c r="P1146" s="197"/>
      <c r="Q1146" s="197"/>
      <c r="R1146" s="197"/>
      <c r="S1146" s="197"/>
      <c r="T1146" s="242"/>
      <c r="U1146" s="242"/>
      <c r="V1146" s="197"/>
      <c r="W1146" s="197"/>
      <c r="X1146" s="197"/>
      <c r="Y1146" s="243" t="s">
        <v>325</v>
      </c>
      <c r="Z1146" s="242"/>
      <c r="AB1146" s="323"/>
      <c r="AC1146" s="197"/>
      <c r="AE1146" s="197"/>
      <c r="AF1146" s="197"/>
      <c r="AG1146" s="197"/>
      <c r="AH1146" s="197"/>
      <c r="AI1146" s="197"/>
      <c r="AJ1146" s="197"/>
      <c r="AK1146" s="197"/>
      <c r="AL1146" s="4"/>
    </row>
    <row r="1147" spans="1:38">
      <c r="A1147" s="197"/>
      <c r="B1147" s="197"/>
      <c r="C1147" s="197"/>
      <c r="D1147" s="197"/>
      <c r="F1147" s="197"/>
      <c r="G1147" s="197"/>
      <c r="H1147" s="197"/>
      <c r="I1147" s="197"/>
      <c r="J1147" s="197"/>
      <c r="K1147" s="197"/>
      <c r="L1147" s="197"/>
      <c r="M1147" s="197"/>
      <c r="N1147" s="197"/>
      <c r="O1147" s="197"/>
      <c r="P1147" s="197"/>
      <c r="Q1147" s="197"/>
      <c r="R1147" s="197"/>
      <c r="S1147" s="197"/>
      <c r="T1147" s="242"/>
      <c r="U1147" s="242"/>
      <c r="V1147" s="197"/>
      <c r="W1147" s="197"/>
      <c r="X1147" s="197"/>
      <c r="Y1147" s="243" t="s">
        <v>325</v>
      </c>
      <c r="Z1147" s="242"/>
      <c r="AB1147" s="323"/>
      <c r="AC1147" s="197"/>
      <c r="AE1147" s="197"/>
      <c r="AF1147" s="197"/>
      <c r="AG1147" s="197"/>
      <c r="AH1147" s="197"/>
      <c r="AI1147" s="197"/>
      <c r="AJ1147" s="197"/>
      <c r="AK1147" s="197"/>
      <c r="AL1147" s="4"/>
    </row>
    <row r="1148" spans="1:38">
      <c r="A1148" s="197"/>
      <c r="B1148" s="197"/>
      <c r="C1148" s="197"/>
      <c r="D1148" s="197"/>
      <c r="F1148" s="197"/>
      <c r="G1148" s="197"/>
      <c r="H1148" s="197"/>
      <c r="I1148" s="197"/>
      <c r="J1148" s="197"/>
      <c r="K1148" s="197"/>
      <c r="L1148" s="197"/>
      <c r="M1148" s="197"/>
      <c r="N1148" s="197"/>
      <c r="O1148" s="197"/>
      <c r="P1148" s="197"/>
      <c r="Q1148" s="197"/>
      <c r="R1148" s="197"/>
      <c r="S1148" s="197"/>
      <c r="T1148" s="242"/>
      <c r="U1148" s="242"/>
      <c r="V1148" s="197"/>
      <c r="W1148" s="197"/>
      <c r="X1148" s="197"/>
      <c r="Y1148" s="243" t="s">
        <v>325</v>
      </c>
      <c r="Z1148" s="242"/>
      <c r="AB1148" s="323"/>
      <c r="AC1148" s="197"/>
      <c r="AE1148" s="197"/>
      <c r="AF1148" s="197"/>
      <c r="AG1148" s="197"/>
      <c r="AH1148" s="197"/>
      <c r="AI1148" s="197"/>
      <c r="AJ1148" s="197"/>
      <c r="AK1148" s="197"/>
      <c r="AL1148" s="4"/>
    </row>
    <row r="1149" spans="1:38">
      <c r="A1149" s="197"/>
      <c r="B1149" s="197"/>
      <c r="C1149" s="197"/>
      <c r="D1149" s="197"/>
      <c r="F1149" s="197"/>
      <c r="G1149" s="197"/>
      <c r="H1149" s="197"/>
      <c r="I1149" s="197"/>
      <c r="J1149" s="197"/>
      <c r="K1149" s="197"/>
      <c r="L1149" s="197"/>
      <c r="M1149" s="197"/>
      <c r="N1149" s="197"/>
      <c r="O1149" s="197"/>
      <c r="P1149" s="197"/>
      <c r="Q1149" s="197"/>
      <c r="R1149" s="197"/>
      <c r="S1149" s="197"/>
      <c r="T1149" s="242"/>
      <c r="U1149" s="242"/>
      <c r="V1149" s="197"/>
      <c r="W1149" s="197"/>
      <c r="X1149" s="197"/>
      <c r="Y1149" s="243" t="s">
        <v>325</v>
      </c>
      <c r="Z1149" s="242"/>
      <c r="AB1149" s="323"/>
      <c r="AC1149" s="197"/>
      <c r="AE1149" s="197"/>
      <c r="AF1149" s="197"/>
      <c r="AG1149" s="197"/>
      <c r="AH1149" s="197"/>
      <c r="AI1149" s="197"/>
      <c r="AJ1149" s="197"/>
      <c r="AK1149" s="197"/>
    </row>
    <row r="1150" spans="1:38">
      <c r="A1150" s="197"/>
      <c r="B1150" s="197"/>
      <c r="C1150" s="197"/>
      <c r="D1150" s="197"/>
      <c r="F1150" s="197"/>
      <c r="G1150" s="197"/>
      <c r="H1150" s="197"/>
      <c r="I1150" s="197"/>
      <c r="J1150" s="197"/>
      <c r="K1150" s="197"/>
      <c r="L1150" s="197"/>
      <c r="M1150" s="197"/>
      <c r="N1150" s="197"/>
      <c r="O1150" s="197"/>
      <c r="P1150" s="197"/>
      <c r="Q1150" s="197"/>
      <c r="R1150" s="197"/>
      <c r="S1150" s="197"/>
      <c r="T1150" s="242"/>
      <c r="U1150" s="242"/>
      <c r="V1150" s="197"/>
      <c r="W1150" s="197"/>
      <c r="X1150" s="197"/>
      <c r="Y1150" s="243" t="s">
        <v>325</v>
      </c>
      <c r="Z1150" s="242"/>
      <c r="AB1150" s="323"/>
      <c r="AC1150" s="197"/>
      <c r="AE1150" s="197"/>
      <c r="AF1150" s="197"/>
      <c r="AG1150" s="197"/>
      <c r="AH1150" s="197"/>
      <c r="AI1150" s="197"/>
      <c r="AJ1150" s="197"/>
      <c r="AK1150" s="197"/>
    </row>
    <row r="1151" spans="1:38">
      <c r="A1151" s="197"/>
      <c r="B1151" s="197"/>
      <c r="C1151" s="197"/>
      <c r="D1151" s="197"/>
      <c r="F1151" s="197"/>
      <c r="G1151" s="197"/>
      <c r="H1151" s="197"/>
      <c r="I1151" s="197"/>
      <c r="J1151" s="197"/>
      <c r="K1151" s="197"/>
      <c r="L1151" s="197"/>
      <c r="M1151" s="197"/>
      <c r="N1151" s="197"/>
      <c r="O1151" s="197"/>
      <c r="P1151" s="197"/>
      <c r="Q1151" s="197"/>
      <c r="R1151" s="197"/>
      <c r="S1151" s="197"/>
      <c r="T1151" s="242"/>
      <c r="U1151" s="242"/>
      <c r="V1151" s="197"/>
      <c r="W1151" s="197"/>
      <c r="X1151" s="197"/>
      <c r="Y1151" s="243" t="s">
        <v>325</v>
      </c>
      <c r="Z1151" s="242"/>
      <c r="AB1151" s="323"/>
      <c r="AC1151" s="197"/>
      <c r="AE1151" s="197"/>
      <c r="AF1151" s="197"/>
      <c r="AG1151" s="197"/>
      <c r="AH1151" s="197"/>
      <c r="AI1151" s="197"/>
      <c r="AJ1151" s="197"/>
      <c r="AK1151" s="197"/>
    </row>
    <row r="1152" spans="1:38">
      <c r="A1152" s="197"/>
      <c r="B1152" s="197"/>
      <c r="C1152" s="197"/>
      <c r="D1152" s="197"/>
      <c r="F1152" s="197"/>
      <c r="G1152" s="197"/>
      <c r="H1152" s="197"/>
      <c r="I1152" s="197"/>
      <c r="J1152" s="197"/>
      <c r="K1152" s="197"/>
      <c r="L1152" s="197"/>
      <c r="M1152" s="197"/>
      <c r="N1152" s="197"/>
      <c r="O1152" s="197"/>
      <c r="P1152" s="197"/>
      <c r="Q1152" s="197"/>
      <c r="R1152" s="197"/>
      <c r="S1152" s="197"/>
      <c r="T1152" s="242"/>
      <c r="U1152" s="242"/>
      <c r="V1152" s="197"/>
      <c r="W1152" s="197"/>
      <c r="X1152" s="197"/>
      <c r="Y1152" s="243" t="s">
        <v>325</v>
      </c>
      <c r="Z1152" s="242"/>
      <c r="AB1152" s="323"/>
      <c r="AC1152" s="197"/>
      <c r="AE1152" s="197"/>
      <c r="AF1152" s="197"/>
      <c r="AG1152" s="197"/>
      <c r="AH1152" s="197"/>
      <c r="AI1152" s="197"/>
      <c r="AJ1152" s="197"/>
      <c r="AK1152" s="197"/>
    </row>
    <row r="1153" spans="1:37">
      <c r="A1153" s="197"/>
      <c r="B1153" s="197"/>
      <c r="C1153" s="197"/>
      <c r="D1153" s="197"/>
      <c r="F1153" s="197"/>
      <c r="G1153" s="197"/>
      <c r="H1153" s="197"/>
      <c r="I1153" s="197"/>
      <c r="J1153" s="197"/>
      <c r="K1153" s="197"/>
      <c r="L1153" s="197"/>
      <c r="M1153" s="197"/>
      <c r="N1153" s="197"/>
      <c r="O1153" s="197"/>
      <c r="P1153" s="197"/>
      <c r="Q1153" s="197"/>
      <c r="R1153" s="197"/>
      <c r="S1153" s="197"/>
      <c r="T1153" s="242"/>
      <c r="U1153" s="242"/>
      <c r="V1153" s="197"/>
      <c r="W1153" s="197"/>
      <c r="X1153" s="197"/>
      <c r="Y1153" s="243" t="s">
        <v>325</v>
      </c>
      <c r="Z1153" s="242"/>
      <c r="AB1153" s="323"/>
      <c r="AC1153" s="197"/>
      <c r="AE1153" s="197"/>
      <c r="AF1153" s="197"/>
      <c r="AG1153" s="197"/>
      <c r="AH1153" s="197"/>
      <c r="AI1153" s="197"/>
      <c r="AJ1153" s="197"/>
      <c r="AK1153" s="197"/>
    </row>
    <row r="1154" spans="1:37">
      <c r="A1154" s="197"/>
      <c r="B1154" s="197"/>
      <c r="C1154" s="197"/>
      <c r="D1154" s="197"/>
      <c r="F1154" s="197"/>
      <c r="G1154" s="197"/>
      <c r="H1154" s="197"/>
      <c r="I1154" s="197"/>
      <c r="J1154" s="197"/>
      <c r="K1154" s="197"/>
      <c r="L1154" s="197"/>
      <c r="M1154" s="197"/>
      <c r="N1154" s="197"/>
      <c r="O1154" s="197"/>
      <c r="P1154" s="197"/>
      <c r="Q1154" s="197"/>
      <c r="R1154" s="197"/>
      <c r="S1154" s="197"/>
      <c r="T1154" s="242"/>
      <c r="U1154" s="242"/>
      <c r="V1154" s="197"/>
      <c r="W1154" s="197"/>
      <c r="X1154" s="197"/>
      <c r="Y1154" s="243" t="s">
        <v>325</v>
      </c>
      <c r="Z1154" s="242"/>
      <c r="AB1154" s="323"/>
      <c r="AC1154" s="197"/>
      <c r="AE1154" s="197"/>
      <c r="AF1154" s="197"/>
      <c r="AG1154" s="197"/>
      <c r="AH1154" s="197"/>
      <c r="AI1154" s="197"/>
      <c r="AJ1154" s="197"/>
      <c r="AK1154" s="197"/>
    </row>
    <row r="1155" spans="1:37">
      <c r="A1155" s="197"/>
      <c r="B1155" s="197"/>
      <c r="C1155" s="197"/>
      <c r="D1155" s="197"/>
      <c r="F1155" s="197"/>
      <c r="G1155" s="197"/>
      <c r="H1155" s="197"/>
      <c r="I1155" s="197"/>
      <c r="J1155" s="197"/>
      <c r="K1155" s="197"/>
      <c r="L1155" s="197"/>
      <c r="M1155" s="197"/>
      <c r="N1155" s="197"/>
      <c r="O1155" s="197"/>
      <c r="P1155" s="197"/>
      <c r="Q1155" s="197"/>
      <c r="R1155" s="197"/>
      <c r="S1155" s="197"/>
      <c r="T1155" s="242"/>
      <c r="U1155" s="242"/>
      <c r="V1155" s="197"/>
      <c r="W1155" s="197"/>
      <c r="X1155" s="197"/>
      <c r="Y1155" s="243" t="s">
        <v>325</v>
      </c>
      <c r="Z1155" s="242"/>
      <c r="AB1155" s="323"/>
      <c r="AC1155" s="197"/>
      <c r="AE1155" s="197"/>
      <c r="AF1155" s="197"/>
      <c r="AG1155" s="197"/>
      <c r="AH1155" s="197"/>
      <c r="AI1155" s="197"/>
      <c r="AJ1155" s="197"/>
      <c r="AK1155" s="197"/>
    </row>
    <row r="1156" spans="1:37">
      <c r="A1156" s="197"/>
      <c r="B1156" s="197"/>
      <c r="C1156" s="197"/>
      <c r="D1156" s="197"/>
      <c r="F1156" s="197"/>
      <c r="G1156" s="197"/>
      <c r="H1156" s="197"/>
      <c r="I1156" s="197"/>
      <c r="J1156" s="197"/>
      <c r="K1156" s="197"/>
      <c r="L1156" s="197"/>
      <c r="M1156" s="197"/>
      <c r="N1156" s="197"/>
      <c r="O1156" s="197"/>
      <c r="P1156" s="197"/>
      <c r="Q1156" s="197"/>
      <c r="R1156" s="197"/>
      <c r="S1156" s="197"/>
      <c r="T1156" s="242"/>
      <c r="U1156" s="242"/>
      <c r="V1156" s="197"/>
      <c r="W1156" s="197"/>
      <c r="X1156" s="197"/>
      <c r="Y1156" s="243" t="s">
        <v>325</v>
      </c>
      <c r="Z1156" s="242"/>
      <c r="AB1156" s="323"/>
      <c r="AC1156" s="197"/>
      <c r="AE1156" s="197"/>
      <c r="AF1156" s="197"/>
      <c r="AG1156" s="197"/>
      <c r="AH1156" s="197"/>
      <c r="AI1156" s="197"/>
      <c r="AJ1156" s="197"/>
      <c r="AK1156" s="197"/>
    </row>
    <row r="1157" spans="1:37">
      <c r="A1157" s="197"/>
      <c r="B1157" s="197"/>
      <c r="C1157" s="197"/>
      <c r="D1157" s="197"/>
      <c r="F1157" s="197"/>
      <c r="G1157" s="197"/>
      <c r="H1157" s="197"/>
      <c r="I1157" s="197"/>
      <c r="J1157" s="197"/>
      <c r="K1157" s="197"/>
      <c r="L1157" s="197"/>
      <c r="M1157" s="197"/>
      <c r="N1157" s="197"/>
      <c r="O1157" s="197"/>
      <c r="P1157" s="197"/>
      <c r="Q1157" s="197"/>
      <c r="R1157" s="197"/>
      <c r="S1157" s="197"/>
      <c r="T1157" s="242"/>
      <c r="U1157" s="242"/>
      <c r="V1157" s="197"/>
      <c r="W1157" s="197"/>
      <c r="X1157" s="197"/>
      <c r="Y1157" s="243" t="s">
        <v>325</v>
      </c>
      <c r="Z1157" s="242"/>
      <c r="AB1157" s="323"/>
      <c r="AC1157" s="197"/>
      <c r="AE1157" s="197"/>
      <c r="AF1157" s="197"/>
      <c r="AG1157" s="197"/>
      <c r="AH1157" s="197"/>
      <c r="AI1157" s="197"/>
      <c r="AJ1157" s="197"/>
      <c r="AK1157" s="197"/>
    </row>
    <row r="1158" spans="1:37">
      <c r="A1158" s="197"/>
      <c r="B1158" s="197"/>
      <c r="C1158" s="197"/>
      <c r="D1158" s="197"/>
      <c r="F1158" s="197"/>
      <c r="G1158" s="197"/>
      <c r="H1158" s="197"/>
      <c r="I1158" s="197"/>
      <c r="J1158" s="197"/>
      <c r="K1158" s="197"/>
      <c r="L1158" s="197"/>
      <c r="M1158" s="197"/>
      <c r="N1158" s="197"/>
      <c r="O1158" s="197"/>
      <c r="P1158" s="197"/>
      <c r="Q1158" s="197"/>
      <c r="R1158" s="197"/>
      <c r="S1158" s="197"/>
      <c r="T1158" s="242"/>
      <c r="U1158" s="242"/>
      <c r="V1158" s="197"/>
      <c r="W1158" s="197"/>
      <c r="X1158" s="197"/>
      <c r="Y1158" s="243" t="s">
        <v>325</v>
      </c>
      <c r="Z1158" s="242"/>
      <c r="AB1158" s="323"/>
      <c r="AC1158" s="197"/>
      <c r="AE1158" s="197"/>
      <c r="AF1158" s="197"/>
      <c r="AG1158" s="197"/>
      <c r="AH1158" s="197"/>
      <c r="AI1158" s="197"/>
      <c r="AJ1158" s="197"/>
      <c r="AK1158" s="197"/>
    </row>
    <row r="1159" spans="1:37">
      <c r="A1159" s="197"/>
      <c r="B1159" s="197"/>
      <c r="C1159" s="197"/>
      <c r="D1159" s="197"/>
      <c r="F1159" s="197"/>
      <c r="G1159" s="197"/>
      <c r="H1159" s="197"/>
      <c r="I1159" s="197"/>
      <c r="J1159" s="197"/>
      <c r="K1159" s="197"/>
      <c r="L1159" s="197"/>
      <c r="M1159" s="197"/>
      <c r="N1159" s="197"/>
      <c r="O1159" s="197"/>
      <c r="P1159" s="197"/>
      <c r="Q1159" s="197"/>
      <c r="R1159" s="197"/>
      <c r="S1159" s="197"/>
      <c r="T1159" s="242"/>
      <c r="U1159" s="242"/>
      <c r="V1159" s="197"/>
      <c r="W1159" s="197"/>
      <c r="X1159" s="197"/>
      <c r="Y1159" s="243" t="s">
        <v>325</v>
      </c>
      <c r="Z1159" s="242"/>
      <c r="AB1159" s="323"/>
      <c r="AC1159" s="197"/>
      <c r="AE1159" s="197"/>
      <c r="AF1159" s="197"/>
      <c r="AG1159" s="197"/>
      <c r="AH1159" s="197"/>
      <c r="AI1159" s="197"/>
      <c r="AJ1159" s="197"/>
      <c r="AK1159" s="197"/>
    </row>
    <row r="1160" spans="1:37">
      <c r="A1160" s="197"/>
      <c r="B1160" s="197"/>
      <c r="C1160" s="197"/>
      <c r="D1160" s="197"/>
      <c r="F1160" s="197"/>
      <c r="G1160" s="197"/>
      <c r="H1160" s="197"/>
      <c r="I1160" s="197"/>
      <c r="J1160" s="197"/>
      <c r="K1160" s="197"/>
      <c r="L1160" s="197"/>
      <c r="M1160" s="197"/>
      <c r="N1160" s="197"/>
      <c r="O1160" s="197"/>
      <c r="P1160" s="197"/>
      <c r="Q1160" s="197"/>
      <c r="R1160" s="197"/>
      <c r="S1160" s="197"/>
      <c r="T1160" s="242"/>
      <c r="U1160" s="242"/>
      <c r="V1160" s="197"/>
      <c r="W1160" s="197"/>
      <c r="X1160" s="197"/>
      <c r="Y1160" s="243" t="s">
        <v>325</v>
      </c>
      <c r="Z1160" s="242"/>
      <c r="AB1160" s="323"/>
      <c r="AC1160" s="197"/>
      <c r="AE1160" s="197"/>
      <c r="AF1160" s="197"/>
      <c r="AG1160" s="197"/>
      <c r="AH1160" s="197"/>
      <c r="AI1160" s="197"/>
      <c r="AJ1160" s="197"/>
      <c r="AK1160" s="197"/>
    </row>
    <row r="1161" spans="1:37">
      <c r="A1161" s="197"/>
      <c r="B1161" s="197"/>
      <c r="C1161" s="197"/>
      <c r="D1161" s="197"/>
      <c r="F1161" s="197"/>
      <c r="G1161" s="197"/>
      <c r="H1161" s="197"/>
      <c r="I1161" s="197"/>
      <c r="J1161" s="197"/>
      <c r="K1161" s="197"/>
      <c r="L1161" s="197"/>
      <c r="M1161" s="197"/>
      <c r="N1161" s="197"/>
      <c r="O1161" s="197"/>
      <c r="P1161" s="197"/>
      <c r="Q1161" s="197"/>
      <c r="R1161" s="197"/>
      <c r="S1161" s="197"/>
      <c r="T1161" s="242"/>
      <c r="U1161" s="242"/>
      <c r="V1161" s="197"/>
      <c r="W1161" s="197"/>
      <c r="X1161" s="197"/>
      <c r="Y1161" s="243" t="s">
        <v>325</v>
      </c>
      <c r="Z1161" s="242"/>
      <c r="AB1161" s="323"/>
      <c r="AC1161" s="197"/>
      <c r="AE1161" s="197"/>
      <c r="AF1161" s="197"/>
      <c r="AG1161" s="197"/>
      <c r="AH1161" s="197"/>
      <c r="AI1161" s="197"/>
      <c r="AJ1161" s="197"/>
      <c r="AK1161" s="197"/>
    </row>
    <row r="1162" spans="1:37">
      <c r="A1162" s="197"/>
      <c r="B1162" s="197"/>
      <c r="C1162" s="197"/>
      <c r="D1162" s="197"/>
      <c r="F1162" s="197"/>
      <c r="G1162" s="197"/>
      <c r="H1162" s="197"/>
      <c r="I1162" s="197"/>
      <c r="J1162" s="197"/>
      <c r="K1162" s="197"/>
      <c r="L1162" s="197"/>
      <c r="M1162" s="197"/>
      <c r="N1162" s="197"/>
      <c r="O1162" s="197"/>
      <c r="P1162" s="197"/>
      <c r="Q1162" s="197"/>
      <c r="R1162" s="197"/>
      <c r="S1162" s="197"/>
      <c r="T1162" s="242"/>
      <c r="U1162" s="242"/>
      <c r="V1162" s="197"/>
      <c r="W1162" s="197"/>
      <c r="X1162" s="197"/>
      <c r="Y1162" s="243" t="s">
        <v>325</v>
      </c>
      <c r="Z1162" s="242"/>
      <c r="AB1162" s="323"/>
      <c r="AC1162" s="197"/>
      <c r="AE1162" s="197"/>
      <c r="AF1162" s="197"/>
      <c r="AG1162" s="197"/>
      <c r="AH1162" s="197"/>
      <c r="AI1162" s="197"/>
      <c r="AJ1162" s="197"/>
      <c r="AK1162" s="197"/>
    </row>
    <row r="1163" spans="1:37">
      <c r="A1163" s="197"/>
      <c r="B1163" s="197"/>
      <c r="C1163" s="197"/>
      <c r="D1163" s="197"/>
      <c r="F1163" s="197"/>
      <c r="G1163" s="197"/>
      <c r="H1163" s="197"/>
      <c r="I1163" s="197"/>
      <c r="J1163" s="197"/>
      <c r="K1163" s="197"/>
      <c r="L1163" s="197"/>
      <c r="M1163" s="197"/>
      <c r="N1163" s="197"/>
      <c r="O1163" s="197"/>
      <c r="P1163" s="197"/>
      <c r="Q1163" s="197"/>
      <c r="R1163" s="197"/>
      <c r="S1163" s="197"/>
      <c r="T1163" s="242"/>
      <c r="U1163" s="242"/>
      <c r="V1163" s="197"/>
      <c r="W1163" s="197"/>
      <c r="X1163" s="197"/>
      <c r="Y1163" s="243" t="s">
        <v>325</v>
      </c>
      <c r="Z1163" s="242"/>
      <c r="AB1163" s="323"/>
      <c r="AC1163" s="197"/>
      <c r="AE1163" s="197"/>
      <c r="AF1163" s="197"/>
      <c r="AG1163" s="197"/>
      <c r="AH1163" s="197"/>
      <c r="AI1163" s="197"/>
      <c r="AJ1163" s="197"/>
      <c r="AK1163" s="197"/>
    </row>
    <row r="1164" spans="1:37">
      <c r="A1164" s="197"/>
      <c r="B1164" s="197"/>
      <c r="C1164" s="197"/>
      <c r="D1164" s="197"/>
      <c r="F1164" s="197"/>
      <c r="G1164" s="197"/>
      <c r="H1164" s="197"/>
      <c r="I1164" s="197"/>
      <c r="J1164" s="197"/>
      <c r="K1164" s="197"/>
      <c r="L1164" s="197"/>
      <c r="M1164" s="197"/>
      <c r="N1164" s="197"/>
      <c r="O1164" s="197"/>
      <c r="P1164" s="197"/>
      <c r="Q1164" s="197"/>
      <c r="R1164" s="197"/>
      <c r="S1164" s="197"/>
      <c r="T1164" s="242"/>
      <c r="U1164" s="242"/>
      <c r="V1164" s="197"/>
      <c r="W1164" s="197"/>
      <c r="X1164" s="197"/>
      <c r="Y1164" s="243" t="s">
        <v>325</v>
      </c>
      <c r="Z1164" s="242"/>
      <c r="AB1164" s="323"/>
      <c r="AC1164" s="197"/>
      <c r="AE1164" s="197"/>
      <c r="AF1164" s="197"/>
      <c r="AG1164" s="197"/>
      <c r="AH1164" s="197"/>
      <c r="AI1164" s="197"/>
      <c r="AJ1164" s="197"/>
      <c r="AK1164" s="197"/>
    </row>
    <row r="1165" spans="1:37">
      <c r="A1165" s="197"/>
      <c r="B1165" s="197"/>
      <c r="C1165" s="197"/>
      <c r="D1165" s="197"/>
      <c r="F1165" s="197"/>
      <c r="G1165" s="197"/>
      <c r="H1165" s="197"/>
      <c r="I1165" s="197"/>
      <c r="J1165" s="197"/>
      <c r="K1165" s="197"/>
      <c r="L1165" s="197"/>
      <c r="M1165" s="197"/>
      <c r="N1165" s="197"/>
      <c r="O1165" s="197"/>
      <c r="P1165" s="197"/>
      <c r="Q1165" s="197"/>
      <c r="R1165" s="197"/>
      <c r="S1165" s="197"/>
      <c r="T1165" s="242"/>
      <c r="U1165" s="242"/>
      <c r="V1165" s="197"/>
      <c r="W1165" s="197"/>
      <c r="X1165" s="197"/>
      <c r="Y1165" s="243" t="s">
        <v>325</v>
      </c>
      <c r="Z1165" s="242"/>
      <c r="AB1165" s="323"/>
      <c r="AC1165" s="197"/>
      <c r="AE1165" s="197"/>
      <c r="AF1165" s="197"/>
      <c r="AG1165" s="197"/>
      <c r="AH1165" s="197"/>
      <c r="AI1165" s="197"/>
      <c r="AJ1165" s="197"/>
      <c r="AK1165" s="197"/>
    </row>
    <row r="1169" spans="4:37">
      <c r="D1169" s="197"/>
      <c r="AE1169" s="197"/>
      <c r="AF1169" s="197"/>
      <c r="AG1169" s="197"/>
      <c r="AH1169" s="197"/>
      <c r="AI1169" s="197"/>
      <c r="AJ1169" s="197"/>
      <c r="AK1169" s="197"/>
    </row>
    <row r="1170" spans="4:37">
      <c r="D1170" s="197"/>
      <c r="AE1170" s="197"/>
      <c r="AF1170" s="197"/>
      <c r="AG1170" s="197"/>
      <c r="AH1170" s="197"/>
      <c r="AI1170" s="197"/>
      <c r="AJ1170" s="197"/>
      <c r="AK1170" s="197"/>
    </row>
    <row r="1171" spans="4:37">
      <c r="D1171" s="197"/>
      <c r="AE1171" s="197"/>
      <c r="AF1171" s="197"/>
      <c r="AG1171" s="197"/>
      <c r="AH1171" s="197"/>
      <c r="AI1171" s="197"/>
      <c r="AJ1171" s="197"/>
      <c r="AK1171" s="197"/>
    </row>
    <row r="1172" spans="4:37">
      <c r="D1172" s="197"/>
      <c r="AE1172" s="197"/>
      <c r="AF1172" s="197"/>
      <c r="AG1172" s="197"/>
      <c r="AH1172" s="197"/>
      <c r="AI1172" s="197"/>
      <c r="AJ1172" s="197"/>
      <c r="AK1172" s="197"/>
    </row>
    <row r="1173" spans="4:37">
      <c r="D1173" s="197"/>
      <c r="AE1173" s="197"/>
      <c r="AF1173" s="197"/>
      <c r="AG1173" s="197"/>
      <c r="AH1173" s="197"/>
      <c r="AI1173" s="197"/>
      <c r="AJ1173" s="197"/>
      <c r="AK1173" s="197"/>
    </row>
    <row r="1174" spans="4:37">
      <c r="D1174" s="197"/>
      <c r="AE1174" s="197"/>
      <c r="AF1174" s="197"/>
      <c r="AG1174" s="197"/>
      <c r="AH1174" s="197"/>
      <c r="AI1174" s="197"/>
      <c r="AJ1174" s="197"/>
      <c r="AK1174" s="197"/>
    </row>
    <row r="1175" spans="4:37">
      <c r="D1175" s="197"/>
      <c r="AE1175" s="197"/>
      <c r="AF1175" s="197"/>
      <c r="AG1175" s="197"/>
      <c r="AH1175" s="197"/>
      <c r="AI1175" s="197"/>
      <c r="AJ1175" s="197"/>
      <c r="AK1175" s="197"/>
    </row>
    <row r="1176" spans="4:37">
      <c r="D1176" s="197"/>
      <c r="AE1176" s="197"/>
      <c r="AF1176" s="197"/>
      <c r="AG1176" s="197"/>
      <c r="AH1176" s="197"/>
      <c r="AI1176" s="197"/>
      <c r="AJ1176" s="197"/>
      <c r="AK1176" s="197"/>
    </row>
    <row r="1177" spans="4:37">
      <c r="D1177" s="197"/>
      <c r="AE1177" s="197"/>
      <c r="AF1177" s="197"/>
      <c r="AG1177" s="197"/>
      <c r="AH1177" s="197"/>
      <c r="AI1177" s="197"/>
      <c r="AJ1177" s="197"/>
      <c r="AK1177" s="197"/>
    </row>
    <row r="1178" spans="4:37">
      <c r="D1178" s="197"/>
      <c r="AE1178" s="197"/>
      <c r="AF1178" s="197"/>
      <c r="AG1178" s="197"/>
      <c r="AH1178" s="197"/>
      <c r="AI1178" s="197"/>
      <c r="AJ1178" s="197"/>
      <c r="AK1178" s="197"/>
    </row>
    <row r="1179" spans="4:37">
      <c r="D1179" s="197"/>
      <c r="AE1179" s="197"/>
      <c r="AF1179" s="197"/>
      <c r="AG1179" s="197"/>
      <c r="AH1179" s="197"/>
      <c r="AI1179" s="197"/>
      <c r="AJ1179" s="197"/>
      <c r="AK1179" s="197"/>
    </row>
    <row r="1180" spans="4:37">
      <c r="D1180" s="197"/>
      <c r="AE1180" s="197"/>
      <c r="AF1180" s="197"/>
      <c r="AG1180" s="197"/>
      <c r="AH1180" s="197"/>
      <c r="AI1180" s="197"/>
      <c r="AJ1180" s="197"/>
      <c r="AK1180" s="197"/>
    </row>
    <row r="1181" spans="4:37">
      <c r="D1181" s="197"/>
      <c r="AE1181" s="197"/>
      <c r="AF1181" s="197"/>
      <c r="AG1181" s="197"/>
      <c r="AH1181" s="197"/>
      <c r="AI1181" s="197"/>
      <c r="AJ1181" s="197"/>
      <c r="AK1181" s="197"/>
    </row>
    <row r="1182" spans="4:37">
      <c r="D1182" s="197"/>
      <c r="AE1182" s="197"/>
      <c r="AF1182" s="197"/>
      <c r="AG1182" s="197"/>
      <c r="AH1182" s="197"/>
      <c r="AI1182" s="197"/>
      <c r="AJ1182" s="197"/>
      <c r="AK1182" s="197"/>
    </row>
    <row r="1183" spans="4:37">
      <c r="D1183" s="197"/>
      <c r="AE1183" s="197"/>
      <c r="AF1183" s="197"/>
      <c r="AG1183" s="197"/>
      <c r="AH1183" s="197"/>
      <c r="AI1183" s="197"/>
      <c r="AJ1183" s="197"/>
      <c r="AK1183" s="197"/>
    </row>
    <row r="1184" spans="4:37">
      <c r="D1184" s="197"/>
      <c r="AE1184" s="197"/>
      <c r="AF1184" s="197"/>
      <c r="AG1184" s="197"/>
      <c r="AH1184" s="197"/>
      <c r="AI1184" s="197"/>
      <c r="AJ1184" s="197"/>
      <c r="AK1184" s="197"/>
    </row>
    <row r="1185" spans="4:37">
      <c r="D1185" s="197"/>
      <c r="AE1185" s="197"/>
      <c r="AF1185" s="197"/>
      <c r="AG1185" s="197"/>
      <c r="AH1185" s="197"/>
      <c r="AI1185" s="197"/>
      <c r="AJ1185" s="197"/>
      <c r="AK1185" s="197"/>
    </row>
    <row r="1186" spans="4:37">
      <c r="D1186" s="197"/>
      <c r="AE1186" s="197"/>
      <c r="AF1186" s="197"/>
      <c r="AG1186" s="197"/>
      <c r="AH1186" s="197"/>
      <c r="AI1186" s="197"/>
      <c r="AJ1186" s="197"/>
      <c r="AK1186" s="197"/>
    </row>
    <row r="1187" spans="4:37">
      <c r="D1187" s="197"/>
      <c r="AE1187" s="197"/>
      <c r="AF1187" s="197"/>
      <c r="AG1187" s="197"/>
      <c r="AH1187" s="197"/>
      <c r="AI1187" s="197"/>
      <c r="AJ1187" s="197"/>
      <c r="AK1187" s="197"/>
    </row>
    <row r="1188" spans="4:37">
      <c r="D1188" s="197"/>
      <c r="AE1188" s="197"/>
      <c r="AF1188" s="197"/>
      <c r="AG1188" s="197"/>
      <c r="AH1188" s="197"/>
      <c r="AI1188" s="197"/>
      <c r="AJ1188" s="197"/>
      <c r="AK1188" s="197"/>
    </row>
    <row r="1189" spans="4:37">
      <c r="D1189" s="197"/>
      <c r="AE1189" s="197"/>
      <c r="AF1189" s="197"/>
      <c r="AG1189" s="197"/>
      <c r="AH1189" s="197"/>
      <c r="AI1189" s="197"/>
      <c r="AJ1189" s="197"/>
      <c r="AK1189" s="197"/>
    </row>
    <row r="1190" spans="4:37">
      <c r="D1190" s="197"/>
      <c r="AE1190" s="197"/>
      <c r="AF1190" s="197"/>
      <c r="AG1190" s="197"/>
      <c r="AH1190" s="197"/>
      <c r="AI1190" s="197"/>
      <c r="AJ1190" s="197"/>
      <c r="AK1190" s="197"/>
    </row>
    <row r="1191" spans="4:37">
      <c r="D1191" s="197"/>
      <c r="AE1191" s="197"/>
      <c r="AF1191" s="197"/>
      <c r="AG1191" s="197"/>
      <c r="AH1191" s="197"/>
      <c r="AI1191" s="197"/>
      <c r="AJ1191" s="197"/>
      <c r="AK1191" s="197"/>
    </row>
    <row r="1192" spans="4:37">
      <c r="D1192" s="197"/>
      <c r="AE1192" s="197"/>
      <c r="AF1192" s="197"/>
      <c r="AG1192" s="197"/>
      <c r="AH1192" s="197"/>
      <c r="AI1192" s="197"/>
      <c r="AJ1192" s="197"/>
      <c r="AK1192" s="197"/>
    </row>
    <row r="1193" spans="4:37">
      <c r="D1193" s="197"/>
      <c r="AE1193" s="197"/>
      <c r="AF1193" s="197"/>
      <c r="AG1193" s="197"/>
      <c r="AH1193" s="197"/>
      <c r="AI1193" s="197"/>
      <c r="AJ1193" s="197"/>
      <c r="AK1193" s="197"/>
    </row>
    <row r="1194" spans="4:37">
      <c r="D1194" s="197"/>
      <c r="AE1194" s="197"/>
      <c r="AF1194" s="197"/>
      <c r="AG1194" s="197"/>
      <c r="AH1194" s="197"/>
      <c r="AI1194" s="197"/>
      <c r="AJ1194" s="197"/>
      <c r="AK1194" s="197"/>
    </row>
    <row r="1195" spans="4:37">
      <c r="D1195" s="197"/>
      <c r="AE1195" s="197"/>
      <c r="AF1195" s="197"/>
      <c r="AG1195" s="197"/>
      <c r="AH1195" s="197"/>
      <c r="AI1195" s="197"/>
      <c r="AJ1195" s="197"/>
      <c r="AK1195" s="197"/>
    </row>
    <row r="1196" spans="4:37">
      <c r="D1196" s="197"/>
      <c r="AE1196" s="197"/>
      <c r="AF1196" s="197"/>
      <c r="AG1196" s="197"/>
      <c r="AH1196" s="197"/>
      <c r="AI1196" s="197"/>
      <c r="AJ1196" s="197"/>
      <c r="AK1196" s="197"/>
    </row>
    <row r="1197" spans="4:37">
      <c r="D1197" s="197"/>
      <c r="AE1197" s="197"/>
      <c r="AF1197" s="197"/>
      <c r="AG1197" s="197"/>
      <c r="AH1197" s="197"/>
      <c r="AI1197" s="197"/>
      <c r="AJ1197" s="197"/>
      <c r="AK1197" s="197"/>
    </row>
    <row r="1198" spans="4:37">
      <c r="D1198" s="197"/>
      <c r="AE1198" s="197"/>
      <c r="AF1198" s="197"/>
      <c r="AG1198" s="197"/>
      <c r="AH1198" s="197"/>
      <c r="AI1198" s="197"/>
      <c r="AJ1198" s="197"/>
      <c r="AK1198" s="197"/>
    </row>
    <row r="1199" spans="4:37">
      <c r="D1199" s="197"/>
      <c r="AE1199" s="197"/>
      <c r="AF1199" s="197"/>
      <c r="AG1199" s="197"/>
      <c r="AH1199" s="197"/>
      <c r="AI1199" s="197"/>
      <c r="AJ1199" s="197"/>
      <c r="AK1199" s="197"/>
    </row>
    <row r="1200" spans="4:37">
      <c r="D1200" s="197"/>
      <c r="AE1200" s="197"/>
      <c r="AF1200" s="197"/>
      <c r="AG1200" s="197"/>
      <c r="AH1200" s="197"/>
      <c r="AI1200" s="197"/>
      <c r="AJ1200" s="197"/>
      <c r="AK1200" s="197"/>
    </row>
    <row r="1201" spans="4:37">
      <c r="D1201" s="197"/>
      <c r="AE1201" s="197"/>
      <c r="AF1201" s="197"/>
      <c r="AG1201" s="197"/>
      <c r="AH1201" s="197"/>
      <c r="AI1201" s="197"/>
      <c r="AJ1201" s="197"/>
      <c r="AK1201" s="197"/>
    </row>
    <row r="1202" spans="4:37">
      <c r="D1202" s="197"/>
      <c r="AE1202" s="197"/>
      <c r="AF1202" s="197"/>
      <c r="AG1202" s="197"/>
      <c r="AH1202" s="197"/>
      <c r="AI1202" s="197"/>
      <c r="AJ1202" s="197"/>
      <c r="AK1202" s="197"/>
    </row>
    <row r="1203" spans="4:37">
      <c r="D1203" s="197"/>
      <c r="AE1203" s="197"/>
      <c r="AF1203" s="197"/>
      <c r="AG1203" s="197"/>
      <c r="AH1203" s="197"/>
      <c r="AI1203" s="197"/>
      <c r="AJ1203" s="197"/>
      <c r="AK1203" s="197"/>
    </row>
    <row r="1204" spans="4:37">
      <c r="D1204" s="197"/>
      <c r="AE1204" s="197"/>
      <c r="AF1204" s="197"/>
      <c r="AG1204" s="197"/>
      <c r="AH1204" s="197"/>
      <c r="AI1204" s="197"/>
      <c r="AJ1204" s="197"/>
      <c r="AK1204" s="197"/>
    </row>
    <row r="1205" spans="4:37">
      <c r="D1205" s="197"/>
      <c r="AE1205" s="197"/>
      <c r="AF1205" s="197"/>
      <c r="AG1205" s="197"/>
      <c r="AH1205" s="197"/>
      <c r="AI1205" s="197"/>
      <c r="AJ1205" s="197"/>
      <c r="AK1205" s="197"/>
    </row>
    <row r="1206" spans="4:37">
      <c r="D1206" s="197"/>
      <c r="AE1206" s="197"/>
      <c r="AF1206" s="197"/>
      <c r="AG1206" s="197"/>
      <c r="AH1206" s="197"/>
      <c r="AI1206" s="197"/>
      <c r="AJ1206" s="197"/>
      <c r="AK1206" s="197"/>
    </row>
    <row r="1207" spans="4:37">
      <c r="D1207" s="197"/>
      <c r="AE1207" s="197"/>
      <c r="AF1207" s="197"/>
      <c r="AG1207" s="197"/>
      <c r="AH1207" s="197"/>
      <c r="AI1207" s="197"/>
      <c r="AJ1207" s="197"/>
      <c r="AK1207" s="197"/>
    </row>
    <row r="1208" spans="4:37">
      <c r="D1208" s="197"/>
      <c r="AE1208" s="197"/>
      <c r="AF1208" s="197"/>
      <c r="AG1208" s="197"/>
      <c r="AH1208" s="197"/>
      <c r="AI1208" s="197"/>
      <c r="AJ1208" s="197"/>
      <c r="AK1208" s="197"/>
    </row>
    <row r="1209" spans="4:37">
      <c r="D1209" s="197"/>
      <c r="AE1209" s="197"/>
      <c r="AF1209" s="197"/>
      <c r="AG1209" s="197"/>
      <c r="AH1209" s="197"/>
      <c r="AI1209" s="197"/>
      <c r="AJ1209" s="197"/>
      <c r="AK1209" s="197"/>
    </row>
    <row r="1210" spans="4:37">
      <c r="D1210" s="197"/>
      <c r="AE1210" s="197"/>
      <c r="AF1210" s="197"/>
      <c r="AG1210" s="197"/>
      <c r="AH1210" s="197"/>
      <c r="AI1210" s="197"/>
      <c r="AJ1210" s="197"/>
      <c r="AK1210" s="197"/>
    </row>
    <row r="1211" spans="4:37">
      <c r="D1211" s="197"/>
      <c r="AE1211" s="197"/>
      <c r="AF1211" s="197"/>
      <c r="AG1211" s="197"/>
      <c r="AH1211" s="197"/>
      <c r="AI1211" s="197"/>
      <c r="AJ1211" s="197"/>
      <c r="AK1211" s="197"/>
    </row>
    <row r="1212" spans="4:37">
      <c r="D1212" s="197"/>
      <c r="AE1212" s="197"/>
      <c r="AF1212" s="197"/>
      <c r="AG1212" s="197"/>
      <c r="AH1212" s="197"/>
      <c r="AI1212" s="197"/>
      <c r="AJ1212" s="197"/>
      <c r="AK1212" s="197"/>
    </row>
    <row r="1213" spans="4:37">
      <c r="D1213" s="197"/>
      <c r="AE1213" s="197"/>
      <c r="AF1213" s="197"/>
      <c r="AG1213" s="197"/>
      <c r="AH1213" s="197"/>
      <c r="AI1213" s="197"/>
      <c r="AJ1213" s="197"/>
      <c r="AK1213" s="197"/>
    </row>
    <row r="1214" spans="4:37">
      <c r="D1214" s="197"/>
      <c r="AE1214" s="197"/>
      <c r="AF1214" s="197"/>
      <c r="AG1214" s="197"/>
      <c r="AH1214" s="197"/>
      <c r="AI1214" s="197"/>
      <c r="AJ1214" s="197"/>
      <c r="AK1214" s="197"/>
    </row>
    <row r="1215" spans="4:37">
      <c r="D1215" s="197"/>
      <c r="AE1215" s="197"/>
      <c r="AF1215" s="197"/>
      <c r="AG1215" s="197"/>
      <c r="AH1215" s="197"/>
      <c r="AI1215" s="197"/>
      <c r="AJ1215" s="197"/>
      <c r="AK1215" s="197"/>
    </row>
    <row r="1216" spans="4:37">
      <c r="D1216" s="197"/>
      <c r="AE1216" s="197"/>
      <c r="AF1216" s="197"/>
      <c r="AG1216" s="197"/>
      <c r="AH1216" s="197"/>
      <c r="AI1216" s="197"/>
      <c r="AJ1216" s="197"/>
      <c r="AK1216" s="197"/>
    </row>
    <row r="1217" spans="4:37">
      <c r="D1217" s="197"/>
      <c r="AE1217" s="197"/>
      <c r="AF1217" s="197"/>
      <c r="AG1217" s="197"/>
      <c r="AH1217" s="197"/>
      <c r="AI1217" s="197"/>
      <c r="AJ1217" s="197"/>
      <c r="AK1217" s="197"/>
    </row>
    <row r="1218" spans="4:37">
      <c r="D1218" s="197"/>
      <c r="AE1218" s="197"/>
      <c r="AF1218" s="197"/>
      <c r="AG1218" s="197"/>
      <c r="AH1218" s="197"/>
      <c r="AI1218" s="197"/>
      <c r="AJ1218" s="197"/>
      <c r="AK1218" s="197"/>
    </row>
    <row r="1219" spans="4:37">
      <c r="D1219" s="197"/>
      <c r="AE1219" s="197"/>
      <c r="AF1219" s="197"/>
      <c r="AG1219" s="197"/>
      <c r="AH1219" s="197"/>
      <c r="AI1219" s="197"/>
      <c r="AJ1219" s="197"/>
      <c r="AK1219" s="197"/>
    </row>
    <row r="1220" spans="4:37">
      <c r="D1220" s="197"/>
      <c r="AE1220" s="197"/>
      <c r="AF1220" s="197"/>
      <c r="AG1220" s="197"/>
      <c r="AH1220" s="197"/>
      <c r="AI1220" s="197"/>
      <c r="AJ1220" s="197"/>
      <c r="AK1220" s="197"/>
    </row>
    <row r="1221" spans="4:37">
      <c r="D1221" s="197"/>
      <c r="AE1221" s="197"/>
      <c r="AF1221" s="197"/>
      <c r="AG1221" s="197"/>
      <c r="AH1221" s="197"/>
      <c r="AI1221" s="197"/>
      <c r="AJ1221" s="197"/>
      <c r="AK1221" s="197"/>
    </row>
    <row r="1222" spans="4:37">
      <c r="D1222" s="197"/>
      <c r="AE1222" s="197"/>
      <c r="AF1222" s="197"/>
      <c r="AG1222" s="197"/>
      <c r="AH1222" s="197"/>
      <c r="AI1222" s="197"/>
      <c r="AJ1222" s="197"/>
      <c r="AK1222" s="197"/>
    </row>
    <row r="1223" spans="4:37">
      <c r="D1223" s="197"/>
      <c r="AE1223" s="197"/>
      <c r="AF1223" s="197"/>
      <c r="AG1223" s="197"/>
      <c r="AH1223" s="197"/>
      <c r="AI1223" s="197"/>
      <c r="AJ1223" s="197"/>
      <c r="AK1223" s="197"/>
    </row>
    <row r="1224" spans="4:37">
      <c r="D1224" s="197"/>
      <c r="AE1224" s="197"/>
      <c r="AF1224" s="197"/>
      <c r="AG1224" s="197"/>
      <c r="AH1224" s="197"/>
      <c r="AI1224" s="197"/>
      <c r="AJ1224" s="197"/>
      <c r="AK1224" s="197"/>
    </row>
    <row r="1225" spans="4:37">
      <c r="D1225" s="197"/>
      <c r="AE1225" s="197"/>
      <c r="AF1225" s="197"/>
      <c r="AG1225" s="197"/>
      <c r="AH1225" s="197"/>
      <c r="AI1225" s="197"/>
      <c r="AJ1225" s="197"/>
      <c r="AK1225" s="197"/>
    </row>
  </sheetData>
  <phoneticPr fontId="1" type="noConversion"/>
  <conditionalFormatting sqref="A1:A1048576">
    <cfRule type="containsText" dxfId="90" priority="1" operator="containsText" text="Center">
      <formula>NOT(ISERROR(SEARCH("Center",A1)))</formula>
    </cfRule>
    <cfRule type="containsText" dxfId="89" priority="2" operator="containsText" text="North">
      <formula>NOT(ISERROR(SEARCH("North",A1)))</formula>
    </cfRule>
    <cfRule type="containsText" dxfId="88" priority="3" operator="containsText" text="Algarve">
      <formula>NOT(ISERROR(SEARCH("Algarve",A1)))</formula>
    </cfRule>
    <cfRule type="containsText" dxfId="87" priority="4" operator="containsText" text="Vilamoura">
      <formula>NOT(ISERROR(SEARCH("Vilamoura",A1)))</formula>
    </cfRule>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0DF39-B19A-4A2A-992D-F2DEC6879DFB}">
  <sheetPr>
    <tabColor rgb="FFC2B59E"/>
    <pageSetUpPr fitToPage="1"/>
  </sheetPr>
  <dimension ref="A1:BA66"/>
  <sheetViews>
    <sheetView showGridLines="0" topLeftCell="S1" zoomScale="73" zoomScaleNormal="40" zoomScaleSheetLayoutView="70" workbookViewId="0">
      <selection activeCell="AC1" sqref="AC1"/>
    </sheetView>
  </sheetViews>
  <sheetFormatPr defaultColWidth="8.7109375" defaultRowHeight="15" outlineLevelCol="2"/>
  <cols>
    <col min="1" max="1" width="27.140625" customWidth="1"/>
    <col min="2" max="2" width="19.7109375" bestFit="1" customWidth="1"/>
    <col min="3" max="3" width="22.28515625" bestFit="1" customWidth="1"/>
    <col min="4" max="4" width="14.7109375" bestFit="1" customWidth="1"/>
    <col min="5" max="5" width="21.7109375" hidden="1" customWidth="1" outlineLevel="2"/>
    <col min="6" max="6" width="12" hidden="1" customWidth="1" outlineLevel="2"/>
    <col min="7" max="7" width="16.28515625" hidden="1" customWidth="1" outlineLevel="2"/>
    <col min="8" max="8" width="13.140625" hidden="1" customWidth="1" outlineLevel="2"/>
    <col min="9" max="9" width="25.42578125" hidden="1" customWidth="1" outlineLevel="2"/>
    <col min="10" max="10" width="27.7109375" hidden="1" customWidth="1" outlineLevel="2"/>
    <col min="11" max="11" width="18.28515625" hidden="1" customWidth="1" outlineLevel="1" collapsed="1"/>
    <col min="12" max="12" width="73.7109375" hidden="1" customWidth="1" outlineLevel="1"/>
    <col min="13" max="13" width="23.7109375" customWidth="1" collapsed="1"/>
    <col min="14" max="14" width="40.28515625" bestFit="1" customWidth="1"/>
    <col min="15" max="15" width="36.28515625" hidden="1" customWidth="1" outlineLevel="2"/>
    <col min="16" max="16" width="34.7109375" hidden="1" customWidth="1" outlineLevel="2"/>
    <col min="17" max="17" width="19.7109375" hidden="1" customWidth="1" outlineLevel="1" collapsed="1"/>
    <col min="18" max="18" width="16.7109375" hidden="1" customWidth="1" outlineLevel="1"/>
    <col min="19" max="19" width="32.42578125" bestFit="1" customWidth="1" collapsed="1"/>
    <col min="20" max="20" width="28.28515625" customWidth="1" outlineLevel="1"/>
    <col min="21" max="21" width="36.7109375" bestFit="1" customWidth="1"/>
    <col min="22" max="22" width="37" bestFit="1" customWidth="1"/>
    <col min="23" max="23" width="17.42578125" bestFit="1" customWidth="1"/>
    <col min="24" max="24" width="21.28515625" bestFit="1" customWidth="1"/>
    <col min="25" max="25" width="22.42578125" bestFit="1" customWidth="1"/>
    <col min="27" max="27" width="19.85546875" bestFit="1" customWidth="1"/>
    <col min="28" max="28" width="15.7109375" bestFit="1" customWidth="1"/>
  </cols>
  <sheetData>
    <row r="1" spans="1:53" s="1" customFormat="1" ht="36" customHeight="1">
      <c r="A1" s="58" t="s">
        <v>335</v>
      </c>
      <c r="B1" s="59" t="s">
        <v>687</v>
      </c>
      <c r="C1" s="59" t="s">
        <v>770</v>
      </c>
      <c r="D1" s="59" t="s">
        <v>93</v>
      </c>
      <c r="E1" s="59" t="s">
        <v>766</v>
      </c>
      <c r="F1" s="60" t="s">
        <v>678</v>
      </c>
      <c r="G1" s="60" t="s">
        <v>679</v>
      </c>
      <c r="H1" s="60" t="s">
        <v>680</v>
      </c>
      <c r="I1" s="60" t="s">
        <v>681</v>
      </c>
      <c r="J1" s="60" t="s">
        <v>682</v>
      </c>
      <c r="K1" s="60" t="s">
        <v>785</v>
      </c>
      <c r="L1" s="60" t="s">
        <v>683</v>
      </c>
      <c r="M1" s="59" t="s">
        <v>684</v>
      </c>
      <c r="N1" s="59" t="s">
        <v>94</v>
      </c>
      <c r="O1" s="59" t="s">
        <v>95</v>
      </c>
      <c r="P1" s="59" t="s">
        <v>627</v>
      </c>
      <c r="Q1" s="61" t="s">
        <v>331</v>
      </c>
      <c r="R1" s="61" t="s">
        <v>332</v>
      </c>
      <c r="S1" s="61" t="s">
        <v>333</v>
      </c>
      <c r="T1" s="61" t="s">
        <v>685</v>
      </c>
      <c r="U1" s="61" t="s">
        <v>97</v>
      </c>
      <c r="V1" s="59" t="s">
        <v>330</v>
      </c>
      <c r="W1" s="62" t="s">
        <v>767</v>
      </c>
      <c r="X1" s="61" t="s">
        <v>334</v>
      </c>
      <c r="Y1" s="59" t="s">
        <v>98</v>
      </c>
      <c r="Z1" s="59" t="s">
        <v>771</v>
      </c>
      <c r="AA1" s="63" t="s">
        <v>768</v>
      </c>
      <c r="AB1" s="64" t="s">
        <v>7</v>
      </c>
    </row>
    <row r="2" spans="1:53" s="1" customFormat="1" ht="13.5">
      <c r="A2" s="52" t="str">
        <f>DATABASE!A2</f>
        <v>MR - Linked Villas</v>
      </c>
      <c r="B2" s="53" t="str">
        <f>DATABASE!B2</f>
        <v>Algarve</v>
      </c>
      <c r="C2" s="53" t="str">
        <f>DATABASE!C2</f>
        <v>T</v>
      </c>
      <c r="D2" s="53" t="str">
        <f>DATABASE!E2</f>
        <v>T3</v>
      </c>
      <c r="E2" s="53">
        <f>DATABASE!F2</f>
        <v>422.36</v>
      </c>
      <c r="F2" s="53">
        <f>DATABASE!G2</f>
        <v>45.06</v>
      </c>
      <c r="G2" s="53" t="str">
        <f>DATABASE!H2</f>
        <v/>
      </c>
      <c r="H2" s="53" t="str">
        <f>DATABASE!I2</f>
        <v/>
      </c>
      <c r="I2" s="53">
        <f>DATABASE!J2</f>
        <v>131.68</v>
      </c>
      <c r="J2" s="53">
        <f>DATABASE!K2</f>
        <v>0</v>
      </c>
      <c r="K2" s="53">
        <f>DATABASE!L2</f>
        <v>0</v>
      </c>
      <c r="L2" s="53">
        <f>DATABASE!M2</f>
        <v>0</v>
      </c>
      <c r="M2" s="53">
        <f>DATABASE!N2</f>
        <v>0</v>
      </c>
      <c r="N2" s="53">
        <f>DATABASE!O2</f>
        <v>245.62</v>
      </c>
      <c r="O2" s="53">
        <f>DATABASE!P2</f>
        <v>0</v>
      </c>
      <c r="P2" s="53" t="str">
        <f>DATABASE!Q2</f>
        <v>AVAILABLE</v>
      </c>
      <c r="Q2" s="53">
        <f>DATABASE!R2</f>
        <v>1160000</v>
      </c>
      <c r="R2" s="53">
        <f>DATABASE!S2</f>
        <v>1160000</v>
      </c>
      <c r="S2" s="53">
        <f>DATABASE!T2</f>
        <v>1160000</v>
      </c>
      <c r="T2" s="53">
        <f>DATABASE!U2</f>
        <v>0</v>
      </c>
      <c r="U2" s="53">
        <f>DATABASE!V2</f>
        <v>0</v>
      </c>
      <c r="V2" s="53">
        <f>DATABASE!W2</f>
        <v>1160000</v>
      </c>
      <c r="W2" s="53">
        <f>DATABASE!X2</f>
        <v>0</v>
      </c>
      <c r="X2" s="53">
        <f>DATABASE!Y2</f>
        <v>0</v>
      </c>
      <c r="Y2" s="53">
        <f>DATABASE!Z2</f>
        <v>0</v>
      </c>
      <c r="Z2" s="53" t="e">
        <f>DATABASE!#REF!</f>
        <v>#REF!</v>
      </c>
      <c r="AA2" s="53">
        <f>DATABASE!AA2</f>
        <v>0</v>
      </c>
      <c r="AB2" s="54" t="str">
        <f>DATABASE!AB2</f>
        <v>TBD</v>
      </c>
      <c r="AC2" s="30"/>
      <c r="AD2" s="30"/>
      <c r="AE2" s="30"/>
      <c r="AF2" s="30"/>
      <c r="AG2" s="30"/>
      <c r="AH2" s="30"/>
      <c r="AI2" s="30"/>
      <c r="AJ2" s="30"/>
      <c r="AK2" s="30"/>
      <c r="AL2" s="30"/>
      <c r="AM2" s="30"/>
      <c r="AN2" s="30"/>
      <c r="AO2" s="30"/>
      <c r="AP2" s="30"/>
      <c r="AQ2" s="30"/>
      <c r="AR2" s="30"/>
      <c r="AS2" s="30"/>
      <c r="AT2" s="30"/>
      <c r="AU2" s="30"/>
      <c r="AV2" s="30"/>
      <c r="AW2" s="30"/>
      <c r="AX2" s="30"/>
      <c r="AY2" s="30"/>
      <c r="AZ2" s="30"/>
      <c r="BA2" s="30"/>
    </row>
    <row r="3" spans="1:53" s="1" customFormat="1" ht="13.5">
      <c r="A3" s="52" t="str">
        <f>DATABASE!A3</f>
        <v>Aroeira - HOUSES</v>
      </c>
      <c r="B3" s="53" t="str">
        <f>DATABASE!B3</f>
        <v>Center</v>
      </c>
      <c r="C3" s="53" t="str">
        <f>DATABASE!C3</f>
        <v>01B</v>
      </c>
      <c r="D3" s="53" t="str">
        <f>DATABASE!E3</f>
        <v>T2</v>
      </c>
      <c r="E3" s="53">
        <f>DATABASE!F3</f>
        <v>167</v>
      </c>
      <c r="F3" s="53">
        <f>DATABASE!G3</f>
        <v>0</v>
      </c>
      <c r="G3" s="53" t="str">
        <f>DATABASE!H3</f>
        <v>1</v>
      </c>
      <c r="H3" s="53" t="str">
        <f>DATABASE!I3</f>
        <v/>
      </c>
      <c r="I3" s="53">
        <f>DATABASE!J3</f>
        <v>0</v>
      </c>
      <c r="J3" s="53">
        <f>DATABASE!K3</f>
        <v>0</v>
      </c>
      <c r="K3" s="53">
        <f>DATABASE!L3</f>
        <v>0</v>
      </c>
      <c r="L3" s="53">
        <f>DATABASE!M3</f>
        <v>31</v>
      </c>
      <c r="M3" s="53">
        <f>DATABASE!N3</f>
        <v>20</v>
      </c>
      <c r="N3" s="53">
        <f>DATABASE!O3</f>
        <v>116</v>
      </c>
      <c r="O3" s="53">
        <f>DATABASE!P3</f>
        <v>0</v>
      </c>
      <c r="P3" s="53" t="str">
        <f>DATABASE!Q3</f>
        <v xml:space="preserve">PSPA </v>
      </c>
      <c r="Q3" s="53">
        <f>DATABASE!R3</f>
        <v>925000</v>
      </c>
      <c r="R3" s="53">
        <f>DATABASE!S3</f>
        <v>925000</v>
      </c>
      <c r="S3" s="53">
        <f>DATABASE!T3</f>
        <v>925000</v>
      </c>
      <c r="T3" s="53">
        <f>DATABASE!U3</f>
        <v>0</v>
      </c>
      <c r="U3" s="53">
        <f>DATABASE!V3</f>
        <v>0</v>
      </c>
      <c r="V3" s="53">
        <f>DATABASE!W3</f>
        <v>925000</v>
      </c>
      <c r="W3" s="53">
        <f>DATABASE!X3</f>
        <v>0</v>
      </c>
      <c r="X3" s="53">
        <f>DATABASE!Y3</f>
        <v>925000</v>
      </c>
      <c r="Y3" s="53">
        <f>DATABASE!Z3</f>
        <v>925000</v>
      </c>
      <c r="Z3" s="53" t="e">
        <f>DATABASE!#REF!</f>
        <v>#REF!</v>
      </c>
      <c r="AA3" s="53" t="e">
        <f>DATABASE!#REF!</f>
        <v>#REF!</v>
      </c>
      <c r="AB3" s="54">
        <f>DATABASE!AB3</f>
        <v>47118</v>
      </c>
      <c r="AC3" s="30"/>
      <c r="AD3" s="30"/>
      <c r="AE3" s="30"/>
      <c r="AF3" s="30"/>
      <c r="AG3" s="30"/>
      <c r="AH3" s="30"/>
      <c r="AI3" s="30"/>
      <c r="AJ3" s="30"/>
      <c r="AK3" s="30"/>
      <c r="AL3" s="30"/>
      <c r="AM3" s="30"/>
      <c r="AN3" s="30"/>
      <c r="AO3" s="30"/>
      <c r="AP3" s="30"/>
      <c r="AQ3" s="30"/>
      <c r="AR3" s="30"/>
      <c r="AS3" s="30"/>
      <c r="AT3" s="30"/>
      <c r="AU3" s="30"/>
      <c r="AV3" s="30"/>
      <c r="AW3" s="30"/>
      <c r="AX3" s="30"/>
      <c r="AY3" s="30"/>
      <c r="AZ3" s="30"/>
      <c r="BA3" s="30"/>
    </row>
    <row r="4" spans="1:53" s="1" customFormat="1" ht="13.5">
      <c r="A4" s="52" t="str">
        <f>DATABASE!A4</f>
        <v>Aroeira - HOUSES</v>
      </c>
      <c r="B4" s="53" t="str">
        <f>DATABASE!B4</f>
        <v>Center</v>
      </c>
      <c r="C4" s="53" t="str">
        <f>DATABASE!C4</f>
        <v>02B</v>
      </c>
      <c r="D4" s="53" t="str">
        <f>DATABASE!E4</f>
        <v>T2</v>
      </c>
      <c r="E4" s="53">
        <f>DATABASE!F4</f>
        <v>194.4</v>
      </c>
      <c r="F4" s="53">
        <f>DATABASE!G4</f>
        <v>0</v>
      </c>
      <c r="G4" s="53" t="str">
        <f>DATABASE!H4</f>
        <v>1</v>
      </c>
      <c r="H4" s="53" t="str">
        <f>DATABASE!I4</f>
        <v/>
      </c>
      <c r="I4" s="53">
        <f>DATABASE!J4</f>
        <v>0</v>
      </c>
      <c r="J4" s="53">
        <f>DATABASE!K4</f>
        <v>0</v>
      </c>
      <c r="K4" s="53">
        <f>DATABASE!L4</f>
        <v>0</v>
      </c>
      <c r="L4" s="53">
        <f>DATABASE!M4</f>
        <v>27</v>
      </c>
      <c r="M4" s="53">
        <f>DATABASE!N4</f>
        <v>30</v>
      </c>
      <c r="N4" s="53">
        <f>DATABASE!O4</f>
        <v>137.4</v>
      </c>
      <c r="O4" s="53">
        <f>DATABASE!P4</f>
        <v>0</v>
      </c>
      <c r="P4" s="53" t="str">
        <f>DATABASE!Q4</f>
        <v xml:space="preserve">PSPA </v>
      </c>
      <c r="Q4" s="53">
        <f>DATABASE!R4</f>
        <v>1105000</v>
      </c>
      <c r="R4" s="53">
        <f>DATABASE!S4</f>
        <v>1105000</v>
      </c>
      <c r="S4" s="53">
        <f>DATABASE!T4</f>
        <v>1105000</v>
      </c>
      <c r="T4" s="53">
        <f>DATABASE!U4</f>
        <v>0</v>
      </c>
      <c r="U4" s="53">
        <f>DATABASE!V4</f>
        <v>0</v>
      </c>
      <c r="V4" s="53">
        <f>DATABASE!W4</f>
        <v>1105000</v>
      </c>
      <c r="W4" s="53">
        <f>DATABASE!X4</f>
        <v>0</v>
      </c>
      <c r="X4" s="53">
        <f>DATABASE!Y4</f>
        <v>1105000</v>
      </c>
      <c r="Y4" s="53">
        <f>DATABASE!Z4</f>
        <v>1105000</v>
      </c>
      <c r="Z4" s="53" t="e">
        <f>DATABASE!#REF!</f>
        <v>#REF!</v>
      </c>
      <c r="AA4" s="53" t="e">
        <f>DATABASE!#REF!</f>
        <v>#REF!</v>
      </c>
      <c r="AB4" s="54">
        <f>DATABASE!AB4</f>
        <v>47118</v>
      </c>
      <c r="AC4" s="30"/>
      <c r="AD4" s="30"/>
      <c r="AE4" s="30"/>
      <c r="AF4" s="30"/>
      <c r="AG4" s="30"/>
      <c r="AH4" s="30"/>
      <c r="AI4" s="30"/>
      <c r="AJ4" s="30"/>
      <c r="AK4" s="30"/>
      <c r="AL4" s="30"/>
      <c r="AM4" s="30"/>
      <c r="AN4" s="30"/>
      <c r="AO4" s="30"/>
      <c r="AP4" s="30"/>
      <c r="AQ4" s="30"/>
      <c r="AR4" s="30"/>
      <c r="AS4" s="30"/>
      <c r="AT4" s="30"/>
      <c r="AU4" s="30"/>
      <c r="AV4" s="30"/>
      <c r="AW4" s="30"/>
      <c r="AX4" s="30"/>
      <c r="AY4" s="30"/>
      <c r="AZ4" s="30"/>
      <c r="BA4" s="30"/>
    </row>
    <row r="5" spans="1:53" s="1" customFormat="1" ht="13.5">
      <c r="A5" s="52" t="str">
        <f>DATABASE!A5</f>
        <v>Aroeira - HOUSES</v>
      </c>
      <c r="B5" s="53" t="str">
        <f>DATABASE!B5</f>
        <v>Center</v>
      </c>
      <c r="C5" s="53" t="str">
        <f>DATABASE!C5</f>
        <v>03B</v>
      </c>
      <c r="D5" s="53" t="str">
        <f>DATABASE!E5</f>
        <v>T2</v>
      </c>
      <c r="E5" s="53">
        <f>DATABASE!F5</f>
        <v>167</v>
      </c>
      <c r="F5" s="53">
        <f>DATABASE!G5</f>
        <v>0</v>
      </c>
      <c r="G5" s="53" t="str">
        <f>DATABASE!H5</f>
        <v>1</v>
      </c>
      <c r="H5" s="53" t="str">
        <f>DATABASE!I5</f>
        <v/>
      </c>
      <c r="I5" s="53">
        <f>DATABASE!J5</f>
        <v>0</v>
      </c>
      <c r="J5" s="53">
        <f>DATABASE!K5</f>
        <v>0</v>
      </c>
      <c r="K5" s="53">
        <f>DATABASE!L5</f>
        <v>0</v>
      </c>
      <c r="L5" s="53">
        <f>DATABASE!M5</f>
        <v>31</v>
      </c>
      <c r="M5" s="53">
        <f>DATABASE!N5</f>
        <v>20</v>
      </c>
      <c r="N5" s="53">
        <f>DATABASE!O5</f>
        <v>116</v>
      </c>
      <c r="O5" s="53">
        <f>DATABASE!P5</f>
        <v>0</v>
      </c>
      <c r="P5" s="53" t="str">
        <f>DATABASE!Q5</f>
        <v xml:space="preserve">PSPA </v>
      </c>
      <c r="Q5" s="53">
        <f>DATABASE!R5</f>
        <v>925000</v>
      </c>
      <c r="R5" s="53">
        <f>DATABASE!S5</f>
        <v>925000</v>
      </c>
      <c r="S5" s="53">
        <f>DATABASE!T5</f>
        <v>925000</v>
      </c>
      <c r="T5" s="53">
        <f>DATABASE!U5</f>
        <v>0</v>
      </c>
      <c r="U5" s="53">
        <f>DATABASE!V5</f>
        <v>0</v>
      </c>
      <c r="V5" s="53">
        <f>DATABASE!W5</f>
        <v>925000</v>
      </c>
      <c r="W5" s="53">
        <f>DATABASE!X5</f>
        <v>0</v>
      </c>
      <c r="X5" s="53">
        <f>DATABASE!Y5</f>
        <v>925000</v>
      </c>
      <c r="Y5" s="53">
        <f>DATABASE!Z5</f>
        <v>925000</v>
      </c>
      <c r="Z5" s="53" t="e">
        <f>DATABASE!#REF!</f>
        <v>#REF!</v>
      </c>
      <c r="AA5" s="53" t="e">
        <f>DATABASE!#REF!</f>
        <v>#REF!</v>
      </c>
      <c r="AB5" s="54">
        <f>DATABASE!AB5</f>
        <v>47118</v>
      </c>
      <c r="AC5" s="30"/>
      <c r="AD5" s="30"/>
      <c r="AE5" s="30"/>
      <c r="AF5" s="30"/>
      <c r="AG5" s="30"/>
      <c r="AH5" s="30"/>
      <c r="AI5" s="30"/>
      <c r="AJ5" s="30"/>
      <c r="AK5" s="30"/>
      <c r="AL5" s="30"/>
      <c r="AM5" s="30"/>
      <c r="AN5" s="30"/>
      <c r="AO5" s="30"/>
      <c r="AP5" s="30"/>
      <c r="AQ5" s="30"/>
      <c r="AR5" s="30"/>
      <c r="AS5" s="30"/>
      <c r="AT5" s="30"/>
      <c r="AU5" s="30"/>
      <c r="AV5" s="30"/>
      <c r="AW5" s="30"/>
      <c r="AX5" s="30"/>
      <c r="AY5" s="30"/>
      <c r="AZ5" s="30"/>
      <c r="BA5" s="30"/>
    </row>
    <row r="6" spans="1:53" s="1" customFormat="1" ht="13.5">
      <c r="A6" s="52" t="str">
        <f>DATABASE!A6</f>
        <v>Aroeira - HOUSES</v>
      </c>
      <c r="B6" s="53" t="str">
        <f>DATABASE!B6</f>
        <v>Center</v>
      </c>
      <c r="C6" s="53" t="str">
        <f>DATABASE!C6</f>
        <v>04B</v>
      </c>
      <c r="D6" s="53" t="str">
        <f>DATABASE!E6</f>
        <v>T2</v>
      </c>
      <c r="E6" s="53">
        <f>DATABASE!F6</f>
        <v>167</v>
      </c>
      <c r="F6" s="53">
        <f>DATABASE!G6</f>
        <v>0</v>
      </c>
      <c r="G6" s="53" t="str">
        <f>DATABASE!H6</f>
        <v>1</v>
      </c>
      <c r="H6" s="53" t="str">
        <f>DATABASE!I6</f>
        <v/>
      </c>
      <c r="I6" s="53">
        <f>DATABASE!J6</f>
        <v>0</v>
      </c>
      <c r="J6" s="53">
        <f>DATABASE!K6</f>
        <v>0</v>
      </c>
      <c r="K6" s="53">
        <f>DATABASE!L6</f>
        <v>0</v>
      </c>
      <c r="L6" s="53">
        <f>DATABASE!M6</f>
        <v>31</v>
      </c>
      <c r="M6" s="53">
        <f>DATABASE!N6</f>
        <v>20</v>
      </c>
      <c r="N6" s="53">
        <f>DATABASE!O6</f>
        <v>116</v>
      </c>
      <c r="O6" s="53">
        <f>DATABASE!P6</f>
        <v>0</v>
      </c>
      <c r="P6" s="53" t="str">
        <f>DATABASE!Q6</f>
        <v xml:space="preserve">PSPA </v>
      </c>
      <c r="Q6" s="53">
        <f>DATABASE!R6</f>
        <v>925000</v>
      </c>
      <c r="R6" s="53">
        <f>DATABASE!S6</f>
        <v>925000</v>
      </c>
      <c r="S6" s="53">
        <f>DATABASE!T6</f>
        <v>925000</v>
      </c>
      <c r="T6" s="53">
        <f>DATABASE!U6</f>
        <v>0</v>
      </c>
      <c r="U6" s="53">
        <f>DATABASE!V6</f>
        <v>0</v>
      </c>
      <c r="V6" s="53">
        <f>DATABASE!W6</f>
        <v>925000</v>
      </c>
      <c r="W6" s="53">
        <f>DATABASE!X6</f>
        <v>0</v>
      </c>
      <c r="X6" s="53">
        <f>DATABASE!Y6</f>
        <v>925000</v>
      </c>
      <c r="Y6" s="53">
        <f>DATABASE!Z6</f>
        <v>925000</v>
      </c>
      <c r="Z6" s="53" t="e">
        <f>DATABASE!#REF!</f>
        <v>#REF!</v>
      </c>
      <c r="AA6" s="53" t="e">
        <f>DATABASE!#REF!</f>
        <v>#REF!</v>
      </c>
      <c r="AB6" s="54">
        <f>DATABASE!AB6</f>
        <v>47118</v>
      </c>
      <c r="AC6" s="30"/>
      <c r="AD6" s="30"/>
      <c r="AE6" s="30"/>
      <c r="AF6" s="30"/>
      <c r="AG6" s="30"/>
      <c r="AH6" s="30"/>
      <c r="AI6" s="30"/>
      <c r="AJ6" s="30"/>
      <c r="AK6" s="30"/>
      <c r="AL6" s="30"/>
      <c r="AM6" s="30"/>
      <c r="AN6" s="30"/>
      <c r="AO6" s="30"/>
      <c r="AP6" s="30"/>
      <c r="AQ6" s="30"/>
      <c r="AR6" s="30"/>
      <c r="AS6" s="30"/>
      <c r="AT6" s="30"/>
      <c r="AU6" s="30"/>
      <c r="AV6" s="30"/>
      <c r="AW6" s="30"/>
      <c r="AX6" s="30"/>
      <c r="AY6" s="30"/>
      <c r="AZ6" s="30"/>
      <c r="BA6" s="30"/>
    </row>
    <row r="7" spans="1:53" s="1" customFormat="1" ht="13.5">
      <c r="A7" s="52" t="str">
        <f>DATABASE!A7</f>
        <v>Aroeira - HOTEL APARTMENTS</v>
      </c>
      <c r="B7" s="53" t="str">
        <f>DATABASE!B7</f>
        <v>Center</v>
      </c>
      <c r="C7" s="53" t="str">
        <f>DATABASE!C7</f>
        <v>143A</v>
      </c>
      <c r="D7" s="53" t="str">
        <f>DATABASE!E7</f>
        <v>1-BR</v>
      </c>
      <c r="E7" s="53">
        <f>DATABASE!F7</f>
        <v>56.5</v>
      </c>
      <c r="F7" s="53">
        <f>DATABASE!G7</f>
        <v>0</v>
      </c>
      <c r="G7" s="53" t="str">
        <f>DATABASE!H7</f>
        <v>1</v>
      </c>
      <c r="H7" s="53" t="str">
        <f>DATABASE!I7</f>
        <v/>
      </c>
      <c r="I7" s="53">
        <f>DATABASE!J7</f>
        <v>5</v>
      </c>
      <c r="J7" s="53">
        <f>DATABASE!K7</f>
        <v>0</v>
      </c>
      <c r="K7" s="53">
        <f>DATABASE!L7</f>
        <v>0</v>
      </c>
      <c r="L7" s="53">
        <f>DATABASE!M7</f>
        <v>0</v>
      </c>
      <c r="M7" s="53">
        <f>DATABASE!N7</f>
        <v>0</v>
      </c>
      <c r="N7" s="53">
        <f>DATABASE!O7</f>
        <v>51.5</v>
      </c>
      <c r="O7" s="53">
        <f>DATABASE!P7</f>
        <v>0</v>
      </c>
      <c r="P7" s="53" t="str">
        <f>DATABASE!Q7</f>
        <v>RESERVED</v>
      </c>
      <c r="Q7" s="53">
        <f>DATABASE!R7</f>
        <v>1915000</v>
      </c>
      <c r="R7" s="53">
        <f>DATABASE!S7</f>
        <v>1950000</v>
      </c>
      <c r="S7" s="53">
        <f>DATABASE!T7</f>
        <v>370000</v>
      </c>
      <c r="T7" s="53">
        <f>DATABASE!U7</f>
        <v>0</v>
      </c>
      <c r="U7" s="53">
        <f>DATABASE!V7</f>
        <v>35000</v>
      </c>
      <c r="V7" s="53">
        <f>DATABASE!W7</f>
        <v>335000</v>
      </c>
      <c r="W7" s="53">
        <f>DATABASE!X7</f>
        <v>0</v>
      </c>
      <c r="X7" s="53">
        <f>DATABASE!Y7</f>
        <v>370000</v>
      </c>
      <c r="Y7" s="53">
        <f>DATABASE!Z7</f>
        <v>335000</v>
      </c>
      <c r="Z7" s="53" t="e">
        <f>DATABASE!#REF!</f>
        <v>#REF!</v>
      </c>
      <c r="AA7" s="53">
        <f>DATABASE!AA7</f>
        <v>46104</v>
      </c>
      <c r="AB7" s="54">
        <f>DATABASE!AB7</f>
        <v>47118</v>
      </c>
      <c r="AC7" s="30"/>
      <c r="AD7" s="30"/>
      <c r="AE7" s="30"/>
      <c r="AF7" s="30"/>
      <c r="AG7" s="30"/>
      <c r="AH7" s="30"/>
      <c r="AI7" s="30"/>
      <c r="AJ7" s="30"/>
      <c r="AK7" s="30"/>
      <c r="AL7" s="30"/>
      <c r="AM7" s="30"/>
      <c r="AN7" s="30"/>
      <c r="AO7" s="30"/>
      <c r="AP7" s="30"/>
      <c r="AQ7" s="30"/>
      <c r="AR7" s="30"/>
      <c r="AS7" s="30"/>
      <c r="AT7" s="30"/>
      <c r="AU7" s="30"/>
      <c r="AV7" s="30"/>
      <c r="AW7" s="30"/>
      <c r="AX7" s="30"/>
      <c r="AY7" s="30"/>
      <c r="AZ7" s="30"/>
      <c r="BA7" s="30"/>
    </row>
    <row r="8" spans="1:53" s="1" customFormat="1" ht="13.5">
      <c r="A8" s="52" t="str">
        <f>DATABASE!A8</f>
        <v>Aroeira - HOTEL APARTMENTS</v>
      </c>
      <c r="B8" s="53" t="str">
        <f>DATABASE!B8</f>
        <v>Center</v>
      </c>
      <c r="C8" s="53" t="str">
        <f>DATABASE!C8</f>
        <v>144A</v>
      </c>
      <c r="D8" s="53" t="str">
        <f>DATABASE!E8</f>
        <v>1-BR</v>
      </c>
      <c r="E8" s="53">
        <f>DATABASE!F8</f>
        <v>56.5</v>
      </c>
      <c r="F8" s="53">
        <f>DATABASE!G8</f>
        <v>0</v>
      </c>
      <c r="G8" s="53" t="str">
        <f>DATABASE!H8</f>
        <v>1</v>
      </c>
      <c r="H8" s="53" t="str">
        <f>DATABASE!I8</f>
        <v/>
      </c>
      <c r="I8" s="53">
        <f>DATABASE!J8</f>
        <v>5</v>
      </c>
      <c r="J8" s="53">
        <f>DATABASE!K8</f>
        <v>0</v>
      </c>
      <c r="K8" s="53">
        <f>DATABASE!L8</f>
        <v>0</v>
      </c>
      <c r="L8" s="53">
        <f>DATABASE!M8</f>
        <v>0</v>
      </c>
      <c r="M8" s="53">
        <f>DATABASE!N8</f>
        <v>0</v>
      </c>
      <c r="N8" s="53">
        <f>DATABASE!O8</f>
        <v>51.5</v>
      </c>
      <c r="O8" s="53">
        <f>DATABASE!P8</f>
        <v>0</v>
      </c>
      <c r="P8" s="53" t="str">
        <f>DATABASE!Q8</f>
        <v>RESERVED</v>
      </c>
      <c r="Q8" s="53">
        <f>DATABASE!R8</f>
        <v>1715000</v>
      </c>
      <c r="R8" s="53">
        <f>DATABASE!S8</f>
        <v>1750000</v>
      </c>
      <c r="S8" s="53">
        <f>DATABASE!T8</f>
        <v>370000</v>
      </c>
      <c r="T8" s="53">
        <f>DATABASE!U8</f>
        <v>0</v>
      </c>
      <c r="U8" s="53">
        <f>DATABASE!V8</f>
        <v>35000</v>
      </c>
      <c r="V8" s="53">
        <f>DATABASE!W8</f>
        <v>335000</v>
      </c>
      <c r="W8" s="53">
        <f>DATABASE!X8</f>
        <v>0</v>
      </c>
      <c r="X8" s="53">
        <f>DATABASE!Y8</f>
        <v>370000</v>
      </c>
      <c r="Y8" s="53">
        <f>DATABASE!Z8</f>
        <v>335000</v>
      </c>
      <c r="Z8" s="53" t="e">
        <f>DATABASE!#REF!</f>
        <v>#REF!</v>
      </c>
      <c r="AA8" s="53">
        <f>DATABASE!AA8</f>
        <v>46052</v>
      </c>
      <c r="AB8" s="54">
        <f>DATABASE!AB8</f>
        <v>47118</v>
      </c>
      <c r="AC8" s="30"/>
      <c r="AD8" s="30"/>
      <c r="AE8" s="30"/>
      <c r="AF8" s="30"/>
      <c r="AG8" s="30"/>
      <c r="AH8" s="30"/>
      <c r="AI8" s="30"/>
      <c r="AJ8" s="30"/>
      <c r="AK8" s="30"/>
      <c r="AL8" s="30"/>
      <c r="AM8" s="30"/>
      <c r="AN8" s="30"/>
      <c r="AO8" s="30"/>
      <c r="AP8" s="30"/>
      <c r="AQ8" s="30"/>
      <c r="AR8" s="30"/>
      <c r="AS8" s="30"/>
      <c r="AT8" s="30"/>
      <c r="AU8" s="30"/>
      <c r="AV8" s="30"/>
      <c r="AW8" s="30"/>
      <c r="AX8" s="30"/>
      <c r="AY8" s="30"/>
      <c r="AZ8" s="30"/>
      <c r="BA8" s="30"/>
    </row>
    <row r="9" spans="1:53" s="1" customFormat="1" ht="13.5">
      <c r="A9" s="52" t="str">
        <f>DATABASE!A9</f>
        <v>Aroeira - HOTEL APARTMENTS</v>
      </c>
      <c r="B9" s="53" t="str">
        <f>DATABASE!B9</f>
        <v>Center</v>
      </c>
      <c r="C9" s="53" t="str">
        <f>DATABASE!C9</f>
        <v>134A</v>
      </c>
      <c r="D9" s="53" t="str">
        <f>DATABASE!E9</f>
        <v>1-BR</v>
      </c>
      <c r="E9" s="53">
        <f>DATABASE!F9</f>
        <v>56.5</v>
      </c>
      <c r="F9" s="53">
        <f>DATABASE!G9</f>
        <v>0</v>
      </c>
      <c r="G9" s="53" t="str">
        <f>DATABASE!H9</f>
        <v>1</v>
      </c>
      <c r="H9" s="53" t="str">
        <f>DATABASE!I9</f>
        <v/>
      </c>
      <c r="I9" s="53">
        <f>DATABASE!J9</f>
        <v>5</v>
      </c>
      <c r="J9" s="53">
        <f>DATABASE!K9</f>
        <v>0</v>
      </c>
      <c r="K9" s="53">
        <f>DATABASE!L9</f>
        <v>0</v>
      </c>
      <c r="L9" s="53">
        <f>DATABASE!M9</f>
        <v>0</v>
      </c>
      <c r="M9" s="53">
        <f>DATABASE!N9</f>
        <v>0</v>
      </c>
      <c r="N9" s="53">
        <f>DATABASE!O9</f>
        <v>51.5</v>
      </c>
      <c r="O9" s="53">
        <f>DATABASE!P9</f>
        <v>0</v>
      </c>
      <c r="P9" s="53" t="str">
        <f>DATABASE!Q9</f>
        <v>RESERVED</v>
      </c>
      <c r="Q9" s="53">
        <f>DATABASE!R9</f>
        <v>1715000</v>
      </c>
      <c r="R9" s="53">
        <f>DATABASE!S9</f>
        <v>1750000</v>
      </c>
      <c r="S9" s="53">
        <f>DATABASE!T9</f>
        <v>370000</v>
      </c>
      <c r="T9" s="53">
        <f>DATABASE!U9</f>
        <v>0</v>
      </c>
      <c r="U9" s="53">
        <f>DATABASE!V9</f>
        <v>35000</v>
      </c>
      <c r="V9" s="53">
        <f>DATABASE!W9</f>
        <v>335000</v>
      </c>
      <c r="W9" s="53">
        <f>DATABASE!X9</f>
        <v>0.02</v>
      </c>
      <c r="X9" s="53">
        <f>DATABASE!Y9</f>
        <v>362600</v>
      </c>
      <c r="Y9" s="53">
        <f>DATABASE!Z9</f>
        <v>327600</v>
      </c>
      <c r="Z9" s="53" t="e">
        <f>DATABASE!#REF!</f>
        <v>#REF!</v>
      </c>
      <c r="AA9" s="53">
        <f>DATABASE!AA9</f>
        <v>46118</v>
      </c>
      <c r="AB9" s="54">
        <f>DATABASE!AB9</f>
        <v>47118</v>
      </c>
      <c r="AC9" s="30"/>
      <c r="AD9" s="30"/>
      <c r="AE9" s="30"/>
      <c r="AF9" s="30"/>
      <c r="AG9" s="30"/>
      <c r="AH9" s="30"/>
      <c r="AI9" s="30"/>
      <c r="AJ9" s="30"/>
      <c r="AK9" s="30"/>
      <c r="AL9" s="30"/>
      <c r="AM9" s="30"/>
      <c r="AN9" s="30"/>
      <c r="AO9" s="30"/>
      <c r="AP9" s="30"/>
      <c r="AQ9" s="30"/>
      <c r="AR9" s="30"/>
      <c r="AS9" s="30"/>
      <c r="AT9" s="30"/>
      <c r="AU9" s="30"/>
      <c r="AV9" s="30"/>
      <c r="AW9" s="30"/>
      <c r="AX9" s="30"/>
      <c r="AY9" s="30"/>
      <c r="AZ9" s="30"/>
      <c r="BA9" s="30"/>
    </row>
    <row r="10" spans="1:53" s="1" customFormat="1" ht="13.5">
      <c r="A10" s="52" t="str">
        <f>DATABASE!A10</f>
        <v>Aroeira - HOTEL APARTMENTS</v>
      </c>
      <c r="B10" s="53" t="str">
        <f>DATABASE!B10</f>
        <v>Center</v>
      </c>
      <c r="C10" s="53" t="str">
        <f>DATABASE!C10</f>
        <v>137A</v>
      </c>
      <c r="D10" s="53" t="str">
        <f>DATABASE!E10</f>
        <v>1-BR</v>
      </c>
      <c r="E10" s="53">
        <f>DATABASE!F10</f>
        <v>56.5</v>
      </c>
      <c r="F10" s="53">
        <f>DATABASE!G10</f>
        <v>0</v>
      </c>
      <c r="G10" s="53" t="str">
        <f>DATABASE!H10</f>
        <v>1</v>
      </c>
      <c r="H10" s="53" t="str">
        <f>DATABASE!I10</f>
        <v/>
      </c>
      <c r="I10" s="53">
        <f>DATABASE!J10</f>
        <v>5</v>
      </c>
      <c r="J10" s="53">
        <f>DATABASE!K10</f>
        <v>0</v>
      </c>
      <c r="K10" s="53">
        <f>DATABASE!L10</f>
        <v>0</v>
      </c>
      <c r="L10" s="53">
        <f>DATABASE!M10</f>
        <v>0</v>
      </c>
      <c r="M10" s="53">
        <f>DATABASE!N10</f>
        <v>0</v>
      </c>
      <c r="N10" s="53">
        <f>DATABASE!O10</f>
        <v>51.5</v>
      </c>
      <c r="O10" s="53">
        <f>DATABASE!P10</f>
        <v>0</v>
      </c>
      <c r="P10" s="53" t="str">
        <f>DATABASE!Q10</f>
        <v>RESERVED</v>
      </c>
      <c r="Q10" s="53">
        <f>DATABASE!R10</f>
        <v>1815000</v>
      </c>
      <c r="R10" s="53">
        <f>DATABASE!S10</f>
        <v>1850000</v>
      </c>
      <c r="S10" s="53">
        <f>DATABASE!T10</f>
        <v>370000</v>
      </c>
      <c r="T10" s="53">
        <f>DATABASE!U10</f>
        <v>0</v>
      </c>
      <c r="U10" s="53">
        <f>DATABASE!V10</f>
        <v>35000</v>
      </c>
      <c r="V10" s="53">
        <f>DATABASE!W10</f>
        <v>335000</v>
      </c>
      <c r="W10" s="53">
        <f>DATABASE!X10</f>
        <v>0.02</v>
      </c>
      <c r="X10" s="53">
        <f>DATABASE!Y10</f>
        <v>362600</v>
      </c>
      <c r="Y10" s="53">
        <f>DATABASE!Z10</f>
        <v>327600</v>
      </c>
      <c r="Z10" s="53" t="e">
        <f>DATABASE!#REF!</f>
        <v>#REF!</v>
      </c>
      <c r="AA10" s="53">
        <f>DATABASE!AA10</f>
        <v>46118</v>
      </c>
      <c r="AB10" s="54">
        <f>DATABASE!AB10</f>
        <v>47118</v>
      </c>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row>
    <row r="11" spans="1:53" s="1" customFormat="1" ht="13.5">
      <c r="A11" s="52" t="str">
        <f>DATABASE!A11</f>
        <v>Aroeira - HOTEL APARTMENTS</v>
      </c>
      <c r="B11" s="53" t="str">
        <f>DATABASE!B11</f>
        <v>Center</v>
      </c>
      <c r="C11" s="53" t="str">
        <f>DATABASE!C11</f>
        <v>236A</v>
      </c>
      <c r="D11" s="53" t="str">
        <f>DATABASE!E11</f>
        <v>1-BR</v>
      </c>
      <c r="E11" s="53">
        <f>DATABASE!F11</f>
        <v>56.5</v>
      </c>
      <c r="F11" s="53">
        <f>DATABASE!G11</f>
        <v>0</v>
      </c>
      <c r="G11" s="53" t="str">
        <f>DATABASE!H11</f>
        <v>1</v>
      </c>
      <c r="H11" s="53" t="str">
        <f>DATABASE!I11</f>
        <v/>
      </c>
      <c r="I11" s="53">
        <f>DATABASE!J11</f>
        <v>5</v>
      </c>
      <c r="J11" s="53">
        <f>DATABASE!K11</f>
        <v>0</v>
      </c>
      <c r="K11" s="53">
        <f>DATABASE!L11</f>
        <v>0</v>
      </c>
      <c r="L11" s="53">
        <f>DATABASE!M11</f>
        <v>0</v>
      </c>
      <c r="M11" s="53">
        <f>DATABASE!N11</f>
        <v>0</v>
      </c>
      <c r="N11" s="53">
        <f>DATABASE!O11</f>
        <v>51.5</v>
      </c>
      <c r="O11" s="53">
        <f>DATABASE!P11</f>
        <v>0</v>
      </c>
      <c r="P11" s="53" t="str">
        <f>DATABASE!Q11</f>
        <v>PRE-RESERVED</v>
      </c>
      <c r="Q11" s="53">
        <f>DATABASE!R11</f>
        <v>1915000</v>
      </c>
      <c r="R11" s="53">
        <f>DATABASE!S11</f>
        <v>1950000</v>
      </c>
      <c r="S11" s="53">
        <f>DATABASE!T11</f>
        <v>390000</v>
      </c>
      <c r="T11" s="53">
        <f>DATABASE!U11</f>
        <v>0</v>
      </c>
      <c r="U11" s="53">
        <f>DATABASE!V11</f>
        <v>35000</v>
      </c>
      <c r="V11" s="53">
        <f>DATABASE!W11</f>
        <v>355000</v>
      </c>
      <c r="W11" s="53">
        <f>DATABASE!X11</f>
        <v>0</v>
      </c>
      <c r="X11" s="53">
        <f>DATABASE!Y11</f>
        <v>390000</v>
      </c>
      <c r="Y11" s="53">
        <f>DATABASE!Z11</f>
        <v>355000</v>
      </c>
      <c r="Z11" s="53" t="e">
        <f>DATABASE!#REF!</f>
        <v>#REF!</v>
      </c>
      <c r="AA11" s="53">
        <f>DATABASE!AA11</f>
        <v>46142</v>
      </c>
      <c r="AB11" s="54">
        <f>DATABASE!AB11</f>
        <v>47118</v>
      </c>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row>
    <row r="12" spans="1:53" s="1" customFormat="1" ht="13.5">
      <c r="A12" s="52" t="str">
        <f>DATABASE!A12</f>
        <v>Aroeira - HOTEL APARTMENTS</v>
      </c>
      <c r="B12" s="53" t="str">
        <f>DATABASE!B12</f>
        <v>Center</v>
      </c>
      <c r="C12" s="53" t="str">
        <f>DATABASE!C12</f>
        <v>139A</v>
      </c>
      <c r="D12" s="53" t="str">
        <f>DATABASE!E12</f>
        <v>1-BR</v>
      </c>
      <c r="E12" s="53">
        <f>DATABASE!F12</f>
        <v>60.2</v>
      </c>
      <c r="F12" s="53">
        <f>DATABASE!G12</f>
        <v>0</v>
      </c>
      <c r="G12" s="53" t="str">
        <f>DATABASE!H12</f>
        <v>1</v>
      </c>
      <c r="H12" s="53" t="str">
        <f>DATABASE!I12</f>
        <v/>
      </c>
      <c r="I12" s="53">
        <f>DATABASE!J12</f>
        <v>3.9</v>
      </c>
      <c r="J12" s="53">
        <f>DATABASE!K12</f>
        <v>0</v>
      </c>
      <c r="K12" s="53">
        <f>DATABASE!L12</f>
        <v>0</v>
      </c>
      <c r="L12" s="53">
        <f>DATABASE!M12</f>
        <v>0</v>
      </c>
      <c r="M12" s="53">
        <f>DATABASE!N12</f>
        <v>0</v>
      </c>
      <c r="N12" s="53">
        <f>DATABASE!O12</f>
        <v>56.3</v>
      </c>
      <c r="O12" s="53">
        <f>DATABASE!P12</f>
        <v>0</v>
      </c>
      <c r="P12" s="53" t="str">
        <f>DATABASE!Q12</f>
        <v>RESERVED</v>
      </c>
      <c r="Q12" s="53">
        <f>DATABASE!R12</f>
        <v>2065000</v>
      </c>
      <c r="R12" s="53">
        <f>DATABASE!S12</f>
        <v>2100000</v>
      </c>
      <c r="S12" s="53">
        <f>DATABASE!T12</f>
        <v>390000</v>
      </c>
      <c r="T12" s="53">
        <f>DATABASE!U12</f>
        <v>0</v>
      </c>
      <c r="U12" s="53">
        <f>DATABASE!V12</f>
        <v>35000</v>
      </c>
      <c r="V12" s="53">
        <f>DATABASE!W12</f>
        <v>355000</v>
      </c>
      <c r="W12" s="53">
        <f>DATABASE!X12</f>
        <v>0</v>
      </c>
      <c r="X12" s="53">
        <f>DATABASE!Y12</f>
        <v>390000</v>
      </c>
      <c r="Y12" s="53">
        <f>DATABASE!Z12</f>
        <v>355000</v>
      </c>
      <c r="Z12" s="53" t="e">
        <f>DATABASE!#REF!</f>
        <v>#REF!</v>
      </c>
      <c r="AA12" s="53">
        <f>DATABASE!AA12</f>
        <v>46098</v>
      </c>
      <c r="AB12" s="54">
        <f>DATABASE!AB12</f>
        <v>47118</v>
      </c>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row>
    <row r="13" spans="1:53" s="1" customFormat="1" ht="13.5">
      <c r="A13" s="52" t="str">
        <f>DATABASE!A13</f>
        <v>Aroeira - HOTEL APARTMENTS</v>
      </c>
      <c r="B13" s="53" t="str">
        <f>DATABASE!B13</f>
        <v>Center</v>
      </c>
      <c r="C13" s="53" t="str">
        <f>DATABASE!C13</f>
        <v>140A</v>
      </c>
      <c r="D13" s="53" t="str">
        <f>DATABASE!E13</f>
        <v>1-BR</v>
      </c>
      <c r="E13" s="53">
        <f>DATABASE!F13</f>
        <v>60.2</v>
      </c>
      <c r="F13" s="53">
        <f>DATABASE!G13</f>
        <v>0</v>
      </c>
      <c r="G13" s="53" t="str">
        <f>DATABASE!H13</f>
        <v>1</v>
      </c>
      <c r="H13" s="53" t="str">
        <f>DATABASE!I13</f>
        <v/>
      </c>
      <c r="I13" s="53">
        <f>DATABASE!J13</f>
        <v>3.9</v>
      </c>
      <c r="J13" s="53">
        <f>DATABASE!K13</f>
        <v>0</v>
      </c>
      <c r="K13" s="53">
        <f>DATABASE!L13</f>
        <v>0</v>
      </c>
      <c r="L13" s="53">
        <f>DATABASE!M13</f>
        <v>0</v>
      </c>
      <c r="M13" s="53">
        <f>DATABASE!N13</f>
        <v>0</v>
      </c>
      <c r="N13" s="53">
        <f>DATABASE!O13</f>
        <v>56.3</v>
      </c>
      <c r="O13" s="53">
        <f>DATABASE!P13</f>
        <v>0</v>
      </c>
      <c r="P13" s="53" t="str">
        <f>DATABASE!Q13</f>
        <v>RESERVED</v>
      </c>
      <c r="Q13" s="53">
        <f>DATABASE!R13</f>
        <v>2865000</v>
      </c>
      <c r="R13" s="53">
        <f>DATABASE!S13</f>
        <v>2900000</v>
      </c>
      <c r="S13" s="53">
        <f>DATABASE!T13</f>
        <v>390000</v>
      </c>
      <c r="T13" s="53">
        <f>DATABASE!U13</f>
        <v>0</v>
      </c>
      <c r="U13" s="53">
        <f>DATABASE!V13</f>
        <v>35000</v>
      </c>
      <c r="V13" s="53">
        <f>DATABASE!W13</f>
        <v>355000</v>
      </c>
      <c r="W13" s="53">
        <f>DATABASE!X13</f>
        <v>0</v>
      </c>
      <c r="X13" s="53">
        <f>DATABASE!Y13</f>
        <v>390000</v>
      </c>
      <c r="Y13" s="53">
        <f>DATABASE!Z13</f>
        <v>355000</v>
      </c>
      <c r="Z13" s="53" t="e">
        <f>DATABASE!#REF!</f>
        <v>#REF!</v>
      </c>
      <c r="AA13" s="53">
        <f>DATABASE!AA13</f>
        <v>46085</v>
      </c>
      <c r="AB13" s="54">
        <f>DATABASE!AB13</f>
        <v>47118</v>
      </c>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row>
    <row r="14" spans="1:53" s="3" customFormat="1">
      <c r="A14" s="52" t="str">
        <f>DATABASE!A14</f>
        <v>Aroeira - HOTEL APARTMENTS</v>
      </c>
      <c r="B14" s="53" t="str">
        <f>DATABASE!B14</f>
        <v>Center</v>
      </c>
      <c r="C14" s="53" t="str">
        <f>DATABASE!C14</f>
        <v>141A</v>
      </c>
      <c r="D14" s="53" t="str">
        <f>DATABASE!E14</f>
        <v>1-BR</v>
      </c>
      <c r="E14" s="53">
        <f>DATABASE!F14</f>
        <v>60.2</v>
      </c>
      <c r="F14" s="53">
        <f>DATABASE!G14</f>
        <v>0</v>
      </c>
      <c r="G14" s="53" t="str">
        <f>DATABASE!H14</f>
        <v>1</v>
      </c>
      <c r="H14" s="53" t="str">
        <f>DATABASE!I14</f>
        <v/>
      </c>
      <c r="I14" s="53">
        <f>DATABASE!J14</f>
        <v>3.9</v>
      </c>
      <c r="J14" s="53">
        <f>DATABASE!K14</f>
        <v>0</v>
      </c>
      <c r="K14" s="53">
        <f>DATABASE!L14</f>
        <v>0</v>
      </c>
      <c r="L14" s="53">
        <f>DATABASE!M14</f>
        <v>0</v>
      </c>
      <c r="M14" s="53">
        <f>DATABASE!N14</f>
        <v>0</v>
      </c>
      <c r="N14" s="53">
        <f>DATABASE!O14</f>
        <v>56.3</v>
      </c>
      <c r="O14" s="53">
        <f>DATABASE!P14</f>
        <v>0</v>
      </c>
      <c r="P14" s="53" t="str">
        <f>DATABASE!Q14</f>
        <v>RESERVED</v>
      </c>
      <c r="Q14" s="53">
        <f>DATABASE!R14</f>
        <v>2265000</v>
      </c>
      <c r="R14" s="53">
        <f>DATABASE!S14</f>
        <v>2300000</v>
      </c>
      <c r="S14" s="53">
        <f>DATABASE!T14</f>
        <v>390000</v>
      </c>
      <c r="T14" s="53">
        <f>DATABASE!U14</f>
        <v>0</v>
      </c>
      <c r="U14" s="53">
        <f>DATABASE!V14</f>
        <v>35000</v>
      </c>
      <c r="V14" s="53">
        <f>DATABASE!W14</f>
        <v>355000</v>
      </c>
      <c r="W14" s="53">
        <f>DATABASE!X14</f>
        <v>0</v>
      </c>
      <c r="X14" s="53">
        <f>DATABASE!Y14</f>
        <v>390000</v>
      </c>
      <c r="Y14" s="53">
        <f>DATABASE!Z14</f>
        <v>355000</v>
      </c>
      <c r="Z14" s="53" t="e">
        <f>DATABASE!#REF!</f>
        <v>#REF!</v>
      </c>
      <c r="AA14" s="53">
        <f>DATABASE!AA14</f>
        <v>46129</v>
      </c>
      <c r="AB14" s="54">
        <f>DATABASE!AB14</f>
        <v>47118</v>
      </c>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row>
    <row r="15" spans="1:53">
      <c r="A15" s="52" t="str">
        <f>DATABASE!A15</f>
        <v>Aroeira - HOTEL APARTMENTS</v>
      </c>
      <c r="B15" s="53" t="str">
        <f>DATABASE!B15</f>
        <v>Center</v>
      </c>
      <c r="C15" s="53" t="str">
        <f>DATABASE!C15</f>
        <v>142A</v>
      </c>
      <c r="D15" s="53" t="str">
        <f>DATABASE!E15</f>
        <v>1-BR</v>
      </c>
      <c r="E15" s="53">
        <f>DATABASE!F15</f>
        <v>60.2</v>
      </c>
      <c r="F15" s="53">
        <f>DATABASE!G15</f>
        <v>0</v>
      </c>
      <c r="G15" s="53" t="str">
        <f>DATABASE!H15</f>
        <v>1</v>
      </c>
      <c r="H15" s="53" t="str">
        <f>DATABASE!I15</f>
        <v/>
      </c>
      <c r="I15" s="53">
        <f>DATABASE!J15</f>
        <v>3.9</v>
      </c>
      <c r="J15" s="53">
        <f>DATABASE!K15</f>
        <v>0</v>
      </c>
      <c r="K15" s="53">
        <f>DATABASE!L15</f>
        <v>0</v>
      </c>
      <c r="L15" s="53">
        <f>DATABASE!M15</f>
        <v>0</v>
      </c>
      <c r="M15" s="53">
        <f>DATABASE!N15</f>
        <v>0</v>
      </c>
      <c r="N15" s="53">
        <f>DATABASE!O15</f>
        <v>56.3</v>
      </c>
      <c r="O15" s="53">
        <f>DATABASE!P15</f>
        <v>0</v>
      </c>
      <c r="P15" s="53" t="str">
        <f>DATABASE!Q15</f>
        <v>RESERVED</v>
      </c>
      <c r="Q15" s="53">
        <f>DATABASE!R15</f>
        <v>2265000</v>
      </c>
      <c r="R15" s="53">
        <f>DATABASE!S15</f>
        <v>2300000</v>
      </c>
      <c r="S15" s="53">
        <f>DATABASE!T15</f>
        <v>390000</v>
      </c>
      <c r="T15" s="53">
        <f>DATABASE!U15</f>
        <v>0</v>
      </c>
      <c r="U15" s="53">
        <f>DATABASE!V15</f>
        <v>35000</v>
      </c>
      <c r="V15" s="53">
        <f>DATABASE!W15</f>
        <v>355000</v>
      </c>
      <c r="W15" s="53">
        <f>DATABASE!X15</f>
        <v>0</v>
      </c>
      <c r="X15" s="53">
        <f>DATABASE!Y15</f>
        <v>390000</v>
      </c>
      <c r="Y15" s="53">
        <f>DATABASE!Z15</f>
        <v>355000</v>
      </c>
      <c r="Z15" s="53" t="e">
        <f>DATABASE!#REF!</f>
        <v>#REF!</v>
      </c>
      <c r="AA15" s="53">
        <f>DATABASE!AA15</f>
        <v>46129</v>
      </c>
      <c r="AB15" s="54">
        <f>DATABASE!AB15</f>
        <v>47118</v>
      </c>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row>
    <row r="16" spans="1:53">
      <c r="A16" s="52" t="str">
        <f>DATABASE!A16</f>
        <v>Aroeira - HOTEL APARTMENTS</v>
      </c>
      <c r="B16" s="53" t="str">
        <f>DATABASE!B16</f>
        <v>Center</v>
      </c>
      <c r="C16" s="53" t="str">
        <f>DATABASE!C16</f>
        <v>235A</v>
      </c>
      <c r="D16" s="53" t="str">
        <f>DATABASE!E16</f>
        <v>1-BR</v>
      </c>
      <c r="E16" s="53">
        <f>DATABASE!F16</f>
        <v>56.5</v>
      </c>
      <c r="F16" s="53">
        <f>DATABASE!G16</f>
        <v>0</v>
      </c>
      <c r="G16" s="53" t="str">
        <f>DATABASE!H16</f>
        <v>1</v>
      </c>
      <c r="H16" s="53" t="str">
        <f>DATABASE!I16</f>
        <v/>
      </c>
      <c r="I16" s="53">
        <f>DATABASE!J16</f>
        <v>5</v>
      </c>
      <c r="J16" s="53">
        <f>DATABASE!K16</f>
        <v>0</v>
      </c>
      <c r="K16" s="53">
        <f>DATABASE!L16</f>
        <v>0</v>
      </c>
      <c r="L16" s="53">
        <f>DATABASE!M16</f>
        <v>0</v>
      </c>
      <c r="M16" s="53">
        <f>DATABASE!N16</f>
        <v>0</v>
      </c>
      <c r="N16" s="53">
        <f>DATABASE!O16</f>
        <v>51.5</v>
      </c>
      <c r="O16" s="53">
        <f>DATABASE!P16</f>
        <v>0</v>
      </c>
      <c r="P16" s="53" t="str">
        <f>DATABASE!Q16</f>
        <v>RESERVED</v>
      </c>
      <c r="Q16" s="53">
        <f>DATABASE!R16</f>
        <v>2365000</v>
      </c>
      <c r="R16" s="53">
        <f>DATABASE!S16</f>
        <v>2400000</v>
      </c>
      <c r="S16" s="53">
        <f>DATABASE!T16</f>
        <v>390000</v>
      </c>
      <c r="T16" s="53">
        <f>DATABASE!U16</f>
        <v>0</v>
      </c>
      <c r="U16" s="53">
        <f>DATABASE!V16</f>
        <v>35000</v>
      </c>
      <c r="V16" s="53">
        <f>DATABASE!W16</f>
        <v>355000</v>
      </c>
      <c r="W16" s="53">
        <f>DATABASE!X16</f>
        <v>0</v>
      </c>
      <c r="X16" s="53">
        <f>DATABASE!Y16</f>
        <v>390000</v>
      </c>
      <c r="Y16" s="53">
        <f>DATABASE!Z16</f>
        <v>355000</v>
      </c>
      <c r="Z16" s="53" t="e">
        <f>DATABASE!#REF!</f>
        <v>#REF!</v>
      </c>
      <c r="AA16" s="53">
        <f>DATABASE!AA16</f>
        <v>46126</v>
      </c>
      <c r="AB16" s="54">
        <f>DATABASE!AB16</f>
        <v>47118</v>
      </c>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row>
    <row r="17" spans="1:53">
      <c r="A17" s="52" t="str">
        <f>DATABASE!A17</f>
        <v>Aroeira - HOTEL APARTMENTS</v>
      </c>
      <c r="B17" s="53" t="str">
        <f>DATABASE!B17</f>
        <v>Center</v>
      </c>
      <c r="C17" s="53" t="str">
        <f>DATABASE!C17</f>
        <v>138A</v>
      </c>
      <c r="D17" s="53" t="str">
        <f>DATABASE!E17</f>
        <v>1-BR</v>
      </c>
      <c r="E17" s="53">
        <f>DATABASE!F17</f>
        <v>60.2</v>
      </c>
      <c r="F17" s="53">
        <f>DATABASE!G17</f>
        <v>0</v>
      </c>
      <c r="G17" s="53" t="str">
        <f>DATABASE!H17</f>
        <v>1</v>
      </c>
      <c r="H17" s="53" t="str">
        <f>DATABASE!I17</f>
        <v/>
      </c>
      <c r="I17" s="53">
        <f>DATABASE!J17</f>
        <v>3.9</v>
      </c>
      <c r="J17" s="53">
        <f>DATABASE!K17</f>
        <v>0</v>
      </c>
      <c r="K17" s="53">
        <f>DATABASE!L17</f>
        <v>0</v>
      </c>
      <c r="L17" s="53">
        <f>DATABASE!M17</f>
        <v>0</v>
      </c>
      <c r="M17" s="53">
        <f>DATABASE!N17</f>
        <v>0</v>
      </c>
      <c r="N17" s="53">
        <f>DATABASE!O17</f>
        <v>56.3</v>
      </c>
      <c r="O17" s="53">
        <f>DATABASE!P17</f>
        <v>0</v>
      </c>
      <c r="P17" s="53" t="str">
        <f>DATABASE!Q17</f>
        <v>AVAILABLE</v>
      </c>
      <c r="Q17" s="53">
        <f>DATABASE!R17</f>
        <v>2665000</v>
      </c>
      <c r="R17" s="53">
        <f>DATABASE!S17</f>
        <v>2700000</v>
      </c>
      <c r="S17" s="53">
        <f>DATABASE!T17</f>
        <v>390000</v>
      </c>
      <c r="T17" s="53">
        <f>DATABASE!U17</f>
        <v>0</v>
      </c>
      <c r="U17" s="53">
        <f>DATABASE!V17</f>
        <v>35000</v>
      </c>
      <c r="V17" s="53">
        <f>DATABASE!W17</f>
        <v>355000</v>
      </c>
      <c r="W17" s="53">
        <f>DATABASE!X17</f>
        <v>0</v>
      </c>
      <c r="X17" s="53">
        <f>DATABASE!Y17</f>
        <v>0</v>
      </c>
      <c r="Y17" s="53">
        <f>DATABASE!Z17</f>
        <v>-35000</v>
      </c>
      <c r="Z17" s="53" t="e">
        <f>DATABASE!#REF!</f>
        <v>#REF!</v>
      </c>
      <c r="AA17" s="53">
        <f>DATABASE!AA17</f>
        <v>0</v>
      </c>
      <c r="AB17" s="54">
        <f>DATABASE!AB17</f>
        <v>47118</v>
      </c>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row>
    <row r="18" spans="1:53">
      <c r="A18" s="52" t="str">
        <f>DATABASE!A18</f>
        <v>Aroeira - HOTEL APARTMENTS</v>
      </c>
      <c r="B18" s="53" t="str">
        <f>DATABASE!B18</f>
        <v>Center</v>
      </c>
      <c r="C18" s="53" t="str">
        <f>DATABASE!C18</f>
        <v>234A</v>
      </c>
      <c r="D18" s="53" t="str">
        <f>DATABASE!E18</f>
        <v>1-BR</v>
      </c>
      <c r="E18" s="53">
        <f>DATABASE!F18</f>
        <v>56.5</v>
      </c>
      <c r="F18" s="53">
        <f>DATABASE!G18</f>
        <v>0</v>
      </c>
      <c r="G18" s="53" t="str">
        <f>DATABASE!H18</f>
        <v>1</v>
      </c>
      <c r="H18" s="53" t="str">
        <f>DATABASE!I18</f>
        <v/>
      </c>
      <c r="I18" s="53">
        <f>DATABASE!J18</f>
        <v>5</v>
      </c>
      <c r="J18" s="53">
        <f>DATABASE!K18</f>
        <v>0</v>
      </c>
      <c r="K18" s="53">
        <f>DATABASE!L18</f>
        <v>0</v>
      </c>
      <c r="L18" s="53">
        <f>DATABASE!M18</f>
        <v>0</v>
      </c>
      <c r="M18" s="53">
        <f>DATABASE!N18</f>
        <v>0</v>
      </c>
      <c r="N18" s="53">
        <f>DATABASE!O18</f>
        <v>51.5</v>
      </c>
      <c r="O18" s="53">
        <f>DATABASE!P18</f>
        <v>0</v>
      </c>
      <c r="P18" s="53" t="str">
        <f>DATABASE!Q18</f>
        <v>AVAILABLE</v>
      </c>
      <c r="Q18" s="53">
        <f>DATABASE!R18</f>
        <v>2575000</v>
      </c>
      <c r="R18" s="53">
        <f>DATABASE!S18</f>
        <v>2610000</v>
      </c>
      <c r="S18" s="53">
        <f>DATABASE!T18</f>
        <v>390000</v>
      </c>
      <c r="T18" s="53">
        <f>DATABASE!U18</f>
        <v>0</v>
      </c>
      <c r="U18" s="53">
        <f>DATABASE!V18</f>
        <v>35000</v>
      </c>
      <c r="V18" s="53">
        <f>DATABASE!W18</f>
        <v>355000</v>
      </c>
      <c r="W18" s="53">
        <f>DATABASE!X18</f>
        <v>0</v>
      </c>
      <c r="X18" s="53">
        <f>DATABASE!Y18</f>
        <v>0</v>
      </c>
      <c r="Y18" s="53">
        <f>DATABASE!Z18</f>
        <v>-35000</v>
      </c>
      <c r="Z18" s="53" t="e">
        <f>DATABASE!#REF!</f>
        <v>#REF!</v>
      </c>
      <c r="AA18" s="53">
        <f>DATABASE!AA18</f>
        <v>0</v>
      </c>
      <c r="AB18" s="54">
        <f>DATABASE!AB18</f>
        <v>47118</v>
      </c>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row>
    <row r="19" spans="1:53">
      <c r="A19" s="52" t="str">
        <f>DATABASE!A19</f>
        <v>Aroeira - HOTEL APARTMENTS</v>
      </c>
      <c r="B19" s="53" t="str">
        <f>DATABASE!B19</f>
        <v>Center</v>
      </c>
      <c r="C19" s="53" t="str">
        <f>DATABASE!C19</f>
        <v>237A</v>
      </c>
      <c r="D19" s="53" t="str">
        <f>DATABASE!E19</f>
        <v>1-BR</v>
      </c>
      <c r="E19" s="53">
        <f>DATABASE!F19</f>
        <v>56.5</v>
      </c>
      <c r="F19" s="53">
        <f>DATABASE!G19</f>
        <v>0</v>
      </c>
      <c r="G19" s="53" t="str">
        <f>DATABASE!H19</f>
        <v>1</v>
      </c>
      <c r="H19" s="53" t="str">
        <f>DATABASE!I19</f>
        <v/>
      </c>
      <c r="I19" s="53">
        <f>DATABASE!J19</f>
        <v>5</v>
      </c>
      <c r="J19" s="53">
        <f>DATABASE!K19</f>
        <v>0</v>
      </c>
      <c r="K19" s="53">
        <f>DATABASE!L19</f>
        <v>0</v>
      </c>
      <c r="L19" s="53">
        <f>DATABASE!M19</f>
        <v>0</v>
      </c>
      <c r="M19" s="53">
        <f>DATABASE!N19</f>
        <v>0</v>
      </c>
      <c r="N19" s="53">
        <f>DATABASE!O19</f>
        <v>51.5</v>
      </c>
      <c r="O19" s="53">
        <f>DATABASE!P19</f>
        <v>0</v>
      </c>
      <c r="P19" s="53" t="str">
        <f>DATABASE!Q19</f>
        <v>AVAILABLE</v>
      </c>
      <c r="Q19" s="53">
        <f>DATABASE!R19</f>
        <v>1305000</v>
      </c>
      <c r="R19" s="53">
        <f>DATABASE!S19</f>
        <v>1340000</v>
      </c>
      <c r="S19" s="53">
        <f>DATABASE!T19</f>
        <v>390000</v>
      </c>
      <c r="T19" s="53">
        <f>DATABASE!U19</f>
        <v>0</v>
      </c>
      <c r="U19" s="53">
        <f>DATABASE!V19</f>
        <v>35000</v>
      </c>
      <c r="V19" s="53">
        <f>DATABASE!W19</f>
        <v>355000</v>
      </c>
      <c r="W19" s="53">
        <f>DATABASE!X19</f>
        <v>0</v>
      </c>
      <c r="X19" s="53">
        <f>DATABASE!Y19</f>
        <v>0</v>
      </c>
      <c r="Y19" s="53">
        <f>DATABASE!Z19</f>
        <v>-35000</v>
      </c>
      <c r="Z19" s="53" t="e">
        <f>DATABASE!#REF!</f>
        <v>#REF!</v>
      </c>
      <c r="AA19" s="53">
        <f>DATABASE!AA19</f>
        <v>0</v>
      </c>
      <c r="AB19" s="54">
        <f>DATABASE!AB19</f>
        <v>47118</v>
      </c>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row>
    <row r="20" spans="1:53">
      <c r="A20" s="52" t="str">
        <f>DATABASE!A20</f>
        <v>Aroeira - HOTEL APARTMENTS</v>
      </c>
      <c r="B20" s="53" t="str">
        <f>DATABASE!B20</f>
        <v>Center</v>
      </c>
      <c r="C20" s="53" t="str">
        <f>DATABASE!C20</f>
        <v>243A</v>
      </c>
      <c r="D20" s="53" t="str">
        <f>DATABASE!E20</f>
        <v>1-BR</v>
      </c>
      <c r="E20" s="53">
        <f>DATABASE!F20</f>
        <v>56.5</v>
      </c>
      <c r="F20" s="53">
        <f>DATABASE!G20</f>
        <v>0</v>
      </c>
      <c r="G20" s="53" t="str">
        <f>DATABASE!H20</f>
        <v>1</v>
      </c>
      <c r="H20" s="53" t="str">
        <f>DATABASE!I20</f>
        <v/>
      </c>
      <c r="I20" s="53">
        <f>DATABASE!J20</f>
        <v>5</v>
      </c>
      <c r="J20" s="53">
        <f>DATABASE!K20</f>
        <v>0</v>
      </c>
      <c r="K20" s="53">
        <f>DATABASE!L20</f>
        <v>0</v>
      </c>
      <c r="L20" s="53">
        <f>DATABASE!M20</f>
        <v>0</v>
      </c>
      <c r="M20" s="53">
        <f>DATABASE!N20</f>
        <v>0</v>
      </c>
      <c r="N20" s="53">
        <f>DATABASE!O20</f>
        <v>51.5</v>
      </c>
      <c r="O20" s="53">
        <f>DATABASE!P20</f>
        <v>0</v>
      </c>
      <c r="P20" s="53" t="str">
        <f>DATABASE!Q20</f>
        <v>AVAILABLE</v>
      </c>
      <c r="Q20" s="53">
        <f>DATABASE!R20</f>
        <v>715000</v>
      </c>
      <c r="R20" s="53">
        <f>DATABASE!S20</f>
        <v>750000</v>
      </c>
      <c r="S20" s="53">
        <f>DATABASE!T20</f>
        <v>390000</v>
      </c>
      <c r="T20" s="53">
        <f>DATABASE!U20</f>
        <v>0</v>
      </c>
      <c r="U20" s="53">
        <f>DATABASE!V20</f>
        <v>35000</v>
      </c>
      <c r="V20" s="53">
        <f>DATABASE!W20</f>
        <v>355000</v>
      </c>
      <c r="W20" s="53">
        <f>DATABASE!X20</f>
        <v>0</v>
      </c>
      <c r="X20" s="53">
        <f>DATABASE!Y20</f>
        <v>0</v>
      </c>
      <c r="Y20" s="53">
        <f>DATABASE!Z20</f>
        <v>-35000</v>
      </c>
      <c r="Z20" s="53" t="e">
        <f>DATABASE!#REF!</f>
        <v>#REF!</v>
      </c>
      <c r="AA20" s="53">
        <f>DATABASE!AA20</f>
        <v>0</v>
      </c>
      <c r="AB20" s="54">
        <f>DATABASE!AB20</f>
        <v>47118</v>
      </c>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row>
    <row r="21" spans="1:53">
      <c r="A21" s="52" t="str">
        <f>DATABASE!A21</f>
        <v>Aroeira - HOTEL APARTMENTS</v>
      </c>
      <c r="B21" s="53" t="str">
        <f>DATABASE!B21</f>
        <v>Center</v>
      </c>
      <c r="C21" s="53" t="str">
        <f>DATABASE!C21</f>
        <v>244A</v>
      </c>
      <c r="D21" s="53" t="str">
        <f>DATABASE!E21</f>
        <v>1-BR</v>
      </c>
      <c r="E21" s="53">
        <f>DATABASE!F21</f>
        <v>56.5</v>
      </c>
      <c r="F21" s="53">
        <f>DATABASE!G21</f>
        <v>0</v>
      </c>
      <c r="G21" s="53" t="str">
        <f>DATABASE!H21</f>
        <v>1</v>
      </c>
      <c r="H21" s="53" t="str">
        <f>DATABASE!I21</f>
        <v/>
      </c>
      <c r="I21" s="53">
        <f>DATABASE!J21</f>
        <v>5</v>
      </c>
      <c r="J21" s="53">
        <f>DATABASE!K21</f>
        <v>0</v>
      </c>
      <c r="K21" s="53">
        <f>DATABASE!L21</f>
        <v>0</v>
      </c>
      <c r="L21" s="53">
        <f>DATABASE!M21</f>
        <v>0</v>
      </c>
      <c r="M21" s="53">
        <f>DATABASE!N21</f>
        <v>0</v>
      </c>
      <c r="N21" s="53">
        <f>DATABASE!O21</f>
        <v>51.5</v>
      </c>
      <c r="O21" s="53">
        <f>DATABASE!P21</f>
        <v>0</v>
      </c>
      <c r="P21" s="53" t="str">
        <f>DATABASE!Q21</f>
        <v>AVAILABLE</v>
      </c>
      <c r="Q21" s="53">
        <f>DATABASE!R21</f>
        <v>865000</v>
      </c>
      <c r="R21" s="53">
        <f>DATABASE!S21</f>
        <v>900000</v>
      </c>
      <c r="S21" s="53">
        <f>DATABASE!T21</f>
        <v>390000</v>
      </c>
      <c r="T21" s="53">
        <f>DATABASE!U21</f>
        <v>0</v>
      </c>
      <c r="U21" s="53">
        <f>DATABASE!V21</f>
        <v>35000</v>
      </c>
      <c r="V21" s="53">
        <f>DATABASE!W21</f>
        <v>355000</v>
      </c>
      <c r="W21" s="53">
        <f>DATABASE!X21</f>
        <v>0</v>
      </c>
      <c r="X21" s="53">
        <f>DATABASE!Y21</f>
        <v>0</v>
      </c>
      <c r="Y21" s="53">
        <f>DATABASE!Z21</f>
        <v>-35000</v>
      </c>
      <c r="Z21" s="53" t="e">
        <f>DATABASE!#REF!</f>
        <v>#REF!</v>
      </c>
      <c r="AA21" s="53">
        <f>DATABASE!AA21</f>
        <v>0</v>
      </c>
      <c r="AB21" s="54">
        <f>DATABASE!AB21</f>
        <v>47118</v>
      </c>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row>
    <row r="22" spans="1:53">
      <c r="A22" s="52" t="str">
        <f>DATABASE!A22</f>
        <v>Aroeira - HOTEL APARTMENTS</v>
      </c>
      <c r="B22" s="53" t="str">
        <f>DATABASE!B22</f>
        <v>Center</v>
      </c>
      <c r="C22" s="53" t="str">
        <f>DATABASE!C22</f>
        <v>245A</v>
      </c>
      <c r="D22" s="53" t="str">
        <f>DATABASE!E22</f>
        <v>1-BR</v>
      </c>
      <c r="E22" s="53">
        <f>DATABASE!F22</f>
        <v>56.5</v>
      </c>
      <c r="F22" s="53">
        <f>DATABASE!G22</f>
        <v>0</v>
      </c>
      <c r="G22" s="53" t="str">
        <f>DATABASE!H22</f>
        <v>1</v>
      </c>
      <c r="H22" s="53" t="str">
        <f>DATABASE!I22</f>
        <v/>
      </c>
      <c r="I22" s="53">
        <f>DATABASE!J22</f>
        <v>5</v>
      </c>
      <c r="J22" s="53">
        <f>DATABASE!K22</f>
        <v>0</v>
      </c>
      <c r="K22" s="53">
        <f>DATABASE!L22</f>
        <v>0</v>
      </c>
      <c r="L22" s="53">
        <f>DATABASE!M22</f>
        <v>0</v>
      </c>
      <c r="M22" s="53">
        <f>DATABASE!N22</f>
        <v>0</v>
      </c>
      <c r="N22" s="53">
        <f>DATABASE!O22</f>
        <v>51.5</v>
      </c>
      <c r="O22" s="53">
        <f>DATABASE!P22</f>
        <v>0</v>
      </c>
      <c r="P22" s="53" t="str">
        <f>DATABASE!Q22</f>
        <v>AVAILABLE</v>
      </c>
      <c r="Q22" s="53">
        <f>DATABASE!R22</f>
        <v>965000</v>
      </c>
      <c r="R22" s="53">
        <f>DATABASE!S22</f>
        <v>1000000</v>
      </c>
      <c r="S22" s="53">
        <f>DATABASE!T22</f>
        <v>390000</v>
      </c>
      <c r="T22" s="53">
        <f>DATABASE!U22</f>
        <v>0</v>
      </c>
      <c r="U22" s="53">
        <f>DATABASE!V22</f>
        <v>35000</v>
      </c>
      <c r="V22" s="53">
        <f>DATABASE!W22</f>
        <v>355000</v>
      </c>
      <c r="W22" s="53">
        <f>DATABASE!X22</f>
        <v>0</v>
      </c>
      <c r="X22" s="53">
        <f>DATABASE!Y22</f>
        <v>0</v>
      </c>
      <c r="Y22" s="53">
        <f>DATABASE!Z22</f>
        <v>-35000</v>
      </c>
      <c r="Z22" s="53" t="e">
        <f>DATABASE!#REF!</f>
        <v>#REF!</v>
      </c>
      <c r="AA22" s="53">
        <f>DATABASE!AA22</f>
        <v>0</v>
      </c>
      <c r="AB22" s="54">
        <f>DATABASE!AB22</f>
        <v>47118</v>
      </c>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row>
    <row r="23" spans="1:53">
      <c r="A23" s="52" t="str">
        <f>DATABASE!A23</f>
        <v>Aroeira - HOTEL APARTMENTS</v>
      </c>
      <c r="B23" s="53" t="str">
        <f>DATABASE!B23</f>
        <v>Center</v>
      </c>
      <c r="C23" s="53" t="str">
        <f>DATABASE!C23</f>
        <v>246A</v>
      </c>
      <c r="D23" s="53" t="str">
        <f>DATABASE!E23</f>
        <v>1-BR</v>
      </c>
      <c r="E23" s="53">
        <f>DATABASE!F23</f>
        <v>56.5</v>
      </c>
      <c r="F23" s="53">
        <f>DATABASE!G23</f>
        <v>0</v>
      </c>
      <c r="G23" s="53" t="str">
        <f>DATABASE!H23</f>
        <v>1</v>
      </c>
      <c r="H23" s="53" t="str">
        <f>DATABASE!I23</f>
        <v/>
      </c>
      <c r="I23" s="53">
        <f>DATABASE!J23</f>
        <v>5</v>
      </c>
      <c r="J23" s="53">
        <f>DATABASE!K23</f>
        <v>0</v>
      </c>
      <c r="K23" s="53">
        <f>DATABASE!L23</f>
        <v>0</v>
      </c>
      <c r="L23" s="53">
        <f>DATABASE!M23</f>
        <v>0</v>
      </c>
      <c r="M23" s="53">
        <f>DATABASE!N23</f>
        <v>0</v>
      </c>
      <c r="N23" s="53">
        <f>DATABASE!O23</f>
        <v>51.5</v>
      </c>
      <c r="O23" s="53">
        <f>DATABASE!P23</f>
        <v>0</v>
      </c>
      <c r="P23" s="53" t="str">
        <f>DATABASE!Q23</f>
        <v>AVAILABLE</v>
      </c>
      <c r="Q23" s="53">
        <f>DATABASE!R23</f>
        <v>825000</v>
      </c>
      <c r="R23" s="53">
        <f>DATABASE!S23</f>
        <v>860000</v>
      </c>
      <c r="S23" s="53">
        <f>DATABASE!T23</f>
        <v>390000</v>
      </c>
      <c r="T23" s="53">
        <f>DATABASE!U23</f>
        <v>0</v>
      </c>
      <c r="U23" s="53">
        <f>DATABASE!V23</f>
        <v>35000</v>
      </c>
      <c r="V23" s="53">
        <f>DATABASE!W23</f>
        <v>355000</v>
      </c>
      <c r="W23" s="53">
        <f>DATABASE!X23</f>
        <v>0</v>
      </c>
      <c r="X23" s="53">
        <f>DATABASE!Y23</f>
        <v>0</v>
      </c>
      <c r="Y23" s="53">
        <f>DATABASE!Z23</f>
        <v>-35000</v>
      </c>
      <c r="Z23" s="53" t="e">
        <f>DATABASE!#REF!</f>
        <v>#REF!</v>
      </c>
      <c r="AA23" s="53">
        <f>DATABASE!AA23</f>
        <v>0</v>
      </c>
      <c r="AB23" s="54">
        <f>DATABASE!AB23</f>
        <v>47118</v>
      </c>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row>
    <row r="24" spans="1:53">
      <c r="A24" s="52" t="str">
        <f>DATABASE!A24</f>
        <v>Aroeira - HOTEL APARTMENTS</v>
      </c>
      <c r="B24" s="53" t="str">
        <f>DATABASE!B24</f>
        <v>Center</v>
      </c>
      <c r="C24" s="53" t="str">
        <f>DATABASE!C24</f>
        <v>334A</v>
      </c>
      <c r="D24" s="53" t="str">
        <f>DATABASE!E24</f>
        <v>1-BR</v>
      </c>
      <c r="E24" s="53">
        <f>DATABASE!F24</f>
        <v>56.5</v>
      </c>
      <c r="F24" s="53">
        <f>DATABASE!G24</f>
        <v>0</v>
      </c>
      <c r="G24" s="53" t="str">
        <f>DATABASE!H24</f>
        <v>1</v>
      </c>
      <c r="H24" s="53" t="str">
        <f>DATABASE!I24</f>
        <v/>
      </c>
      <c r="I24" s="53">
        <f>DATABASE!J24</f>
        <v>5</v>
      </c>
      <c r="J24" s="53">
        <f>DATABASE!K24</f>
        <v>0</v>
      </c>
      <c r="K24" s="53">
        <f>DATABASE!L24</f>
        <v>0</v>
      </c>
      <c r="L24" s="53">
        <f>DATABASE!M24</f>
        <v>0</v>
      </c>
      <c r="M24" s="53">
        <f>DATABASE!N24</f>
        <v>0</v>
      </c>
      <c r="N24" s="53">
        <f>DATABASE!O24</f>
        <v>51.5</v>
      </c>
      <c r="O24" s="53">
        <f>DATABASE!P24</f>
        <v>0</v>
      </c>
      <c r="P24" s="53" t="str">
        <f>DATABASE!Q24</f>
        <v>RESERVED</v>
      </c>
      <c r="Q24" s="53">
        <f>DATABASE!R24</f>
        <v>1115000</v>
      </c>
      <c r="R24" s="53">
        <f>DATABASE!S24</f>
        <v>1150000</v>
      </c>
      <c r="S24" s="53">
        <f>DATABASE!T24</f>
        <v>405000</v>
      </c>
      <c r="T24" s="53">
        <f>DATABASE!U24</f>
        <v>0</v>
      </c>
      <c r="U24" s="53">
        <f>DATABASE!V24</f>
        <v>35000</v>
      </c>
      <c r="V24" s="53">
        <f>DATABASE!W24</f>
        <v>370000</v>
      </c>
      <c r="W24" s="53">
        <f>DATABASE!X24</f>
        <v>1.2345679012345699E-2</v>
      </c>
      <c r="X24" s="53">
        <f>DATABASE!Y24</f>
        <v>400000</v>
      </c>
      <c r="Y24" s="53">
        <f>DATABASE!Z24</f>
        <v>365000</v>
      </c>
      <c r="Z24" s="53" t="e">
        <f>DATABASE!#REF!</f>
        <v>#REF!</v>
      </c>
      <c r="AA24" s="53">
        <f>DATABASE!AA24</f>
        <v>46137</v>
      </c>
      <c r="AB24" s="54">
        <f>DATABASE!AB24</f>
        <v>47118</v>
      </c>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row>
    <row r="25" spans="1:53">
      <c r="A25" s="52" t="str">
        <f>DATABASE!A25</f>
        <v>Aroeira - HOTEL APARTMENTS</v>
      </c>
      <c r="B25" s="53" t="str">
        <f>DATABASE!B25</f>
        <v>Center</v>
      </c>
      <c r="C25" s="53" t="str">
        <f>DATABASE!C25</f>
        <v>335A</v>
      </c>
      <c r="D25" s="53" t="str">
        <f>DATABASE!E25</f>
        <v>1-BR</v>
      </c>
      <c r="E25" s="53">
        <f>DATABASE!F25</f>
        <v>56.5</v>
      </c>
      <c r="F25" s="53">
        <f>DATABASE!G25</f>
        <v>0</v>
      </c>
      <c r="G25" s="53" t="str">
        <f>DATABASE!H25</f>
        <v>1</v>
      </c>
      <c r="H25" s="53" t="str">
        <f>DATABASE!I25</f>
        <v/>
      </c>
      <c r="I25" s="53">
        <f>DATABASE!J25</f>
        <v>5</v>
      </c>
      <c r="J25" s="53">
        <f>DATABASE!K25</f>
        <v>0</v>
      </c>
      <c r="K25" s="53">
        <f>DATABASE!L25</f>
        <v>0</v>
      </c>
      <c r="L25" s="53">
        <f>DATABASE!M25</f>
        <v>0</v>
      </c>
      <c r="M25" s="53">
        <f>DATABASE!N25</f>
        <v>0</v>
      </c>
      <c r="N25" s="53">
        <f>DATABASE!O25</f>
        <v>51.5</v>
      </c>
      <c r="O25" s="53">
        <f>DATABASE!P25</f>
        <v>0</v>
      </c>
      <c r="P25" s="53" t="str">
        <f>DATABASE!Q25</f>
        <v>AVAILABLE</v>
      </c>
      <c r="Q25" s="53">
        <f>DATABASE!R25</f>
        <v>635000</v>
      </c>
      <c r="R25" s="53">
        <f>DATABASE!S25</f>
        <v>670000</v>
      </c>
      <c r="S25" s="53">
        <f>DATABASE!T25</f>
        <v>405000</v>
      </c>
      <c r="T25" s="53">
        <f>DATABASE!U25</f>
        <v>0</v>
      </c>
      <c r="U25" s="53">
        <f>DATABASE!V25</f>
        <v>35000</v>
      </c>
      <c r="V25" s="53">
        <f>DATABASE!W25</f>
        <v>370000</v>
      </c>
      <c r="W25" s="53">
        <f>DATABASE!X25</f>
        <v>0</v>
      </c>
      <c r="X25" s="53">
        <f>DATABASE!Y25</f>
        <v>0</v>
      </c>
      <c r="Y25" s="53">
        <f>DATABASE!Z25</f>
        <v>-35000</v>
      </c>
      <c r="Z25" s="53" t="e">
        <f>DATABASE!#REF!</f>
        <v>#REF!</v>
      </c>
      <c r="AA25" s="53">
        <f>DATABASE!AA25</f>
        <v>0</v>
      </c>
      <c r="AB25" s="54">
        <f>DATABASE!AB25</f>
        <v>47118</v>
      </c>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row>
    <row r="26" spans="1:53">
      <c r="A26" s="52" t="str">
        <f>DATABASE!A26</f>
        <v>Aroeira - HOTEL APARTMENTS</v>
      </c>
      <c r="B26" s="53" t="str">
        <f>DATABASE!B26</f>
        <v>Center</v>
      </c>
      <c r="C26" s="53" t="str">
        <f>DATABASE!C26</f>
        <v>336A</v>
      </c>
      <c r="D26" s="53" t="str">
        <f>DATABASE!E26</f>
        <v>1-BR</v>
      </c>
      <c r="E26" s="53">
        <f>DATABASE!F26</f>
        <v>56.5</v>
      </c>
      <c r="F26" s="53">
        <f>DATABASE!G26</f>
        <v>0</v>
      </c>
      <c r="G26" s="53" t="str">
        <f>DATABASE!H26</f>
        <v>1</v>
      </c>
      <c r="H26" s="53" t="str">
        <f>DATABASE!I26</f>
        <v/>
      </c>
      <c r="I26" s="53">
        <f>DATABASE!J26</f>
        <v>5</v>
      </c>
      <c r="J26" s="53">
        <f>DATABASE!K26</f>
        <v>0</v>
      </c>
      <c r="K26" s="53">
        <f>DATABASE!L26</f>
        <v>0</v>
      </c>
      <c r="L26" s="53">
        <f>DATABASE!M26</f>
        <v>0</v>
      </c>
      <c r="M26" s="53">
        <f>DATABASE!N26</f>
        <v>0</v>
      </c>
      <c r="N26" s="53">
        <f>DATABASE!O26</f>
        <v>51.5</v>
      </c>
      <c r="O26" s="53">
        <f>DATABASE!P26</f>
        <v>0</v>
      </c>
      <c r="P26" s="53" t="str">
        <f>DATABASE!Q26</f>
        <v>AVAILABLE</v>
      </c>
      <c r="Q26" s="53">
        <f>DATABASE!R26</f>
        <v>895000</v>
      </c>
      <c r="R26" s="53">
        <f>DATABASE!S26</f>
        <v>930000</v>
      </c>
      <c r="S26" s="53">
        <f>DATABASE!T26</f>
        <v>405000</v>
      </c>
      <c r="T26" s="53">
        <f>DATABASE!U26</f>
        <v>0</v>
      </c>
      <c r="U26" s="53">
        <f>DATABASE!V26</f>
        <v>35000</v>
      </c>
      <c r="V26" s="53">
        <f>DATABASE!W26</f>
        <v>370000</v>
      </c>
      <c r="W26" s="53">
        <f>DATABASE!X26</f>
        <v>0</v>
      </c>
      <c r="X26" s="53">
        <f>DATABASE!Y26</f>
        <v>0</v>
      </c>
      <c r="Y26" s="53">
        <f>DATABASE!Z26</f>
        <v>-35000</v>
      </c>
      <c r="Z26" s="53" t="e">
        <f>DATABASE!#REF!</f>
        <v>#REF!</v>
      </c>
      <c r="AA26" s="53">
        <f>DATABASE!AA26</f>
        <v>0</v>
      </c>
      <c r="AB26" s="54">
        <f>DATABASE!AB26</f>
        <v>47118</v>
      </c>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row>
    <row r="27" spans="1:53">
      <c r="A27" s="52" t="str">
        <f>DATABASE!A27</f>
        <v>Aroeira - HOTEL APARTMENTS</v>
      </c>
      <c r="B27" s="53" t="str">
        <f>DATABASE!B27</f>
        <v>Center</v>
      </c>
      <c r="C27" s="53" t="str">
        <f>DATABASE!C27</f>
        <v>337A</v>
      </c>
      <c r="D27" s="53" t="str">
        <f>DATABASE!E27</f>
        <v>1-BR</v>
      </c>
      <c r="E27" s="53">
        <f>DATABASE!F27</f>
        <v>56.5</v>
      </c>
      <c r="F27" s="53">
        <f>DATABASE!G27</f>
        <v>0</v>
      </c>
      <c r="G27" s="53" t="str">
        <f>DATABASE!H27</f>
        <v>1</v>
      </c>
      <c r="H27" s="53" t="str">
        <f>DATABASE!I27</f>
        <v/>
      </c>
      <c r="I27" s="53">
        <f>DATABASE!J27</f>
        <v>5</v>
      </c>
      <c r="J27" s="53">
        <f>DATABASE!K27</f>
        <v>0</v>
      </c>
      <c r="K27" s="53">
        <f>DATABASE!L27</f>
        <v>0</v>
      </c>
      <c r="L27" s="53">
        <f>DATABASE!M27</f>
        <v>0</v>
      </c>
      <c r="M27" s="53">
        <f>DATABASE!N27</f>
        <v>0</v>
      </c>
      <c r="N27" s="53">
        <f>DATABASE!O27</f>
        <v>51.5</v>
      </c>
      <c r="O27" s="53">
        <f>DATABASE!P27</f>
        <v>0</v>
      </c>
      <c r="P27" s="53" t="str">
        <f>DATABASE!Q27</f>
        <v>AVAILABLE</v>
      </c>
      <c r="Q27" s="53">
        <f>DATABASE!R27</f>
        <v>675000</v>
      </c>
      <c r="R27" s="53">
        <f>DATABASE!S27</f>
        <v>710000</v>
      </c>
      <c r="S27" s="53">
        <f>DATABASE!T27</f>
        <v>405000</v>
      </c>
      <c r="T27" s="53">
        <f>DATABASE!U27</f>
        <v>0</v>
      </c>
      <c r="U27" s="53">
        <f>DATABASE!V27</f>
        <v>35000</v>
      </c>
      <c r="V27" s="53">
        <f>DATABASE!W27</f>
        <v>370000</v>
      </c>
      <c r="W27" s="53">
        <f>DATABASE!X27</f>
        <v>0</v>
      </c>
      <c r="X27" s="53">
        <f>DATABASE!Y27</f>
        <v>0</v>
      </c>
      <c r="Y27" s="53">
        <f>DATABASE!Z27</f>
        <v>-35000</v>
      </c>
      <c r="Z27" s="53" t="e">
        <f>DATABASE!#REF!</f>
        <v>#REF!</v>
      </c>
      <c r="AA27" s="53">
        <f>DATABASE!AA27</f>
        <v>0</v>
      </c>
      <c r="AB27" s="54">
        <f>DATABASE!AB27</f>
        <v>47118</v>
      </c>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row>
    <row r="28" spans="1:53">
      <c r="A28" s="52" t="str">
        <f>DATABASE!A28</f>
        <v>Aroeira - HOTEL APARTMENTS</v>
      </c>
      <c r="B28" s="53" t="str">
        <f>DATABASE!B28</f>
        <v>Center</v>
      </c>
      <c r="C28" s="53" t="str">
        <f>DATABASE!C28</f>
        <v>343A</v>
      </c>
      <c r="D28" s="53" t="str">
        <f>DATABASE!E28</f>
        <v>1-BR</v>
      </c>
      <c r="E28" s="53">
        <f>DATABASE!F28</f>
        <v>56.5</v>
      </c>
      <c r="F28" s="53">
        <f>DATABASE!G28</f>
        <v>0</v>
      </c>
      <c r="G28" s="53" t="str">
        <f>DATABASE!H28</f>
        <v>1</v>
      </c>
      <c r="H28" s="53" t="str">
        <f>DATABASE!I28</f>
        <v/>
      </c>
      <c r="I28" s="53">
        <f>DATABASE!J28</f>
        <v>5</v>
      </c>
      <c r="J28" s="53">
        <f>DATABASE!K28</f>
        <v>0</v>
      </c>
      <c r="K28" s="53">
        <f>DATABASE!L28</f>
        <v>0</v>
      </c>
      <c r="L28" s="53">
        <f>DATABASE!M28</f>
        <v>0</v>
      </c>
      <c r="M28" s="53">
        <f>DATABASE!N28</f>
        <v>0</v>
      </c>
      <c r="N28" s="53">
        <f>DATABASE!O28</f>
        <v>51.5</v>
      </c>
      <c r="O28" s="53">
        <f>DATABASE!P28</f>
        <v>0</v>
      </c>
      <c r="P28" s="53" t="str">
        <f>DATABASE!Q28</f>
        <v>AVAILABLE</v>
      </c>
      <c r="Q28" s="53">
        <f>DATABASE!R28</f>
        <v>665000</v>
      </c>
      <c r="R28" s="53">
        <f>DATABASE!S28</f>
        <v>700000</v>
      </c>
      <c r="S28" s="53">
        <f>DATABASE!T28</f>
        <v>405000</v>
      </c>
      <c r="T28" s="53">
        <f>DATABASE!U28</f>
        <v>0</v>
      </c>
      <c r="U28" s="53">
        <f>DATABASE!V28</f>
        <v>35000</v>
      </c>
      <c r="V28" s="53">
        <f>DATABASE!W28</f>
        <v>370000</v>
      </c>
      <c r="W28" s="53">
        <f>DATABASE!X28</f>
        <v>0</v>
      </c>
      <c r="X28" s="53">
        <f>DATABASE!Y28</f>
        <v>0</v>
      </c>
      <c r="Y28" s="53">
        <f>DATABASE!Z28</f>
        <v>-35000</v>
      </c>
      <c r="Z28" s="53" t="e">
        <f>DATABASE!#REF!</f>
        <v>#REF!</v>
      </c>
      <c r="AA28" s="53">
        <f>DATABASE!AA28</f>
        <v>0</v>
      </c>
      <c r="AB28" s="54">
        <f>DATABASE!AB28</f>
        <v>47118</v>
      </c>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row>
    <row r="29" spans="1:53">
      <c r="A29" s="52" t="str">
        <f>DATABASE!A29</f>
        <v>Aroeira - HOTEL APARTMENTS</v>
      </c>
      <c r="B29" s="53" t="str">
        <f>DATABASE!B29</f>
        <v>Center</v>
      </c>
      <c r="C29" s="53" t="str">
        <f>DATABASE!C29</f>
        <v>344A</v>
      </c>
      <c r="D29" s="53" t="str">
        <f>DATABASE!E29</f>
        <v>1-BR</v>
      </c>
      <c r="E29" s="53">
        <f>DATABASE!F29</f>
        <v>56.5</v>
      </c>
      <c r="F29" s="53">
        <f>DATABASE!G29</f>
        <v>0</v>
      </c>
      <c r="G29" s="53" t="str">
        <f>DATABASE!H29</f>
        <v>1</v>
      </c>
      <c r="H29" s="53" t="str">
        <f>DATABASE!I29</f>
        <v/>
      </c>
      <c r="I29" s="53">
        <f>DATABASE!J29</f>
        <v>5</v>
      </c>
      <c r="J29" s="53">
        <f>DATABASE!K29</f>
        <v>0</v>
      </c>
      <c r="K29" s="53">
        <f>DATABASE!L29</f>
        <v>0</v>
      </c>
      <c r="L29" s="53">
        <f>DATABASE!M29</f>
        <v>0</v>
      </c>
      <c r="M29" s="53">
        <f>DATABASE!N29</f>
        <v>0</v>
      </c>
      <c r="N29" s="53">
        <f>DATABASE!O29</f>
        <v>51.5</v>
      </c>
      <c r="O29" s="53">
        <f>DATABASE!P29</f>
        <v>0</v>
      </c>
      <c r="P29" s="53" t="str">
        <f>DATABASE!Q29</f>
        <v>AVAILABLE</v>
      </c>
      <c r="Q29" s="53">
        <f>DATABASE!R29</f>
        <v>705000</v>
      </c>
      <c r="R29" s="53">
        <f>DATABASE!S29</f>
        <v>740000</v>
      </c>
      <c r="S29" s="53">
        <f>DATABASE!T29</f>
        <v>405000</v>
      </c>
      <c r="T29" s="53">
        <f>DATABASE!U29</f>
        <v>0</v>
      </c>
      <c r="U29" s="53">
        <f>DATABASE!V29</f>
        <v>35000</v>
      </c>
      <c r="V29" s="53">
        <f>DATABASE!W29</f>
        <v>370000</v>
      </c>
      <c r="W29" s="53">
        <f>DATABASE!X29</f>
        <v>0</v>
      </c>
      <c r="X29" s="53">
        <f>DATABASE!Y29</f>
        <v>0</v>
      </c>
      <c r="Y29" s="53">
        <f>DATABASE!Z29</f>
        <v>-35000</v>
      </c>
      <c r="Z29" s="53" t="e">
        <f>DATABASE!#REF!</f>
        <v>#REF!</v>
      </c>
      <c r="AA29" s="53">
        <f>DATABASE!AA29</f>
        <v>0</v>
      </c>
      <c r="AB29" s="54">
        <f>DATABASE!AB29</f>
        <v>47118</v>
      </c>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row>
    <row r="30" spans="1:53">
      <c r="A30" s="52" t="str">
        <f>DATABASE!A30</f>
        <v>Aroeira - HOTEL APARTMENTS</v>
      </c>
      <c r="B30" s="53" t="str">
        <f>DATABASE!B30</f>
        <v>Center</v>
      </c>
      <c r="C30" s="53" t="str">
        <f>DATABASE!C30</f>
        <v>345A</v>
      </c>
      <c r="D30" s="53" t="str">
        <f>DATABASE!E30</f>
        <v>1-BR</v>
      </c>
      <c r="E30" s="53">
        <f>DATABASE!F30</f>
        <v>56.5</v>
      </c>
      <c r="F30" s="53">
        <f>DATABASE!G30</f>
        <v>0</v>
      </c>
      <c r="G30" s="53" t="str">
        <f>DATABASE!H30</f>
        <v>1</v>
      </c>
      <c r="H30" s="53" t="str">
        <f>DATABASE!I30</f>
        <v/>
      </c>
      <c r="I30" s="53">
        <f>DATABASE!J30</f>
        <v>5</v>
      </c>
      <c r="J30" s="53">
        <f>DATABASE!K30</f>
        <v>0</v>
      </c>
      <c r="K30" s="53">
        <f>DATABASE!L30</f>
        <v>0</v>
      </c>
      <c r="L30" s="53">
        <f>DATABASE!M30</f>
        <v>0</v>
      </c>
      <c r="M30" s="53">
        <f>DATABASE!N30</f>
        <v>0</v>
      </c>
      <c r="N30" s="53">
        <f>DATABASE!O30</f>
        <v>51.5</v>
      </c>
      <c r="O30" s="53">
        <f>DATABASE!P30</f>
        <v>0</v>
      </c>
      <c r="P30" s="53" t="str">
        <f>DATABASE!Q30</f>
        <v>AVAILABLE</v>
      </c>
      <c r="Q30" s="53">
        <f>DATABASE!R30</f>
        <v>915000</v>
      </c>
      <c r="R30" s="53">
        <f>DATABASE!S30</f>
        <v>950000</v>
      </c>
      <c r="S30" s="53">
        <f>DATABASE!T30</f>
        <v>405000</v>
      </c>
      <c r="T30" s="53">
        <f>DATABASE!U30</f>
        <v>0</v>
      </c>
      <c r="U30" s="53">
        <f>DATABASE!V30</f>
        <v>35000</v>
      </c>
      <c r="V30" s="53">
        <f>DATABASE!W30</f>
        <v>370000</v>
      </c>
      <c r="W30" s="53">
        <f>DATABASE!X30</f>
        <v>0</v>
      </c>
      <c r="X30" s="53">
        <f>DATABASE!Y30</f>
        <v>0</v>
      </c>
      <c r="Y30" s="53">
        <f>DATABASE!Z30</f>
        <v>-35000</v>
      </c>
      <c r="Z30" s="53" t="e">
        <f>DATABASE!#REF!</f>
        <v>#REF!</v>
      </c>
      <c r="AA30" s="53">
        <f>DATABASE!AA30</f>
        <v>0</v>
      </c>
      <c r="AB30" s="54">
        <f>DATABASE!AB30</f>
        <v>47118</v>
      </c>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row>
    <row r="31" spans="1:53">
      <c r="A31" s="52" t="str">
        <f>DATABASE!A31</f>
        <v>Aroeira - HOTEL APARTMENTS</v>
      </c>
      <c r="B31" s="53" t="str">
        <f>DATABASE!B31</f>
        <v>Center</v>
      </c>
      <c r="C31" s="53" t="str">
        <f>DATABASE!C31</f>
        <v>346A</v>
      </c>
      <c r="D31" s="53" t="str">
        <f>DATABASE!E31</f>
        <v>1-BR</v>
      </c>
      <c r="E31" s="53">
        <f>DATABASE!F31</f>
        <v>56.5</v>
      </c>
      <c r="F31" s="53">
        <f>DATABASE!G31</f>
        <v>0</v>
      </c>
      <c r="G31" s="53" t="str">
        <f>DATABASE!H31</f>
        <v>1</v>
      </c>
      <c r="H31" s="53" t="str">
        <f>DATABASE!I31</f>
        <v/>
      </c>
      <c r="I31" s="53">
        <f>DATABASE!J31</f>
        <v>5</v>
      </c>
      <c r="J31" s="53">
        <f>DATABASE!K31</f>
        <v>0</v>
      </c>
      <c r="K31" s="53">
        <f>DATABASE!L31</f>
        <v>0</v>
      </c>
      <c r="L31" s="53">
        <f>DATABASE!M31</f>
        <v>0</v>
      </c>
      <c r="M31" s="53">
        <f>DATABASE!N31</f>
        <v>0</v>
      </c>
      <c r="N31" s="53">
        <f>DATABASE!O31</f>
        <v>51.5</v>
      </c>
      <c r="O31" s="53">
        <f>DATABASE!P31</f>
        <v>0</v>
      </c>
      <c r="P31" s="53" t="str">
        <f>DATABASE!Q31</f>
        <v>AVAILABLE</v>
      </c>
      <c r="Q31" s="53">
        <f>DATABASE!R31</f>
        <v>1055000</v>
      </c>
      <c r="R31" s="53">
        <f>DATABASE!S31</f>
        <v>1090000</v>
      </c>
      <c r="S31" s="53">
        <f>DATABASE!T31</f>
        <v>405000</v>
      </c>
      <c r="T31" s="53">
        <f>DATABASE!U31</f>
        <v>0</v>
      </c>
      <c r="U31" s="53">
        <f>DATABASE!V31</f>
        <v>35000</v>
      </c>
      <c r="V31" s="53">
        <f>DATABASE!W31</f>
        <v>370000</v>
      </c>
      <c r="W31" s="53">
        <f>DATABASE!X31</f>
        <v>0</v>
      </c>
      <c r="X31" s="53">
        <f>DATABASE!Y31</f>
        <v>0</v>
      </c>
      <c r="Y31" s="53">
        <f>DATABASE!Z31</f>
        <v>-35000</v>
      </c>
      <c r="Z31" s="53" t="e">
        <f>DATABASE!#REF!</f>
        <v>#REF!</v>
      </c>
      <c r="AA31" s="53">
        <f>DATABASE!AA31</f>
        <v>0</v>
      </c>
      <c r="AB31" s="54">
        <f>DATABASE!AB31</f>
        <v>47118</v>
      </c>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row>
    <row r="32" spans="1:53">
      <c r="A32" s="52" t="str">
        <f>DATABASE!A32</f>
        <v>Aroeira - HOTEL APARTMENTS</v>
      </c>
      <c r="B32" s="53" t="str">
        <f>DATABASE!B32</f>
        <v>Center</v>
      </c>
      <c r="C32" s="53" t="str">
        <f>DATABASE!C32</f>
        <v>130A</v>
      </c>
      <c r="D32" s="53" t="str">
        <f>DATABASE!E32</f>
        <v>1-BR</v>
      </c>
      <c r="E32" s="53">
        <f>DATABASE!F32</f>
        <v>60.2</v>
      </c>
      <c r="F32" s="53">
        <f>DATABASE!G32</f>
        <v>0</v>
      </c>
      <c r="G32" s="53" t="str">
        <f>DATABASE!H32</f>
        <v>1</v>
      </c>
      <c r="H32" s="53" t="str">
        <f>DATABASE!I32</f>
        <v/>
      </c>
      <c r="I32" s="53">
        <f>DATABASE!J32</f>
        <v>3.9</v>
      </c>
      <c r="J32" s="53">
        <f>DATABASE!K32</f>
        <v>0</v>
      </c>
      <c r="K32" s="53">
        <f>DATABASE!L32</f>
        <v>0</v>
      </c>
      <c r="L32" s="53">
        <f>DATABASE!M32</f>
        <v>0</v>
      </c>
      <c r="M32" s="53">
        <f>DATABASE!N32</f>
        <v>0</v>
      </c>
      <c r="N32" s="53">
        <f>DATABASE!O32</f>
        <v>56.3</v>
      </c>
      <c r="O32" s="53">
        <f>DATABASE!P32</f>
        <v>0</v>
      </c>
      <c r="P32" s="53" t="str">
        <f>DATABASE!Q32</f>
        <v>RESERVED</v>
      </c>
      <c r="Q32" s="53">
        <f>DATABASE!R32</f>
        <v>985000</v>
      </c>
      <c r="R32" s="53">
        <f>DATABASE!S32</f>
        <v>1020000</v>
      </c>
      <c r="S32" s="53">
        <f>DATABASE!T32</f>
        <v>410000</v>
      </c>
      <c r="T32" s="53">
        <f>DATABASE!U32</f>
        <v>0</v>
      </c>
      <c r="U32" s="53">
        <f>DATABASE!V32</f>
        <v>35000</v>
      </c>
      <c r="V32" s="53">
        <f>DATABASE!W32</f>
        <v>375000</v>
      </c>
      <c r="W32" s="53">
        <f>DATABASE!X32</f>
        <v>0</v>
      </c>
      <c r="X32" s="53">
        <f>DATABASE!Y32</f>
        <v>410000</v>
      </c>
      <c r="Y32" s="53">
        <f>DATABASE!Z32</f>
        <v>375000</v>
      </c>
      <c r="Z32" s="53" t="e">
        <f>DATABASE!#REF!</f>
        <v>#REF!</v>
      </c>
      <c r="AA32" s="53">
        <f>DATABASE!AA32</f>
        <v>46120</v>
      </c>
      <c r="AB32" s="54">
        <f>DATABASE!AB32</f>
        <v>47118</v>
      </c>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row>
    <row r="33" spans="1:53">
      <c r="A33" s="52" t="str">
        <f>DATABASE!A33</f>
        <v>Aroeira - HOTEL APARTMENTS</v>
      </c>
      <c r="B33" s="53" t="str">
        <f>DATABASE!B33</f>
        <v>Center</v>
      </c>
      <c r="C33" s="53" t="str">
        <f>DATABASE!C33</f>
        <v>131A</v>
      </c>
      <c r="D33" s="53" t="str">
        <f>DATABASE!E33</f>
        <v>1-BR</v>
      </c>
      <c r="E33" s="53">
        <f>DATABASE!F33</f>
        <v>60.2</v>
      </c>
      <c r="F33" s="53">
        <f>DATABASE!G33</f>
        <v>0</v>
      </c>
      <c r="G33" s="53" t="str">
        <f>DATABASE!H33</f>
        <v>1</v>
      </c>
      <c r="H33" s="53" t="str">
        <f>DATABASE!I33</f>
        <v/>
      </c>
      <c r="I33" s="53">
        <f>DATABASE!J33</f>
        <v>3.9</v>
      </c>
      <c r="J33" s="53">
        <f>DATABASE!K33</f>
        <v>0</v>
      </c>
      <c r="K33" s="53">
        <f>DATABASE!L33</f>
        <v>0</v>
      </c>
      <c r="L33" s="53">
        <f>DATABASE!M33</f>
        <v>0</v>
      </c>
      <c r="M33" s="53">
        <f>DATABASE!N33</f>
        <v>0</v>
      </c>
      <c r="N33" s="53">
        <f>DATABASE!O33</f>
        <v>56.3</v>
      </c>
      <c r="O33" s="53">
        <f>DATABASE!P33</f>
        <v>0</v>
      </c>
      <c r="P33" s="53" t="str">
        <f>DATABASE!Q33</f>
        <v>RESERVED</v>
      </c>
      <c r="Q33" s="53">
        <f>DATABASE!R33</f>
        <v>725000</v>
      </c>
      <c r="R33" s="53">
        <f>DATABASE!S33</f>
        <v>760000</v>
      </c>
      <c r="S33" s="53">
        <f>DATABASE!T33</f>
        <v>410000</v>
      </c>
      <c r="T33" s="53">
        <f>DATABASE!U33</f>
        <v>0</v>
      </c>
      <c r="U33" s="53">
        <f>DATABASE!V33</f>
        <v>35000</v>
      </c>
      <c r="V33" s="53">
        <f>DATABASE!W33</f>
        <v>375000</v>
      </c>
      <c r="W33" s="53">
        <f>DATABASE!X33</f>
        <v>0</v>
      </c>
      <c r="X33" s="53">
        <f>DATABASE!Y33</f>
        <v>410000</v>
      </c>
      <c r="Y33" s="53">
        <f>DATABASE!Z33</f>
        <v>375000</v>
      </c>
      <c r="Z33" s="53" t="e">
        <f>DATABASE!#REF!</f>
        <v>#REF!</v>
      </c>
      <c r="AA33" s="53">
        <f>DATABASE!AA33</f>
        <v>46112</v>
      </c>
      <c r="AB33" s="54">
        <f>DATABASE!AB33</f>
        <v>47118</v>
      </c>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row>
    <row r="34" spans="1:53">
      <c r="A34" s="52" t="str">
        <f>DATABASE!A34</f>
        <v>Aroeira - HOTEL APARTMENTS</v>
      </c>
      <c r="B34" s="53" t="str">
        <f>DATABASE!B34</f>
        <v>Center</v>
      </c>
      <c r="C34" s="53" t="str">
        <f>DATABASE!C34</f>
        <v>132A</v>
      </c>
      <c r="D34" s="53" t="str">
        <f>DATABASE!E34</f>
        <v>1-BR</v>
      </c>
      <c r="E34" s="53">
        <f>DATABASE!F34</f>
        <v>60.2</v>
      </c>
      <c r="F34" s="53">
        <f>DATABASE!G34</f>
        <v>0</v>
      </c>
      <c r="G34" s="53" t="str">
        <f>DATABASE!H34</f>
        <v>1</v>
      </c>
      <c r="H34" s="53" t="str">
        <f>DATABASE!I34</f>
        <v/>
      </c>
      <c r="I34" s="53">
        <f>DATABASE!J34</f>
        <v>3.9</v>
      </c>
      <c r="J34" s="53">
        <f>DATABASE!K34</f>
        <v>0</v>
      </c>
      <c r="K34" s="53">
        <f>DATABASE!L34</f>
        <v>0</v>
      </c>
      <c r="L34" s="53">
        <f>DATABASE!M34</f>
        <v>0</v>
      </c>
      <c r="M34" s="53">
        <f>DATABASE!N34</f>
        <v>0</v>
      </c>
      <c r="N34" s="53">
        <f>DATABASE!O34</f>
        <v>56.3</v>
      </c>
      <c r="O34" s="53">
        <f>DATABASE!P34</f>
        <v>0</v>
      </c>
      <c r="P34" s="53" t="str">
        <f>DATABASE!Q34</f>
        <v>RESERVED</v>
      </c>
      <c r="Q34" s="53">
        <f>DATABASE!R34</f>
        <v>765000</v>
      </c>
      <c r="R34" s="53">
        <f>DATABASE!S34</f>
        <v>800000</v>
      </c>
      <c r="S34" s="53">
        <f>DATABASE!T34</f>
        <v>410000</v>
      </c>
      <c r="T34" s="53">
        <f>DATABASE!U34</f>
        <v>0</v>
      </c>
      <c r="U34" s="53">
        <f>DATABASE!V34</f>
        <v>35000</v>
      </c>
      <c r="V34" s="53">
        <f>DATABASE!W34</f>
        <v>375000</v>
      </c>
      <c r="W34" s="53">
        <f>DATABASE!X34</f>
        <v>0</v>
      </c>
      <c r="X34" s="53">
        <f>DATABASE!Y34</f>
        <v>410000</v>
      </c>
      <c r="Y34" s="53">
        <f>DATABASE!Z34</f>
        <v>375000</v>
      </c>
      <c r="Z34" s="53" t="e">
        <f>DATABASE!#REF!</f>
        <v>#REF!</v>
      </c>
      <c r="AA34" s="53">
        <f>DATABASE!AA34</f>
        <v>46112</v>
      </c>
      <c r="AB34" s="54">
        <f>DATABASE!AB34</f>
        <v>47118</v>
      </c>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row>
    <row r="35" spans="1:53">
      <c r="A35" s="52" t="str">
        <f>DATABASE!A35</f>
        <v>Aroeira - HOTEL APARTMENTS</v>
      </c>
      <c r="B35" s="53" t="str">
        <f>DATABASE!B35</f>
        <v>Center</v>
      </c>
      <c r="C35" s="53" t="str">
        <f>DATABASE!C35</f>
        <v>133A</v>
      </c>
      <c r="D35" s="53" t="str">
        <f>DATABASE!E35</f>
        <v>1-BR</v>
      </c>
      <c r="E35" s="53">
        <f>DATABASE!F35</f>
        <v>60.2</v>
      </c>
      <c r="F35" s="53">
        <f>DATABASE!G35</f>
        <v>0</v>
      </c>
      <c r="G35" s="53" t="str">
        <f>DATABASE!H35</f>
        <v>1</v>
      </c>
      <c r="H35" s="53" t="str">
        <f>DATABASE!I35</f>
        <v/>
      </c>
      <c r="I35" s="53">
        <f>DATABASE!J35</f>
        <v>3.9</v>
      </c>
      <c r="J35" s="53">
        <f>DATABASE!K35</f>
        <v>0</v>
      </c>
      <c r="K35" s="53">
        <f>DATABASE!L35</f>
        <v>0</v>
      </c>
      <c r="L35" s="53">
        <f>DATABASE!M35</f>
        <v>0</v>
      </c>
      <c r="M35" s="53">
        <f>DATABASE!N35</f>
        <v>0</v>
      </c>
      <c r="N35" s="53">
        <f>DATABASE!O35</f>
        <v>56.3</v>
      </c>
      <c r="O35" s="53">
        <f>DATABASE!P35</f>
        <v>0</v>
      </c>
      <c r="P35" s="53" t="str">
        <f>DATABASE!Q35</f>
        <v>RESERVED</v>
      </c>
      <c r="Q35" s="53">
        <f>DATABASE!R35</f>
        <v>885000</v>
      </c>
      <c r="R35" s="53">
        <f>DATABASE!S35</f>
        <v>920000</v>
      </c>
      <c r="S35" s="53">
        <f>DATABASE!T35</f>
        <v>410000</v>
      </c>
      <c r="T35" s="53">
        <f>DATABASE!U35</f>
        <v>0</v>
      </c>
      <c r="U35" s="53">
        <f>DATABASE!V35</f>
        <v>35000</v>
      </c>
      <c r="V35" s="53">
        <f>DATABASE!W35</f>
        <v>375000</v>
      </c>
      <c r="W35" s="53">
        <f>DATABASE!X35</f>
        <v>0</v>
      </c>
      <c r="X35" s="53">
        <f>DATABASE!Y35</f>
        <v>410000</v>
      </c>
      <c r="Y35" s="53">
        <f>DATABASE!Z35</f>
        <v>375000</v>
      </c>
      <c r="Z35" s="53" t="e">
        <f>DATABASE!#REF!</f>
        <v>#REF!</v>
      </c>
      <c r="AA35" s="53">
        <f>DATABASE!AA35</f>
        <v>46146</v>
      </c>
      <c r="AB35" s="54">
        <f>DATABASE!AB35</f>
        <v>47118</v>
      </c>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row>
    <row r="36" spans="1:53">
      <c r="A36" s="52" t="str">
        <f>DATABASE!A36</f>
        <v>Aroeira - HOTEL APARTMENTS</v>
      </c>
      <c r="B36" s="53" t="str">
        <f>DATABASE!B36</f>
        <v>Center</v>
      </c>
      <c r="C36" s="53" t="str">
        <f>DATABASE!C36</f>
        <v>129A</v>
      </c>
      <c r="D36" s="53" t="str">
        <f>DATABASE!E36</f>
        <v>1-BR</v>
      </c>
      <c r="E36" s="53">
        <f>DATABASE!F36</f>
        <v>60.2</v>
      </c>
      <c r="F36" s="53">
        <f>DATABASE!G36</f>
        <v>0</v>
      </c>
      <c r="G36" s="53" t="str">
        <f>DATABASE!H36</f>
        <v>1</v>
      </c>
      <c r="H36" s="53" t="str">
        <f>DATABASE!I36</f>
        <v/>
      </c>
      <c r="I36" s="53">
        <f>DATABASE!J36</f>
        <v>3.9</v>
      </c>
      <c r="J36" s="53">
        <f>DATABASE!K36</f>
        <v>0</v>
      </c>
      <c r="K36" s="53">
        <f>DATABASE!L36</f>
        <v>0</v>
      </c>
      <c r="L36" s="53">
        <f>DATABASE!M36</f>
        <v>0</v>
      </c>
      <c r="M36" s="53">
        <f>DATABASE!N36</f>
        <v>0</v>
      </c>
      <c r="N36" s="53">
        <f>DATABASE!O36</f>
        <v>56.3</v>
      </c>
      <c r="O36" s="53">
        <f>DATABASE!P36</f>
        <v>0</v>
      </c>
      <c r="P36" s="53" t="str">
        <f>DATABASE!Q36</f>
        <v>AVAILABLE</v>
      </c>
      <c r="Q36" s="53">
        <f>DATABASE!R36</f>
        <v>1245000</v>
      </c>
      <c r="R36" s="53">
        <f>DATABASE!S36</f>
        <v>1280000</v>
      </c>
      <c r="S36" s="53">
        <f>DATABASE!T36</f>
        <v>410000</v>
      </c>
      <c r="T36" s="53">
        <f>DATABASE!U36</f>
        <v>0</v>
      </c>
      <c r="U36" s="53">
        <f>DATABASE!V36</f>
        <v>35000</v>
      </c>
      <c r="V36" s="53">
        <f>DATABASE!W36</f>
        <v>375000</v>
      </c>
      <c r="W36" s="53">
        <f>DATABASE!X36</f>
        <v>0</v>
      </c>
      <c r="X36" s="53">
        <f>DATABASE!Y36</f>
        <v>0</v>
      </c>
      <c r="Y36" s="53">
        <f>DATABASE!Z36</f>
        <v>-35000</v>
      </c>
      <c r="Z36" s="53" t="e">
        <f>DATABASE!#REF!</f>
        <v>#REF!</v>
      </c>
      <c r="AA36" s="53">
        <f>DATABASE!AA36</f>
        <v>0</v>
      </c>
      <c r="AB36" s="54">
        <f>DATABASE!AB36</f>
        <v>47118</v>
      </c>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row>
    <row r="37" spans="1:53">
      <c r="A37" s="52" t="str">
        <f>DATABASE!A37</f>
        <v>Aroeira - HOTEL APARTMENTS</v>
      </c>
      <c r="B37" s="53" t="str">
        <f>DATABASE!B37</f>
        <v>Center</v>
      </c>
      <c r="C37" s="53" t="str">
        <f>DATABASE!C37</f>
        <v>238A</v>
      </c>
      <c r="D37" s="53" t="str">
        <f>DATABASE!E37</f>
        <v>1-BR</v>
      </c>
      <c r="E37" s="53">
        <f>DATABASE!F37</f>
        <v>60.2</v>
      </c>
      <c r="F37" s="53">
        <f>DATABASE!G37</f>
        <v>0</v>
      </c>
      <c r="G37" s="53" t="str">
        <f>DATABASE!H37</f>
        <v>1</v>
      </c>
      <c r="H37" s="53" t="str">
        <f>DATABASE!I37</f>
        <v/>
      </c>
      <c r="I37" s="53">
        <f>DATABASE!J37</f>
        <v>3.9</v>
      </c>
      <c r="J37" s="53">
        <f>DATABASE!K37</f>
        <v>0</v>
      </c>
      <c r="K37" s="53">
        <f>DATABASE!L37</f>
        <v>0</v>
      </c>
      <c r="L37" s="53">
        <f>DATABASE!M37</f>
        <v>0</v>
      </c>
      <c r="M37" s="53">
        <f>DATABASE!N37</f>
        <v>0</v>
      </c>
      <c r="N37" s="53">
        <f>DATABASE!O37</f>
        <v>56.3</v>
      </c>
      <c r="O37" s="53">
        <f>DATABASE!P37</f>
        <v>0</v>
      </c>
      <c r="P37" s="53" t="str">
        <f>DATABASE!Q37</f>
        <v>AVAILABLE</v>
      </c>
      <c r="Q37" s="53">
        <f>DATABASE!R37</f>
        <v>825000</v>
      </c>
      <c r="R37" s="53">
        <f>DATABASE!S37</f>
        <v>860000</v>
      </c>
      <c r="S37" s="53">
        <f>DATABASE!T37</f>
        <v>410000</v>
      </c>
      <c r="T37" s="53">
        <f>DATABASE!U37</f>
        <v>0</v>
      </c>
      <c r="U37" s="53">
        <f>DATABASE!V37</f>
        <v>35000</v>
      </c>
      <c r="V37" s="53">
        <f>DATABASE!W37</f>
        <v>375000</v>
      </c>
      <c r="W37" s="53">
        <f>DATABASE!X37</f>
        <v>0</v>
      </c>
      <c r="X37" s="53">
        <f>DATABASE!Y37</f>
        <v>0</v>
      </c>
      <c r="Y37" s="53">
        <f>DATABASE!Z37</f>
        <v>-35000</v>
      </c>
      <c r="Z37" s="53" t="e">
        <f>DATABASE!#REF!</f>
        <v>#REF!</v>
      </c>
      <c r="AA37" s="53">
        <f>DATABASE!AA37</f>
        <v>0</v>
      </c>
      <c r="AB37" s="54">
        <f>DATABASE!AB37</f>
        <v>47118</v>
      </c>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row>
    <row r="38" spans="1:53">
      <c r="A38" s="52" t="str">
        <f>DATABASE!A38</f>
        <v>Aroeira - HOTEL APARTMENTS</v>
      </c>
      <c r="B38" s="53" t="str">
        <f>DATABASE!B38</f>
        <v>Center</v>
      </c>
      <c r="C38" s="53" t="str">
        <f>DATABASE!C38</f>
        <v>239A</v>
      </c>
      <c r="D38" s="53" t="str">
        <f>DATABASE!E38</f>
        <v>1-BR</v>
      </c>
      <c r="E38" s="53">
        <f>DATABASE!F38</f>
        <v>60.2</v>
      </c>
      <c r="F38" s="53">
        <f>DATABASE!G38</f>
        <v>0</v>
      </c>
      <c r="G38" s="53" t="str">
        <f>DATABASE!H38</f>
        <v>1</v>
      </c>
      <c r="H38" s="53" t="str">
        <f>DATABASE!I38</f>
        <v/>
      </c>
      <c r="I38" s="53">
        <f>DATABASE!J38</f>
        <v>3.9</v>
      </c>
      <c r="J38" s="53">
        <f>DATABASE!K38</f>
        <v>0</v>
      </c>
      <c r="K38" s="53">
        <f>DATABASE!L38</f>
        <v>0</v>
      </c>
      <c r="L38" s="53">
        <f>DATABASE!M38</f>
        <v>0</v>
      </c>
      <c r="M38" s="53">
        <f>DATABASE!N38</f>
        <v>0</v>
      </c>
      <c r="N38" s="53">
        <f>DATABASE!O38</f>
        <v>56.3</v>
      </c>
      <c r="O38" s="53">
        <f>DATABASE!P38</f>
        <v>0</v>
      </c>
      <c r="P38" s="53" t="str">
        <f>DATABASE!Q38</f>
        <v>AVAILABLE</v>
      </c>
      <c r="Q38" s="53">
        <f>DATABASE!R38</f>
        <v>745000</v>
      </c>
      <c r="R38" s="53">
        <f>DATABASE!S38</f>
        <v>780000</v>
      </c>
      <c r="S38" s="53">
        <f>DATABASE!T38</f>
        <v>410000</v>
      </c>
      <c r="T38" s="53">
        <f>DATABASE!U38</f>
        <v>0</v>
      </c>
      <c r="U38" s="53">
        <f>DATABASE!V38</f>
        <v>35000</v>
      </c>
      <c r="V38" s="53">
        <f>DATABASE!W38</f>
        <v>375000</v>
      </c>
      <c r="W38" s="53">
        <f>DATABASE!X38</f>
        <v>0</v>
      </c>
      <c r="X38" s="53">
        <f>DATABASE!Y38</f>
        <v>0</v>
      </c>
      <c r="Y38" s="53">
        <f>DATABASE!Z38</f>
        <v>-35000</v>
      </c>
      <c r="Z38" s="53" t="e">
        <f>DATABASE!#REF!</f>
        <v>#REF!</v>
      </c>
      <c r="AA38" s="53">
        <f>DATABASE!AA38</f>
        <v>0</v>
      </c>
      <c r="AB38" s="54">
        <f>DATABASE!AB38</f>
        <v>47118</v>
      </c>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row>
    <row r="39" spans="1:53">
      <c r="A39" s="55" t="str">
        <f>DATABASE!A39</f>
        <v>Aroeira - HOTEL APARTMENTS</v>
      </c>
      <c r="B39" s="56" t="str">
        <f>DATABASE!B39</f>
        <v>Center</v>
      </c>
      <c r="C39" s="56" t="str">
        <f>DATABASE!C39</f>
        <v>240A</v>
      </c>
      <c r="D39" s="56" t="str">
        <f>DATABASE!E39</f>
        <v>1-BR</v>
      </c>
      <c r="E39" s="56">
        <f>DATABASE!F39</f>
        <v>60.2</v>
      </c>
      <c r="F39" s="56">
        <f>DATABASE!G39</f>
        <v>0</v>
      </c>
      <c r="G39" s="56" t="str">
        <f>DATABASE!H39</f>
        <v>1</v>
      </c>
      <c r="H39" s="56" t="str">
        <f>DATABASE!I39</f>
        <v/>
      </c>
      <c r="I39" s="56">
        <f>DATABASE!J39</f>
        <v>3.9</v>
      </c>
      <c r="J39" s="56">
        <f>DATABASE!K39</f>
        <v>0</v>
      </c>
      <c r="K39" s="56">
        <f>DATABASE!L39</f>
        <v>0</v>
      </c>
      <c r="L39" s="56">
        <f>DATABASE!M39</f>
        <v>0</v>
      </c>
      <c r="M39" s="56">
        <f>DATABASE!N39</f>
        <v>0</v>
      </c>
      <c r="N39" s="56">
        <f>DATABASE!O39</f>
        <v>56.3</v>
      </c>
      <c r="O39" s="56">
        <f>DATABASE!P39</f>
        <v>0</v>
      </c>
      <c r="P39" s="56" t="str">
        <f>DATABASE!Q39</f>
        <v>AVAILABLE</v>
      </c>
      <c r="Q39" s="56">
        <f>DATABASE!R39</f>
        <v>635000</v>
      </c>
      <c r="R39" s="56">
        <f>DATABASE!S39</f>
        <v>670000</v>
      </c>
      <c r="S39" s="56">
        <f>DATABASE!T39</f>
        <v>410000</v>
      </c>
      <c r="T39" s="56">
        <f>DATABASE!U39</f>
        <v>0</v>
      </c>
      <c r="U39" s="56">
        <f>DATABASE!V39</f>
        <v>35000</v>
      </c>
      <c r="V39" s="56">
        <f>DATABASE!W39</f>
        <v>375000</v>
      </c>
      <c r="W39" s="56">
        <f>DATABASE!X39</f>
        <v>0</v>
      </c>
      <c r="X39" s="56">
        <f>DATABASE!Y39</f>
        <v>0</v>
      </c>
      <c r="Y39" s="56">
        <f>DATABASE!Z39</f>
        <v>-35000</v>
      </c>
      <c r="Z39" s="56" t="e">
        <f>DATABASE!#REF!</f>
        <v>#REF!</v>
      </c>
      <c r="AA39" s="56">
        <f>DATABASE!AA39</f>
        <v>0</v>
      </c>
      <c r="AB39" s="57">
        <f>DATABASE!AB39</f>
        <v>47118</v>
      </c>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row>
    <row r="65" spans="1:1">
      <c r="A65" s="30"/>
    </row>
    <row r="66" spans="1:1">
      <c r="A66" s="30"/>
    </row>
  </sheetData>
  <autoFilter ref="A1:AB1" xr:uid="{A060DF39-B19A-4A2A-992D-F2DEC6879DFB}"/>
  <conditionalFormatting sqref="A1">
    <cfRule type="containsText" dxfId="66" priority="1" operator="containsText" text="Center">
      <formula>NOT(ISERROR(SEARCH("Center",A1)))</formula>
    </cfRule>
    <cfRule type="containsText" dxfId="65" priority="2" operator="containsText" text="North">
      <formula>NOT(ISERROR(SEARCH("North",A1)))</formula>
    </cfRule>
    <cfRule type="containsText" dxfId="64" priority="3" operator="containsText" text="Algarve">
      <formula>NOT(ISERROR(SEARCH("Algarve",A1)))</formula>
    </cfRule>
    <cfRule type="containsText" dxfId="63" priority="4" operator="containsText" text="Vilamoura">
      <formula>NOT(ISERROR(SEARCH("Vilamoura",A1)))</formula>
    </cfRule>
  </conditionalFormatting>
  <pageMargins left="0.7" right="0.7" top="0.75" bottom="0.75" header="0.3" footer="0.3"/>
  <pageSetup paperSize="8" scale="8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4D82A-A700-42F2-8C64-C6E2F95F500F}">
  <sheetPr>
    <tabColor rgb="FFC2B59E"/>
    <pageSetUpPr fitToPage="1"/>
  </sheetPr>
  <dimension ref="A1:AB49"/>
  <sheetViews>
    <sheetView showGridLines="0" zoomScale="69" zoomScaleNormal="40" zoomScaleSheetLayoutView="70" workbookViewId="0">
      <selection activeCell="S8" sqref="S8"/>
    </sheetView>
  </sheetViews>
  <sheetFormatPr defaultColWidth="8.7109375" defaultRowHeight="15" outlineLevelCol="2"/>
  <cols>
    <col min="1" max="1" width="27.140625" customWidth="1"/>
    <col min="2" max="2" width="19.7109375" bestFit="1" customWidth="1"/>
    <col min="3" max="3" width="22.28515625" bestFit="1" customWidth="1"/>
    <col min="4" max="4" width="14.7109375" bestFit="1" customWidth="1"/>
    <col min="5" max="5" width="21.7109375" hidden="1" customWidth="1" outlineLevel="2"/>
    <col min="6" max="6" width="12" hidden="1" customWidth="1" outlineLevel="2"/>
    <col min="7" max="7" width="16.28515625" hidden="1" customWidth="1" outlineLevel="2"/>
    <col min="8" max="8" width="13.140625" hidden="1" customWidth="1" outlineLevel="2"/>
    <col min="9" max="9" width="25.42578125" hidden="1" customWidth="1" outlineLevel="2"/>
    <col min="10" max="10" width="27.7109375" hidden="1" customWidth="1" outlineLevel="2"/>
    <col min="11" max="11" width="18.28515625" hidden="1" customWidth="1" outlineLevel="1"/>
    <col min="12" max="12" width="13" hidden="1" customWidth="1" outlineLevel="1"/>
    <col min="13" max="13" width="17.7109375" bestFit="1" customWidth="1" collapsed="1"/>
    <col min="14" max="14" width="29.7109375" bestFit="1" customWidth="1"/>
    <col min="15" max="15" width="27" hidden="1" customWidth="1" outlineLevel="1"/>
    <col min="16" max="16" width="29.140625" hidden="1" customWidth="1" outlineLevel="1"/>
    <col min="17" max="17" width="22.140625" hidden="1" customWidth="1" outlineLevel="1"/>
    <col min="18" max="18" width="16" hidden="1" customWidth="1" outlineLevel="1"/>
    <col min="19" max="19" width="26.7109375" bestFit="1" customWidth="1" collapsed="1"/>
    <col min="20" max="20" width="14.42578125" hidden="1" customWidth="1" outlineLevel="1"/>
    <col min="21" max="21" width="17.42578125" bestFit="1" customWidth="1" collapsed="1"/>
    <col min="22" max="22" width="18.140625" bestFit="1" customWidth="1"/>
  </cols>
  <sheetData>
    <row r="1" spans="1:28" s="1" customFormat="1" ht="40.5">
      <c r="A1" s="58" t="s">
        <v>335</v>
      </c>
      <c r="B1" s="59" t="s">
        <v>687</v>
      </c>
      <c r="C1" s="59" t="s">
        <v>770</v>
      </c>
      <c r="D1" s="59" t="s">
        <v>93</v>
      </c>
      <c r="E1" s="59" t="s">
        <v>766</v>
      </c>
      <c r="F1" s="60" t="s">
        <v>678</v>
      </c>
      <c r="G1" s="60" t="s">
        <v>679</v>
      </c>
      <c r="H1" s="60" t="s">
        <v>680</v>
      </c>
      <c r="I1" s="60" t="s">
        <v>681</v>
      </c>
      <c r="J1" s="60" t="s">
        <v>682</v>
      </c>
      <c r="K1" s="60" t="s">
        <v>785</v>
      </c>
      <c r="L1" s="60" t="s">
        <v>683</v>
      </c>
      <c r="M1" s="59" t="s">
        <v>684</v>
      </c>
      <c r="N1" s="59" t="s">
        <v>94</v>
      </c>
      <c r="O1" s="59" t="s">
        <v>95</v>
      </c>
      <c r="P1" s="59" t="s">
        <v>627</v>
      </c>
      <c r="Q1" s="61" t="s">
        <v>331</v>
      </c>
      <c r="R1" s="61" t="s">
        <v>332</v>
      </c>
      <c r="S1" s="61" t="s">
        <v>333</v>
      </c>
      <c r="T1" s="61" t="s">
        <v>685</v>
      </c>
      <c r="U1" s="61" t="s">
        <v>97</v>
      </c>
      <c r="V1" s="59" t="s">
        <v>330</v>
      </c>
      <c r="W1" s="62" t="s">
        <v>767</v>
      </c>
      <c r="X1" s="61" t="s">
        <v>334</v>
      </c>
      <c r="Y1" s="59" t="s">
        <v>98</v>
      </c>
      <c r="Z1" s="59" t="s">
        <v>771</v>
      </c>
      <c r="AA1" s="63" t="s">
        <v>768</v>
      </c>
      <c r="AB1" s="64" t="s">
        <v>7</v>
      </c>
    </row>
    <row r="2" spans="1:28">
      <c r="A2" s="52" t="str">
        <f>DATABASE!A40</f>
        <v>Aroeira - HOTEL APARTMENTS</v>
      </c>
      <c r="B2" s="53" t="str">
        <f>DATABASE!B40</f>
        <v>Center</v>
      </c>
      <c r="C2" s="53" t="str">
        <f>DATABASE!C40</f>
        <v>241A</v>
      </c>
      <c r="D2" s="53" t="str">
        <f>DATABASE!E40</f>
        <v>1-BR</v>
      </c>
      <c r="E2" s="53">
        <f>DATABASE!F40</f>
        <v>60.2</v>
      </c>
      <c r="F2" s="53">
        <f>DATABASE!G40</f>
        <v>0</v>
      </c>
      <c r="G2" s="53" t="str">
        <f>DATABASE!H40</f>
        <v>1</v>
      </c>
      <c r="H2" s="53" t="str">
        <f>DATABASE!I40</f>
        <v/>
      </c>
      <c r="I2" s="53">
        <f>DATABASE!J40</f>
        <v>3.9</v>
      </c>
      <c r="J2" s="53">
        <f>DATABASE!K40</f>
        <v>0</v>
      </c>
      <c r="K2" s="53">
        <f>DATABASE!L40</f>
        <v>0</v>
      </c>
      <c r="L2" s="53">
        <f>DATABASE!M40</f>
        <v>0</v>
      </c>
      <c r="M2" s="53">
        <f>DATABASE!N40</f>
        <v>0</v>
      </c>
      <c r="N2" s="53">
        <f>DATABASE!O40</f>
        <v>56.3</v>
      </c>
      <c r="O2" s="53">
        <f>DATABASE!P40</f>
        <v>0</v>
      </c>
      <c r="P2" s="53" t="str">
        <f>DATABASE!Q40</f>
        <v>AVAILABLE</v>
      </c>
      <c r="Q2" s="53">
        <f>DATABASE!R40</f>
        <v>1005000</v>
      </c>
      <c r="R2" s="53">
        <f>DATABASE!S40</f>
        <v>1040000</v>
      </c>
      <c r="S2" s="53">
        <f>DATABASE!T40</f>
        <v>410000</v>
      </c>
      <c r="T2" s="53">
        <f>DATABASE!U40</f>
        <v>0</v>
      </c>
      <c r="U2" s="53">
        <f>DATABASE!V40</f>
        <v>35000</v>
      </c>
      <c r="V2" s="53">
        <f>DATABASE!W40</f>
        <v>375000</v>
      </c>
      <c r="W2" s="53">
        <f>DATABASE!X40</f>
        <v>0</v>
      </c>
      <c r="X2" s="53">
        <f>DATABASE!Y40</f>
        <v>0</v>
      </c>
      <c r="Y2" s="53">
        <f>DATABASE!Z40</f>
        <v>-35000</v>
      </c>
      <c r="Z2" s="53" t="e">
        <f>DATABASE!#REF!</f>
        <v>#REF!</v>
      </c>
      <c r="AA2" s="53">
        <f>DATABASE!AA40</f>
        <v>0</v>
      </c>
      <c r="AB2" s="54">
        <f>DATABASE!AB40</f>
        <v>47118</v>
      </c>
    </row>
    <row r="3" spans="1:28" s="17" customFormat="1" ht="13.5">
      <c r="A3" s="52" t="str">
        <f>DATABASE!A41</f>
        <v>Aroeira - HOTEL APARTMENTS</v>
      </c>
      <c r="B3" s="53" t="str">
        <f>DATABASE!B41</f>
        <v>Center</v>
      </c>
      <c r="C3" s="53" t="str">
        <f>DATABASE!C41</f>
        <v>242A</v>
      </c>
      <c r="D3" s="53" t="str">
        <f>DATABASE!E41</f>
        <v>1-BR</v>
      </c>
      <c r="E3" s="53">
        <f>DATABASE!F41</f>
        <v>60.2</v>
      </c>
      <c r="F3" s="53">
        <f>DATABASE!G41</f>
        <v>0</v>
      </c>
      <c r="G3" s="53" t="str">
        <f>DATABASE!H41</f>
        <v>1</v>
      </c>
      <c r="H3" s="53" t="str">
        <f>DATABASE!I41</f>
        <v/>
      </c>
      <c r="I3" s="53">
        <f>DATABASE!J41</f>
        <v>3.9</v>
      </c>
      <c r="J3" s="53">
        <f>DATABASE!K41</f>
        <v>0</v>
      </c>
      <c r="K3" s="53">
        <f>DATABASE!L41</f>
        <v>0</v>
      </c>
      <c r="L3" s="53">
        <f>DATABASE!M41</f>
        <v>0</v>
      </c>
      <c r="M3" s="53">
        <f>DATABASE!N41</f>
        <v>0</v>
      </c>
      <c r="N3" s="53">
        <f>DATABASE!O41</f>
        <v>56.3</v>
      </c>
      <c r="O3" s="53">
        <f>DATABASE!P41</f>
        <v>0</v>
      </c>
      <c r="P3" s="53" t="str">
        <f>DATABASE!Q41</f>
        <v>AVAILABLE</v>
      </c>
      <c r="Q3" s="53">
        <f>DATABASE!R41</f>
        <v>715000</v>
      </c>
      <c r="R3" s="53">
        <f>DATABASE!S41</f>
        <v>750000</v>
      </c>
      <c r="S3" s="53">
        <f>DATABASE!T41</f>
        <v>410000</v>
      </c>
      <c r="T3" s="53">
        <f>DATABASE!U41</f>
        <v>0</v>
      </c>
      <c r="U3" s="53">
        <f>DATABASE!V41</f>
        <v>35000</v>
      </c>
      <c r="V3" s="53">
        <f>DATABASE!W41</f>
        <v>375000</v>
      </c>
      <c r="W3" s="53">
        <f>DATABASE!X41</f>
        <v>0</v>
      </c>
      <c r="X3" s="53">
        <f>DATABASE!Y41</f>
        <v>0</v>
      </c>
      <c r="Y3" s="53">
        <f>DATABASE!Z41</f>
        <v>-35000</v>
      </c>
      <c r="Z3" s="53" t="e">
        <f>DATABASE!#REF!</f>
        <v>#REF!</v>
      </c>
      <c r="AA3" s="53">
        <f>DATABASE!AA41</f>
        <v>0</v>
      </c>
      <c r="AB3" s="54">
        <f>DATABASE!AB41</f>
        <v>47118</v>
      </c>
    </row>
    <row r="4" spans="1:28">
      <c r="A4" s="52" t="str">
        <f>DATABASE!A42</f>
        <v>Aroeira - VILLAS</v>
      </c>
      <c r="B4" s="53" t="str">
        <f>DATABASE!B42</f>
        <v>Center</v>
      </c>
      <c r="C4" s="53" t="str">
        <f>DATABASE!C42</f>
        <v>05D</v>
      </c>
      <c r="D4" s="53" t="str">
        <f>DATABASE!E42</f>
        <v>T4</v>
      </c>
      <c r="E4" s="53">
        <f>DATABASE!F42</f>
        <v>559</v>
      </c>
      <c r="F4" s="53">
        <f>DATABASE!G42</f>
        <v>0</v>
      </c>
      <c r="G4" s="53" t="str">
        <f>DATABASE!H42</f>
        <v>2</v>
      </c>
      <c r="H4" s="53" t="str">
        <f>DATABASE!I42</f>
        <v>1</v>
      </c>
      <c r="I4" s="53">
        <f>DATABASE!J42</f>
        <v>0</v>
      </c>
      <c r="J4" s="53">
        <f>DATABASE!K42</f>
        <v>0</v>
      </c>
      <c r="K4" s="53">
        <f>DATABASE!L42</f>
        <v>0</v>
      </c>
      <c r="L4" s="53">
        <f>DATABASE!M42</f>
        <v>196</v>
      </c>
      <c r="M4" s="53">
        <f>DATABASE!N42</f>
        <v>65</v>
      </c>
      <c r="N4" s="53">
        <f>DATABASE!O42</f>
        <v>298</v>
      </c>
      <c r="O4" s="53">
        <f>DATABASE!P42</f>
        <v>0</v>
      </c>
      <c r="P4" s="53" t="str">
        <f>DATABASE!Q42</f>
        <v xml:space="preserve">PSPA </v>
      </c>
      <c r="Q4" s="53">
        <f>DATABASE!R42</f>
        <v>2500000</v>
      </c>
      <c r="R4" s="53">
        <f>DATABASE!S42</f>
        <v>2570000</v>
      </c>
      <c r="S4" s="53">
        <f>DATABASE!T42</f>
        <v>2570000</v>
      </c>
      <c r="T4" s="53">
        <f>DATABASE!U42</f>
        <v>0</v>
      </c>
      <c r="U4" s="53">
        <f>DATABASE!V42</f>
        <v>70000</v>
      </c>
      <c r="V4" s="53">
        <f>DATABASE!W42</f>
        <v>2500000</v>
      </c>
      <c r="W4" s="53">
        <f>DATABASE!X42</f>
        <v>0</v>
      </c>
      <c r="X4" s="53">
        <f>DATABASE!Y42</f>
        <v>2570000</v>
      </c>
      <c r="Y4" s="53">
        <f>DATABASE!Z42</f>
        <v>2500000</v>
      </c>
      <c r="Z4" s="53" t="e">
        <f>DATABASE!#REF!</f>
        <v>#REF!</v>
      </c>
      <c r="AA4" s="53" t="e">
        <f>DATABASE!#REF!</f>
        <v>#REF!</v>
      </c>
      <c r="AB4" s="54">
        <f>DATABASE!AB42</f>
        <v>47118</v>
      </c>
    </row>
    <row r="5" spans="1:28">
      <c r="A5" s="52" t="str">
        <f>DATABASE!A43</f>
        <v>Aroeira - HOTEL APARTMENTS</v>
      </c>
      <c r="B5" s="53" t="str">
        <f>DATABASE!B43</f>
        <v>Center</v>
      </c>
      <c r="C5" s="53" t="str">
        <f>DATABASE!C43</f>
        <v>102A</v>
      </c>
      <c r="D5" s="53" t="str">
        <f>DATABASE!E43</f>
        <v>1-BR</v>
      </c>
      <c r="E5" s="53">
        <f>DATABASE!F43</f>
        <v>65</v>
      </c>
      <c r="F5" s="53">
        <f>DATABASE!G43</f>
        <v>0</v>
      </c>
      <c r="G5" s="53" t="str">
        <f>DATABASE!H43</f>
        <v>1</v>
      </c>
      <c r="H5" s="53" t="str">
        <f>DATABASE!I43</f>
        <v/>
      </c>
      <c r="I5" s="53">
        <f>DATABASE!J43</f>
        <v>8.6999999999999993</v>
      </c>
      <c r="J5" s="53">
        <f>DATABASE!K43</f>
        <v>0</v>
      </c>
      <c r="K5" s="53">
        <f>DATABASE!L43</f>
        <v>0</v>
      </c>
      <c r="L5" s="53">
        <f>DATABASE!M43</f>
        <v>0</v>
      </c>
      <c r="M5" s="53">
        <f>DATABASE!N43</f>
        <v>0</v>
      </c>
      <c r="N5" s="53">
        <f>DATABASE!O43</f>
        <v>56.3</v>
      </c>
      <c r="O5" s="53">
        <f>DATABASE!P43</f>
        <v>0</v>
      </c>
      <c r="P5" s="53" t="str">
        <f>DATABASE!Q43</f>
        <v>AVAILABLE</v>
      </c>
      <c r="Q5" s="53">
        <f>DATABASE!R43</f>
        <v>805000</v>
      </c>
      <c r="R5" s="53">
        <f>DATABASE!S43</f>
        <v>840000</v>
      </c>
      <c r="S5" s="53">
        <f>DATABASE!T43</f>
        <v>415000</v>
      </c>
      <c r="T5" s="53">
        <f>DATABASE!U43</f>
        <v>0</v>
      </c>
      <c r="U5" s="53">
        <f>DATABASE!V43</f>
        <v>35000</v>
      </c>
      <c r="V5" s="53">
        <f>DATABASE!W43</f>
        <v>380000</v>
      </c>
      <c r="W5" s="53">
        <f>DATABASE!X43</f>
        <v>0</v>
      </c>
      <c r="X5" s="53">
        <f>DATABASE!Y43</f>
        <v>0</v>
      </c>
      <c r="Y5" s="53">
        <f>DATABASE!Z43</f>
        <v>-35000</v>
      </c>
      <c r="Z5" s="53" t="e">
        <f>DATABASE!#REF!</f>
        <v>#REF!</v>
      </c>
      <c r="AA5" s="53">
        <f>DATABASE!AA43</f>
        <v>0</v>
      </c>
      <c r="AB5" s="54">
        <f>DATABASE!AB43</f>
        <v>47118</v>
      </c>
    </row>
    <row r="6" spans="1:28">
      <c r="A6" s="52" t="str">
        <f>DATABASE!A44</f>
        <v>Aroeira - HOTEL APARTMENTS</v>
      </c>
      <c r="B6" s="53" t="str">
        <f>DATABASE!B44</f>
        <v>Center</v>
      </c>
      <c r="C6" s="53" t="str">
        <f>DATABASE!C44</f>
        <v>104A</v>
      </c>
      <c r="D6" s="53" t="str">
        <f>DATABASE!E44</f>
        <v>1-BR</v>
      </c>
      <c r="E6" s="53">
        <f>DATABASE!F44</f>
        <v>65</v>
      </c>
      <c r="F6" s="53">
        <f>DATABASE!G44</f>
        <v>0</v>
      </c>
      <c r="G6" s="53" t="str">
        <f>DATABASE!H44</f>
        <v>1</v>
      </c>
      <c r="H6" s="53" t="str">
        <f>DATABASE!I44</f>
        <v/>
      </c>
      <c r="I6" s="53">
        <f>DATABASE!J44</f>
        <v>8.6999999999999993</v>
      </c>
      <c r="J6" s="53">
        <f>DATABASE!K44</f>
        <v>0</v>
      </c>
      <c r="K6" s="53">
        <f>DATABASE!L44</f>
        <v>0</v>
      </c>
      <c r="L6" s="53">
        <f>DATABASE!M44</f>
        <v>0</v>
      </c>
      <c r="M6" s="53">
        <f>DATABASE!N44</f>
        <v>0</v>
      </c>
      <c r="N6" s="53">
        <f>DATABASE!O44</f>
        <v>56.3</v>
      </c>
      <c r="O6" s="53">
        <f>DATABASE!P44</f>
        <v>0</v>
      </c>
      <c r="P6" s="53" t="str">
        <f>DATABASE!Q44</f>
        <v>AVAILABLE</v>
      </c>
      <c r="Q6" s="53">
        <f>DATABASE!R44</f>
        <v>915000</v>
      </c>
      <c r="R6" s="53">
        <f>DATABASE!S44</f>
        <v>950000</v>
      </c>
      <c r="S6" s="53">
        <f>DATABASE!T44</f>
        <v>415000</v>
      </c>
      <c r="T6" s="53">
        <f>DATABASE!U44</f>
        <v>0</v>
      </c>
      <c r="U6" s="53">
        <f>DATABASE!V44</f>
        <v>35000</v>
      </c>
      <c r="V6" s="53">
        <f>DATABASE!W44</f>
        <v>380000</v>
      </c>
      <c r="W6" s="53">
        <f>DATABASE!X44</f>
        <v>0</v>
      </c>
      <c r="X6" s="53">
        <f>DATABASE!Y44</f>
        <v>0</v>
      </c>
      <c r="Y6" s="53">
        <f>DATABASE!Z44</f>
        <v>-35000</v>
      </c>
      <c r="Z6" s="53" t="e">
        <f>DATABASE!#REF!</f>
        <v>#REF!</v>
      </c>
      <c r="AA6" s="53">
        <f>DATABASE!AA44</f>
        <v>0</v>
      </c>
      <c r="AB6" s="54">
        <f>DATABASE!AB44</f>
        <v>47118</v>
      </c>
    </row>
    <row r="7" spans="1:28">
      <c r="A7" s="52" t="str">
        <f>DATABASE!A45</f>
        <v>Aroeira - HOTEL APARTMENTS</v>
      </c>
      <c r="B7" s="53" t="str">
        <f>DATABASE!B45</f>
        <v>Center</v>
      </c>
      <c r="C7" s="53" t="str">
        <f>DATABASE!C45</f>
        <v>105A</v>
      </c>
      <c r="D7" s="53" t="str">
        <f>DATABASE!E45</f>
        <v>1-BR</v>
      </c>
      <c r="E7" s="53">
        <f>DATABASE!F45</f>
        <v>65</v>
      </c>
      <c r="F7" s="53">
        <f>DATABASE!G45</f>
        <v>0</v>
      </c>
      <c r="G7" s="53" t="str">
        <f>DATABASE!H45</f>
        <v>1</v>
      </c>
      <c r="H7" s="53" t="str">
        <f>DATABASE!I45</f>
        <v/>
      </c>
      <c r="I7" s="53">
        <f>DATABASE!J45</f>
        <v>8.6999999999999993</v>
      </c>
      <c r="J7" s="53">
        <f>DATABASE!K45</f>
        <v>0</v>
      </c>
      <c r="K7" s="53">
        <f>DATABASE!L45</f>
        <v>0</v>
      </c>
      <c r="L7" s="53">
        <f>DATABASE!M45</f>
        <v>0</v>
      </c>
      <c r="M7" s="53">
        <f>DATABASE!N45</f>
        <v>0</v>
      </c>
      <c r="N7" s="53">
        <f>DATABASE!O45</f>
        <v>56.3</v>
      </c>
      <c r="O7" s="53">
        <f>DATABASE!P45</f>
        <v>0</v>
      </c>
      <c r="P7" s="53" t="str">
        <f>DATABASE!Q45</f>
        <v>AVAILABLE</v>
      </c>
      <c r="Q7" s="53">
        <f>DATABASE!R45</f>
        <v>755000</v>
      </c>
      <c r="R7" s="53">
        <f>DATABASE!S45</f>
        <v>790000</v>
      </c>
      <c r="S7" s="53">
        <f>DATABASE!T45</f>
        <v>415000</v>
      </c>
      <c r="T7" s="53">
        <f>DATABASE!U45</f>
        <v>0</v>
      </c>
      <c r="U7" s="53">
        <f>DATABASE!V45</f>
        <v>35000</v>
      </c>
      <c r="V7" s="53">
        <f>DATABASE!W45</f>
        <v>380000</v>
      </c>
      <c r="W7" s="53">
        <f>DATABASE!X45</f>
        <v>0</v>
      </c>
      <c r="X7" s="53">
        <f>DATABASE!Y45</f>
        <v>0</v>
      </c>
      <c r="Y7" s="53">
        <f>DATABASE!Z45</f>
        <v>-35000</v>
      </c>
      <c r="Z7" s="53" t="e">
        <f>DATABASE!#REF!</f>
        <v>#REF!</v>
      </c>
      <c r="AA7" s="53">
        <f>DATABASE!AA45</f>
        <v>0</v>
      </c>
      <c r="AB7" s="54">
        <f>DATABASE!AB45</f>
        <v>47118</v>
      </c>
    </row>
    <row r="8" spans="1:28">
      <c r="A8" s="52" t="str">
        <f>DATABASE!A46</f>
        <v>Aroeira - HOTEL APARTMENTS</v>
      </c>
      <c r="B8" s="53" t="str">
        <f>DATABASE!B46</f>
        <v>Center</v>
      </c>
      <c r="C8" s="53" t="str">
        <f>DATABASE!C46</f>
        <v>106A</v>
      </c>
      <c r="D8" s="53" t="str">
        <f>DATABASE!E46</f>
        <v>1-BR</v>
      </c>
      <c r="E8" s="53">
        <f>DATABASE!F46</f>
        <v>65</v>
      </c>
      <c r="F8" s="53">
        <f>DATABASE!G46</f>
        <v>0</v>
      </c>
      <c r="G8" s="53" t="str">
        <f>DATABASE!H46</f>
        <v>1</v>
      </c>
      <c r="H8" s="53" t="str">
        <f>DATABASE!I46</f>
        <v/>
      </c>
      <c r="I8" s="53">
        <f>DATABASE!J46</f>
        <v>8.6999999999999993</v>
      </c>
      <c r="J8" s="53">
        <f>DATABASE!K46</f>
        <v>0</v>
      </c>
      <c r="K8" s="53">
        <f>DATABASE!L46</f>
        <v>0</v>
      </c>
      <c r="L8" s="53">
        <f>DATABASE!M46</f>
        <v>0</v>
      </c>
      <c r="M8" s="53">
        <f>DATABASE!N46</f>
        <v>0</v>
      </c>
      <c r="N8" s="53">
        <f>DATABASE!O46</f>
        <v>56.3</v>
      </c>
      <c r="O8" s="53">
        <f>DATABASE!P46</f>
        <v>0</v>
      </c>
      <c r="P8" s="53" t="str">
        <f>DATABASE!Q46</f>
        <v>AVAILABLE</v>
      </c>
      <c r="Q8" s="53">
        <f>DATABASE!R46</f>
        <v>855000</v>
      </c>
      <c r="R8" s="53">
        <f>DATABASE!S46</f>
        <v>890000</v>
      </c>
      <c r="S8" s="53">
        <f>DATABASE!T46</f>
        <v>415000</v>
      </c>
      <c r="T8" s="53">
        <f>DATABASE!U46</f>
        <v>0</v>
      </c>
      <c r="U8" s="53">
        <f>DATABASE!V46</f>
        <v>35000</v>
      </c>
      <c r="V8" s="53">
        <f>DATABASE!W46</f>
        <v>380000</v>
      </c>
      <c r="W8" s="53">
        <f>DATABASE!X46</f>
        <v>0</v>
      </c>
      <c r="X8" s="53">
        <f>DATABASE!Y46</f>
        <v>0</v>
      </c>
      <c r="Y8" s="53">
        <f>DATABASE!Z46</f>
        <v>-35000</v>
      </c>
      <c r="Z8" s="53" t="e">
        <f>DATABASE!#REF!</f>
        <v>#REF!</v>
      </c>
      <c r="AA8" s="53">
        <f>DATABASE!AA46</f>
        <v>0</v>
      </c>
      <c r="AB8" s="54">
        <f>DATABASE!AB46</f>
        <v>47118</v>
      </c>
    </row>
    <row r="9" spans="1:28">
      <c r="A9" s="52" t="str">
        <f>DATABASE!A47</f>
        <v>Aroeira - HOTEL APARTMENTS</v>
      </c>
      <c r="B9" s="53" t="str">
        <f>DATABASE!B47</f>
        <v>Center</v>
      </c>
      <c r="C9" s="53" t="str">
        <f>DATABASE!C47</f>
        <v>107A</v>
      </c>
      <c r="D9" s="53" t="str">
        <f>DATABASE!E47</f>
        <v>1-BR</v>
      </c>
      <c r="E9" s="53">
        <f>DATABASE!F47</f>
        <v>65</v>
      </c>
      <c r="F9" s="53">
        <f>DATABASE!G47</f>
        <v>0</v>
      </c>
      <c r="G9" s="53" t="str">
        <f>DATABASE!H47</f>
        <v>1</v>
      </c>
      <c r="H9" s="53" t="str">
        <f>DATABASE!I47</f>
        <v/>
      </c>
      <c r="I9" s="53">
        <f>DATABASE!J47</f>
        <v>8.6999999999999993</v>
      </c>
      <c r="J9" s="53">
        <f>DATABASE!K47</f>
        <v>0</v>
      </c>
      <c r="K9" s="53">
        <f>DATABASE!L47</f>
        <v>0</v>
      </c>
      <c r="L9" s="53">
        <f>DATABASE!M47</f>
        <v>0</v>
      </c>
      <c r="M9" s="53">
        <f>DATABASE!N47</f>
        <v>0</v>
      </c>
      <c r="N9" s="53">
        <f>DATABASE!O47</f>
        <v>56.3</v>
      </c>
      <c r="O9" s="53">
        <f>DATABASE!P47</f>
        <v>0</v>
      </c>
      <c r="P9" s="53" t="str">
        <f>DATABASE!Q47</f>
        <v>AVAILABLE</v>
      </c>
      <c r="Q9" s="53">
        <f>DATABASE!R47</f>
        <v>825000</v>
      </c>
      <c r="R9" s="53">
        <f>DATABASE!S47</f>
        <v>860000</v>
      </c>
      <c r="S9" s="53">
        <f>DATABASE!T47</f>
        <v>415000</v>
      </c>
      <c r="T9" s="53">
        <f>DATABASE!U47</f>
        <v>0</v>
      </c>
      <c r="U9" s="53">
        <f>DATABASE!V47</f>
        <v>35000</v>
      </c>
      <c r="V9" s="53">
        <f>DATABASE!W47</f>
        <v>380000</v>
      </c>
      <c r="W9" s="53">
        <f>DATABASE!X47</f>
        <v>0</v>
      </c>
      <c r="X9" s="53">
        <f>DATABASE!Y47</f>
        <v>0</v>
      </c>
      <c r="Y9" s="53">
        <f>DATABASE!Z47</f>
        <v>-35000</v>
      </c>
      <c r="Z9" s="53" t="e">
        <f>DATABASE!#REF!</f>
        <v>#REF!</v>
      </c>
      <c r="AA9" s="53">
        <f>DATABASE!AA47</f>
        <v>0</v>
      </c>
      <c r="AB9" s="54">
        <f>DATABASE!AB47</f>
        <v>47118</v>
      </c>
    </row>
    <row r="10" spans="1:28">
      <c r="A10" s="52" t="str">
        <f>DATABASE!A48</f>
        <v>Aroeira - HOTEL APARTMENTS</v>
      </c>
      <c r="B10" s="53" t="str">
        <f>DATABASE!B48</f>
        <v>Center</v>
      </c>
      <c r="C10" s="53" t="str">
        <f>DATABASE!C48</f>
        <v>108A</v>
      </c>
      <c r="D10" s="53" t="str">
        <f>DATABASE!E48</f>
        <v>1-BR</v>
      </c>
      <c r="E10" s="53">
        <f>DATABASE!F48</f>
        <v>65</v>
      </c>
      <c r="F10" s="53">
        <f>DATABASE!G48</f>
        <v>0</v>
      </c>
      <c r="G10" s="53" t="str">
        <f>DATABASE!H48</f>
        <v>1</v>
      </c>
      <c r="H10" s="53" t="str">
        <f>DATABASE!I48</f>
        <v/>
      </c>
      <c r="I10" s="53">
        <f>DATABASE!J48</f>
        <v>8.6999999999999993</v>
      </c>
      <c r="J10" s="53">
        <f>DATABASE!K48</f>
        <v>0</v>
      </c>
      <c r="K10" s="53">
        <f>DATABASE!L48</f>
        <v>0</v>
      </c>
      <c r="L10" s="53">
        <f>DATABASE!M48</f>
        <v>0</v>
      </c>
      <c r="M10" s="53">
        <f>DATABASE!N48</f>
        <v>0</v>
      </c>
      <c r="N10" s="53">
        <f>DATABASE!O48</f>
        <v>56.3</v>
      </c>
      <c r="O10" s="53">
        <f>DATABASE!P48</f>
        <v>0</v>
      </c>
      <c r="P10" s="53" t="str">
        <f>DATABASE!Q48</f>
        <v>AVAILABLE</v>
      </c>
      <c r="Q10" s="53">
        <f>DATABASE!R48</f>
        <v>925000</v>
      </c>
      <c r="R10" s="53">
        <f>DATABASE!S48</f>
        <v>960000</v>
      </c>
      <c r="S10" s="53">
        <f>DATABASE!T48</f>
        <v>415000</v>
      </c>
      <c r="T10" s="53">
        <f>DATABASE!U48</f>
        <v>0</v>
      </c>
      <c r="U10" s="53">
        <f>DATABASE!V48</f>
        <v>35000</v>
      </c>
      <c r="V10" s="53">
        <f>DATABASE!W48</f>
        <v>380000</v>
      </c>
      <c r="W10" s="53">
        <f>DATABASE!X48</f>
        <v>0</v>
      </c>
      <c r="X10" s="53">
        <f>DATABASE!Y48</f>
        <v>0</v>
      </c>
      <c r="Y10" s="53">
        <f>DATABASE!Z48</f>
        <v>-35000</v>
      </c>
      <c r="Z10" s="53" t="e">
        <f>DATABASE!#REF!</f>
        <v>#REF!</v>
      </c>
      <c r="AA10" s="53">
        <f>DATABASE!AA48</f>
        <v>0</v>
      </c>
      <c r="AB10" s="54">
        <f>DATABASE!AB48</f>
        <v>47118</v>
      </c>
    </row>
    <row r="11" spans="1:28">
      <c r="A11" s="52" t="str">
        <f>DATABASE!A49</f>
        <v>Palmares - Plots</v>
      </c>
      <c r="B11" s="53" t="str">
        <f>DATABASE!B49</f>
        <v>Algarve</v>
      </c>
      <c r="C11" s="53" t="str">
        <f>DATABASE!C49</f>
        <v>101</v>
      </c>
      <c r="D11" s="53" t="str">
        <f>DATABASE!E49</f>
        <v>Plot</v>
      </c>
      <c r="E11" s="53">
        <f>DATABASE!F49</f>
        <v>340</v>
      </c>
      <c r="F11" s="53">
        <f>DATABASE!G49</f>
        <v>0</v>
      </c>
      <c r="G11" s="53" t="str">
        <f>DATABASE!H49</f>
        <v/>
      </c>
      <c r="H11" s="53" t="str">
        <f>DATABASE!I49</f>
        <v/>
      </c>
      <c r="I11" s="53">
        <f>DATABASE!J49</f>
        <v>0</v>
      </c>
      <c r="J11" s="53">
        <f>DATABASE!K49</f>
        <v>0</v>
      </c>
      <c r="K11" s="53">
        <f>DATABASE!L49</f>
        <v>0</v>
      </c>
      <c r="L11" s="53">
        <f>DATABASE!M49</f>
        <v>0</v>
      </c>
      <c r="M11" s="53">
        <f>DATABASE!N49</f>
        <v>0</v>
      </c>
      <c r="N11" s="53">
        <f>DATABASE!O49</f>
        <v>340</v>
      </c>
      <c r="O11" s="53">
        <f>DATABASE!P49</f>
        <v>0</v>
      </c>
      <c r="P11" s="53" t="str">
        <f>DATABASE!Q49</f>
        <v>AVAILABLE</v>
      </c>
      <c r="Q11" s="53">
        <f>DATABASE!R49</f>
        <v>820000</v>
      </c>
      <c r="R11" s="53">
        <f>DATABASE!S49</f>
        <v>820000</v>
      </c>
      <c r="S11" s="53">
        <f>DATABASE!T49</f>
        <v>1600000</v>
      </c>
      <c r="T11" s="53">
        <f>DATABASE!U49</f>
        <v>0</v>
      </c>
      <c r="U11" s="53">
        <f>DATABASE!V49</f>
        <v>0</v>
      </c>
      <c r="V11" s="53">
        <f>DATABASE!W49</f>
        <v>1600000</v>
      </c>
      <c r="W11" s="53">
        <f>DATABASE!X49</f>
        <v>0</v>
      </c>
      <c r="X11" s="53">
        <f>DATABASE!Y49</f>
        <v>1600000</v>
      </c>
      <c r="Y11" s="53">
        <f>DATABASE!Z49</f>
        <v>1600000</v>
      </c>
      <c r="Z11" s="53" t="e">
        <f>DATABASE!#REF!</f>
        <v>#REF!</v>
      </c>
      <c r="AA11" s="53">
        <f>DATABASE!AA49</f>
        <v>0</v>
      </c>
      <c r="AB11" s="54">
        <f>DATABASE!AB49</f>
        <v>46843</v>
      </c>
    </row>
    <row r="12" spans="1:28">
      <c r="A12" s="52" t="str">
        <f>DATABASE!A50</f>
        <v>Palmares - Plots</v>
      </c>
      <c r="B12" s="53" t="str">
        <f>DATABASE!B50</f>
        <v>Algarve</v>
      </c>
      <c r="C12" s="53" t="str">
        <f>DATABASE!C50</f>
        <v>102</v>
      </c>
      <c r="D12" s="53" t="str">
        <f>DATABASE!E50</f>
        <v>Plot</v>
      </c>
      <c r="E12" s="53">
        <f>DATABASE!F50</f>
        <v>500</v>
      </c>
      <c r="F12" s="53">
        <f>DATABASE!G50</f>
        <v>0</v>
      </c>
      <c r="G12" s="53" t="str">
        <f>DATABASE!H50</f>
        <v/>
      </c>
      <c r="H12" s="53" t="str">
        <f>DATABASE!I50</f>
        <v/>
      </c>
      <c r="I12" s="53">
        <f>DATABASE!J50</f>
        <v>0</v>
      </c>
      <c r="J12" s="53">
        <f>DATABASE!K50</f>
        <v>0</v>
      </c>
      <c r="K12" s="53">
        <f>DATABASE!L50</f>
        <v>0</v>
      </c>
      <c r="L12" s="53">
        <f>DATABASE!M50</f>
        <v>0</v>
      </c>
      <c r="M12" s="53">
        <f>DATABASE!N50</f>
        <v>0</v>
      </c>
      <c r="N12" s="53">
        <f>DATABASE!O50</f>
        <v>500</v>
      </c>
      <c r="O12" s="53">
        <f>DATABASE!P50</f>
        <v>0</v>
      </c>
      <c r="P12" s="53" t="str">
        <f>DATABASE!Q50</f>
        <v>AVAILABLE</v>
      </c>
      <c r="Q12" s="53">
        <f>DATABASE!R50</f>
        <v>800000</v>
      </c>
      <c r="R12" s="53">
        <f>DATABASE!S50</f>
        <v>800000</v>
      </c>
      <c r="S12" s="53">
        <f>DATABASE!T50</f>
        <v>1800000</v>
      </c>
      <c r="T12" s="53">
        <f>DATABASE!U50</f>
        <v>0</v>
      </c>
      <c r="U12" s="53">
        <f>DATABASE!V50</f>
        <v>0</v>
      </c>
      <c r="V12" s="53">
        <f>DATABASE!W50</f>
        <v>1800000</v>
      </c>
      <c r="W12" s="53">
        <f>DATABASE!X50</f>
        <v>0</v>
      </c>
      <c r="X12" s="53">
        <f>DATABASE!Y50</f>
        <v>1800000</v>
      </c>
      <c r="Y12" s="53">
        <f>DATABASE!Z50</f>
        <v>1800000</v>
      </c>
      <c r="Z12" s="53" t="e">
        <f>DATABASE!#REF!</f>
        <v>#REF!</v>
      </c>
      <c r="AA12" s="53">
        <f>DATABASE!AA50</f>
        <v>0</v>
      </c>
      <c r="AB12" s="54">
        <f>DATABASE!AB50</f>
        <v>46843</v>
      </c>
    </row>
    <row r="13" spans="1:28">
      <c r="A13" s="52" t="str">
        <f>DATABASE!A51</f>
        <v>Palmares - Plots</v>
      </c>
      <c r="B13" s="53" t="str">
        <f>DATABASE!B51</f>
        <v>Algarve</v>
      </c>
      <c r="C13" s="53" t="str">
        <f>DATABASE!C51</f>
        <v>103</v>
      </c>
      <c r="D13" s="53" t="str">
        <f>DATABASE!E51</f>
        <v>Plot</v>
      </c>
      <c r="E13" s="53">
        <f>DATABASE!F51</f>
        <v>500</v>
      </c>
      <c r="F13" s="53">
        <f>DATABASE!G51</f>
        <v>0</v>
      </c>
      <c r="G13" s="53" t="str">
        <f>DATABASE!H51</f>
        <v/>
      </c>
      <c r="H13" s="53" t="str">
        <f>DATABASE!I51</f>
        <v/>
      </c>
      <c r="I13" s="53">
        <f>DATABASE!J51</f>
        <v>0</v>
      </c>
      <c r="J13" s="53">
        <f>DATABASE!K51</f>
        <v>0</v>
      </c>
      <c r="K13" s="53">
        <f>DATABASE!L51</f>
        <v>0</v>
      </c>
      <c r="L13" s="53">
        <f>DATABASE!M51</f>
        <v>0</v>
      </c>
      <c r="M13" s="53">
        <f>DATABASE!N51</f>
        <v>0</v>
      </c>
      <c r="N13" s="53">
        <f>DATABASE!O51</f>
        <v>500</v>
      </c>
      <c r="O13" s="53">
        <f>DATABASE!P51</f>
        <v>0</v>
      </c>
      <c r="P13" s="53" t="str">
        <f>DATABASE!Q51</f>
        <v>AVAILABLE</v>
      </c>
      <c r="Q13" s="53">
        <f>DATABASE!R51</f>
        <v>930000</v>
      </c>
      <c r="R13" s="53">
        <f>DATABASE!S51</f>
        <v>930000</v>
      </c>
      <c r="S13" s="53">
        <f>DATABASE!T51</f>
        <v>2400000</v>
      </c>
      <c r="T13" s="53">
        <f>DATABASE!U51</f>
        <v>0</v>
      </c>
      <c r="U13" s="53">
        <f>DATABASE!V51</f>
        <v>0</v>
      </c>
      <c r="V13" s="53">
        <f>DATABASE!W51</f>
        <v>2400000</v>
      </c>
      <c r="W13" s="53">
        <f>DATABASE!X51</f>
        <v>0</v>
      </c>
      <c r="X13" s="53">
        <f>DATABASE!Y51</f>
        <v>2400000</v>
      </c>
      <c r="Y13" s="53">
        <f>DATABASE!Z51</f>
        <v>2400000</v>
      </c>
      <c r="Z13" s="53" t="e">
        <f>DATABASE!#REF!</f>
        <v>#REF!</v>
      </c>
      <c r="AA13" s="53">
        <f>DATABASE!AA51</f>
        <v>0</v>
      </c>
      <c r="AB13" s="54">
        <f>DATABASE!AB51</f>
        <v>46843</v>
      </c>
    </row>
    <row r="14" spans="1:28">
      <c r="A14" s="52" t="str">
        <f>DATABASE!A52</f>
        <v>Palmares - Signature Residences</v>
      </c>
      <c r="B14" s="53" t="str">
        <f>DATABASE!B52</f>
        <v>Algarve</v>
      </c>
      <c r="C14" s="53" t="str">
        <f>DATABASE!C52</f>
        <v>10B</v>
      </c>
      <c r="D14" s="53" t="str">
        <f>DATABASE!E52</f>
        <v>T2 + 1 Duplex</v>
      </c>
      <c r="E14" s="53">
        <f>DATABASE!F52</f>
        <v>345.42</v>
      </c>
      <c r="F14" s="53">
        <f>DATABASE!G52</f>
        <v>0</v>
      </c>
      <c r="G14" s="53" t="str">
        <f>DATABASE!H52</f>
        <v/>
      </c>
      <c r="H14" s="53" t="str">
        <f>DATABASE!I52</f>
        <v>15.29</v>
      </c>
      <c r="I14" s="53">
        <f>DATABASE!J52</f>
        <v>0</v>
      </c>
      <c r="J14" s="53">
        <f>DATABASE!K52</f>
        <v>0</v>
      </c>
      <c r="K14" s="53">
        <f>DATABASE!L52</f>
        <v>0</v>
      </c>
      <c r="L14" s="53">
        <f>DATABASE!M52</f>
        <v>85.2</v>
      </c>
      <c r="M14" s="53">
        <f>DATABASE!N52</f>
        <v>0</v>
      </c>
      <c r="N14" s="53">
        <f>DATABASE!O52</f>
        <v>244.93</v>
      </c>
      <c r="O14" s="53">
        <f>DATABASE!P52</f>
        <v>0</v>
      </c>
      <c r="P14" s="53" t="str">
        <f>DATABASE!Q52</f>
        <v>AVAILABLE</v>
      </c>
      <c r="Q14" s="53">
        <f>DATABASE!R52</f>
        <v>2080000</v>
      </c>
      <c r="R14" s="53">
        <f>DATABASE!S52</f>
        <v>2080000</v>
      </c>
      <c r="S14" s="53">
        <f>DATABASE!T52</f>
        <v>2080000</v>
      </c>
      <c r="T14" s="53">
        <f>DATABASE!U52</f>
        <v>0</v>
      </c>
      <c r="U14" s="53">
        <f>DATABASE!V52</f>
        <v>0</v>
      </c>
      <c r="V14" s="53">
        <f>DATABASE!W52</f>
        <v>2080000</v>
      </c>
      <c r="W14" s="53">
        <f>DATABASE!X52</f>
        <v>0</v>
      </c>
      <c r="X14" s="53">
        <f>DATABASE!Y52</f>
        <v>2080000</v>
      </c>
      <c r="Y14" s="53">
        <f>DATABASE!Z52</f>
        <v>2080000</v>
      </c>
      <c r="Z14" s="53" t="e">
        <f>DATABASE!#REF!</f>
        <v>#REF!</v>
      </c>
      <c r="AA14" s="53">
        <f>DATABASE!AA52</f>
        <v>0</v>
      </c>
      <c r="AB14" s="54">
        <f>DATABASE!AB52</f>
        <v>46843</v>
      </c>
    </row>
    <row r="15" spans="1:28">
      <c r="A15" s="52" t="str">
        <f>DATABASE!A53</f>
        <v>Palmares - Signature Residences</v>
      </c>
      <c r="B15" s="53" t="str">
        <f>DATABASE!B53</f>
        <v>Algarve</v>
      </c>
      <c r="C15" s="53" t="str">
        <f>DATABASE!C53</f>
        <v>11B</v>
      </c>
      <c r="D15" s="53" t="str">
        <f>DATABASE!E53</f>
        <v>T2 + 1Duplex</v>
      </c>
      <c r="E15" s="53">
        <f>DATABASE!F53</f>
        <v>344.99</v>
      </c>
      <c r="F15" s="53">
        <f>DATABASE!G53</f>
        <v>0</v>
      </c>
      <c r="G15" s="53" t="str">
        <f>DATABASE!H53</f>
        <v/>
      </c>
      <c r="H15" s="53" t="str">
        <f>DATABASE!I53</f>
        <v>15.13</v>
      </c>
      <c r="I15" s="53">
        <f>DATABASE!J53</f>
        <v>0</v>
      </c>
      <c r="J15" s="53">
        <f>DATABASE!K53</f>
        <v>0</v>
      </c>
      <c r="K15" s="53">
        <f>DATABASE!L53</f>
        <v>0</v>
      </c>
      <c r="L15" s="53">
        <f>DATABASE!M53</f>
        <v>83.71</v>
      </c>
      <c r="M15" s="53">
        <f>DATABASE!N53</f>
        <v>0</v>
      </c>
      <c r="N15" s="53">
        <f>DATABASE!O53</f>
        <v>246.15</v>
      </c>
      <c r="O15" s="53">
        <f>DATABASE!P53</f>
        <v>0</v>
      </c>
      <c r="P15" s="53" t="str">
        <f>DATABASE!Q53</f>
        <v>AVAILABLE</v>
      </c>
      <c r="Q15" s="53">
        <f>DATABASE!R53</f>
        <v>2060000</v>
      </c>
      <c r="R15" s="53">
        <f>DATABASE!S53</f>
        <v>2060000</v>
      </c>
      <c r="S15" s="53">
        <f>DATABASE!T53</f>
        <v>2060000</v>
      </c>
      <c r="T15" s="53">
        <f>DATABASE!U53</f>
        <v>0</v>
      </c>
      <c r="U15" s="53">
        <f>DATABASE!V53</f>
        <v>0</v>
      </c>
      <c r="V15" s="53">
        <f>DATABASE!W53</f>
        <v>2060000</v>
      </c>
      <c r="W15" s="53">
        <f>DATABASE!X53</f>
        <v>0</v>
      </c>
      <c r="X15" s="53">
        <f>DATABASE!Y53</f>
        <v>2060000</v>
      </c>
      <c r="Y15" s="53">
        <f>DATABASE!Z53</f>
        <v>2060000</v>
      </c>
      <c r="Z15" s="53" t="e">
        <f>DATABASE!#REF!</f>
        <v>#REF!</v>
      </c>
      <c r="AA15" s="53">
        <f>DATABASE!AA53</f>
        <v>0</v>
      </c>
      <c r="AB15" s="54">
        <f>DATABASE!AB53</f>
        <v>46843</v>
      </c>
    </row>
    <row r="16" spans="1:28">
      <c r="A16" s="52" t="str">
        <f>DATABASE!A54</f>
        <v>ELS</v>
      </c>
      <c r="B16" s="53" t="str">
        <f>DATABASE!B54</f>
        <v>Vilamoura</v>
      </c>
      <c r="C16" s="53" t="str">
        <f>DATABASE!C54</f>
        <v>1</v>
      </c>
      <c r="D16" s="53" t="str">
        <f>DATABASE!E54</f>
        <v>Plot</v>
      </c>
      <c r="E16" s="53">
        <f>DATABASE!F54</f>
        <v>295</v>
      </c>
      <c r="F16" s="53">
        <f>DATABASE!G54</f>
        <v>0</v>
      </c>
      <c r="G16" s="53" t="str">
        <f>DATABASE!H54</f>
        <v/>
      </c>
      <c r="H16" s="53" t="str">
        <f>DATABASE!I54</f>
        <v/>
      </c>
      <c r="I16" s="53">
        <f>DATABASE!J54</f>
        <v>0</v>
      </c>
      <c r="J16" s="53">
        <f>DATABASE!K54</f>
        <v>0</v>
      </c>
      <c r="K16" s="53">
        <f>DATABASE!L54</f>
        <v>0</v>
      </c>
      <c r="L16" s="53">
        <f>DATABASE!M54</f>
        <v>0</v>
      </c>
      <c r="M16" s="53">
        <f>DATABASE!N54</f>
        <v>0</v>
      </c>
      <c r="N16" s="53">
        <f>DATABASE!O54</f>
        <v>295</v>
      </c>
      <c r="O16" s="53">
        <f>DATABASE!P54</f>
        <v>0</v>
      </c>
      <c r="P16" s="53" t="str">
        <f>DATABASE!Q54</f>
        <v>AVAILABLE</v>
      </c>
      <c r="Q16" s="53">
        <f>DATABASE!R54</f>
        <v>2690000</v>
      </c>
      <c r="R16" s="53">
        <f>DATABASE!S54</f>
        <v>2690000</v>
      </c>
      <c r="S16" s="53">
        <f>DATABASE!T54</f>
        <v>2580000</v>
      </c>
      <c r="T16" s="53">
        <f>DATABASE!U54</f>
        <v>0</v>
      </c>
      <c r="U16" s="53">
        <f>DATABASE!V54</f>
        <v>0</v>
      </c>
      <c r="V16" s="53">
        <f>DATABASE!W54</f>
        <v>2580000</v>
      </c>
      <c r="W16" s="53">
        <f>DATABASE!X54</f>
        <v>0</v>
      </c>
      <c r="X16" s="53">
        <f>DATABASE!Y54</f>
        <v>2580000</v>
      </c>
      <c r="Y16" s="53">
        <f>DATABASE!Z54</f>
        <v>2580000</v>
      </c>
      <c r="Z16" s="53" t="e">
        <f>DATABASE!#REF!</f>
        <v>#REF!</v>
      </c>
      <c r="AA16" s="53">
        <f>DATABASE!AA54</f>
        <v>0</v>
      </c>
      <c r="AB16" s="54">
        <f>DATABASE!AB54</f>
        <v>0</v>
      </c>
    </row>
    <row r="17" spans="1:28">
      <c r="A17" s="52" t="str">
        <f>DATABASE!A55</f>
        <v>THE UNCOMMON</v>
      </c>
      <c r="B17" s="53" t="str">
        <f>DATABASE!B55</f>
        <v>Vilamoura</v>
      </c>
      <c r="C17" s="53" t="str">
        <f>DATABASE!C55</f>
        <v>1</v>
      </c>
      <c r="D17" s="53" t="str">
        <f>DATABASE!E55</f>
        <v>T3</v>
      </c>
      <c r="E17" s="53">
        <f>DATABASE!F55</f>
        <v>213.2</v>
      </c>
      <c r="F17" s="53">
        <f>DATABASE!G55</f>
        <v>0</v>
      </c>
      <c r="G17" s="53" t="str">
        <f>DATABASE!H55</f>
        <v>1</v>
      </c>
      <c r="H17" s="53" t="str">
        <f>DATABASE!I55</f>
        <v/>
      </c>
      <c r="I17" s="53">
        <f>DATABASE!J55</f>
        <v>63.6</v>
      </c>
      <c r="J17" s="53">
        <f>DATABASE!K55</f>
        <v>0</v>
      </c>
      <c r="K17" s="53">
        <f>DATABASE!L55</f>
        <v>0</v>
      </c>
      <c r="L17" s="53">
        <f>DATABASE!M55</f>
        <v>0</v>
      </c>
      <c r="M17" s="53">
        <f>DATABASE!N55</f>
        <v>0</v>
      </c>
      <c r="N17" s="53">
        <f>DATABASE!O55</f>
        <v>149.6</v>
      </c>
      <c r="O17" s="53">
        <f>DATABASE!P55</f>
        <v>0</v>
      </c>
      <c r="P17" s="53" t="str">
        <f>DATABASE!Q55</f>
        <v>AVAILABLE</v>
      </c>
      <c r="Q17" s="53">
        <f>DATABASE!R55</f>
        <v>1860000</v>
      </c>
      <c r="R17" s="53">
        <f>DATABASE!S55</f>
        <v>1940000</v>
      </c>
      <c r="S17" s="53">
        <f>DATABASE!T55</f>
        <v>2020000</v>
      </c>
      <c r="T17" s="53">
        <f>DATABASE!U55</f>
        <v>50000</v>
      </c>
      <c r="U17" s="53">
        <f>DATABASE!V55</f>
        <v>30000</v>
      </c>
      <c r="V17" s="53">
        <f>DATABASE!W55</f>
        <v>1940000</v>
      </c>
      <c r="W17" s="53">
        <f>DATABASE!X55</f>
        <v>0</v>
      </c>
      <c r="X17" s="53">
        <f>DATABASE!Y55</f>
        <v>2020000</v>
      </c>
      <c r="Y17" s="53">
        <f>DATABASE!Z55</f>
        <v>1940000</v>
      </c>
      <c r="Z17" s="53" t="e">
        <f>DATABASE!#REF!</f>
        <v>#REF!</v>
      </c>
      <c r="AA17" s="53">
        <f>DATABASE!AA55</f>
        <v>0</v>
      </c>
      <c r="AB17" s="54">
        <f>DATABASE!AB55</f>
        <v>0</v>
      </c>
    </row>
    <row r="18" spans="1:28">
      <c r="A18" s="52" t="str">
        <f>DATABASE!A56</f>
        <v>ELS</v>
      </c>
      <c r="B18" s="53" t="str">
        <f>DATABASE!B56</f>
        <v>Vilamoura</v>
      </c>
      <c r="C18" s="53" t="str">
        <f>DATABASE!C56</f>
        <v>10</v>
      </c>
      <c r="D18" s="53" t="str">
        <f>DATABASE!E56</f>
        <v>Plot</v>
      </c>
      <c r="E18" s="53">
        <f>DATABASE!F56</f>
        <v>280</v>
      </c>
      <c r="F18" s="53">
        <f>DATABASE!G56</f>
        <v>0</v>
      </c>
      <c r="G18" s="53" t="str">
        <f>DATABASE!H56</f>
        <v/>
      </c>
      <c r="H18" s="53" t="str">
        <f>DATABASE!I56</f>
        <v/>
      </c>
      <c r="I18" s="53">
        <f>DATABASE!J56</f>
        <v>0</v>
      </c>
      <c r="J18" s="53">
        <f>DATABASE!K56</f>
        <v>0</v>
      </c>
      <c r="K18" s="53">
        <f>DATABASE!L56</f>
        <v>0</v>
      </c>
      <c r="L18" s="53">
        <f>DATABASE!M56</f>
        <v>0</v>
      </c>
      <c r="M18" s="53">
        <f>DATABASE!N56</f>
        <v>0</v>
      </c>
      <c r="N18" s="53">
        <f>DATABASE!O56</f>
        <v>280</v>
      </c>
      <c r="O18" s="53">
        <f>DATABASE!P56</f>
        <v>0</v>
      </c>
      <c r="P18" s="53" t="str">
        <f>DATABASE!Q56</f>
        <v>AVAILABLE</v>
      </c>
      <c r="Q18" s="53">
        <f>DATABASE!R56</f>
        <v>3180000</v>
      </c>
      <c r="R18" s="53">
        <f>DATABASE!S56</f>
        <v>3180000</v>
      </c>
      <c r="S18" s="53">
        <f>DATABASE!T56</f>
        <v>1350000</v>
      </c>
      <c r="T18" s="53">
        <f>DATABASE!U56</f>
        <v>0</v>
      </c>
      <c r="U18" s="53">
        <f>DATABASE!V56</f>
        <v>0</v>
      </c>
      <c r="V18" s="53">
        <f>DATABASE!W56</f>
        <v>1350000</v>
      </c>
      <c r="W18" s="53">
        <f>DATABASE!X56</f>
        <v>0</v>
      </c>
      <c r="X18" s="53">
        <f>DATABASE!Y56</f>
        <v>1350000</v>
      </c>
      <c r="Y18" s="53">
        <f>DATABASE!Z56</f>
        <v>1350000</v>
      </c>
      <c r="Z18" s="53" t="e">
        <f>DATABASE!#REF!</f>
        <v>#REF!</v>
      </c>
      <c r="AA18" s="53">
        <f>DATABASE!AA56</f>
        <v>0</v>
      </c>
      <c r="AB18" s="54">
        <f>DATABASE!AB56</f>
        <v>0</v>
      </c>
    </row>
    <row r="19" spans="1:28">
      <c r="A19" s="52" t="str">
        <f>DATABASE!A57</f>
        <v>THE UNCOMMON</v>
      </c>
      <c r="B19" s="53" t="str">
        <f>DATABASE!B57</f>
        <v>Vilamoura</v>
      </c>
      <c r="C19" s="53" t="str">
        <f>DATABASE!C57</f>
        <v>10</v>
      </c>
      <c r="D19" s="53" t="str">
        <f>DATABASE!E57</f>
        <v>T3</v>
      </c>
      <c r="E19" s="53">
        <f>DATABASE!F57</f>
        <v>222.7</v>
      </c>
      <c r="F19" s="53">
        <f>DATABASE!G57</f>
        <v>0</v>
      </c>
      <c r="G19" s="53" t="str">
        <f>DATABASE!H57</f>
        <v>1</v>
      </c>
      <c r="H19" s="53" t="str">
        <f>DATABASE!I57</f>
        <v/>
      </c>
      <c r="I19" s="53">
        <f>DATABASE!J57</f>
        <v>82.9</v>
      </c>
      <c r="J19" s="53">
        <f>DATABASE!K57</f>
        <v>0</v>
      </c>
      <c r="K19" s="53">
        <f>DATABASE!L57</f>
        <v>0</v>
      </c>
      <c r="L19" s="53">
        <f>DATABASE!M57</f>
        <v>0</v>
      </c>
      <c r="M19" s="53">
        <f>DATABASE!N57</f>
        <v>0</v>
      </c>
      <c r="N19" s="53">
        <f>DATABASE!O57</f>
        <v>139.80000000000001</v>
      </c>
      <c r="O19" s="53">
        <f>DATABASE!P57</f>
        <v>0</v>
      </c>
      <c r="P19" s="53" t="str">
        <f>DATABASE!Q57</f>
        <v>AVAILABLE</v>
      </c>
      <c r="Q19" s="53">
        <f>DATABASE!R57</f>
        <v>2250000</v>
      </c>
      <c r="R19" s="53">
        <f>DATABASE!S57</f>
        <v>2330000</v>
      </c>
      <c r="S19" s="53">
        <f>DATABASE!T57</f>
        <v>2410000</v>
      </c>
      <c r="T19" s="53">
        <f>DATABASE!U57</f>
        <v>50000</v>
      </c>
      <c r="U19" s="53">
        <f>DATABASE!V57</f>
        <v>30000</v>
      </c>
      <c r="V19" s="53">
        <f>DATABASE!W57</f>
        <v>2330000</v>
      </c>
      <c r="W19" s="53">
        <f>DATABASE!X57</f>
        <v>0</v>
      </c>
      <c r="X19" s="53">
        <f>DATABASE!Y57</f>
        <v>2410000</v>
      </c>
      <c r="Y19" s="53">
        <f>DATABASE!Z57</f>
        <v>2330000</v>
      </c>
      <c r="Z19" s="53" t="e">
        <f>DATABASE!#REF!</f>
        <v>#REF!</v>
      </c>
      <c r="AA19" s="53">
        <f>DATABASE!AA57</f>
        <v>0</v>
      </c>
      <c r="AB19" s="54">
        <f>DATABASE!AB57</f>
        <v>0</v>
      </c>
    </row>
    <row r="20" spans="1:28">
      <c r="A20" s="52" t="str">
        <f>DATABASE!A58</f>
        <v>THE UNCOMMON</v>
      </c>
      <c r="B20" s="53" t="str">
        <f>DATABASE!B58</f>
        <v>Vilamoura</v>
      </c>
      <c r="C20" s="53" t="str">
        <f>DATABASE!C58</f>
        <v>101</v>
      </c>
      <c r="D20" s="53" t="str">
        <f>DATABASE!E58</f>
        <v>T3</v>
      </c>
      <c r="E20" s="53">
        <f>DATABASE!F58</f>
        <v>183.9</v>
      </c>
      <c r="F20" s="53">
        <f>DATABASE!G58</f>
        <v>0</v>
      </c>
      <c r="G20" s="53" t="str">
        <f>DATABASE!H58</f>
        <v>1</v>
      </c>
      <c r="H20" s="53" t="str">
        <f>DATABASE!I58</f>
        <v/>
      </c>
      <c r="I20" s="53">
        <f>DATABASE!J58</f>
        <v>34.299999999999997</v>
      </c>
      <c r="J20" s="53">
        <f>DATABASE!K58</f>
        <v>0</v>
      </c>
      <c r="K20" s="53">
        <f>DATABASE!L58</f>
        <v>0</v>
      </c>
      <c r="L20" s="53">
        <f>DATABASE!M58</f>
        <v>0</v>
      </c>
      <c r="M20" s="53">
        <f>DATABASE!N58</f>
        <v>0</v>
      </c>
      <c r="N20" s="53">
        <f>DATABASE!O58</f>
        <v>149.6</v>
      </c>
      <c r="O20" s="53">
        <f>DATABASE!P58</f>
        <v>0</v>
      </c>
      <c r="P20" s="53" t="str">
        <f>DATABASE!Q58</f>
        <v>AVAILABLE</v>
      </c>
      <c r="Q20" s="53">
        <f>DATABASE!R58</f>
        <v>1910000</v>
      </c>
      <c r="R20" s="53">
        <f>DATABASE!S58</f>
        <v>1990000</v>
      </c>
      <c r="S20" s="53">
        <f>DATABASE!T58</f>
        <v>2070000</v>
      </c>
      <c r="T20" s="53">
        <f>DATABASE!U58</f>
        <v>50000</v>
      </c>
      <c r="U20" s="53">
        <f>DATABASE!V58</f>
        <v>30000</v>
      </c>
      <c r="V20" s="53">
        <f>DATABASE!W58</f>
        <v>1990000</v>
      </c>
      <c r="W20" s="53">
        <f>DATABASE!X58</f>
        <v>0</v>
      </c>
      <c r="X20" s="53">
        <f>DATABASE!Y58</f>
        <v>2070000</v>
      </c>
      <c r="Y20" s="53">
        <f>DATABASE!Z58</f>
        <v>1990000</v>
      </c>
      <c r="Z20" s="53" t="e">
        <f>DATABASE!#REF!</f>
        <v>#REF!</v>
      </c>
      <c r="AA20" s="53">
        <f>DATABASE!AA58</f>
        <v>0</v>
      </c>
      <c r="AB20" s="54">
        <f>DATABASE!AB58</f>
        <v>0</v>
      </c>
    </row>
    <row r="21" spans="1:28">
      <c r="A21" s="52" t="str">
        <f>DATABASE!A59</f>
        <v>Aroeira - HOTEL APARTMENTS</v>
      </c>
      <c r="B21" s="53" t="str">
        <f>DATABASE!B59</f>
        <v>Center</v>
      </c>
      <c r="C21" s="53" t="str">
        <f>DATABASE!C59</f>
        <v>229A</v>
      </c>
      <c r="D21" s="53" t="str">
        <f>DATABASE!E59</f>
        <v>1-BR</v>
      </c>
      <c r="E21" s="53">
        <f>DATABASE!F59</f>
        <v>60.2</v>
      </c>
      <c r="F21" s="53">
        <f>DATABASE!G59</f>
        <v>0</v>
      </c>
      <c r="G21" s="53" t="str">
        <f>DATABASE!H59</f>
        <v>1</v>
      </c>
      <c r="H21" s="53" t="str">
        <f>DATABASE!I59</f>
        <v/>
      </c>
      <c r="I21" s="53">
        <f>DATABASE!J59</f>
        <v>3.9</v>
      </c>
      <c r="J21" s="53">
        <f>DATABASE!K59</f>
        <v>0</v>
      </c>
      <c r="K21" s="53">
        <f>DATABASE!L59</f>
        <v>0</v>
      </c>
      <c r="L21" s="53">
        <f>DATABASE!M59</f>
        <v>0</v>
      </c>
      <c r="M21" s="53">
        <f>DATABASE!N59</f>
        <v>0</v>
      </c>
      <c r="N21" s="53">
        <f>DATABASE!O59</f>
        <v>56.3</v>
      </c>
      <c r="O21" s="53">
        <f>DATABASE!P59</f>
        <v>0</v>
      </c>
      <c r="P21" s="53" t="str">
        <f>DATABASE!Q59</f>
        <v>AVAILABLE</v>
      </c>
      <c r="Q21" s="53">
        <f>DATABASE!R59</f>
        <v>390000</v>
      </c>
      <c r="R21" s="53">
        <f>DATABASE!S59</f>
        <v>425000</v>
      </c>
      <c r="S21" s="53">
        <f>DATABASE!T59</f>
        <v>425000</v>
      </c>
      <c r="T21" s="53">
        <f>DATABASE!U59</f>
        <v>0</v>
      </c>
      <c r="U21" s="53">
        <f>DATABASE!V59</f>
        <v>35000</v>
      </c>
      <c r="V21" s="53">
        <f>DATABASE!W59</f>
        <v>390000</v>
      </c>
      <c r="W21" s="53">
        <f>DATABASE!X59</f>
        <v>0</v>
      </c>
      <c r="X21" s="53">
        <f>DATABASE!Y59</f>
        <v>0</v>
      </c>
      <c r="Y21" s="53">
        <f>DATABASE!Z59</f>
        <v>-35000</v>
      </c>
      <c r="Z21" s="53" t="e">
        <f>DATABASE!#REF!</f>
        <v>#REF!</v>
      </c>
      <c r="AA21" s="53">
        <f>DATABASE!AA59</f>
        <v>0</v>
      </c>
      <c r="AB21" s="54">
        <f>DATABASE!AB59</f>
        <v>47118</v>
      </c>
    </row>
    <row r="22" spans="1:28">
      <c r="A22" s="52" t="str">
        <f>DATABASE!A60</f>
        <v>Aroeira - HOTEL APARTMENTS</v>
      </c>
      <c r="B22" s="53" t="str">
        <f>DATABASE!B60</f>
        <v>Center</v>
      </c>
      <c r="C22" s="53" t="str">
        <f>DATABASE!C60</f>
        <v>230A</v>
      </c>
      <c r="D22" s="53" t="str">
        <f>DATABASE!E60</f>
        <v>1-BR</v>
      </c>
      <c r="E22" s="53">
        <f>DATABASE!F60</f>
        <v>60.2</v>
      </c>
      <c r="F22" s="53">
        <f>DATABASE!G60</f>
        <v>0</v>
      </c>
      <c r="G22" s="53" t="str">
        <f>DATABASE!H60</f>
        <v>1</v>
      </c>
      <c r="H22" s="53" t="str">
        <f>DATABASE!I60</f>
        <v/>
      </c>
      <c r="I22" s="53">
        <f>DATABASE!J60</f>
        <v>3.9</v>
      </c>
      <c r="J22" s="53">
        <f>DATABASE!K60</f>
        <v>0</v>
      </c>
      <c r="K22" s="53">
        <f>DATABASE!L60</f>
        <v>0</v>
      </c>
      <c r="L22" s="53">
        <f>DATABASE!M60</f>
        <v>0</v>
      </c>
      <c r="M22" s="53">
        <f>DATABASE!N60</f>
        <v>0</v>
      </c>
      <c r="N22" s="53">
        <f>DATABASE!O60</f>
        <v>56.3</v>
      </c>
      <c r="O22" s="53">
        <f>DATABASE!P60</f>
        <v>0</v>
      </c>
      <c r="P22" s="53" t="str">
        <f>DATABASE!Q60</f>
        <v>AVAILABLE</v>
      </c>
      <c r="Q22" s="53">
        <f>DATABASE!R60</f>
        <v>390000</v>
      </c>
      <c r="R22" s="53">
        <f>DATABASE!S60</f>
        <v>425000</v>
      </c>
      <c r="S22" s="53">
        <f>DATABASE!T60</f>
        <v>425000</v>
      </c>
      <c r="T22" s="53">
        <f>DATABASE!U60</f>
        <v>0</v>
      </c>
      <c r="U22" s="53">
        <f>DATABASE!V60</f>
        <v>35000</v>
      </c>
      <c r="V22" s="53">
        <f>DATABASE!W60</f>
        <v>390000</v>
      </c>
      <c r="W22" s="53">
        <f>DATABASE!X60</f>
        <v>0</v>
      </c>
      <c r="X22" s="53">
        <f>DATABASE!Y60</f>
        <v>0</v>
      </c>
      <c r="Y22" s="53">
        <f>DATABASE!Z60</f>
        <v>-35000</v>
      </c>
      <c r="Z22" s="53" t="e">
        <f>DATABASE!#REF!</f>
        <v>#REF!</v>
      </c>
      <c r="AA22" s="53">
        <f>DATABASE!AA60</f>
        <v>0</v>
      </c>
      <c r="AB22" s="54">
        <f>DATABASE!AB60</f>
        <v>47118</v>
      </c>
    </row>
    <row r="23" spans="1:28">
      <c r="A23" s="52" t="str">
        <f>DATABASE!A61</f>
        <v>Aroeira - HOTEL APARTMENTS</v>
      </c>
      <c r="B23" s="53" t="str">
        <f>DATABASE!B61</f>
        <v>Center</v>
      </c>
      <c r="C23" s="53" t="str">
        <f>DATABASE!C61</f>
        <v>231A</v>
      </c>
      <c r="D23" s="53" t="str">
        <f>DATABASE!E61</f>
        <v>1-BR</v>
      </c>
      <c r="E23" s="53">
        <f>DATABASE!F61</f>
        <v>60.2</v>
      </c>
      <c r="F23" s="53">
        <f>DATABASE!G61</f>
        <v>0</v>
      </c>
      <c r="G23" s="53" t="str">
        <f>DATABASE!H61</f>
        <v>1</v>
      </c>
      <c r="H23" s="53" t="str">
        <f>DATABASE!I61</f>
        <v/>
      </c>
      <c r="I23" s="53">
        <f>DATABASE!J61</f>
        <v>3.9</v>
      </c>
      <c r="J23" s="53">
        <f>DATABASE!K61</f>
        <v>0</v>
      </c>
      <c r="K23" s="53">
        <f>DATABASE!L61</f>
        <v>0</v>
      </c>
      <c r="L23" s="53">
        <f>DATABASE!M61</f>
        <v>0</v>
      </c>
      <c r="M23" s="53">
        <f>DATABASE!N61</f>
        <v>0</v>
      </c>
      <c r="N23" s="53">
        <f>DATABASE!O61</f>
        <v>56.3</v>
      </c>
      <c r="O23" s="53">
        <f>DATABASE!P61</f>
        <v>0</v>
      </c>
      <c r="P23" s="53" t="str">
        <f>DATABASE!Q61</f>
        <v>AVAILABLE</v>
      </c>
      <c r="Q23" s="53">
        <f>DATABASE!R61</f>
        <v>390000</v>
      </c>
      <c r="R23" s="53">
        <f>DATABASE!S61</f>
        <v>425000</v>
      </c>
      <c r="S23" s="53">
        <f>DATABASE!T61</f>
        <v>425000</v>
      </c>
      <c r="T23" s="53">
        <f>DATABASE!U61</f>
        <v>0</v>
      </c>
      <c r="U23" s="53">
        <f>DATABASE!V61</f>
        <v>35000</v>
      </c>
      <c r="V23" s="53">
        <f>DATABASE!W61</f>
        <v>390000</v>
      </c>
      <c r="W23" s="53">
        <f>DATABASE!X61</f>
        <v>0</v>
      </c>
      <c r="X23" s="53">
        <f>DATABASE!Y61</f>
        <v>0</v>
      </c>
      <c r="Y23" s="53">
        <f>DATABASE!Z61</f>
        <v>-35000</v>
      </c>
      <c r="Z23" s="53" t="e">
        <f>DATABASE!#REF!</f>
        <v>#REF!</v>
      </c>
      <c r="AA23" s="53">
        <f>DATABASE!AA61</f>
        <v>0</v>
      </c>
      <c r="AB23" s="54">
        <f>DATABASE!AB61</f>
        <v>47118</v>
      </c>
    </row>
    <row r="24" spans="1:28">
      <c r="A24" s="52" t="str">
        <f>DATABASE!A62</f>
        <v>Aroeira - HOTEL APARTMENTS</v>
      </c>
      <c r="B24" s="53" t="str">
        <f>DATABASE!B62</f>
        <v>Center</v>
      </c>
      <c r="C24" s="53" t="str">
        <f>DATABASE!C62</f>
        <v>232A</v>
      </c>
      <c r="D24" s="53" t="str">
        <f>DATABASE!E62</f>
        <v>1-BR</v>
      </c>
      <c r="E24" s="53">
        <f>DATABASE!F62</f>
        <v>60.2</v>
      </c>
      <c r="F24" s="53">
        <f>DATABASE!G62</f>
        <v>0</v>
      </c>
      <c r="G24" s="53" t="str">
        <f>DATABASE!H62</f>
        <v>1</v>
      </c>
      <c r="H24" s="53" t="str">
        <f>DATABASE!I62</f>
        <v/>
      </c>
      <c r="I24" s="53">
        <f>DATABASE!J62</f>
        <v>3.9</v>
      </c>
      <c r="J24" s="53">
        <f>DATABASE!K62</f>
        <v>0</v>
      </c>
      <c r="K24" s="53">
        <f>DATABASE!L62</f>
        <v>0</v>
      </c>
      <c r="L24" s="53">
        <f>DATABASE!M62</f>
        <v>0</v>
      </c>
      <c r="M24" s="53">
        <f>DATABASE!N62</f>
        <v>0</v>
      </c>
      <c r="N24" s="53">
        <f>DATABASE!O62</f>
        <v>56.3</v>
      </c>
      <c r="O24" s="53">
        <f>DATABASE!P62</f>
        <v>0</v>
      </c>
      <c r="P24" s="53" t="str">
        <f>DATABASE!Q62</f>
        <v>AVAILABLE</v>
      </c>
      <c r="Q24" s="53">
        <f>DATABASE!R62</f>
        <v>390000</v>
      </c>
      <c r="R24" s="53">
        <f>DATABASE!S62</f>
        <v>425000</v>
      </c>
      <c r="S24" s="53">
        <f>DATABASE!T62</f>
        <v>425000</v>
      </c>
      <c r="T24" s="53">
        <f>DATABASE!U62</f>
        <v>0</v>
      </c>
      <c r="U24" s="53">
        <f>DATABASE!V62</f>
        <v>35000</v>
      </c>
      <c r="V24" s="53">
        <f>DATABASE!W62</f>
        <v>390000</v>
      </c>
      <c r="W24" s="53">
        <f>DATABASE!X62</f>
        <v>0</v>
      </c>
      <c r="X24" s="53">
        <f>DATABASE!Y62</f>
        <v>0</v>
      </c>
      <c r="Y24" s="53">
        <f>DATABASE!Z62</f>
        <v>-35000</v>
      </c>
      <c r="Z24" s="53" t="e">
        <f>DATABASE!#REF!</f>
        <v>#REF!</v>
      </c>
      <c r="AA24" s="53">
        <f>DATABASE!AA62</f>
        <v>0</v>
      </c>
      <c r="AB24" s="54">
        <f>DATABASE!AB62</f>
        <v>47118</v>
      </c>
    </row>
    <row r="25" spans="1:28">
      <c r="A25" s="52" t="str">
        <f>DATABASE!A63</f>
        <v>Aroeira - HOTEL APARTMENTS</v>
      </c>
      <c r="B25" s="53" t="str">
        <f>DATABASE!B63</f>
        <v>Center</v>
      </c>
      <c r="C25" s="53" t="str">
        <f>DATABASE!C63</f>
        <v>233A</v>
      </c>
      <c r="D25" s="53" t="str">
        <f>DATABASE!E63</f>
        <v>1-BR</v>
      </c>
      <c r="E25" s="53">
        <f>DATABASE!F63</f>
        <v>60.2</v>
      </c>
      <c r="F25" s="53">
        <f>DATABASE!G63</f>
        <v>0</v>
      </c>
      <c r="G25" s="53" t="str">
        <f>DATABASE!H63</f>
        <v>1</v>
      </c>
      <c r="H25" s="53" t="str">
        <f>DATABASE!I63</f>
        <v/>
      </c>
      <c r="I25" s="53">
        <f>DATABASE!J63</f>
        <v>3.9</v>
      </c>
      <c r="J25" s="53">
        <f>DATABASE!K63</f>
        <v>0</v>
      </c>
      <c r="K25" s="53">
        <f>DATABASE!L63</f>
        <v>0</v>
      </c>
      <c r="L25" s="53">
        <f>DATABASE!M63</f>
        <v>0</v>
      </c>
      <c r="M25" s="53">
        <f>DATABASE!N63</f>
        <v>0</v>
      </c>
      <c r="N25" s="53">
        <f>DATABASE!O63</f>
        <v>56.3</v>
      </c>
      <c r="O25" s="53">
        <f>DATABASE!P63</f>
        <v>0</v>
      </c>
      <c r="P25" s="53" t="str">
        <f>DATABASE!Q63</f>
        <v>AVAILABLE</v>
      </c>
      <c r="Q25" s="53">
        <f>DATABASE!R63</f>
        <v>390000</v>
      </c>
      <c r="R25" s="53">
        <f>DATABASE!S63</f>
        <v>425000</v>
      </c>
      <c r="S25" s="53">
        <f>DATABASE!T63</f>
        <v>425000</v>
      </c>
      <c r="T25" s="53">
        <f>DATABASE!U63</f>
        <v>0</v>
      </c>
      <c r="U25" s="53">
        <f>DATABASE!V63</f>
        <v>35000</v>
      </c>
      <c r="V25" s="53">
        <f>DATABASE!W63</f>
        <v>390000</v>
      </c>
      <c r="W25" s="53">
        <f>DATABASE!X63</f>
        <v>0</v>
      </c>
      <c r="X25" s="53">
        <f>DATABASE!Y63</f>
        <v>0</v>
      </c>
      <c r="Y25" s="53">
        <f>DATABASE!Z63</f>
        <v>-35000</v>
      </c>
      <c r="Z25" s="53" t="e">
        <f>DATABASE!#REF!</f>
        <v>#REF!</v>
      </c>
      <c r="AA25" s="53">
        <f>DATABASE!AA63</f>
        <v>0</v>
      </c>
      <c r="AB25" s="54">
        <f>DATABASE!AB63</f>
        <v>47118</v>
      </c>
    </row>
    <row r="26" spans="1:28">
      <c r="A26" s="52" t="str">
        <f>DATABASE!A64</f>
        <v>Aroeira - HOUSES</v>
      </c>
      <c r="B26" s="53" t="str">
        <f>DATABASE!B64</f>
        <v>Center</v>
      </c>
      <c r="C26" s="53" t="str">
        <f>DATABASE!C64</f>
        <v>06B</v>
      </c>
      <c r="D26" s="53" t="str">
        <f>DATABASE!E64</f>
        <v>T2</v>
      </c>
      <c r="E26" s="53">
        <f>DATABASE!F64</f>
        <v>196.4</v>
      </c>
      <c r="F26" s="53">
        <f>DATABASE!G64</f>
        <v>0</v>
      </c>
      <c r="G26" s="53" t="str">
        <f>DATABASE!H64</f>
        <v>1</v>
      </c>
      <c r="H26" s="53" t="str">
        <f>DATABASE!I64</f>
        <v/>
      </c>
      <c r="I26" s="53">
        <f>DATABASE!J64</f>
        <v>0</v>
      </c>
      <c r="J26" s="53">
        <f>DATABASE!K64</f>
        <v>0</v>
      </c>
      <c r="K26" s="53">
        <f>DATABASE!L64</f>
        <v>0</v>
      </c>
      <c r="L26" s="53">
        <f>DATABASE!M64</f>
        <v>33</v>
      </c>
      <c r="M26" s="53">
        <f>DATABASE!N64</f>
        <v>26</v>
      </c>
      <c r="N26" s="53">
        <f>DATABASE!O64</f>
        <v>137.4</v>
      </c>
      <c r="O26" s="53">
        <f>DATABASE!P64</f>
        <v>0</v>
      </c>
      <c r="P26" s="53" t="str">
        <f>DATABASE!Q64</f>
        <v xml:space="preserve">PSPA </v>
      </c>
      <c r="Q26" s="53">
        <f>DATABASE!R64</f>
        <v>1100000</v>
      </c>
      <c r="R26" s="53">
        <f>DATABASE!S64</f>
        <v>1100000</v>
      </c>
      <c r="S26" s="53">
        <f>DATABASE!T64</f>
        <v>1100000</v>
      </c>
      <c r="T26" s="53">
        <f>DATABASE!U64</f>
        <v>0</v>
      </c>
      <c r="U26" s="53">
        <f>DATABASE!V64</f>
        <v>0</v>
      </c>
      <c r="V26" s="53">
        <f>DATABASE!W64</f>
        <v>1100000</v>
      </c>
      <c r="W26" s="53">
        <f>DATABASE!X64</f>
        <v>0</v>
      </c>
      <c r="X26" s="53">
        <f>DATABASE!Y64</f>
        <v>1100000</v>
      </c>
      <c r="Y26" s="53">
        <f>DATABASE!Z64</f>
        <v>1100000</v>
      </c>
      <c r="Z26" s="53" t="e">
        <f>DATABASE!#REF!</f>
        <v>#REF!</v>
      </c>
      <c r="AA26" s="53" t="e">
        <f>DATABASE!#REF!</f>
        <v>#REF!</v>
      </c>
      <c r="AB26" s="54">
        <f>DATABASE!AB64</f>
        <v>47118</v>
      </c>
    </row>
    <row r="27" spans="1:28">
      <c r="A27" s="52" t="str">
        <f>DATABASE!A65</f>
        <v>Aroeira - HOUSES</v>
      </c>
      <c r="B27" s="53" t="str">
        <f>DATABASE!B65</f>
        <v>Center</v>
      </c>
      <c r="C27" s="53" t="str">
        <f>DATABASE!C65</f>
        <v>07B</v>
      </c>
      <c r="D27" s="53" t="str">
        <f>DATABASE!E65</f>
        <v>T2</v>
      </c>
      <c r="E27" s="53">
        <f>DATABASE!F65</f>
        <v>167</v>
      </c>
      <c r="F27" s="53">
        <f>DATABASE!G65</f>
        <v>0</v>
      </c>
      <c r="G27" s="53" t="str">
        <f>DATABASE!H65</f>
        <v>1</v>
      </c>
      <c r="H27" s="53" t="str">
        <f>DATABASE!I65</f>
        <v/>
      </c>
      <c r="I27" s="53">
        <f>DATABASE!J65</f>
        <v>0</v>
      </c>
      <c r="J27" s="53">
        <f>DATABASE!K65</f>
        <v>0</v>
      </c>
      <c r="K27" s="53">
        <f>DATABASE!L65</f>
        <v>0</v>
      </c>
      <c r="L27" s="53">
        <f>DATABASE!M65</f>
        <v>31</v>
      </c>
      <c r="M27" s="53">
        <f>DATABASE!N65</f>
        <v>20</v>
      </c>
      <c r="N27" s="53">
        <f>DATABASE!O65</f>
        <v>116</v>
      </c>
      <c r="O27" s="53">
        <f>DATABASE!P65</f>
        <v>0</v>
      </c>
      <c r="P27" s="53" t="str">
        <f>DATABASE!Q65</f>
        <v xml:space="preserve">PSPA </v>
      </c>
      <c r="Q27" s="53">
        <f>DATABASE!R65</f>
        <v>910000</v>
      </c>
      <c r="R27" s="53">
        <f>DATABASE!S65</f>
        <v>910000</v>
      </c>
      <c r="S27" s="53">
        <f>DATABASE!T65</f>
        <v>940000</v>
      </c>
      <c r="T27" s="53">
        <f>DATABASE!U65</f>
        <v>0</v>
      </c>
      <c r="U27" s="53">
        <f>DATABASE!V65</f>
        <v>0</v>
      </c>
      <c r="V27" s="53">
        <f>DATABASE!W65</f>
        <v>940000</v>
      </c>
      <c r="W27" s="53">
        <f>DATABASE!X65</f>
        <v>0</v>
      </c>
      <c r="X27" s="53">
        <f>DATABASE!Y65</f>
        <v>940000</v>
      </c>
      <c r="Y27" s="53">
        <f>DATABASE!Z65</f>
        <v>940000</v>
      </c>
      <c r="Z27" s="53" t="e">
        <f>DATABASE!#REF!</f>
        <v>#REF!</v>
      </c>
      <c r="AA27" s="53" t="e">
        <f>DATABASE!#REF!</f>
        <v>#REF!</v>
      </c>
      <c r="AB27" s="54">
        <f>DATABASE!AB65</f>
        <v>47118</v>
      </c>
    </row>
    <row r="28" spans="1:28">
      <c r="A28" s="52" t="str">
        <f>DATABASE!A66</f>
        <v>Aroeira - HOTEL APARTMENTS</v>
      </c>
      <c r="B28" s="53" t="str">
        <f>DATABASE!B66</f>
        <v>Center</v>
      </c>
      <c r="C28" s="53" t="str">
        <f>DATABASE!C66</f>
        <v>121A</v>
      </c>
      <c r="D28" s="53" t="str">
        <f>DATABASE!E66</f>
        <v>1-BR</v>
      </c>
      <c r="E28" s="53">
        <f>DATABASE!F66</f>
        <v>65</v>
      </c>
      <c r="F28" s="53">
        <f>DATABASE!G66</f>
        <v>0</v>
      </c>
      <c r="G28" s="53" t="str">
        <f>DATABASE!H66</f>
        <v>1</v>
      </c>
      <c r="H28" s="53" t="str">
        <f>DATABASE!I66</f>
        <v/>
      </c>
      <c r="I28" s="53">
        <f>DATABASE!J66</f>
        <v>8.6999999999999993</v>
      </c>
      <c r="J28" s="53">
        <f>DATABASE!K66</f>
        <v>0</v>
      </c>
      <c r="K28" s="53">
        <f>DATABASE!L66</f>
        <v>0</v>
      </c>
      <c r="L28" s="53">
        <f>DATABASE!M66</f>
        <v>0</v>
      </c>
      <c r="M28" s="53">
        <f>DATABASE!N66</f>
        <v>0</v>
      </c>
      <c r="N28" s="53">
        <f>DATABASE!O66</f>
        <v>56.3</v>
      </c>
      <c r="O28" s="53">
        <f>DATABASE!P66</f>
        <v>0</v>
      </c>
      <c r="P28" s="53" t="str">
        <f>DATABASE!Q66</f>
        <v>RESERVED</v>
      </c>
      <c r="Q28" s="53">
        <f>DATABASE!R66</f>
        <v>395000</v>
      </c>
      <c r="R28" s="53">
        <f>DATABASE!S66</f>
        <v>430000</v>
      </c>
      <c r="S28" s="53">
        <f>DATABASE!T66</f>
        <v>430000</v>
      </c>
      <c r="T28" s="53">
        <f>DATABASE!U66</f>
        <v>0</v>
      </c>
      <c r="U28" s="53">
        <f>DATABASE!V66</f>
        <v>35000</v>
      </c>
      <c r="V28" s="53">
        <f>DATABASE!W66</f>
        <v>395000</v>
      </c>
      <c r="W28" s="53">
        <f>DATABASE!X66</f>
        <v>0</v>
      </c>
      <c r="X28" s="53">
        <f>DATABASE!Y66</f>
        <v>430000</v>
      </c>
      <c r="Y28" s="53">
        <f>DATABASE!Z66</f>
        <v>395000</v>
      </c>
      <c r="Z28" s="53" t="e">
        <f>DATABASE!#REF!</f>
        <v>#REF!</v>
      </c>
      <c r="AA28" s="53">
        <f>DATABASE!AA66</f>
        <v>46136</v>
      </c>
      <c r="AB28" s="54">
        <f>DATABASE!AB66</f>
        <v>47118</v>
      </c>
    </row>
    <row r="29" spans="1:28">
      <c r="A29" s="52" t="str">
        <f>DATABASE!A67</f>
        <v>Aroeira - HOTEL APARTMENTS</v>
      </c>
      <c r="B29" s="53" t="str">
        <f>DATABASE!B67</f>
        <v>Center</v>
      </c>
      <c r="C29" s="53" t="str">
        <f>DATABASE!C67</f>
        <v>117A</v>
      </c>
      <c r="D29" s="53" t="str">
        <f>DATABASE!E67</f>
        <v>1-BR</v>
      </c>
      <c r="E29" s="53">
        <f>DATABASE!F67</f>
        <v>65</v>
      </c>
      <c r="F29" s="53">
        <f>DATABASE!G67</f>
        <v>0</v>
      </c>
      <c r="G29" s="53" t="str">
        <f>DATABASE!H67</f>
        <v>1</v>
      </c>
      <c r="H29" s="53" t="str">
        <f>DATABASE!I67</f>
        <v/>
      </c>
      <c r="I29" s="53">
        <f>DATABASE!J67</f>
        <v>8.6999999999999993</v>
      </c>
      <c r="J29" s="53">
        <f>DATABASE!K67</f>
        <v>0</v>
      </c>
      <c r="K29" s="53">
        <f>DATABASE!L67</f>
        <v>0</v>
      </c>
      <c r="L29" s="53">
        <f>DATABASE!M67</f>
        <v>0</v>
      </c>
      <c r="M29" s="53">
        <f>DATABASE!N67</f>
        <v>0</v>
      </c>
      <c r="N29" s="53">
        <f>DATABASE!O67</f>
        <v>56.3</v>
      </c>
      <c r="O29" s="53">
        <f>DATABASE!P67</f>
        <v>0</v>
      </c>
      <c r="P29" s="53" t="str">
        <f>DATABASE!Q67</f>
        <v>AVAILABLE</v>
      </c>
      <c r="Q29" s="53">
        <f>DATABASE!R67</f>
        <v>395000</v>
      </c>
      <c r="R29" s="53">
        <f>DATABASE!S67</f>
        <v>430000</v>
      </c>
      <c r="S29" s="53">
        <f>DATABASE!T67</f>
        <v>430000</v>
      </c>
      <c r="T29" s="53">
        <f>DATABASE!U67</f>
        <v>0</v>
      </c>
      <c r="U29" s="53">
        <f>DATABASE!V67</f>
        <v>35000</v>
      </c>
      <c r="V29" s="53">
        <f>DATABASE!W67</f>
        <v>395000</v>
      </c>
      <c r="W29" s="53">
        <f>DATABASE!X67</f>
        <v>0</v>
      </c>
      <c r="X29" s="53">
        <f>DATABASE!Y67</f>
        <v>0</v>
      </c>
      <c r="Y29" s="53">
        <f>DATABASE!Z67</f>
        <v>-35000</v>
      </c>
      <c r="Z29" s="53" t="e">
        <f>DATABASE!#REF!</f>
        <v>#REF!</v>
      </c>
      <c r="AA29" s="53">
        <f>DATABASE!AA67</f>
        <v>0</v>
      </c>
      <c r="AB29" s="54">
        <f>DATABASE!AB67</f>
        <v>47118</v>
      </c>
    </row>
    <row r="30" spans="1:28">
      <c r="A30" s="52" t="str">
        <f>DATABASE!A68</f>
        <v>Aroeira - HOTEL APARTMENTS</v>
      </c>
      <c r="B30" s="53" t="str">
        <f>DATABASE!B68</f>
        <v>Center</v>
      </c>
      <c r="C30" s="53" t="str">
        <f>DATABASE!C68</f>
        <v>118A</v>
      </c>
      <c r="D30" s="53" t="str">
        <f>DATABASE!E68</f>
        <v>1-BR</v>
      </c>
      <c r="E30" s="53">
        <f>DATABASE!F68</f>
        <v>65</v>
      </c>
      <c r="F30" s="53">
        <f>DATABASE!G68</f>
        <v>0</v>
      </c>
      <c r="G30" s="53" t="str">
        <f>DATABASE!H68</f>
        <v>1</v>
      </c>
      <c r="H30" s="53" t="str">
        <f>DATABASE!I68</f>
        <v/>
      </c>
      <c r="I30" s="53">
        <f>DATABASE!J68</f>
        <v>8.6999999999999993</v>
      </c>
      <c r="J30" s="53">
        <f>DATABASE!K68</f>
        <v>0</v>
      </c>
      <c r="K30" s="53">
        <f>DATABASE!L68</f>
        <v>0</v>
      </c>
      <c r="L30" s="53">
        <f>DATABASE!M68</f>
        <v>0</v>
      </c>
      <c r="M30" s="53">
        <f>DATABASE!N68</f>
        <v>0</v>
      </c>
      <c r="N30" s="53">
        <f>DATABASE!O68</f>
        <v>56.3</v>
      </c>
      <c r="O30" s="53">
        <f>DATABASE!P68</f>
        <v>0</v>
      </c>
      <c r="P30" s="53" t="str">
        <f>DATABASE!Q68</f>
        <v>AVAILABLE</v>
      </c>
      <c r="Q30" s="53">
        <f>DATABASE!R68</f>
        <v>395000</v>
      </c>
      <c r="R30" s="53">
        <f>DATABASE!S68</f>
        <v>430000</v>
      </c>
      <c r="S30" s="53">
        <f>DATABASE!T68</f>
        <v>430000</v>
      </c>
      <c r="T30" s="53">
        <f>DATABASE!U68</f>
        <v>0</v>
      </c>
      <c r="U30" s="53">
        <f>DATABASE!V68</f>
        <v>35000</v>
      </c>
      <c r="V30" s="53">
        <f>DATABASE!W68</f>
        <v>395000</v>
      </c>
      <c r="W30" s="53">
        <f>DATABASE!X68</f>
        <v>0</v>
      </c>
      <c r="X30" s="53">
        <f>DATABASE!Y68</f>
        <v>0</v>
      </c>
      <c r="Y30" s="53">
        <f>DATABASE!Z68</f>
        <v>-35000</v>
      </c>
      <c r="Z30" s="53" t="e">
        <f>DATABASE!#REF!</f>
        <v>#REF!</v>
      </c>
      <c r="AA30" s="53">
        <f>DATABASE!AA68</f>
        <v>0</v>
      </c>
      <c r="AB30" s="54">
        <f>DATABASE!AB68</f>
        <v>47118</v>
      </c>
    </row>
    <row r="31" spans="1:28">
      <c r="A31" s="52" t="str">
        <f>DATABASE!A69</f>
        <v>Aroeira - HOTEL APARTMENTS</v>
      </c>
      <c r="B31" s="53" t="str">
        <f>DATABASE!B69</f>
        <v>Center</v>
      </c>
      <c r="C31" s="53" t="str">
        <f>DATABASE!C69</f>
        <v>120A</v>
      </c>
      <c r="D31" s="53" t="str">
        <f>DATABASE!E69</f>
        <v>1-BR</v>
      </c>
      <c r="E31" s="53">
        <f>DATABASE!F69</f>
        <v>65</v>
      </c>
      <c r="F31" s="53">
        <f>DATABASE!G69</f>
        <v>0</v>
      </c>
      <c r="G31" s="53" t="str">
        <f>DATABASE!H69</f>
        <v>1</v>
      </c>
      <c r="H31" s="53" t="str">
        <f>DATABASE!I69</f>
        <v/>
      </c>
      <c r="I31" s="53">
        <f>DATABASE!J69</f>
        <v>8.6999999999999993</v>
      </c>
      <c r="J31" s="53">
        <f>DATABASE!K69</f>
        <v>0</v>
      </c>
      <c r="K31" s="53">
        <f>DATABASE!L69</f>
        <v>0</v>
      </c>
      <c r="L31" s="53">
        <f>DATABASE!M69</f>
        <v>0</v>
      </c>
      <c r="M31" s="53">
        <f>DATABASE!N69</f>
        <v>0</v>
      </c>
      <c r="N31" s="53">
        <f>DATABASE!O69</f>
        <v>56.3</v>
      </c>
      <c r="O31" s="53">
        <f>DATABASE!P69</f>
        <v>0</v>
      </c>
      <c r="P31" s="53" t="str">
        <f>DATABASE!Q69</f>
        <v>AVAILABLE</v>
      </c>
      <c r="Q31" s="53">
        <f>DATABASE!R69</f>
        <v>395000</v>
      </c>
      <c r="R31" s="53">
        <f>DATABASE!S69</f>
        <v>430000</v>
      </c>
      <c r="S31" s="53">
        <f>DATABASE!T69</f>
        <v>430000</v>
      </c>
      <c r="T31" s="53">
        <f>DATABASE!U69</f>
        <v>0</v>
      </c>
      <c r="U31" s="53">
        <f>DATABASE!V69</f>
        <v>35000</v>
      </c>
      <c r="V31" s="53">
        <f>DATABASE!W69</f>
        <v>395000</v>
      </c>
      <c r="W31" s="53">
        <f>DATABASE!X69</f>
        <v>0</v>
      </c>
      <c r="X31" s="53">
        <f>DATABASE!Y69</f>
        <v>0</v>
      </c>
      <c r="Y31" s="53">
        <f>DATABASE!Z69</f>
        <v>-35000</v>
      </c>
      <c r="Z31" s="53" t="e">
        <f>DATABASE!#REF!</f>
        <v>#REF!</v>
      </c>
      <c r="AA31" s="53">
        <f>DATABASE!AA69</f>
        <v>0</v>
      </c>
      <c r="AB31" s="54">
        <f>DATABASE!AB69</f>
        <v>47118</v>
      </c>
    </row>
    <row r="32" spans="1:28">
      <c r="A32" s="52" t="str">
        <f>DATABASE!A70</f>
        <v>Aroeira - HOTEL APARTMENTS</v>
      </c>
      <c r="B32" s="53" t="str">
        <f>DATABASE!B70</f>
        <v>Center</v>
      </c>
      <c r="C32" s="53" t="str">
        <f>DATABASE!C70</f>
        <v>122A</v>
      </c>
      <c r="D32" s="53" t="str">
        <f>DATABASE!E70</f>
        <v>1-BR</v>
      </c>
      <c r="E32" s="53">
        <f>DATABASE!F70</f>
        <v>65</v>
      </c>
      <c r="F32" s="53">
        <f>DATABASE!G70</f>
        <v>0</v>
      </c>
      <c r="G32" s="53" t="str">
        <f>DATABASE!H70</f>
        <v>1</v>
      </c>
      <c r="H32" s="53" t="str">
        <f>DATABASE!I70</f>
        <v/>
      </c>
      <c r="I32" s="53">
        <f>DATABASE!J70</f>
        <v>8.6999999999999993</v>
      </c>
      <c r="J32" s="53">
        <f>DATABASE!K70</f>
        <v>0</v>
      </c>
      <c r="K32" s="53">
        <f>DATABASE!L70</f>
        <v>0</v>
      </c>
      <c r="L32" s="53">
        <f>DATABASE!M70</f>
        <v>0</v>
      </c>
      <c r="M32" s="53">
        <f>DATABASE!N70</f>
        <v>0</v>
      </c>
      <c r="N32" s="53">
        <f>DATABASE!O70</f>
        <v>56.3</v>
      </c>
      <c r="O32" s="53">
        <f>DATABASE!P70</f>
        <v>0</v>
      </c>
      <c r="P32" s="53" t="str">
        <f>DATABASE!Q70</f>
        <v>AVAILABLE</v>
      </c>
      <c r="Q32" s="53">
        <f>DATABASE!R70</f>
        <v>395000</v>
      </c>
      <c r="R32" s="53">
        <f>DATABASE!S70</f>
        <v>430000</v>
      </c>
      <c r="S32" s="53">
        <f>DATABASE!T70</f>
        <v>430000</v>
      </c>
      <c r="T32" s="53">
        <f>DATABASE!U70</f>
        <v>0</v>
      </c>
      <c r="U32" s="53">
        <f>DATABASE!V70</f>
        <v>35000</v>
      </c>
      <c r="V32" s="53">
        <f>DATABASE!W70</f>
        <v>395000</v>
      </c>
      <c r="W32" s="53">
        <f>DATABASE!X70</f>
        <v>0</v>
      </c>
      <c r="X32" s="53">
        <f>DATABASE!Y70</f>
        <v>0</v>
      </c>
      <c r="Y32" s="53">
        <f>DATABASE!Z70</f>
        <v>-35000</v>
      </c>
      <c r="Z32" s="53" t="e">
        <f>DATABASE!#REF!</f>
        <v>#REF!</v>
      </c>
      <c r="AA32" s="53">
        <f>DATABASE!AA70</f>
        <v>0</v>
      </c>
      <c r="AB32" s="54">
        <f>DATABASE!AB70</f>
        <v>47118</v>
      </c>
    </row>
    <row r="33" spans="1:28">
      <c r="A33" s="52" t="str">
        <f>DATABASE!A71</f>
        <v>Aroeira - HOTEL APARTMENTS</v>
      </c>
      <c r="B33" s="53" t="str">
        <f>DATABASE!B71</f>
        <v>Center</v>
      </c>
      <c r="C33" s="53" t="str">
        <f>DATABASE!C71</f>
        <v>338A</v>
      </c>
      <c r="D33" s="53" t="str">
        <f>DATABASE!E71</f>
        <v>1-BR</v>
      </c>
      <c r="E33" s="53">
        <f>DATABASE!F71</f>
        <v>60.2</v>
      </c>
      <c r="F33" s="53">
        <f>DATABASE!G71</f>
        <v>0</v>
      </c>
      <c r="G33" s="53" t="str">
        <f>DATABASE!H71</f>
        <v>1</v>
      </c>
      <c r="H33" s="53" t="str">
        <f>DATABASE!I71</f>
        <v/>
      </c>
      <c r="I33" s="53">
        <f>DATABASE!J71</f>
        <v>3.9</v>
      </c>
      <c r="J33" s="53">
        <f>DATABASE!K71</f>
        <v>0</v>
      </c>
      <c r="K33" s="53">
        <f>DATABASE!L71</f>
        <v>0</v>
      </c>
      <c r="L33" s="53">
        <f>DATABASE!M71</f>
        <v>0</v>
      </c>
      <c r="M33" s="53">
        <f>DATABASE!N71</f>
        <v>0</v>
      </c>
      <c r="N33" s="53">
        <f>DATABASE!O71</f>
        <v>56.3</v>
      </c>
      <c r="O33" s="53">
        <f>DATABASE!P71</f>
        <v>0</v>
      </c>
      <c r="P33" s="53" t="str">
        <f>DATABASE!Q71</f>
        <v>AVAILABLE</v>
      </c>
      <c r="Q33" s="53">
        <f>DATABASE!R71</f>
        <v>395000</v>
      </c>
      <c r="R33" s="53">
        <f>DATABASE!S71</f>
        <v>430000</v>
      </c>
      <c r="S33" s="53">
        <f>DATABASE!T71</f>
        <v>430000</v>
      </c>
      <c r="T33" s="53">
        <f>DATABASE!U71</f>
        <v>0</v>
      </c>
      <c r="U33" s="53">
        <f>DATABASE!V71</f>
        <v>35000</v>
      </c>
      <c r="V33" s="53">
        <f>DATABASE!W71</f>
        <v>395000</v>
      </c>
      <c r="W33" s="53">
        <f>DATABASE!X71</f>
        <v>0</v>
      </c>
      <c r="X33" s="53">
        <f>DATABASE!Y71</f>
        <v>0</v>
      </c>
      <c r="Y33" s="53">
        <f>DATABASE!Z71</f>
        <v>-35000</v>
      </c>
      <c r="Z33" s="53" t="e">
        <f>DATABASE!#REF!</f>
        <v>#REF!</v>
      </c>
      <c r="AA33" s="53">
        <f>DATABASE!AA71</f>
        <v>0</v>
      </c>
      <c r="AB33" s="54">
        <f>DATABASE!AB71</f>
        <v>47118</v>
      </c>
    </row>
    <row r="34" spans="1:28">
      <c r="A34" s="52" t="str">
        <f>DATABASE!A72</f>
        <v>Aroeira - HOTEL APARTMENTS</v>
      </c>
      <c r="B34" s="53" t="str">
        <f>DATABASE!B72</f>
        <v>Center</v>
      </c>
      <c r="C34" s="53" t="str">
        <f>DATABASE!C72</f>
        <v>339A</v>
      </c>
      <c r="D34" s="53" t="str">
        <f>DATABASE!E72</f>
        <v>1-BR</v>
      </c>
      <c r="E34" s="53">
        <f>DATABASE!F72</f>
        <v>60.2</v>
      </c>
      <c r="F34" s="53">
        <f>DATABASE!G72</f>
        <v>0</v>
      </c>
      <c r="G34" s="53" t="str">
        <f>DATABASE!H72</f>
        <v>1</v>
      </c>
      <c r="H34" s="53" t="str">
        <f>DATABASE!I72</f>
        <v/>
      </c>
      <c r="I34" s="53">
        <f>DATABASE!J72</f>
        <v>3.9</v>
      </c>
      <c r="J34" s="53">
        <f>DATABASE!K72</f>
        <v>0</v>
      </c>
      <c r="K34" s="53">
        <f>DATABASE!L72</f>
        <v>0</v>
      </c>
      <c r="L34" s="53">
        <f>DATABASE!M72</f>
        <v>0</v>
      </c>
      <c r="M34" s="53">
        <f>DATABASE!N72</f>
        <v>0</v>
      </c>
      <c r="N34" s="53">
        <f>DATABASE!O72</f>
        <v>56.3</v>
      </c>
      <c r="O34" s="53">
        <f>DATABASE!P72</f>
        <v>0</v>
      </c>
      <c r="P34" s="53" t="str">
        <f>DATABASE!Q72</f>
        <v>AVAILABLE</v>
      </c>
      <c r="Q34" s="53">
        <f>DATABASE!R72</f>
        <v>395000</v>
      </c>
      <c r="R34" s="53">
        <f>DATABASE!S72</f>
        <v>430000</v>
      </c>
      <c r="S34" s="53">
        <f>DATABASE!T72</f>
        <v>430000</v>
      </c>
      <c r="T34" s="53">
        <f>DATABASE!U72</f>
        <v>0</v>
      </c>
      <c r="U34" s="53">
        <f>DATABASE!V72</f>
        <v>35000</v>
      </c>
      <c r="V34" s="53">
        <f>DATABASE!W72</f>
        <v>395000</v>
      </c>
      <c r="W34" s="53">
        <f>DATABASE!X72</f>
        <v>0</v>
      </c>
      <c r="X34" s="53">
        <f>DATABASE!Y72</f>
        <v>0</v>
      </c>
      <c r="Y34" s="53">
        <f>DATABASE!Z72</f>
        <v>-35000</v>
      </c>
      <c r="Z34" s="53" t="e">
        <f>DATABASE!#REF!</f>
        <v>#REF!</v>
      </c>
      <c r="AA34" s="53">
        <f>DATABASE!AA72</f>
        <v>0</v>
      </c>
      <c r="AB34" s="54">
        <f>DATABASE!AB72</f>
        <v>47118</v>
      </c>
    </row>
    <row r="35" spans="1:28">
      <c r="A35" s="52" t="str">
        <f>DATABASE!A73</f>
        <v>Aroeira - HOTEL APARTMENTS</v>
      </c>
      <c r="B35" s="53" t="str">
        <f>DATABASE!B73</f>
        <v>Center</v>
      </c>
      <c r="C35" s="53" t="str">
        <f>DATABASE!C73</f>
        <v>340A</v>
      </c>
      <c r="D35" s="53" t="str">
        <f>DATABASE!E73</f>
        <v>1-BR</v>
      </c>
      <c r="E35" s="53">
        <f>DATABASE!F73</f>
        <v>60.2</v>
      </c>
      <c r="F35" s="53">
        <f>DATABASE!G73</f>
        <v>0</v>
      </c>
      <c r="G35" s="53" t="str">
        <f>DATABASE!H73</f>
        <v>1</v>
      </c>
      <c r="H35" s="53" t="str">
        <f>DATABASE!I73</f>
        <v/>
      </c>
      <c r="I35" s="53">
        <f>DATABASE!J73</f>
        <v>3.9</v>
      </c>
      <c r="J35" s="53">
        <f>DATABASE!K73</f>
        <v>0</v>
      </c>
      <c r="K35" s="53">
        <f>DATABASE!L73</f>
        <v>0</v>
      </c>
      <c r="L35" s="53">
        <f>DATABASE!M73</f>
        <v>0</v>
      </c>
      <c r="M35" s="53">
        <f>DATABASE!N73</f>
        <v>0</v>
      </c>
      <c r="N35" s="53">
        <f>DATABASE!O73</f>
        <v>56.3</v>
      </c>
      <c r="O35" s="53">
        <f>DATABASE!P73</f>
        <v>0</v>
      </c>
      <c r="P35" s="53" t="str">
        <f>DATABASE!Q73</f>
        <v>AVAILABLE</v>
      </c>
      <c r="Q35" s="53">
        <f>DATABASE!R73</f>
        <v>395000</v>
      </c>
      <c r="R35" s="53">
        <f>DATABASE!S73</f>
        <v>430000</v>
      </c>
      <c r="S35" s="53">
        <f>DATABASE!T73</f>
        <v>430000</v>
      </c>
      <c r="T35" s="53">
        <f>DATABASE!U73</f>
        <v>0</v>
      </c>
      <c r="U35" s="53">
        <f>DATABASE!V73</f>
        <v>35000</v>
      </c>
      <c r="V35" s="53">
        <f>DATABASE!W73</f>
        <v>395000</v>
      </c>
      <c r="W35" s="53">
        <f>DATABASE!X73</f>
        <v>0</v>
      </c>
      <c r="X35" s="53">
        <f>DATABASE!Y73</f>
        <v>0</v>
      </c>
      <c r="Y35" s="53">
        <f>DATABASE!Z73</f>
        <v>-35000</v>
      </c>
      <c r="Z35" s="53" t="e">
        <f>DATABASE!#REF!</f>
        <v>#REF!</v>
      </c>
      <c r="AA35" s="53">
        <f>DATABASE!AA73</f>
        <v>0</v>
      </c>
      <c r="AB35" s="54">
        <f>DATABASE!AB73</f>
        <v>47118</v>
      </c>
    </row>
    <row r="36" spans="1:28">
      <c r="A36" s="52" t="str">
        <f>DATABASE!A74</f>
        <v>Aroeira - HOTEL APARTMENTS</v>
      </c>
      <c r="B36" s="53" t="str">
        <f>DATABASE!B74</f>
        <v>Center</v>
      </c>
      <c r="C36" s="53" t="str">
        <f>DATABASE!C74</f>
        <v>341A</v>
      </c>
      <c r="D36" s="53" t="str">
        <f>DATABASE!E74</f>
        <v>1-BR</v>
      </c>
      <c r="E36" s="53">
        <f>DATABASE!F74</f>
        <v>60.2</v>
      </c>
      <c r="F36" s="53">
        <f>DATABASE!G74</f>
        <v>0</v>
      </c>
      <c r="G36" s="53" t="str">
        <f>DATABASE!H74</f>
        <v>1</v>
      </c>
      <c r="H36" s="53" t="str">
        <f>DATABASE!I74</f>
        <v/>
      </c>
      <c r="I36" s="53">
        <f>DATABASE!J74</f>
        <v>3.9</v>
      </c>
      <c r="J36" s="53">
        <f>DATABASE!K74</f>
        <v>0</v>
      </c>
      <c r="K36" s="53">
        <f>DATABASE!L74</f>
        <v>0</v>
      </c>
      <c r="L36" s="53">
        <f>DATABASE!M74</f>
        <v>0</v>
      </c>
      <c r="M36" s="53">
        <f>DATABASE!N74</f>
        <v>0</v>
      </c>
      <c r="N36" s="53">
        <f>DATABASE!O74</f>
        <v>56.3</v>
      </c>
      <c r="O36" s="53">
        <f>DATABASE!P74</f>
        <v>0</v>
      </c>
      <c r="P36" s="53" t="str">
        <f>DATABASE!Q74</f>
        <v>AVAILABLE</v>
      </c>
      <c r="Q36" s="53">
        <f>DATABASE!R74</f>
        <v>395000</v>
      </c>
      <c r="R36" s="53">
        <f>DATABASE!S74</f>
        <v>430000</v>
      </c>
      <c r="S36" s="53">
        <f>DATABASE!T74</f>
        <v>430000</v>
      </c>
      <c r="T36" s="53">
        <f>DATABASE!U74</f>
        <v>0</v>
      </c>
      <c r="U36" s="53">
        <f>DATABASE!V74</f>
        <v>35000</v>
      </c>
      <c r="V36" s="53">
        <f>DATABASE!W74</f>
        <v>395000</v>
      </c>
      <c r="W36" s="53">
        <f>DATABASE!X74</f>
        <v>0</v>
      </c>
      <c r="X36" s="53">
        <f>DATABASE!Y74</f>
        <v>0</v>
      </c>
      <c r="Y36" s="53">
        <f>DATABASE!Z74</f>
        <v>-35000</v>
      </c>
      <c r="Z36" s="53" t="e">
        <f>DATABASE!#REF!</f>
        <v>#REF!</v>
      </c>
      <c r="AA36" s="53">
        <f>DATABASE!AA74</f>
        <v>0</v>
      </c>
      <c r="AB36" s="54">
        <f>DATABASE!AB74</f>
        <v>47118</v>
      </c>
    </row>
    <row r="37" spans="1:28">
      <c r="A37" s="52" t="str">
        <f>DATABASE!A75</f>
        <v>Aroeira - HOTEL APARTMENTS</v>
      </c>
      <c r="B37" s="53" t="str">
        <f>DATABASE!B75</f>
        <v>Center</v>
      </c>
      <c r="C37" s="53" t="str">
        <f>DATABASE!C75</f>
        <v>342A</v>
      </c>
      <c r="D37" s="53" t="str">
        <f>DATABASE!E75</f>
        <v>1-BR</v>
      </c>
      <c r="E37" s="53">
        <f>DATABASE!F75</f>
        <v>60.2</v>
      </c>
      <c r="F37" s="53">
        <f>DATABASE!G75</f>
        <v>0</v>
      </c>
      <c r="G37" s="53" t="str">
        <f>DATABASE!H75</f>
        <v>1</v>
      </c>
      <c r="H37" s="53" t="str">
        <f>DATABASE!I75</f>
        <v/>
      </c>
      <c r="I37" s="53">
        <f>DATABASE!J75</f>
        <v>3.9</v>
      </c>
      <c r="J37" s="53">
        <f>DATABASE!K75</f>
        <v>0</v>
      </c>
      <c r="K37" s="53">
        <f>DATABASE!L75</f>
        <v>0</v>
      </c>
      <c r="L37" s="53">
        <f>DATABASE!M75</f>
        <v>0</v>
      </c>
      <c r="M37" s="53">
        <f>DATABASE!N75</f>
        <v>0</v>
      </c>
      <c r="N37" s="53">
        <f>DATABASE!O75</f>
        <v>56.3</v>
      </c>
      <c r="O37" s="53">
        <f>DATABASE!P75</f>
        <v>0</v>
      </c>
      <c r="P37" s="53" t="str">
        <f>DATABASE!Q75</f>
        <v>AVAILABLE</v>
      </c>
      <c r="Q37" s="53">
        <f>DATABASE!R75</f>
        <v>395000</v>
      </c>
      <c r="R37" s="53">
        <f>DATABASE!S75</f>
        <v>430000</v>
      </c>
      <c r="S37" s="53">
        <f>DATABASE!T75</f>
        <v>430000</v>
      </c>
      <c r="T37" s="53">
        <f>DATABASE!U75</f>
        <v>0</v>
      </c>
      <c r="U37" s="53">
        <f>DATABASE!V75</f>
        <v>35000</v>
      </c>
      <c r="V37" s="53">
        <f>DATABASE!W75</f>
        <v>395000</v>
      </c>
      <c r="W37" s="53">
        <f>DATABASE!X75</f>
        <v>0</v>
      </c>
      <c r="X37" s="53">
        <f>DATABASE!Y75</f>
        <v>0</v>
      </c>
      <c r="Y37" s="53">
        <f>DATABASE!Z75</f>
        <v>-35000</v>
      </c>
      <c r="Z37" s="53" t="e">
        <f>DATABASE!#REF!</f>
        <v>#REF!</v>
      </c>
      <c r="AA37" s="53">
        <f>DATABASE!AA75</f>
        <v>0</v>
      </c>
      <c r="AB37" s="54">
        <f>DATABASE!AB75</f>
        <v>47118</v>
      </c>
    </row>
    <row r="38" spans="1:28">
      <c r="A38" s="52" t="str">
        <f>DATABASE!A76</f>
        <v>Aroeira - HOTEL APARTMENTS</v>
      </c>
      <c r="B38" s="53" t="str">
        <f>DATABASE!B76</f>
        <v>Center</v>
      </c>
      <c r="C38" s="53" t="str">
        <f>DATABASE!C76</f>
        <v>202A</v>
      </c>
      <c r="D38" s="53" t="str">
        <f>DATABASE!E76</f>
        <v>1-BR</v>
      </c>
      <c r="E38" s="53">
        <f>DATABASE!F76</f>
        <v>65</v>
      </c>
      <c r="F38" s="53">
        <f>DATABASE!G76</f>
        <v>0</v>
      </c>
      <c r="G38" s="53" t="str">
        <f>DATABASE!H76</f>
        <v>1</v>
      </c>
      <c r="H38" s="53" t="str">
        <f>DATABASE!I76</f>
        <v/>
      </c>
      <c r="I38" s="53">
        <f>DATABASE!J76</f>
        <v>8.6999999999999993</v>
      </c>
      <c r="J38" s="53">
        <f>DATABASE!K76</f>
        <v>0</v>
      </c>
      <c r="K38" s="53">
        <f>DATABASE!L76</f>
        <v>0</v>
      </c>
      <c r="L38" s="53">
        <f>DATABASE!M76</f>
        <v>0</v>
      </c>
      <c r="M38" s="53">
        <f>DATABASE!N76</f>
        <v>0</v>
      </c>
      <c r="N38" s="53">
        <f>DATABASE!O76</f>
        <v>56.3</v>
      </c>
      <c r="O38" s="53">
        <f>DATABASE!P76</f>
        <v>0</v>
      </c>
      <c r="P38" s="53" t="str">
        <f>DATABASE!Q76</f>
        <v>AVAILABLE</v>
      </c>
      <c r="Q38" s="53">
        <f>DATABASE!R76</f>
        <v>400000</v>
      </c>
      <c r="R38" s="53">
        <f>DATABASE!S76</f>
        <v>435000</v>
      </c>
      <c r="S38" s="53">
        <f>DATABASE!T76</f>
        <v>435000</v>
      </c>
      <c r="T38" s="53">
        <f>DATABASE!U76</f>
        <v>0</v>
      </c>
      <c r="U38" s="53">
        <f>DATABASE!V76</f>
        <v>35000</v>
      </c>
      <c r="V38" s="53">
        <f>DATABASE!W76</f>
        <v>400000</v>
      </c>
      <c r="W38" s="53">
        <f>DATABASE!X76</f>
        <v>0</v>
      </c>
      <c r="X38" s="53">
        <f>DATABASE!Y76</f>
        <v>0</v>
      </c>
      <c r="Y38" s="53">
        <f>DATABASE!Z76</f>
        <v>-35000</v>
      </c>
      <c r="Z38" s="53" t="e">
        <f>DATABASE!#REF!</f>
        <v>#REF!</v>
      </c>
      <c r="AA38" s="53">
        <f>DATABASE!AA76</f>
        <v>0</v>
      </c>
      <c r="AB38" s="54">
        <f>DATABASE!AB76</f>
        <v>47118</v>
      </c>
    </row>
    <row r="39" spans="1:28">
      <c r="A39" s="52" t="str">
        <f>DATABASE!A77</f>
        <v>Aroeira - HOTEL APARTMENTS</v>
      </c>
      <c r="B39" s="53" t="str">
        <f>DATABASE!B77</f>
        <v>Center</v>
      </c>
      <c r="C39" s="53" t="str">
        <f>DATABASE!C77</f>
        <v>203A</v>
      </c>
      <c r="D39" s="53" t="str">
        <f>DATABASE!E77</f>
        <v>1-BR</v>
      </c>
      <c r="E39" s="53">
        <f>DATABASE!F77</f>
        <v>65</v>
      </c>
      <c r="F39" s="53">
        <f>DATABASE!G77</f>
        <v>0</v>
      </c>
      <c r="G39" s="53" t="str">
        <f>DATABASE!H77</f>
        <v>1</v>
      </c>
      <c r="H39" s="53" t="str">
        <f>DATABASE!I77</f>
        <v/>
      </c>
      <c r="I39" s="53">
        <f>DATABASE!J77</f>
        <v>8.6999999999999993</v>
      </c>
      <c r="J39" s="53">
        <f>DATABASE!K77</f>
        <v>0</v>
      </c>
      <c r="K39" s="53">
        <f>DATABASE!L77</f>
        <v>0</v>
      </c>
      <c r="L39" s="53">
        <f>DATABASE!M77</f>
        <v>0</v>
      </c>
      <c r="M39" s="53">
        <f>DATABASE!N77</f>
        <v>0</v>
      </c>
      <c r="N39" s="53">
        <f>DATABASE!O77</f>
        <v>56.3</v>
      </c>
      <c r="O39" s="53">
        <f>DATABASE!P77</f>
        <v>0</v>
      </c>
      <c r="P39" s="53" t="str">
        <f>DATABASE!Q77</f>
        <v>AVAILABLE</v>
      </c>
      <c r="Q39" s="53">
        <f>DATABASE!R77</f>
        <v>400000</v>
      </c>
      <c r="R39" s="53">
        <f>DATABASE!S77</f>
        <v>435000</v>
      </c>
      <c r="S39" s="53">
        <f>DATABASE!T77</f>
        <v>435000</v>
      </c>
      <c r="T39" s="53">
        <f>DATABASE!U77</f>
        <v>0</v>
      </c>
      <c r="U39" s="53">
        <f>DATABASE!V77</f>
        <v>35000</v>
      </c>
      <c r="V39" s="53">
        <f>DATABASE!W77</f>
        <v>400000</v>
      </c>
      <c r="W39" s="53">
        <f>DATABASE!X77</f>
        <v>0</v>
      </c>
      <c r="X39" s="53">
        <f>DATABASE!Y77</f>
        <v>0</v>
      </c>
      <c r="Y39" s="53">
        <f>DATABASE!Z77</f>
        <v>-35000</v>
      </c>
      <c r="Z39" s="53" t="e">
        <f>DATABASE!#REF!</f>
        <v>#REF!</v>
      </c>
      <c r="AA39" s="53">
        <f>DATABASE!AA77</f>
        <v>0</v>
      </c>
      <c r="AB39" s="54">
        <f>DATABASE!AB77</f>
        <v>47118</v>
      </c>
    </row>
    <row r="40" spans="1:28">
      <c r="A40" s="52" t="str">
        <f>DATABASE!A78</f>
        <v>Aroeira - HOTEL APARTMENTS</v>
      </c>
      <c r="B40" s="53" t="str">
        <f>DATABASE!B78</f>
        <v>Center</v>
      </c>
      <c r="C40" s="53" t="str">
        <f>DATABASE!C78</f>
        <v>204A</v>
      </c>
      <c r="D40" s="53" t="str">
        <f>DATABASE!E78</f>
        <v>1-BR</v>
      </c>
      <c r="E40" s="53">
        <f>DATABASE!F78</f>
        <v>65</v>
      </c>
      <c r="F40" s="53">
        <f>DATABASE!G78</f>
        <v>0</v>
      </c>
      <c r="G40" s="53" t="str">
        <f>DATABASE!H78</f>
        <v>1</v>
      </c>
      <c r="H40" s="53" t="str">
        <f>DATABASE!I78</f>
        <v/>
      </c>
      <c r="I40" s="53">
        <f>DATABASE!J78</f>
        <v>8.6999999999999993</v>
      </c>
      <c r="J40" s="53">
        <f>DATABASE!K78</f>
        <v>0</v>
      </c>
      <c r="K40" s="53">
        <f>DATABASE!L78</f>
        <v>0</v>
      </c>
      <c r="L40" s="53">
        <f>DATABASE!M78</f>
        <v>0</v>
      </c>
      <c r="M40" s="53">
        <f>DATABASE!N78</f>
        <v>0</v>
      </c>
      <c r="N40" s="53">
        <f>DATABASE!O78</f>
        <v>56.3</v>
      </c>
      <c r="O40" s="53">
        <f>DATABASE!P78</f>
        <v>0</v>
      </c>
      <c r="P40" s="53" t="str">
        <f>DATABASE!Q78</f>
        <v>AVAILABLE</v>
      </c>
      <c r="Q40" s="53">
        <f>DATABASE!R78</f>
        <v>400000</v>
      </c>
      <c r="R40" s="53">
        <f>DATABASE!S78</f>
        <v>435000</v>
      </c>
      <c r="S40" s="53">
        <f>DATABASE!T78</f>
        <v>435000</v>
      </c>
      <c r="T40" s="53">
        <f>DATABASE!U78</f>
        <v>0</v>
      </c>
      <c r="U40" s="53">
        <f>DATABASE!V78</f>
        <v>35000</v>
      </c>
      <c r="V40" s="53">
        <f>DATABASE!W78</f>
        <v>400000</v>
      </c>
      <c r="W40" s="53">
        <f>DATABASE!X78</f>
        <v>0</v>
      </c>
      <c r="X40" s="53">
        <f>DATABASE!Y78</f>
        <v>0</v>
      </c>
      <c r="Y40" s="53">
        <f>DATABASE!Z78</f>
        <v>-35000</v>
      </c>
      <c r="Z40" s="53" t="e">
        <f>DATABASE!#REF!</f>
        <v>#REF!</v>
      </c>
      <c r="AA40" s="53">
        <f>DATABASE!AA78</f>
        <v>0</v>
      </c>
      <c r="AB40" s="54">
        <f>DATABASE!AB78</f>
        <v>47118</v>
      </c>
    </row>
    <row r="41" spans="1:28">
      <c r="A41" s="52" t="str">
        <f>DATABASE!A79</f>
        <v>Aroeira - HOTEL APARTMENTS</v>
      </c>
      <c r="B41" s="53" t="str">
        <f>DATABASE!B79</f>
        <v>Center</v>
      </c>
      <c r="C41" s="53" t="str">
        <f>DATABASE!C79</f>
        <v>205A</v>
      </c>
      <c r="D41" s="53" t="str">
        <f>DATABASE!E79</f>
        <v>1-BR</v>
      </c>
      <c r="E41" s="53">
        <f>DATABASE!F79</f>
        <v>65</v>
      </c>
      <c r="F41" s="53">
        <f>DATABASE!G79</f>
        <v>0</v>
      </c>
      <c r="G41" s="53" t="str">
        <f>DATABASE!H79</f>
        <v>1</v>
      </c>
      <c r="H41" s="53" t="str">
        <f>DATABASE!I79</f>
        <v/>
      </c>
      <c r="I41" s="53">
        <f>DATABASE!J79</f>
        <v>8.6999999999999993</v>
      </c>
      <c r="J41" s="53">
        <f>DATABASE!K79</f>
        <v>0</v>
      </c>
      <c r="K41" s="53">
        <f>DATABASE!L79</f>
        <v>0</v>
      </c>
      <c r="L41" s="53">
        <f>DATABASE!M79</f>
        <v>0</v>
      </c>
      <c r="M41" s="53">
        <f>DATABASE!N79</f>
        <v>0</v>
      </c>
      <c r="N41" s="53">
        <f>DATABASE!O79</f>
        <v>56.3</v>
      </c>
      <c r="O41" s="53">
        <f>DATABASE!P79</f>
        <v>0</v>
      </c>
      <c r="P41" s="53" t="str">
        <f>DATABASE!Q79</f>
        <v>AVAILABLE</v>
      </c>
      <c r="Q41" s="53">
        <f>DATABASE!R79</f>
        <v>400000</v>
      </c>
      <c r="R41" s="53">
        <f>DATABASE!S79</f>
        <v>435000</v>
      </c>
      <c r="S41" s="53">
        <f>DATABASE!T79</f>
        <v>435000</v>
      </c>
      <c r="T41" s="53">
        <f>DATABASE!U79</f>
        <v>0</v>
      </c>
      <c r="U41" s="53">
        <f>DATABASE!V79</f>
        <v>35000</v>
      </c>
      <c r="V41" s="53">
        <f>DATABASE!W79</f>
        <v>400000</v>
      </c>
      <c r="W41" s="53">
        <f>DATABASE!X79</f>
        <v>0</v>
      </c>
      <c r="X41" s="53">
        <f>DATABASE!Y79</f>
        <v>0</v>
      </c>
      <c r="Y41" s="53">
        <f>DATABASE!Z79</f>
        <v>-35000</v>
      </c>
      <c r="Z41" s="53" t="e">
        <f>DATABASE!#REF!</f>
        <v>#REF!</v>
      </c>
      <c r="AA41" s="53">
        <f>DATABASE!AA79</f>
        <v>0</v>
      </c>
      <c r="AB41" s="54">
        <f>DATABASE!AB79</f>
        <v>47118</v>
      </c>
    </row>
    <row r="42" spans="1:28">
      <c r="A42" s="52" t="str">
        <f>DATABASE!A80</f>
        <v>Aroeira - HOTEL APARTMENTS</v>
      </c>
      <c r="B42" s="53" t="str">
        <f>DATABASE!B80</f>
        <v>Center</v>
      </c>
      <c r="C42" s="53" t="str">
        <f>DATABASE!C80</f>
        <v>206A</v>
      </c>
      <c r="D42" s="53" t="str">
        <f>DATABASE!E80</f>
        <v>1-BR</v>
      </c>
      <c r="E42" s="53">
        <f>DATABASE!F80</f>
        <v>65</v>
      </c>
      <c r="F42" s="53">
        <f>DATABASE!G80</f>
        <v>0</v>
      </c>
      <c r="G42" s="53" t="str">
        <f>DATABASE!H80</f>
        <v>1</v>
      </c>
      <c r="H42" s="53" t="str">
        <f>DATABASE!I80</f>
        <v/>
      </c>
      <c r="I42" s="53">
        <f>DATABASE!J80</f>
        <v>8.6999999999999993</v>
      </c>
      <c r="J42" s="53">
        <f>DATABASE!K80</f>
        <v>0</v>
      </c>
      <c r="K42" s="53">
        <f>DATABASE!L80</f>
        <v>0</v>
      </c>
      <c r="L42" s="53">
        <f>DATABASE!M80</f>
        <v>0</v>
      </c>
      <c r="M42" s="53">
        <f>DATABASE!N80</f>
        <v>0</v>
      </c>
      <c r="N42" s="53">
        <f>DATABASE!O80</f>
        <v>56.3</v>
      </c>
      <c r="O42" s="53">
        <f>DATABASE!P80</f>
        <v>0</v>
      </c>
      <c r="P42" s="53" t="str">
        <f>DATABASE!Q80</f>
        <v>AVAILABLE</v>
      </c>
      <c r="Q42" s="53">
        <f>DATABASE!R80</f>
        <v>400000</v>
      </c>
      <c r="R42" s="53">
        <f>DATABASE!S80</f>
        <v>435000</v>
      </c>
      <c r="S42" s="53">
        <f>DATABASE!T80</f>
        <v>435000</v>
      </c>
      <c r="T42" s="53">
        <f>DATABASE!U80</f>
        <v>0</v>
      </c>
      <c r="U42" s="53">
        <f>DATABASE!V80</f>
        <v>35000</v>
      </c>
      <c r="V42" s="53">
        <f>DATABASE!W80</f>
        <v>400000</v>
      </c>
      <c r="W42" s="53">
        <f>DATABASE!X80</f>
        <v>0</v>
      </c>
      <c r="X42" s="53">
        <f>DATABASE!Y80</f>
        <v>0</v>
      </c>
      <c r="Y42" s="53">
        <f>DATABASE!Z80</f>
        <v>-35000</v>
      </c>
      <c r="Z42" s="53" t="e">
        <f>DATABASE!#REF!</f>
        <v>#REF!</v>
      </c>
      <c r="AA42" s="53">
        <f>DATABASE!AA80</f>
        <v>0</v>
      </c>
      <c r="AB42" s="54">
        <f>DATABASE!AB80</f>
        <v>47118</v>
      </c>
    </row>
    <row r="43" spans="1:28">
      <c r="A43" s="52" t="str">
        <f>DATABASE!A81</f>
        <v>Aroeira - HOTEL APARTMENTS</v>
      </c>
      <c r="B43" s="53" t="str">
        <f>DATABASE!B81</f>
        <v>Center</v>
      </c>
      <c r="C43" s="53" t="str">
        <f>DATABASE!C81</f>
        <v>207A</v>
      </c>
      <c r="D43" s="53" t="str">
        <f>DATABASE!E81</f>
        <v>1-BR</v>
      </c>
      <c r="E43" s="53">
        <f>DATABASE!F81</f>
        <v>65</v>
      </c>
      <c r="F43" s="53">
        <f>DATABASE!G81</f>
        <v>0</v>
      </c>
      <c r="G43" s="53" t="str">
        <f>DATABASE!H81</f>
        <v>1</v>
      </c>
      <c r="H43" s="53" t="str">
        <f>DATABASE!I81</f>
        <v/>
      </c>
      <c r="I43" s="53">
        <f>DATABASE!J81</f>
        <v>8.6999999999999993</v>
      </c>
      <c r="J43" s="53">
        <f>DATABASE!K81</f>
        <v>0</v>
      </c>
      <c r="K43" s="53">
        <f>DATABASE!L81</f>
        <v>0</v>
      </c>
      <c r="L43" s="53">
        <f>DATABASE!M81</f>
        <v>0</v>
      </c>
      <c r="M43" s="53">
        <f>DATABASE!N81</f>
        <v>0</v>
      </c>
      <c r="N43" s="53">
        <f>DATABASE!O81</f>
        <v>56.3</v>
      </c>
      <c r="O43" s="53">
        <f>DATABASE!P81</f>
        <v>0</v>
      </c>
      <c r="P43" s="53" t="str">
        <f>DATABASE!Q81</f>
        <v>AVAILABLE</v>
      </c>
      <c r="Q43" s="53">
        <f>DATABASE!R81</f>
        <v>400000</v>
      </c>
      <c r="R43" s="53">
        <f>DATABASE!S81</f>
        <v>435000</v>
      </c>
      <c r="S43" s="53">
        <f>DATABASE!T81</f>
        <v>435000</v>
      </c>
      <c r="T43" s="53">
        <f>DATABASE!U81</f>
        <v>0</v>
      </c>
      <c r="U43" s="53">
        <f>DATABASE!V81</f>
        <v>35000</v>
      </c>
      <c r="V43" s="53">
        <f>DATABASE!W81</f>
        <v>400000</v>
      </c>
      <c r="W43" s="53">
        <f>DATABASE!X81</f>
        <v>0</v>
      </c>
      <c r="X43" s="53">
        <f>DATABASE!Y81</f>
        <v>0</v>
      </c>
      <c r="Y43" s="53">
        <f>DATABASE!Z81</f>
        <v>-35000</v>
      </c>
      <c r="Z43" s="53" t="e">
        <f>DATABASE!#REF!</f>
        <v>#REF!</v>
      </c>
      <c r="AA43" s="53">
        <f>DATABASE!AA81</f>
        <v>0</v>
      </c>
      <c r="AB43" s="54">
        <f>DATABASE!AB81</f>
        <v>47118</v>
      </c>
    </row>
    <row r="44" spans="1:28">
      <c r="A44" s="52" t="str">
        <f>DATABASE!A82</f>
        <v>Aroeira - HOTEL APARTMENTS</v>
      </c>
      <c r="B44" s="53" t="str">
        <f>DATABASE!B82</f>
        <v>Center</v>
      </c>
      <c r="C44" s="53" t="str">
        <f>DATABASE!C82</f>
        <v>208A</v>
      </c>
      <c r="D44" s="53" t="str">
        <f>DATABASE!E82</f>
        <v>1-BR</v>
      </c>
      <c r="E44" s="53">
        <f>DATABASE!F82</f>
        <v>65</v>
      </c>
      <c r="F44" s="53">
        <f>DATABASE!G82</f>
        <v>0</v>
      </c>
      <c r="G44" s="53" t="str">
        <f>DATABASE!H82</f>
        <v>1</v>
      </c>
      <c r="H44" s="53" t="str">
        <f>DATABASE!I82</f>
        <v/>
      </c>
      <c r="I44" s="53">
        <f>DATABASE!J82</f>
        <v>8.6999999999999993</v>
      </c>
      <c r="J44" s="53">
        <f>DATABASE!K82</f>
        <v>0</v>
      </c>
      <c r="K44" s="53">
        <f>DATABASE!L82</f>
        <v>0</v>
      </c>
      <c r="L44" s="53">
        <f>DATABASE!M82</f>
        <v>0</v>
      </c>
      <c r="M44" s="53">
        <f>DATABASE!N82</f>
        <v>0</v>
      </c>
      <c r="N44" s="53">
        <f>DATABASE!O82</f>
        <v>56.3</v>
      </c>
      <c r="O44" s="53">
        <f>DATABASE!P82</f>
        <v>0</v>
      </c>
      <c r="P44" s="53" t="str">
        <f>DATABASE!Q82</f>
        <v>AVAILABLE</v>
      </c>
      <c r="Q44" s="53">
        <f>DATABASE!R82</f>
        <v>400000</v>
      </c>
      <c r="R44" s="53">
        <f>DATABASE!S82</f>
        <v>435000</v>
      </c>
      <c r="S44" s="53">
        <f>DATABASE!T82</f>
        <v>435000</v>
      </c>
      <c r="T44" s="53">
        <f>DATABASE!U82</f>
        <v>0</v>
      </c>
      <c r="U44" s="53">
        <f>DATABASE!V82</f>
        <v>35000</v>
      </c>
      <c r="V44" s="53">
        <f>DATABASE!W82</f>
        <v>400000</v>
      </c>
      <c r="W44" s="53">
        <f>DATABASE!X82</f>
        <v>0</v>
      </c>
      <c r="X44" s="53">
        <f>DATABASE!Y82</f>
        <v>0</v>
      </c>
      <c r="Y44" s="53">
        <f>DATABASE!Z82</f>
        <v>-35000</v>
      </c>
      <c r="Z44" s="53" t="e">
        <f>DATABASE!#REF!</f>
        <v>#REF!</v>
      </c>
      <c r="AA44" s="53">
        <f>DATABASE!AA82</f>
        <v>0</v>
      </c>
      <c r="AB44" s="54">
        <f>DATABASE!AB82</f>
        <v>47118</v>
      </c>
    </row>
    <row r="45" spans="1:28">
      <c r="A45" s="52" t="str">
        <f>DATABASE!A83</f>
        <v>THE UNCOMMON</v>
      </c>
      <c r="B45" s="53" t="str">
        <f>DATABASE!B83</f>
        <v>Vilamoura</v>
      </c>
      <c r="C45" s="53" t="str">
        <f>DATABASE!C83</f>
        <v>102</v>
      </c>
      <c r="D45" s="53" t="str">
        <f>DATABASE!E83</f>
        <v>T2</v>
      </c>
      <c r="E45" s="53">
        <f>DATABASE!F83</f>
        <v>129.4</v>
      </c>
      <c r="F45" s="53">
        <f>DATABASE!G83</f>
        <v>0</v>
      </c>
      <c r="G45" s="53" t="str">
        <f>DATABASE!H83</f>
        <v>1</v>
      </c>
      <c r="H45" s="53" t="str">
        <f>DATABASE!I83</f>
        <v/>
      </c>
      <c r="I45" s="53">
        <f>DATABASE!J83</f>
        <v>25.5</v>
      </c>
      <c r="J45" s="53">
        <f>DATABASE!K83</f>
        <v>0</v>
      </c>
      <c r="K45" s="53">
        <f>DATABASE!L83</f>
        <v>0</v>
      </c>
      <c r="L45" s="53">
        <f>DATABASE!M83</f>
        <v>0</v>
      </c>
      <c r="M45" s="53">
        <f>DATABASE!N83</f>
        <v>0</v>
      </c>
      <c r="N45" s="53">
        <f>DATABASE!O83</f>
        <v>103.9</v>
      </c>
      <c r="O45" s="53">
        <f>DATABASE!P83</f>
        <v>0</v>
      </c>
      <c r="P45" s="53" t="str">
        <f>DATABASE!Q83</f>
        <v>AVAILABLE</v>
      </c>
      <c r="Q45" s="53">
        <f>DATABASE!R83</f>
        <v>1007000</v>
      </c>
      <c r="R45" s="53">
        <f>DATABASE!S83</f>
        <v>1080000</v>
      </c>
      <c r="S45" s="53">
        <f>DATABASE!T83</f>
        <v>1150000</v>
      </c>
      <c r="T45" s="53">
        <f>DATABASE!U83</f>
        <v>50000</v>
      </c>
      <c r="U45" s="53">
        <f>DATABASE!V83</f>
        <v>23000</v>
      </c>
      <c r="V45" s="53">
        <f>DATABASE!W83</f>
        <v>1077000</v>
      </c>
      <c r="W45" s="53">
        <f>DATABASE!X83</f>
        <v>0</v>
      </c>
      <c r="X45" s="53">
        <f>DATABASE!Y83</f>
        <v>1150000</v>
      </c>
      <c r="Y45" s="53">
        <f>DATABASE!Z83</f>
        <v>1077000</v>
      </c>
      <c r="Z45" s="53" t="e">
        <f>DATABASE!#REF!</f>
        <v>#REF!</v>
      </c>
      <c r="AA45" s="53">
        <f>DATABASE!AA83</f>
        <v>0</v>
      </c>
      <c r="AB45" s="54">
        <f>DATABASE!AB83</f>
        <v>0</v>
      </c>
    </row>
    <row r="46" spans="1:28">
      <c r="A46" s="52" t="str">
        <f>DATABASE!A84</f>
        <v>THE UNCOMMON</v>
      </c>
      <c r="B46" s="53" t="str">
        <f>DATABASE!B84</f>
        <v>Vilamoura</v>
      </c>
      <c r="C46" s="53" t="str">
        <f>DATABASE!C84</f>
        <v>103</v>
      </c>
      <c r="D46" s="53" t="str">
        <f>DATABASE!E84</f>
        <v>T2</v>
      </c>
      <c r="E46" s="53">
        <f>DATABASE!F84</f>
        <v>129.4</v>
      </c>
      <c r="F46" s="53">
        <f>DATABASE!G84</f>
        <v>0</v>
      </c>
      <c r="G46" s="53" t="str">
        <f>DATABASE!H84</f>
        <v>1</v>
      </c>
      <c r="H46" s="53" t="str">
        <f>DATABASE!I84</f>
        <v/>
      </c>
      <c r="I46" s="53">
        <f>DATABASE!J84</f>
        <v>25.5</v>
      </c>
      <c r="J46" s="53">
        <f>DATABASE!K84</f>
        <v>0</v>
      </c>
      <c r="K46" s="53">
        <f>DATABASE!L84</f>
        <v>0</v>
      </c>
      <c r="L46" s="53">
        <f>DATABASE!M84</f>
        <v>0</v>
      </c>
      <c r="M46" s="53">
        <f>DATABASE!N84</f>
        <v>0</v>
      </c>
      <c r="N46" s="53">
        <f>DATABASE!O84</f>
        <v>103.9</v>
      </c>
      <c r="O46" s="53">
        <f>DATABASE!P84</f>
        <v>0</v>
      </c>
      <c r="P46" s="53" t="str">
        <f>DATABASE!Q84</f>
        <v>AVAILABLE</v>
      </c>
      <c r="Q46" s="53">
        <f>DATABASE!R84</f>
        <v>927000</v>
      </c>
      <c r="R46" s="53">
        <f>DATABASE!S84</f>
        <v>1000000</v>
      </c>
      <c r="S46" s="53">
        <f>DATABASE!T84</f>
        <v>1060000</v>
      </c>
      <c r="T46" s="53">
        <f>DATABASE!U84</f>
        <v>50000</v>
      </c>
      <c r="U46" s="53">
        <f>DATABASE!V84</f>
        <v>23000</v>
      </c>
      <c r="V46" s="53">
        <f>DATABASE!W84</f>
        <v>987000</v>
      </c>
      <c r="W46" s="53">
        <f>DATABASE!X84</f>
        <v>0</v>
      </c>
      <c r="X46" s="53">
        <f>DATABASE!Y84</f>
        <v>1060000</v>
      </c>
      <c r="Y46" s="53">
        <f>DATABASE!Z84</f>
        <v>987000</v>
      </c>
      <c r="Z46" s="53" t="e">
        <f>DATABASE!#REF!</f>
        <v>#REF!</v>
      </c>
      <c r="AA46" s="53">
        <f>DATABASE!AA84</f>
        <v>0</v>
      </c>
      <c r="AB46" s="54">
        <f>DATABASE!AB84</f>
        <v>0</v>
      </c>
    </row>
    <row r="47" spans="1:28">
      <c r="A47" s="52" t="str">
        <f>DATABASE!A85</f>
        <v>Palmares - Signature Residences</v>
      </c>
      <c r="B47" s="53" t="str">
        <f>DATABASE!B85</f>
        <v>Algarve</v>
      </c>
      <c r="C47" s="53" t="str">
        <f>DATABASE!C85</f>
        <v>12B</v>
      </c>
      <c r="D47" s="53" t="str">
        <f>DATABASE!E85</f>
        <v>T2 + 1 Duplex</v>
      </c>
      <c r="E47" s="53">
        <f>DATABASE!F85</f>
        <v>342.39</v>
      </c>
      <c r="F47" s="53">
        <f>DATABASE!G85</f>
        <v>0</v>
      </c>
      <c r="G47" s="53" t="str">
        <f>DATABASE!H85</f>
        <v/>
      </c>
      <c r="H47" s="53" t="str">
        <f>DATABASE!I85</f>
        <v>15.13</v>
      </c>
      <c r="I47" s="53">
        <f>DATABASE!J85</f>
        <v>0</v>
      </c>
      <c r="J47" s="53">
        <f>DATABASE!K85</f>
        <v>0</v>
      </c>
      <c r="K47" s="53">
        <f>DATABASE!L85</f>
        <v>0</v>
      </c>
      <c r="L47" s="53">
        <f>DATABASE!M85</f>
        <v>84.04</v>
      </c>
      <c r="M47" s="53">
        <f>DATABASE!N85</f>
        <v>0</v>
      </c>
      <c r="N47" s="53">
        <f>DATABASE!O85</f>
        <v>243.22</v>
      </c>
      <c r="O47" s="53">
        <f>DATABASE!P85</f>
        <v>0</v>
      </c>
      <c r="P47" s="53" t="str">
        <f>DATABASE!Q85</f>
        <v>AVAILABLE</v>
      </c>
      <c r="Q47" s="53">
        <f>DATABASE!R85</f>
        <v>2050000</v>
      </c>
      <c r="R47" s="53">
        <f>DATABASE!S85</f>
        <v>2050000</v>
      </c>
      <c r="S47" s="53">
        <f>DATABASE!T85</f>
        <v>2050000</v>
      </c>
      <c r="T47" s="53">
        <f>DATABASE!U85</f>
        <v>0</v>
      </c>
      <c r="U47" s="53">
        <f>DATABASE!V85</f>
        <v>0</v>
      </c>
      <c r="V47" s="53">
        <f>DATABASE!W85</f>
        <v>2050000</v>
      </c>
      <c r="W47" s="53">
        <f>DATABASE!X85</f>
        <v>0</v>
      </c>
      <c r="X47" s="53">
        <f>DATABASE!Y85</f>
        <v>2050000</v>
      </c>
      <c r="Y47" s="53">
        <f>DATABASE!Z85</f>
        <v>2050000</v>
      </c>
      <c r="Z47" s="53" t="e">
        <f>DATABASE!#REF!</f>
        <v>#REF!</v>
      </c>
      <c r="AA47" s="53">
        <f>DATABASE!AA85</f>
        <v>0</v>
      </c>
      <c r="AB47" s="54">
        <f>DATABASE!AB85</f>
        <v>46843</v>
      </c>
    </row>
    <row r="48" spans="1:28">
      <c r="A48" s="52" t="str">
        <f>DATABASE!A86</f>
        <v>Palmares - Signature Residences</v>
      </c>
      <c r="B48" s="53" t="str">
        <f>DATABASE!B86</f>
        <v>Algarve</v>
      </c>
      <c r="C48" s="53" t="str">
        <f>DATABASE!C86</f>
        <v>13B</v>
      </c>
      <c r="D48" s="53" t="str">
        <f>DATABASE!E86</f>
        <v>T2 + 1 Duplex</v>
      </c>
      <c r="E48" s="53">
        <f>DATABASE!F86</f>
        <v>345.12</v>
      </c>
      <c r="F48" s="53">
        <f>DATABASE!G86</f>
        <v>0</v>
      </c>
      <c r="G48" s="53" t="str">
        <f>DATABASE!H86</f>
        <v/>
      </c>
      <c r="H48" s="53" t="str">
        <f>DATABASE!I86</f>
        <v>15.13</v>
      </c>
      <c r="I48" s="53">
        <f>DATABASE!J86</f>
        <v>0</v>
      </c>
      <c r="J48" s="53">
        <f>DATABASE!K86</f>
        <v>0</v>
      </c>
      <c r="K48" s="53">
        <f>DATABASE!L86</f>
        <v>0</v>
      </c>
      <c r="L48" s="53">
        <f>DATABASE!M86</f>
        <v>83.71</v>
      </c>
      <c r="M48" s="53">
        <f>DATABASE!N86</f>
        <v>0</v>
      </c>
      <c r="N48" s="53">
        <f>DATABASE!O86</f>
        <v>246.28</v>
      </c>
      <c r="O48" s="53">
        <f>DATABASE!P86</f>
        <v>0</v>
      </c>
      <c r="P48" s="53" t="str">
        <f>DATABASE!Q86</f>
        <v>AVAILABLE</v>
      </c>
      <c r="Q48" s="53">
        <f>DATABASE!R86</f>
        <v>1990000</v>
      </c>
      <c r="R48" s="53">
        <f>DATABASE!S86</f>
        <v>1990000</v>
      </c>
      <c r="S48" s="53">
        <f>DATABASE!T86</f>
        <v>1990000</v>
      </c>
      <c r="T48" s="53">
        <f>DATABASE!U86</f>
        <v>0</v>
      </c>
      <c r="U48" s="53">
        <f>DATABASE!V86</f>
        <v>0</v>
      </c>
      <c r="V48" s="53">
        <f>DATABASE!W86</f>
        <v>1990000</v>
      </c>
      <c r="W48" s="53">
        <f>DATABASE!X86</f>
        <v>0</v>
      </c>
      <c r="X48" s="53">
        <f>DATABASE!Y86</f>
        <v>1990000</v>
      </c>
      <c r="Y48" s="53">
        <f>DATABASE!Z86</f>
        <v>1990000</v>
      </c>
      <c r="Z48" s="53" t="e">
        <f>DATABASE!#REF!</f>
        <v>#REF!</v>
      </c>
      <c r="AA48" s="53">
        <f>DATABASE!AA86</f>
        <v>0</v>
      </c>
      <c r="AB48" s="54">
        <f>DATABASE!AB86</f>
        <v>46843</v>
      </c>
    </row>
    <row r="49" spans="1:28">
      <c r="A49" s="55" t="str">
        <f>DATABASE!A87</f>
        <v>Palmares - Signature Residences</v>
      </c>
      <c r="B49" s="56" t="str">
        <f>DATABASE!B87</f>
        <v>Algarve</v>
      </c>
      <c r="C49" s="56" t="str">
        <f>DATABASE!C87</f>
        <v>14B</v>
      </c>
      <c r="D49" s="56" t="str">
        <f>DATABASE!E87</f>
        <v>T2 + 1Duplex</v>
      </c>
      <c r="E49" s="56">
        <f>DATABASE!F87</f>
        <v>342.3</v>
      </c>
      <c r="F49" s="56">
        <f>DATABASE!G87</f>
        <v>0</v>
      </c>
      <c r="G49" s="56" t="str">
        <f>DATABASE!H87</f>
        <v/>
      </c>
      <c r="H49" s="56" t="str">
        <f>DATABASE!I87</f>
        <v>15.13</v>
      </c>
      <c r="I49" s="56">
        <f>DATABASE!J87</f>
        <v>0</v>
      </c>
      <c r="J49" s="56">
        <f>DATABASE!K87</f>
        <v>0</v>
      </c>
      <c r="K49" s="56">
        <f>DATABASE!L87</f>
        <v>0</v>
      </c>
      <c r="L49" s="56">
        <f>DATABASE!M87</f>
        <v>84.04</v>
      </c>
      <c r="M49" s="56">
        <f>DATABASE!N87</f>
        <v>0</v>
      </c>
      <c r="N49" s="56">
        <f>DATABASE!O87</f>
        <v>243.13</v>
      </c>
      <c r="O49" s="56">
        <f>DATABASE!P87</f>
        <v>0</v>
      </c>
      <c r="P49" s="56" t="str">
        <f>DATABASE!Q87</f>
        <v>AVAILABLE</v>
      </c>
      <c r="Q49" s="56">
        <f>DATABASE!R87</f>
        <v>1980000</v>
      </c>
      <c r="R49" s="56">
        <f>DATABASE!S87</f>
        <v>1980000</v>
      </c>
      <c r="S49" s="56">
        <f>DATABASE!T87</f>
        <v>1980000</v>
      </c>
      <c r="T49" s="56">
        <f>DATABASE!U87</f>
        <v>0</v>
      </c>
      <c r="U49" s="56">
        <f>DATABASE!V87</f>
        <v>0</v>
      </c>
      <c r="V49" s="56">
        <f>DATABASE!W87</f>
        <v>1980000</v>
      </c>
      <c r="W49" s="56">
        <f>DATABASE!X87</f>
        <v>0</v>
      </c>
      <c r="X49" s="56">
        <f>DATABASE!Y87</f>
        <v>1980000</v>
      </c>
      <c r="Y49" s="56">
        <f>DATABASE!Z87</f>
        <v>1980000</v>
      </c>
      <c r="Z49" s="56" t="e">
        <f>DATABASE!#REF!</f>
        <v>#REF!</v>
      </c>
      <c r="AA49" s="56">
        <f>DATABASE!AA87</f>
        <v>0</v>
      </c>
      <c r="AB49" s="57">
        <f>DATABASE!AB87</f>
        <v>46843</v>
      </c>
    </row>
  </sheetData>
  <conditionalFormatting sqref="A1">
    <cfRule type="containsText" dxfId="62" priority="1" operator="containsText" text="Center">
      <formula>NOT(ISERROR(SEARCH("Center",A1)))</formula>
    </cfRule>
    <cfRule type="containsText" dxfId="61" priority="2" operator="containsText" text="North">
      <formula>NOT(ISERROR(SEARCH("North",A1)))</formula>
    </cfRule>
    <cfRule type="containsText" dxfId="60" priority="3" operator="containsText" text="Algarve">
      <formula>NOT(ISERROR(SEARCH("Algarve",A1)))</formula>
    </cfRule>
    <cfRule type="containsText" dxfId="59" priority="4" operator="containsText" text="Vilamoura">
      <formula>NOT(ISERROR(SEARCH("Vilamoura",A1)))</formula>
    </cfRule>
  </conditionalFormatting>
  <pageMargins left="0.7" right="0.7" top="0.75" bottom="0.75" header="0.3" footer="0.3"/>
  <pageSetup paperSize="8"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F80A4-4AF5-4857-B1B1-831073A3AB76}">
  <sheetPr>
    <tabColor rgb="FFC2B59E"/>
    <pageSetUpPr fitToPage="1"/>
  </sheetPr>
  <dimension ref="A1:AB88"/>
  <sheetViews>
    <sheetView showGridLines="0" zoomScale="60" zoomScaleNormal="40" zoomScaleSheetLayoutView="70" workbookViewId="0">
      <selection activeCell="Q12" sqref="Q12"/>
    </sheetView>
  </sheetViews>
  <sheetFormatPr defaultColWidth="8.7109375" defaultRowHeight="15" outlineLevelCol="2"/>
  <cols>
    <col min="1" max="1" width="27.140625" customWidth="1"/>
    <col min="2" max="2" width="19.7109375" bestFit="1" customWidth="1"/>
    <col min="3" max="3" width="22.28515625" bestFit="1" customWidth="1"/>
    <col min="4" max="4" width="14.7109375" bestFit="1" customWidth="1"/>
    <col min="5" max="5" width="21.7109375" bestFit="1" customWidth="1" outlineLevel="2"/>
    <col min="6" max="6" width="12" customWidth="1" outlineLevel="2"/>
    <col min="7" max="7" width="16.28515625" customWidth="1" outlineLevel="2"/>
    <col min="8" max="8" width="13.140625" customWidth="1" outlineLevel="2"/>
    <col min="9" max="9" width="25.42578125" customWidth="1" outlineLevel="2"/>
    <col min="10" max="10" width="27.7109375" customWidth="1" outlineLevel="2"/>
    <col min="11" max="11" width="18.28515625" customWidth="1" outlineLevel="1"/>
    <col min="12" max="12" width="24.42578125" customWidth="1" outlineLevel="1"/>
    <col min="13" max="13" width="16.7109375" customWidth="1"/>
    <col min="14" max="14" width="29.7109375" bestFit="1" customWidth="1"/>
    <col min="15" max="15" width="26.7109375" style="22" bestFit="1" customWidth="1" outlineLevel="1"/>
    <col min="16" max="16" width="26.7109375" style="22" customWidth="1" outlineLevel="1"/>
    <col min="17" max="17" width="16.140625" style="21" customWidth="1" outlineLevel="1"/>
    <col min="18" max="18" width="13" style="21" customWidth="1" outlineLevel="1"/>
    <col min="19" max="19" width="26.140625" style="21" bestFit="1" customWidth="1"/>
    <col min="20" max="20" width="20.7109375" customWidth="1" outlineLevel="1"/>
    <col min="21" max="22" width="20.7109375" customWidth="1"/>
  </cols>
  <sheetData>
    <row r="1" spans="1:28" s="1" customFormat="1" ht="40.5">
      <c r="A1" s="58" t="s">
        <v>335</v>
      </c>
      <c r="B1" s="59" t="s">
        <v>687</v>
      </c>
      <c r="C1" s="59" t="s">
        <v>770</v>
      </c>
      <c r="D1" s="59" t="s">
        <v>93</v>
      </c>
      <c r="E1" s="59" t="s">
        <v>766</v>
      </c>
      <c r="F1" s="60" t="s">
        <v>678</v>
      </c>
      <c r="G1" s="60" t="s">
        <v>679</v>
      </c>
      <c r="H1" s="60" t="s">
        <v>680</v>
      </c>
      <c r="I1" s="60" t="s">
        <v>681</v>
      </c>
      <c r="J1" s="60" t="s">
        <v>682</v>
      </c>
      <c r="K1" s="60" t="s">
        <v>785</v>
      </c>
      <c r="L1" s="60" t="s">
        <v>683</v>
      </c>
      <c r="M1" s="59" t="s">
        <v>684</v>
      </c>
      <c r="N1" s="59" t="s">
        <v>94</v>
      </c>
      <c r="O1" s="59" t="s">
        <v>95</v>
      </c>
      <c r="P1" s="59" t="s">
        <v>627</v>
      </c>
      <c r="Q1" s="61" t="s">
        <v>331</v>
      </c>
      <c r="R1" s="61" t="s">
        <v>332</v>
      </c>
      <c r="S1" s="61" t="s">
        <v>333</v>
      </c>
      <c r="T1" s="61" t="s">
        <v>685</v>
      </c>
      <c r="U1" s="61" t="s">
        <v>97</v>
      </c>
      <c r="V1" s="59" t="s">
        <v>330</v>
      </c>
      <c r="W1" s="62" t="s">
        <v>767</v>
      </c>
      <c r="X1" s="61" t="s">
        <v>334</v>
      </c>
      <c r="Y1" s="59" t="s">
        <v>98</v>
      </c>
      <c r="Z1" s="59" t="s">
        <v>771</v>
      </c>
      <c r="AA1" s="63" t="s">
        <v>768</v>
      </c>
      <c r="AB1" s="64" t="s">
        <v>7</v>
      </c>
    </row>
    <row r="2" spans="1:28">
      <c r="A2" s="65" t="str">
        <f>DATABASE!A101</f>
        <v>Aroeira - HOTEL APARTMENTS</v>
      </c>
      <c r="B2" s="66" t="str">
        <f>DATABASE!B101</f>
        <v>Center</v>
      </c>
      <c r="C2" s="66" t="str">
        <f>DATABASE!C101</f>
        <v>333A</v>
      </c>
      <c r="D2" s="66" t="str">
        <f>DATABASE!E101</f>
        <v>1-BR</v>
      </c>
      <c r="E2" s="66">
        <f>DATABASE!F101</f>
        <v>60.2</v>
      </c>
      <c r="F2" s="66">
        <f>DATABASE!G101</f>
        <v>0</v>
      </c>
      <c r="G2" s="66" t="str">
        <f>DATABASE!H101</f>
        <v>1</v>
      </c>
      <c r="H2" s="66" t="str">
        <f>DATABASE!I101</f>
        <v/>
      </c>
      <c r="I2" s="66">
        <f>DATABASE!J101</f>
        <v>3.9</v>
      </c>
      <c r="J2" s="66">
        <f>DATABASE!K101</f>
        <v>0</v>
      </c>
      <c r="K2" s="66">
        <f>DATABASE!L101</f>
        <v>0</v>
      </c>
      <c r="L2" s="66">
        <f>DATABASE!M101</f>
        <v>0</v>
      </c>
      <c r="M2" s="66">
        <f>DATABASE!N101</f>
        <v>0</v>
      </c>
      <c r="N2" s="66">
        <f>DATABASE!O101</f>
        <v>56.3</v>
      </c>
      <c r="O2" s="66">
        <f>DATABASE!P101</f>
        <v>0</v>
      </c>
      <c r="P2" s="66" t="str">
        <f>DATABASE!Q101</f>
        <v>AVAILABLE</v>
      </c>
      <c r="Q2" s="66">
        <f>DATABASE!R101</f>
        <v>410000</v>
      </c>
      <c r="R2" s="66">
        <f>DATABASE!S101</f>
        <v>445000</v>
      </c>
      <c r="S2" s="66">
        <f>DATABASE!T101</f>
        <v>445000</v>
      </c>
      <c r="T2" s="66">
        <f>DATABASE!U101</f>
        <v>0</v>
      </c>
      <c r="U2" s="66">
        <f>DATABASE!V101</f>
        <v>35000</v>
      </c>
      <c r="V2" s="66">
        <f>DATABASE!W101</f>
        <v>410000</v>
      </c>
      <c r="W2" s="66">
        <f>DATABASE!X101</f>
        <v>0</v>
      </c>
      <c r="X2" s="66">
        <f>DATABASE!Y101</f>
        <v>0</v>
      </c>
      <c r="Y2" s="66">
        <f>DATABASE!Z101</f>
        <v>-35000</v>
      </c>
      <c r="Z2" s="66" t="e">
        <f>DATABASE!#REF!</f>
        <v>#REF!</v>
      </c>
      <c r="AA2" s="66">
        <f>DATABASE!AA101</f>
        <v>0</v>
      </c>
      <c r="AB2" s="67">
        <f>DATABASE!AB101</f>
        <v>47118</v>
      </c>
    </row>
    <row r="3" spans="1:28">
      <c r="A3" s="65" t="str">
        <f>DATABASE!A102</f>
        <v>Aroeira - HOUSES</v>
      </c>
      <c r="B3" s="66" t="str">
        <f>DATABASE!B102</f>
        <v>Center</v>
      </c>
      <c r="C3" s="66" t="str">
        <f>DATABASE!C102</f>
        <v>09B</v>
      </c>
      <c r="D3" s="66" t="str">
        <f>DATABASE!E102</f>
        <v>T2</v>
      </c>
      <c r="E3" s="66">
        <f>DATABASE!F102</f>
        <v>166</v>
      </c>
      <c r="F3" s="66">
        <f>DATABASE!G102</f>
        <v>0</v>
      </c>
      <c r="G3" s="66" t="str">
        <f>DATABASE!H102</f>
        <v>1</v>
      </c>
      <c r="H3" s="66" t="str">
        <f>DATABASE!I102</f>
        <v/>
      </c>
      <c r="I3" s="66">
        <f>DATABASE!J102</f>
        <v>0</v>
      </c>
      <c r="J3" s="66">
        <f>DATABASE!K102</f>
        <v>0</v>
      </c>
      <c r="K3" s="66">
        <f>DATABASE!L102</f>
        <v>0</v>
      </c>
      <c r="L3" s="66">
        <f>DATABASE!M102</f>
        <v>30</v>
      </c>
      <c r="M3" s="66">
        <f>DATABASE!N102</f>
        <v>20</v>
      </c>
      <c r="N3" s="66">
        <f>DATABASE!O102</f>
        <v>116</v>
      </c>
      <c r="O3" s="66">
        <f>DATABASE!P102</f>
        <v>0</v>
      </c>
      <c r="P3" s="66" t="str">
        <f>DATABASE!Q102</f>
        <v xml:space="preserve">PSPA </v>
      </c>
      <c r="Q3" s="66">
        <f>DATABASE!R102</f>
        <v>910000</v>
      </c>
      <c r="R3" s="66">
        <f>DATABASE!S102</f>
        <v>910000</v>
      </c>
      <c r="S3" s="66">
        <f>DATABASE!T102</f>
        <v>910000</v>
      </c>
      <c r="T3" s="66">
        <f>DATABASE!U102</f>
        <v>0</v>
      </c>
      <c r="U3" s="66">
        <f>DATABASE!V102</f>
        <v>0</v>
      </c>
      <c r="V3" s="66">
        <f>DATABASE!W102</f>
        <v>910000</v>
      </c>
      <c r="W3" s="66">
        <f>DATABASE!X102</f>
        <v>1.09890109890109E-2</v>
      </c>
      <c r="X3" s="66">
        <f>DATABASE!Y102</f>
        <v>900000</v>
      </c>
      <c r="Y3" s="66">
        <f>DATABASE!Z102</f>
        <v>900000</v>
      </c>
      <c r="Z3" s="66" t="e">
        <f>DATABASE!#REF!</f>
        <v>#REF!</v>
      </c>
      <c r="AA3" s="66" t="e">
        <f>DATABASE!#REF!</f>
        <v>#REF!</v>
      </c>
      <c r="AB3" s="67">
        <f>DATABASE!AB102</f>
        <v>47118</v>
      </c>
    </row>
    <row r="4" spans="1:28">
      <c r="A4" s="65" t="str">
        <f>DATABASE!A103</f>
        <v>Aroeira - HOTEL APARTMENTS</v>
      </c>
      <c r="B4" s="66" t="str">
        <f>DATABASE!B103</f>
        <v>Center</v>
      </c>
      <c r="C4" s="66" t="str">
        <f>DATABASE!C103</f>
        <v>216A</v>
      </c>
      <c r="D4" s="66" t="str">
        <f>DATABASE!E103</f>
        <v>1-BR</v>
      </c>
      <c r="E4" s="66">
        <f>DATABASE!F103</f>
        <v>65</v>
      </c>
      <c r="F4" s="66">
        <f>DATABASE!G103</f>
        <v>0</v>
      </c>
      <c r="G4" s="66" t="str">
        <f>DATABASE!H103</f>
        <v>1</v>
      </c>
      <c r="H4" s="66" t="str">
        <f>DATABASE!I103</f>
        <v/>
      </c>
      <c r="I4" s="66">
        <f>DATABASE!J103</f>
        <v>8.6999999999999993</v>
      </c>
      <c r="J4" s="66">
        <f>DATABASE!K103</f>
        <v>0</v>
      </c>
      <c r="K4" s="66">
        <f>DATABASE!L103</f>
        <v>0</v>
      </c>
      <c r="L4" s="66">
        <f>DATABASE!M103</f>
        <v>0</v>
      </c>
      <c r="M4" s="66">
        <f>DATABASE!N103</f>
        <v>0</v>
      </c>
      <c r="N4" s="66">
        <f>DATABASE!O103</f>
        <v>56.3</v>
      </c>
      <c r="O4" s="66">
        <f>DATABASE!P103</f>
        <v>0</v>
      </c>
      <c r="P4" s="66" t="str">
        <f>DATABASE!Q103</f>
        <v>AVAILABLE</v>
      </c>
      <c r="Q4" s="66">
        <f>DATABASE!R103</f>
        <v>415000</v>
      </c>
      <c r="R4" s="66">
        <f>DATABASE!S103</f>
        <v>450000</v>
      </c>
      <c r="S4" s="66">
        <f>DATABASE!T103</f>
        <v>450000</v>
      </c>
      <c r="T4" s="66">
        <f>DATABASE!U103</f>
        <v>0</v>
      </c>
      <c r="U4" s="66">
        <f>DATABASE!V103</f>
        <v>35000</v>
      </c>
      <c r="V4" s="66">
        <f>DATABASE!W103</f>
        <v>415000</v>
      </c>
      <c r="W4" s="66">
        <f>DATABASE!X103</f>
        <v>0</v>
      </c>
      <c r="X4" s="66">
        <f>DATABASE!Y103</f>
        <v>0</v>
      </c>
      <c r="Y4" s="66">
        <f>DATABASE!Z103</f>
        <v>-35000</v>
      </c>
      <c r="Z4" s="66" t="e">
        <f>DATABASE!#REF!</f>
        <v>#REF!</v>
      </c>
      <c r="AA4" s="66">
        <f>DATABASE!AA103</f>
        <v>0</v>
      </c>
      <c r="AB4" s="67">
        <f>DATABASE!AB103</f>
        <v>47118</v>
      </c>
    </row>
    <row r="5" spans="1:28">
      <c r="A5" s="65" t="str">
        <f>DATABASE!A104</f>
        <v>Aroeira - HOTEL APARTMENTS</v>
      </c>
      <c r="B5" s="66" t="str">
        <f>DATABASE!B104</f>
        <v>Center</v>
      </c>
      <c r="C5" s="66" t="str">
        <f>DATABASE!C104</f>
        <v>218A</v>
      </c>
      <c r="D5" s="66" t="str">
        <f>DATABASE!E104</f>
        <v>1-BR</v>
      </c>
      <c r="E5" s="66">
        <f>DATABASE!F104</f>
        <v>65</v>
      </c>
      <c r="F5" s="66">
        <f>DATABASE!G104</f>
        <v>0</v>
      </c>
      <c r="G5" s="66" t="str">
        <f>DATABASE!H104</f>
        <v>1</v>
      </c>
      <c r="H5" s="66" t="str">
        <f>DATABASE!I104</f>
        <v/>
      </c>
      <c r="I5" s="66">
        <f>DATABASE!J104</f>
        <v>8.6999999999999993</v>
      </c>
      <c r="J5" s="66">
        <f>DATABASE!K104</f>
        <v>0</v>
      </c>
      <c r="K5" s="66">
        <f>DATABASE!L104</f>
        <v>0</v>
      </c>
      <c r="L5" s="66">
        <f>DATABASE!M104</f>
        <v>0</v>
      </c>
      <c r="M5" s="66">
        <f>DATABASE!N104</f>
        <v>0</v>
      </c>
      <c r="N5" s="66">
        <f>DATABASE!O104</f>
        <v>56.3</v>
      </c>
      <c r="O5" s="66">
        <f>DATABASE!P104</f>
        <v>0</v>
      </c>
      <c r="P5" s="66" t="str">
        <f>DATABASE!Q104</f>
        <v>AVAILABLE</v>
      </c>
      <c r="Q5" s="66">
        <f>DATABASE!R104</f>
        <v>415000</v>
      </c>
      <c r="R5" s="66">
        <f>DATABASE!S104</f>
        <v>450000</v>
      </c>
      <c r="S5" s="66">
        <f>DATABASE!T104</f>
        <v>450000</v>
      </c>
      <c r="T5" s="66">
        <f>DATABASE!U104</f>
        <v>0</v>
      </c>
      <c r="U5" s="66">
        <f>DATABASE!V104</f>
        <v>35000</v>
      </c>
      <c r="V5" s="66">
        <f>DATABASE!W104</f>
        <v>415000</v>
      </c>
      <c r="W5" s="66">
        <f>DATABASE!X104</f>
        <v>0</v>
      </c>
      <c r="X5" s="66">
        <f>DATABASE!Y104</f>
        <v>0</v>
      </c>
      <c r="Y5" s="66">
        <f>DATABASE!Z104</f>
        <v>-35000</v>
      </c>
      <c r="Z5" s="66" t="e">
        <f>DATABASE!#REF!</f>
        <v>#REF!</v>
      </c>
      <c r="AA5" s="66">
        <f>DATABASE!AA104</f>
        <v>0</v>
      </c>
      <c r="AB5" s="67">
        <f>DATABASE!AB104</f>
        <v>47118</v>
      </c>
    </row>
    <row r="6" spans="1:28">
      <c r="A6" s="65" t="str">
        <f>DATABASE!A105</f>
        <v>Aroeira - HOTEL APARTMENTS</v>
      </c>
      <c r="B6" s="66" t="str">
        <f>DATABASE!B105</f>
        <v>Center</v>
      </c>
      <c r="C6" s="66" t="str">
        <f>DATABASE!C105</f>
        <v>219A</v>
      </c>
      <c r="D6" s="66" t="str">
        <f>DATABASE!E105</f>
        <v>1-BR</v>
      </c>
      <c r="E6" s="66">
        <f>DATABASE!F105</f>
        <v>65</v>
      </c>
      <c r="F6" s="66">
        <f>DATABASE!G105</f>
        <v>0</v>
      </c>
      <c r="G6" s="66" t="str">
        <f>DATABASE!H105</f>
        <v>1</v>
      </c>
      <c r="H6" s="66" t="str">
        <f>DATABASE!I105</f>
        <v/>
      </c>
      <c r="I6" s="66">
        <f>DATABASE!J105</f>
        <v>8.6999999999999993</v>
      </c>
      <c r="J6" s="66">
        <f>DATABASE!K105</f>
        <v>0</v>
      </c>
      <c r="K6" s="66">
        <f>DATABASE!L105</f>
        <v>0</v>
      </c>
      <c r="L6" s="66">
        <f>DATABASE!M105</f>
        <v>0</v>
      </c>
      <c r="M6" s="66">
        <f>DATABASE!N105</f>
        <v>0</v>
      </c>
      <c r="N6" s="66">
        <f>DATABASE!O105</f>
        <v>56.3</v>
      </c>
      <c r="O6" s="66">
        <f>DATABASE!P105</f>
        <v>0</v>
      </c>
      <c r="P6" s="66" t="str">
        <f>DATABASE!Q105</f>
        <v>AVAILABLE</v>
      </c>
      <c r="Q6" s="66">
        <f>DATABASE!R105</f>
        <v>415000</v>
      </c>
      <c r="R6" s="66">
        <f>DATABASE!S105</f>
        <v>450000</v>
      </c>
      <c r="S6" s="66">
        <f>DATABASE!T105</f>
        <v>450000</v>
      </c>
      <c r="T6" s="66">
        <f>DATABASE!U105</f>
        <v>0</v>
      </c>
      <c r="U6" s="66">
        <f>DATABASE!V105</f>
        <v>35000</v>
      </c>
      <c r="V6" s="66">
        <f>DATABASE!W105</f>
        <v>415000</v>
      </c>
      <c r="W6" s="66">
        <f>DATABASE!X105</f>
        <v>0</v>
      </c>
      <c r="X6" s="66">
        <f>DATABASE!Y105</f>
        <v>0</v>
      </c>
      <c r="Y6" s="66">
        <f>DATABASE!Z105</f>
        <v>-35000</v>
      </c>
      <c r="Z6" s="66" t="e">
        <f>DATABASE!#REF!</f>
        <v>#REF!</v>
      </c>
      <c r="AA6" s="66">
        <f>DATABASE!AA105</f>
        <v>0</v>
      </c>
      <c r="AB6" s="67">
        <f>DATABASE!AB105</f>
        <v>47118</v>
      </c>
    </row>
    <row r="7" spans="1:28">
      <c r="A7" s="65" t="str">
        <f>DATABASE!A106</f>
        <v>Aroeira - HOTEL APARTMENTS</v>
      </c>
      <c r="B7" s="66" t="str">
        <f>DATABASE!B106</f>
        <v>Center</v>
      </c>
      <c r="C7" s="66" t="str">
        <f>DATABASE!C106</f>
        <v>220A</v>
      </c>
      <c r="D7" s="66" t="str">
        <f>DATABASE!E106</f>
        <v>1-BR</v>
      </c>
      <c r="E7" s="66">
        <f>DATABASE!F106</f>
        <v>65</v>
      </c>
      <c r="F7" s="66">
        <f>DATABASE!G106</f>
        <v>0</v>
      </c>
      <c r="G7" s="66" t="str">
        <f>DATABASE!H106</f>
        <v>1</v>
      </c>
      <c r="H7" s="66" t="str">
        <f>DATABASE!I106</f>
        <v/>
      </c>
      <c r="I7" s="66">
        <f>DATABASE!J106</f>
        <v>8.6999999999999993</v>
      </c>
      <c r="J7" s="66">
        <f>DATABASE!K106</f>
        <v>0</v>
      </c>
      <c r="K7" s="66">
        <f>DATABASE!L106</f>
        <v>0</v>
      </c>
      <c r="L7" s="66">
        <f>DATABASE!M106</f>
        <v>0</v>
      </c>
      <c r="M7" s="66">
        <f>DATABASE!N106</f>
        <v>0</v>
      </c>
      <c r="N7" s="66">
        <f>DATABASE!O106</f>
        <v>56.3</v>
      </c>
      <c r="O7" s="66">
        <f>DATABASE!P106</f>
        <v>0</v>
      </c>
      <c r="P7" s="66" t="str">
        <f>DATABASE!Q106</f>
        <v>AVAILABLE</v>
      </c>
      <c r="Q7" s="66">
        <f>DATABASE!R106</f>
        <v>415000</v>
      </c>
      <c r="R7" s="66">
        <f>DATABASE!S106</f>
        <v>450000</v>
      </c>
      <c r="S7" s="66">
        <f>DATABASE!T106</f>
        <v>450000</v>
      </c>
      <c r="T7" s="66">
        <f>DATABASE!U106</f>
        <v>0</v>
      </c>
      <c r="U7" s="66">
        <f>DATABASE!V106</f>
        <v>35000</v>
      </c>
      <c r="V7" s="66">
        <f>DATABASE!W106</f>
        <v>415000</v>
      </c>
      <c r="W7" s="66">
        <f>DATABASE!X106</f>
        <v>0</v>
      </c>
      <c r="X7" s="66">
        <f>DATABASE!Y106</f>
        <v>0</v>
      </c>
      <c r="Y7" s="66">
        <f>DATABASE!Z106</f>
        <v>-35000</v>
      </c>
      <c r="Z7" s="66" t="e">
        <f>DATABASE!#REF!</f>
        <v>#REF!</v>
      </c>
      <c r="AA7" s="66">
        <f>DATABASE!AA106</f>
        <v>0</v>
      </c>
      <c r="AB7" s="67">
        <f>DATABASE!AB106</f>
        <v>47118</v>
      </c>
    </row>
    <row r="8" spans="1:28">
      <c r="A8" s="65" t="str">
        <f>DATABASE!A107</f>
        <v>Aroeira - HOTEL APARTMENTS</v>
      </c>
      <c r="B8" s="66" t="str">
        <f>DATABASE!B107</f>
        <v>Center</v>
      </c>
      <c r="C8" s="66" t="str">
        <f>DATABASE!C107</f>
        <v>221A</v>
      </c>
      <c r="D8" s="66" t="str">
        <f>DATABASE!E107</f>
        <v>1-BR</v>
      </c>
      <c r="E8" s="66">
        <f>DATABASE!F107</f>
        <v>65</v>
      </c>
      <c r="F8" s="66">
        <f>DATABASE!G107</f>
        <v>0</v>
      </c>
      <c r="G8" s="66" t="str">
        <f>DATABASE!H107</f>
        <v>1</v>
      </c>
      <c r="H8" s="66" t="str">
        <f>DATABASE!I107</f>
        <v/>
      </c>
      <c r="I8" s="66">
        <f>DATABASE!J107</f>
        <v>8.6999999999999993</v>
      </c>
      <c r="J8" s="66">
        <f>DATABASE!K107</f>
        <v>0</v>
      </c>
      <c r="K8" s="66">
        <f>DATABASE!L107</f>
        <v>0</v>
      </c>
      <c r="L8" s="66">
        <f>DATABASE!M107</f>
        <v>0</v>
      </c>
      <c r="M8" s="66">
        <f>DATABASE!N107</f>
        <v>0</v>
      </c>
      <c r="N8" s="66">
        <f>DATABASE!O107</f>
        <v>56.3</v>
      </c>
      <c r="O8" s="66">
        <f>DATABASE!P107</f>
        <v>0</v>
      </c>
      <c r="P8" s="66" t="str">
        <f>DATABASE!Q107</f>
        <v>AVAILABLE</v>
      </c>
      <c r="Q8" s="66">
        <f>DATABASE!R107</f>
        <v>415000</v>
      </c>
      <c r="R8" s="66">
        <f>DATABASE!S107</f>
        <v>450000</v>
      </c>
      <c r="S8" s="66">
        <f>DATABASE!T107</f>
        <v>450000</v>
      </c>
      <c r="T8" s="66">
        <f>DATABASE!U107</f>
        <v>0</v>
      </c>
      <c r="U8" s="66">
        <f>DATABASE!V107</f>
        <v>35000</v>
      </c>
      <c r="V8" s="66">
        <f>DATABASE!W107</f>
        <v>415000</v>
      </c>
      <c r="W8" s="66">
        <f>DATABASE!X107</f>
        <v>0</v>
      </c>
      <c r="X8" s="66">
        <f>DATABASE!Y107</f>
        <v>0</v>
      </c>
      <c r="Y8" s="66">
        <f>DATABASE!Z107</f>
        <v>-35000</v>
      </c>
      <c r="Z8" s="66" t="e">
        <f>DATABASE!#REF!</f>
        <v>#REF!</v>
      </c>
      <c r="AA8" s="66">
        <f>DATABASE!AA107</f>
        <v>0</v>
      </c>
      <c r="AB8" s="67">
        <f>DATABASE!AB107</f>
        <v>47118</v>
      </c>
    </row>
    <row r="9" spans="1:28">
      <c r="A9" s="65" t="str">
        <f>DATABASE!A108</f>
        <v>Aroeira - HOTEL APARTMENTS</v>
      </c>
      <c r="B9" s="66" t="str">
        <f>DATABASE!B108</f>
        <v>Center</v>
      </c>
      <c r="C9" s="66" t="str">
        <f>DATABASE!C108</f>
        <v>222A</v>
      </c>
      <c r="D9" s="66" t="str">
        <f>DATABASE!E108</f>
        <v>1-BR</v>
      </c>
      <c r="E9" s="66">
        <f>DATABASE!F108</f>
        <v>65</v>
      </c>
      <c r="F9" s="66">
        <f>DATABASE!G108</f>
        <v>0</v>
      </c>
      <c r="G9" s="66" t="str">
        <f>DATABASE!H108</f>
        <v>1</v>
      </c>
      <c r="H9" s="66" t="str">
        <f>DATABASE!I108</f>
        <v/>
      </c>
      <c r="I9" s="66">
        <f>DATABASE!J108</f>
        <v>8.6999999999999993</v>
      </c>
      <c r="J9" s="66">
        <f>DATABASE!K108</f>
        <v>0</v>
      </c>
      <c r="K9" s="66">
        <f>DATABASE!L108</f>
        <v>0</v>
      </c>
      <c r="L9" s="66">
        <f>DATABASE!M108</f>
        <v>0</v>
      </c>
      <c r="M9" s="66">
        <f>DATABASE!N108</f>
        <v>0</v>
      </c>
      <c r="N9" s="66">
        <f>DATABASE!O108</f>
        <v>56.3</v>
      </c>
      <c r="O9" s="66">
        <f>DATABASE!P108</f>
        <v>0</v>
      </c>
      <c r="P9" s="66" t="str">
        <f>DATABASE!Q108</f>
        <v>AVAILABLE</v>
      </c>
      <c r="Q9" s="66">
        <f>DATABASE!R108</f>
        <v>415000</v>
      </c>
      <c r="R9" s="66">
        <f>DATABASE!S108</f>
        <v>450000</v>
      </c>
      <c r="S9" s="66">
        <f>DATABASE!T108</f>
        <v>450000</v>
      </c>
      <c r="T9" s="66">
        <f>DATABASE!U108</f>
        <v>0</v>
      </c>
      <c r="U9" s="66">
        <f>DATABASE!V108</f>
        <v>35000</v>
      </c>
      <c r="V9" s="66">
        <f>DATABASE!W108</f>
        <v>415000</v>
      </c>
      <c r="W9" s="66">
        <f>DATABASE!X108</f>
        <v>0</v>
      </c>
      <c r="X9" s="66">
        <f>DATABASE!Y108</f>
        <v>0</v>
      </c>
      <c r="Y9" s="66">
        <f>DATABASE!Z108</f>
        <v>-35000</v>
      </c>
      <c r="Z9" s="66" t="e">
        <f>DATABASE!#REF!</f>
        <v>#REF!</v>
      </c>
      <c r="AA9" s="66">
        <f>DATABASE!AA108</f>
        <v>0</v>
      </c>
      <c r="AB9" s="67">
        <f>DATABASE!AB108</f>
        <v>47118</v>
      </c>
    </row>
    <row r="10" spans="1:28">
      <c r="A10" s="65" t="str">
        <f>DATABASE!A109</f>
        <v>Aroeira - HOTEL APARTMENTS</v>
      </c>
      <c r="B10" s="66" t="str">
        <f>DATABASE!B109</f>
        <v>Center</v>
      </c>
      <c r="C10" s="66" t="str">
        <f>DATABASE!C109</f>
        <v>302A</v>
      </c>
      <c r="D10" s="66" t="str">
        <f>DATABASE!E109</f>
        <v>1-BR</v>
      </c>
      <c r="E10" s="66">
        <f>DATABASE!F109</f>
        <v>65</v>
      </c>
      <c r="F10" s="66">
        <f>DATABASE!G109</f>
        <v>0</v>
      </c>
      <c r="G10" s="66" t="str">
        <f>DATABASE!H109</f>
        <v>1</v>
      </c>
      <c r="H10" s="66" t="str">
        <f>DATABASE!I109</f>
        <v/>
      </c>
      <c r="I10" s="66">
        <f>DATABASE!J109</f>
        <v>8.6999999999999993</v>
      </c>
      <c r="J10" s="66">
        <f>DATABASE!K109</f>
        <v>0</v>
      </c>
      <c r="K10" s="66">
        <f>DATABASE!L109</f>
        <v>0</v>
      </c>
      <c r="L10" s="66">
        <f>DATABASE!M109</f>
        <v>0</v>
      </c>
      <c r="M10" s="66">
        <f>DATABASE!N109</f>
        <v>0</v>
      </c>
      <c r="N10" s="66">
        <f>DATABASE!O109</f>
        <v>56.3</v>
      </c>
      <c r="O10" s="66">
        <f>DATABASE!P109</f>
        <v>0</v>
      </c>
      <c r="P10" s="66" t="str">
        <f>DATABASE!Q109</f>
        <v>AVAILABLE</v>
      </c>
      <c r="Q10" s="66">
        <f>DATABASE!R109</f>
        <v>415000</v>
      </c>
      <c r="R10" s="66">
        <f>DATABASE!S109</f>
        <v>450000</v>
      </c>
      <c r="S10" s="66">
        <f>DATABASE!T109</f>
        <v>450000</v>
      </c>
      <c r="T10" s="66">
        <f>DATABASE!U109</f>
        <v>0</v>
      </c>
      <c r="U10" s="66">
        <f>DATABASE!V109</f>
        <v>35000</v>
      </c>
      <c r="V10" s="66">
        <f>DATABASE!W109</f>
        <v>415000</v>
      </c>
      <c r="W10" s="66">
        <f>DATABASE!X109</f>
        <v>0</v>
      </c>
      <c r="X10" s="66">
        <f>DATABASE!Y109</f>
        <v>0</v>
      </c>
      <c r="Y10" s="66">
        <f>DATABASE!Z109</f>
        <v>-35000</v>
      </c>
      <c r="Z10" s="66" t="e">
        <f>DATABASE!#REF!</f>
        <v>#REF!</v>
      </c>
      <c r="AA10" s="66">
        <f>DATABASE!AA109</f>
        <v>0</v>
      </c>
      <c r="AB10" s="67">
        <f>DATABASE!AB109</f>
        <v>47118</v>
      </c>
    </row>
    <row r="11" spans="1:28">
      <c r="A11" s="65" t="str">
        <f>DATABASE!A110</f>
        <v>Aroeira - HOTEL APARTMENTS</v>
      </c>
      <c r="B11" s="66" t="str">
        <f>DATABASE!B110</f>
        <v>Center</v>
      </c>
      <c r="C11" s="66" t="str">
        <f>DATABASE!C110</f>
        <v>303A</v>
      </c>
      <c r="D11" s="66" t="str">
        <f>DATABASE!E110</f>
        <v>1-BR</v>
      </c>
      <c r="E11" s="66">
        <f>DATABASE!F110</f>
        <v>65</v>
      </c>
      <c r="F11" s="66">
        <f>DATABASE!G110</f>
        <v>0</v>
      </c>
      <c r="G11" s="66" t="str">
        <f>DATABASE!H110</f>
        <v>1</v>
      </c>
      <c r="H11" s="66" t="str">
        <f>DATABASE!I110</f>
        <v/>
      </c>
      <c r="I11" s="66">
        <f>DATABASE!J110</f>
        <v>8.6999999999999993</v>
      </c>
      <c r="J11" s="66">
        <f>DATABASE!K110</f>
        <v>0</v>
      </c>
      <c r="K11" s="66">
        <f>DATABASE!L110</f>
        <v>0</v>
      </c>
      <c r="L11" s="66">
        <f>DATABASE!M110</f>
        <v>0</v>
      </c>
      <c r="M11" s="66">
        <f>DATABASE!N110</f>
        <v>0</v>
      </c>
      <c r="N11" s="66">
        <f>DATABASE!O110</f>
        <v>56.3</v>
      </c>
      <c r="O11" s="66">
        <f>DATABASE!P110</f>
        <v>0</v>
      </c>
      <c r="P11" s="66" t="str">
        <f>DATABASE!Q110</f>
        <v>AVAILABLE</v>
      </c>
      <c r="Q11" s="66">
        <f>DATABASE!R110</f>
        <v>415000</v>
      </c>
      <c r="R11" s="66">
        <f>DATABASE!S110</f>
        <v>450000</v>
      </c>
      <c r="S11" s="66">
        <f>DATABASE!T110</f>
        <v>450000</v>
      </c>
      <c r="T11" s="66">
        <f>DATABASE!U110</f>
        <v>0</v>
      </c>
      <c r="U11" s="66">
        <f>DATABASE!V110</f>
        <v>35000</v>
      </c>
      <c r="V11" s="66">
        <f>DATABASE!W110</f>
        <v>415000</v>
      </c>
      <c r="W11" s="66">
        <f>DATABASE!X110</f>
        <v>0</v>
      </c>
      <c r="X11" s="66">
        <f>DATABASE!Y110</f>
        <v>0</v>
      </c>
      <c r="Y11" s="66">
        <f>DATABASE!Z110</f>
        <v>-35000</v>
      </c>
      <c r="Z11" s="66" t="e">
        <f>DATABASE!#REF!</f>
        <v>#REF!</v>
      </c>
      <c r="AA11" s="66">
        <f>DATABASE!AA110</f>
        <v>0</v>
      </c>
      <c r="AB11" s="67">
        <f>DATABASE!AB110</f>
        <v>47118</v>
      </c>
    </row>
    <row r="12" spans="1:28">
      <c r="A12" s="65" t="str">
        <f>DATABASE!A111</f>
        <v>Aroeira - HOTEL APARTMENTS</v>
      </c>
      <c r="B12" s="66" t="str">
        <f>DATABASE!B111</f>
        <v>Center</v>
      </c>
      <c r="C12" s="66" t="str">
        <f>DATABASE!C111</f>
        <v>304A</v>
      </c>
      <c r="D12" s="66" t="str">
        <f>DATABASE!E111</f>
        <v>1-BR</v>
      </c>
      <c r="E12" s="66">
        <f>DATABASE!F111</f>
        <v>65</v>
      </c>
      <c r="F12" s="66">
        <f>DATABASE!G111</f>
        <v>0</v>
      </c>
      <c r="G12" s="66" t="str">
        <f>DATABASE!H111</f>
        <v>1</v>
      </c>
      <c r="H12" s="66" t="str">
        <f>DATABASE!I111</f>
        <v/>
      </c>
      <c r="I12" s="66">
        <f>DATABASE!J111</f>
        <v>8.6999999999999993</v>
      </c>
      <c r="J12" s="66">
        <f>DATABASE!K111</f>
        <v>0</v>
      </c>
      <c r="K12" s="66">
        <f>DATABASE!L111</f>
        <v>0</v>
      </c>
      <c r="L12" s="66">
        <f>DATABASE!M111</f>
        <v>0</v>
      </c>
      <c r="M12" s="66">
        <f>DATABASE!N111</f>
        <v>0</v>
      </c>
      <c r="N12" s="66">
        <f>DATABASE!O111</f>
        <v>56.3</v>
      </c>
      <c r="O12" s="66">
        <f>DATABASE!P111</f>
        <v>0</v>
      </c>
      <c r="P12" s="66" t="str">
        <f>DATABASE!Q111</f>
        <v>AVAILABLE</v>
      </c>
      <c r="Q12" s="66">
        <f>DATABASE!R111</f>
        <v>415000</v>
      </c>
      <c r="R12" s="66">
        <f>DATABASE!S111</f>
        <v>450000</v>
      </c>
      <c r="S12" s="66">
        <f>DATABASE!T111</f>
        <v>450000</v>
      </c>
      <c r="T12" s="66">
        <f>DATABASE!U111</f>
        <v>0</v>
      </c>
      <c r="U12" s="66">
        <f>DATABASE!V111</f>
        <v>35000</v>
      </c>
      <c r="V12" s="66">
        <f>DATABASE!W111</f>
        <v>415000</v>
      </c>
      <c r="W12" s="66">
        <f>DATABASE!X111</f>
        <v>0</v>
      </c>
      <c r="X12" s="66">
        <f>DATABASE!Y111</f>
        <v>0</v>
      </c>
      <c r="Y12" s="66">
        <f>DATABASE!Z111</f>
        <v>-35000</v>
      </c>
      <c r="Z12" s="66" t="e">
        <f>DATABASE!#REF!</f>
        <v>#REF!</v>
      </c>
      <c r="AA12" s="66">
        <f>DATABASE!AA111</f>
        <v>0</v>
      </c>
      <c r="AB12" s="67">
        <f>DATABASE!AB111</f>
        <v>47118</v>
      </c>
    </row>
    <row r="13" spans="1:28">
      <c r="A13" s="65" t="str">
        <f>DATABASE!A112</f>
        <v>Aroeira - HOTEL APARTMENTS</v>
      </c>
      <c r="B13" s="66" t="str">
        <f>DATABASE!B112</f>
        <v>Center</v>
      </c>
      <c r="C13" s="66" t="str">
        <f>DATABASE!C112</f>
        <v>305A</v>
      </c>
      <c r="D13" s="66" t="str">
        <f>DATABASE!E112</f>
        <v>1-BR</v>
      </c>
      <c r="E13" s="66">
        <f>DATABASE!F112</f>
        <v>65</v>
      </c>
      <c r="F13" s="66">
        <f>DATABASE!G112</f>
        <v>0</v>
      </c>
      <c r="G13" s="66" t="str">
        <f>DATABASE!H112</f>
        <v>1</v>
      </c>
      <c r="H13" s="66" t="str">
        <f>DATABASE!I112</f>
        <v/>
      </c>
      <c r="I13" s="66">
        <f>DATABASE!J112</f>
        <v>8.6999999999999993</v>
      </c>
      <c r="J13" s="66">
        <f>DATABASE!K112</f>
        <v>0</v>
      </c>
      <c r="K13" s="66">
        <f>DATABASE!L112</f>
        <v>0</v>
      </c>
      <c r="L13" s="66">
        <f>DATABASE!M112</f>
        <v>0</v>
      </c>
      <c r="M13" s="66">
        <f>DATABASE!N112</f>
        <v>0</v>
      </c>
      <c r="N13" s="66">
        <f>DATABASE!O112</f>
        <v>56.3</v>
      </c>
      <c r="O13" s="66">
        <f>DATABASE!P112</f>
        <v>0</v>
      </c>
      <c r="P13" s="66" t="str">
        <f>DATABASE!Q112</f>
        <v>AVAILABLE</v>
      </c>
      <c r="Q13" s="66">
        <f>DATABASE!R112</f>
        <v>415000</v>
      </c>
      <c r="R13" s="66">
        <f>DATABASE!S112</f>
        <v>450000</v>
      </c>
      <c r="S13" s="66">
        <f>DATABASE!T112</f>
        <v>450000</v>
      </c>
      <c r="T13" s="66">
        <f>DATABASE!U112</f>
        <v>0</v>
      </c>
      <c r="U13" s="66">
        <f>DATABASE!V112</f>
        <v>35000</v>
      </c>
      <c r="V13" s="66">
        <f>DATABASE!W112</f>
        <v>415000</v>
      </c>
      <c r="W13" s="66">
        <f>DATABASE!X112</f>
        <v>0</v>
      </c>
      <c r="X13" s="66">
        <f>DATABASE!Y112</f>
        <v>0</v>
      </c>
      <c r="Y13" s="66">
        <f>DATABASE!Z112</f>
        <v>-35000</v>
      </c>
      <c r="Z13" s="66" t="e">
        <f>DATABASE!#REF!</f>
        <v>#REF!</v>
      </c>
      <c r="AA13" s="66">
        <f>DATABASE!AA112</f>
        <v>0</v>
      </c>
      <c r="AB13" s="67">
        <f>DATABASE!AB112</f>
        <v>47118</v>
      </c>
    </row>
    <row r="14" spans="1:28">
      <c r="A14" s="65" t="str">
        <f>DATABASE!A113</f>
        <v>Aroeira - HOTEL APARTMENTS</v>
      </c>
      <c r="B14" s="66" t="str">
        <f>DATABASE!B113</f>
        <v>Center</v>
      </c>
      <c r="C14" s="66" t="str">
        <f>DATABASE!C113</f>
        <v>306A</v>
      </c>
      <c r="D14" s="66" t="str">
        <f>DATABASE!E113</f>
        <v>1-BR</v>
      </c>
      <c r="E14" s="66">
        <f>DATABASE!F113</f>
        <v>65</v>
      </c>
      <c r="F14" s="66">
        <f>DATABASE!G113</f>
        <v>0</v>
      </c>
      <c r="G14" s="66" t="str">
        <f>DATABASE!H113</f>
        <v>1</v>
      </c>
      <c r="H14" s="66" t="str">
        <f>DATABASE!I113</f>
        <v/>
      </c>
      <c r="I14" s="66">
        <f>DATABASE!J113</f>
        <v>8.6999999999999993</v>
      </c>
      <c r="J14" s="66">
        <f>DATABASE!K113</f>
        <v>0</v>
      </c>
      <c r="K14" s="66">
        <f>DATABASE!L113</f>
        <v>0</v>
      </c>
      <c r="L14" s="66">
        <f>DATABASE!M113</f>
        <v>0</v>
      </c>
      <c r="M14" s="66">
        <f>DATABASE!N113</f>
        <v>0</v>
      </c>
      <c r="N14" s="66">
        <f>DATABASE!O113</f>
        <v>56.3</v>
      </c>
      <c r="O14" s="66">
        <f>DATABASE!P113</f>
        <v>0</v>
      </c>
      <c r="P14" s="66" t="str">
        <f>DATABASE!Q113</f>
        <v>AVAILABLE</v>
      </c>
      <c r="Q14" s="66">
        <f>DATABASE!R113</f>
        <v>415000</v>
      </c>
      <c r="R14" s="66">
        <f>DATABASE!S113</f>
        <v>450000</v>
      </c>
      <c r="S14" s="66">
        <f>DATABASE!T113</f>
        <v>450000</v>
      </c>
      <c r="T14" s="66">
        <f>DATABASE!U113</f>
        <v>0</v>
      </c>
      <c r="U14" s="66">
        <f>DATABASE!V113</f>
        <v>35000</v>
      </c>
      <c r="V14" s="66">
        <f>DATABASE!W113</f>
        <v>415000</v>
      </c>
      <c r="W14" s="66">
        <f>DATABASE!X113</f>
        <v>0</v>
      </c>
      <c r="X14" s="66">
        <f>DATABASE!Y113</f>
        <v>0</v>
      </c>
      <c r="Y14" s="66">
        <f>DATABASE!Z113</f>
        <v>-35000</v>
      </c>
      <c r="Z14" s="66" t="e">
        <f>DATABASE!#REF!</f>
        <v>#REF!</v>
      </c>
      <c r="AA14" s="66">
        <f>DATABASE!AA113</f>
        <v>0</v>
      </c>
      <c r="AB14" s="67">
        <f>DATABASE!AB113</f>
        <v>47118</v>
      </c>
    </row>
    <row r="15" spans="1:28">
      <c r="A15" s="65" t="str">
        <f>DATABASE!A114</f>
        <v>Aroeira - HOTEL APARTMENTS</v>
      </c>
      <c r="B15" s="66" t="str">
        <f>DATABASE!B114</f>
        <v>Center</v>
      </c>
      <c r="C15" s="66" t="str">
        <f>DATABASE!C114</f>
        <v>307A</v>
      </c>
      <c r="D15" s="66" t="str">
        <f>DATABASE!E114</f>
        <v>1-BR</v>
      </c>
      <c r="E15" s="66">
        <f>DATABASE!F114</f>
        <v>65</v>
      </c>
      <c r="F15" s="66">
        <f>DATABASE!G114</f>
        <v>0</v>
      </c>
      <c r="G15" s="66" t="str">
        <f>DATABASE!H114</f>
        <v>1</v>
      </c>
      <c r="H15" s="66" t="str">
        <f>DATABASE!I114</f>
        <v/>
      </c>
      <c r="I15" s="66">
        <f>DATABASE!J114</f>
        <v>8.6999999999999993</v>
      </c>
      <c r="J15" s="66">
        <f>DATABASE!K114</f>
        <v>0</v>
      </c>
      <c r="K15" s="66">
        <f>DATABASE!L114</f>
        <v>0</v>
      </c>
      <c r="L15" s="66">
        <f>DATABASE!M114</f>
        <v>0</v>
      </c>
      <c r="M15" s="66">
        <f>DATABASE!N114</f>
        <v>0</v>
      </c>
      <c r="N15" s="66">
        <f>DATABASE!O114</f>
        <v>56.3</v>
      </c>
      <c r="O15" s="66">
        <f>DATABASE!P114</f>
        <v>0</v>
      </c>
      <c r="P15" s="66" t="str">
        <f>DATABASE!Q114</f>
        <v>AVAILABLE</v>
      </c>
      <c r="Q15" s="66">
        <f>DATABASE!R114</f>
        <v>415000</v>
      </c>
      <c r="R15" s="66">
        <f>DATABASE!S114</f>
        <v>450000</v>
      </c>
      <c r="S15" s="66">
        <f>DATABASE!T114</f>
        <v>450000</v>
      </c>
      <c r="T15" s="66">
        <f>DATABASE!U114</f>
        <v>0</v>
      </c>
      <c r="U15" s="66">
        <f>DATABASE!V114</f>
        <v>35000</v>
      </c>
      <c r="V15" s="66">
        <f>DATABASE!W114</f>
        <v>415000</v>
      </c>
      <c r="W15" s="66">
        <f>DATABASE!X114</f>
        <v>0</v>
      </c>
      <c r="X15" s="66">
        <f>DATABASE!Y114</f>
        <v>0</v>
      </c>
      <c r="Y15" s="66">
        <f>DATABASE!Z114</f>
        <v>-35000</v>
      </c>
      <c r="Z15" s="66" t="e">
        <f>DATABASE!#REF!</f>
        <v>#REF!</v>
      </c>
      <c r="AA15" s="66">
        <f>DATABASE!AA114</f>
        <v>0</v>
      </c>
      <c r="AB15" s="67">
        <f>DATABASE!AB114</f>
        <v>47118</v>
      </c>
    </row>
    <row r="16" spans="1:28">
      <c r="A16" s="65" t="str">
        <f>DATABASE!A115</f>
        <v>Aroeira - HOTEL APARTMENTS</v>
      </c>
      <c r="B16" s="66" t="str">
        <f>DATABASE!B115</f>
        <v>Center</v>
      </c>
      <c r="C16" s="66" t="str">
        <f>DATABASE!C115</f>
        <v>308A</v>
      </c>
      <c r="D16" s="66" t="str">
        <f>DATABASE!E115</f>
        <v>1-BR</v>
      </c>
      <c r="E16" s="66">
        <f>DATABASE!F115</f>
        <v>65</v>
      </c>
      <c r="F16" s="66">
        <f>DATABASE!G115</f>
        <v>0</v>
      </c>
      <c r="G16" s="66" t="str">
        <f>DATABASE!H115</f>
        <v>1</v>
      </c>
      <c r="H16" s="66" t="str">
        <f>DATABASE!I115</f>
        <v/>
      </c>
      <c r="I16" s="66">
        <f>DATABASE!J115</f>
        <v>8.6999999999999993</v>
      </c>
      <c r="J16" s="66">
        <f>DATABASE!K115</f>
        <v>0</v>
      </c>
      <c r="K16" s="66">
        <f>DATABASE!L115</f>
        <v>0</v>
      </c>
      <c r="L16" s="66">
        <f>DATABASE!M115</f>
        <v>0</v>
      </c>
      <c r="M16" s="66">
        <f>DATABASE!N115</f>
        <v>0</v>
      </c>
      <c r="N16" s="66">
        <f>DATABASE!O115</f>
        <v>56.3</v>
      </c>
      <c r="O16" s="66">
        <f>DATABASE!P115</f>
        <v>0</v>
      </c>
      <c r="P16" s="66" t="str">
        <f>DATABASE!Q115</f>
        <v>AVAILABLE</v>
      </c>
      <c r="Q16" s="66">
        <f>DATABASE!R115</f>
        <v>415000</v>
      </c>
      <c r="R16" s="66">
        <f>DATABASE!S115</f>
        <v>450000</v>
      </c>
      <c r="S16" s="66">
        <f>DATABASE!T115</f>
        <v>450000</v>
      </c>
      <c r="T16" s="66">
        <f>DATABASE!U115</f>
        <v>0</v>
      </c>
      <c r="U16" s="66">
        <f>DATABASE!V115</f>
        <v>35000</v>
      </c>
      <c r="V16" s="66">
        <f>DATABASE!W115</f>
        <v>415000</v>
      </c>
      <c r="W16" s="66">
        <f>DATABASE!X115</f>
        <v>0</v>
      </c>
      <c r="X16" s="66">
        <f>DATABASE!Y115</f>
        <v>0</v>
      </c>
      <c r="Y16" s="66">
        <f>DATABASE!Z115</f>
        <v>-35000</v>
      </c>
      <c r="Z16" s="66" t="e">
        <f>DATABASE!#REF!</f>
        <v>#REF!</v>
      </c>
      <c r="AA16" s="66">
        <f>DATABASE!AA115</f>
        <v>0</v>
      </c>
      <c r="AB16" s="67">
        <f>DATABASE!AB115</f>
        <v>47118</v>
      </c>
    </row>
    <row r="17" spans="1:28">
      <c r="A17" s="65" t="str">
        <f>DATABASE!A116</f>
        <v>ELS</v>
      </c>
      <c r="B17" s="66" t="str">
        <f>DATABASE!B116</f>
        <v>Vilamoura</v>
      </c>
      <c r="C17" s="66" t="str">
        <f>DATABASE!C116</f>
        <v>11</v>
      </c>
      <c r="D17" s="66" t="str">
        <f>DATABASE!E116</f>
        <v>Plot</v>
      </c>
      <c r="E17" s="66">
        <f>DATABASE!F116</f>
        <v>298</v>
      </c>
      <c r="F17" s="66">
        <f>DATABASE!G116</f>
        <v>0</v>
      </c>
      <c r="G17" s="66" t="str">
        <f>DATABASE!H116</f>
        <v/>
      </c>
      <c r="H17" s="66" t="str">
        <f>DATABASE!I116</f>
        <v/>
      </c>
      <c r="I17" s="66">
        <f>DATABASE!J116</f>
        <v>0</v>
      </c>
      <c r="J17" s="66">
        <f>DATABASE!K116</f>
        <v>0</v>
      </c>
      <c r="K17" s="66">
        <f>DATABASE!L116</f>
        <v>0</v>
      </c>
      <c r="L17" s="66">
        <f>DATABASE!M116</f>
        <v>0</v>
      </c>
      <c r="M17" s="66">
        <f>DATABASE!N116</f>
        <v>0</v>
      </c>
      <c r="N17" s="66">
        <f>DATABASE!O116</f>
        <v>298</v>
      </c>
      <c r="O17" s="66">
        <f>DATABASE!P116</f>
        <v>0</v>
      </c>
      <c r="P17" s="66" t="str">
        <f>DATABASE!Q116</f>
        <v xml:space="preserve">PSPA </v>
      </c>
      <c r="Q17" s="66">
        <f>DATABASE!R116</f>
        <v>3210000</v>
      </c>
      <c r="R17" s="66">
        <f>DATABASE!S116</f>
        <v>3210000</v>
      </c>
      <c r="S17" s="66">
        <f>DATABASE!T116</f>
        <v>1530000</v>
      </c>
      <c r="T17" s="66">
        <f>DATABASE!U116</f>
        <v>0</v>
      </c>
      <c r="U17" s="66">
        <f>DATABASE!V116</f>
        <v>0</v>
      </c>
      <c r="V17" s="66">
        <f>DATABASE!W116</f>
        <v>1530000</v>
      </c>
      <c r="W17" s="66">
        <f>DATABASE!X116</f>
        <v>0</v>
      </c>
      <c r="X17" s="66">
        <f>DATABASE!Y116</f>
        <v>1530000</v>
      </c>
      <c r="Y17" s="66">
        <f>DATABASE!Z116</f>
        <v>1530000</v>
      </c>
      <c r="Z17" s="66" t="e">
        <f>DATABASE!#REF!</f>
        <v>#REF!</v>
      </c>
      <c r="AA17" s="66">
        <f>DATABASE!AA116</f>
        <v>46104</v>
      </c>
      <c r="AB17" s="67">
        <f>DATABASE!AB116</f>
        <v>0</v>
      </c>
    </row>
    <row r="18" spans="1:28">
      <c r="A18" s="65" t="str">
        <f>DATABASE!A117</f>
        <v>MOURAGOLFE</v>
      </c>
      <c r="B18" s="66" t="str">
        <f>DATABASE!B117</f>
        <v>Vilamoura</v>
      </c>
      <c r="C18" s="66" t="str">
        <f>DATABASE!C117</f>
        <v>11</v>
      </c>
      <c r="D18" s="66" t="str">
        <f>DATABASE!E117</f>
        <v>Plot</v>
      </c>
      <c r="E18" s="66">
        <f>DATABASE!F117</f>
        <v>280</v>
      </c>
      <c r="F18" s="66">
        <f>DATABASE!G117</f>
        <v>0</v>
      </c>
      <c r="G18" s="66" t="str">
        <f>DATABASE!H117</f>
        <v/>
      </c>
      <c r="H18" s="66" t="str">
        <f>DATABASE!I117</f>
        <v/>
      </c>
      <c r="I18" s="66">
        <f>DATABASE!J117</f>
        <v>0</v>
      </c>
      <c r="J18" s="66">
        <f>DATABASE!K117</f>
        <v>0</v>
      </c>
      <c r="K18" s="66">
        <f>DATABASE!L117</f>
        <v>0</v>
      </c>
      <c r="L18" s="66">
        <f>DATABASE!M117</f>
        <v>0</v>
      </c>
      <c r="M18" s="66">
        <f>DATABASE!N117</f>
        <v>0</v>
      </c>
      <c r="N18" s="66">
        <f>DATABASE!O117</f>
        <v>280</v>
      </c>
      <c r="O18" s="66">
        <f>DATABASE!P117</f>
        <v>0</v>
      </c>
      <c r="P18" s="66" t="str">
        <f>DATABASE!Q117</f>
        <v xml:space="preserve">DEED </v>
      </c>
      <c r="Q18" s="66">
        <f>DATABASE!R117</f>
        <v>610000</v>
      </c>
      <c r="R18" s="66">
        <f>DATABASE!S117</f>
        <v>610000</v>
      </c>
      <c r="S18" s="66">
        <f>DATABASE!T117</f>
        <v>671000</v>
      </c>
      <c r="T18" s="66">
        <f>DATABASE!U117</f>
        <v>0</v>
      </c>
      <c r="U18" s="66">
        <f>DATABASE!V117</f>
        <v>0</v>
      </c>
      <c r="V18" s="66">
        <f>DATABASE!W117</f>
        <v>671000</v>
      </c>
      <c r="W18" s="66">
        <f>DATABASE!X117</f>
        <v>0</v>
      </c>
      <c r="X18" s="66">
        <f>DATABASE!Y117</f>
        <v>671000</v>
      </c>
      <c r="Y18" s="66">
        <f>DATABASE!Z117</f>
        <v>671000</v>
      </c>
      <c r="Z18" s="66" t="e">
        <f>DATABASE!#REF!</f>
        <v>#REF!</v>
      </c>
      <c r="AA18" s="66">
        <f>DATABASE!AA117</f>
        <v>45436</v>
      </c>
      <c r="AB18" s="67">
        <f>DATABASE!AB117</f>
        <v>0</v>
      </c>
    </row>
    <row r="19" spans="1:28">
      <c r="A19" s="65" t="str">
        <f>DATABASE!A118</f>
        <v>THE UNCOMMON</v>
      </c>
      <c r="B19" s="66" t="str">
        <f>DATABASE!B118</f>
        <v>Vilamoura</v>
      </c>
      <c r="C19" s="66" t="str">
        <f>DATABASE!C118</f>
        <v>11</v>
      </c>
      <c r="D19" s="66" t="str">
        <f>DATABASE!E118</f>
        <v>T1</v>
      </c>
      <c r="E19" s="66">
        <f>DATABASE!F118</f>
        <v>105.3</v>
      </c>
      <c r="F19" s="66">
        <f>DATABASE!G118</f>
        <v>0</v>
      </c>
      <c r="G19" s="66" t="str">
        <f>DATABASE!H118</f>
        <v>1</v>
      </c>
      <c r="H19" s="66" t="str">
        <f>DATABASE!I118</f>
        <v/>
      </c>
      <c r="I19" s="66">
        <f>DATABASE!J118</f>
        <v>42.4</v>
      </c>
      <c r="J19" s="66">
        <f>DATABASE!K118</f>
        <v>0</v>
      </c>
      <c r="K19" s="66">
        <f>DATABASE!L118</f>
        <v>0</v>
      </c>
      <c r="L19" s="66">
        <f>DATABASE!M118</f>
        <v>0</v>
      </c>
      <c r="M19" s="66">
        <f>DATABASE!N118</f>
        <v>0</v>
      </c>
      <c r="N19" s="66">
        <f>DATABASE!O118</f>
        <v>62.9</v>
      </c>
      <c r="O19" s="66">
        <f>DATABASE!P118</f>
        <v>0</v>
      </c>
      <c r="P19" s="66" t="str">
        <f>DATABASE!Q118</f>
        <v>AVAILABLE</v>
      </c>
      <c r="Q19" s="66">
        <f>DATABASE!R118</f>
        <v>585000</v>
      </c>
      <c r="R19" s="66">
        <f>DATABASE!S118</f>
        <v>650000</v>
      </c>
      <c r="S19" s="66">
        <f>DATABASE!T118</f>
        <v>710000</v>
      </c>
      <c r="T19" s="66">
        <f>DATABASE!U118</f>
        <v>50000</v>
      </c>
      <c r="U19" s="66">
        <f>DATABASE!V118</f>
        <v>15000</v>
      </c>
      <c r="V19" s="66">
        <f>DATABASE!W118</f>
        <v>645000</v>
      </c>
      <c r="W19" s="66">
        <f>DATABASE!X118</f>
        <v>0</v>
      </c>
      <c r="X19" s="66">
        <f>DATABASE!Y118</f>
        <v>710000</v>
      </c>
      <c r="Y19" s="66">
        <f>DATABASE!Z118</f>
        <v>645000</v>
      </c>
      <c r="Z19" s="66" t="e">
        <f>DATABASE!#REF!</f>
        <v>#REF!</v>
      </c>
      <c r="AA19" s="66">
        <f>DATABASE!AA118</f>
        <v>0</v>
      </c>
      <c r="AB19" s="67">
        <f>DATABASE!AB118</f>
        <v>0</v>
      </c>
    </row>
    <row r="20" spans="1:28">
      <c r="A20" s="65" t="str">
        <f>DATABASE!A119</f>
        <v>THE UNCOMMON</v>
      </c>
      <c r="B20" s="66" t="str">
        <f>DATABASE!B119</f>
        <v>Vilamoura</v>
      </c>
      <c r="C20" s="66" t="str">
        <f>DATABASE!C119</f>
        <v>110</v>
      </c>
      <c r="D20" s="66" t="str">
        <f>DATABASE!E119</f>
        <v>T3</v>
      </c>
      <c r="E20" s="66">
        <f>DATABASE!F119</f>
        <v>160.19999999999999</v>
      </c>
      <c r="F20" s="66">
        <f>DATABASE!G119</f>
        <v>0</v>
      </c>
      <c r="G20" s="66" t="str">
        <f>DATABASE!H119</f>
        <v>1</v>
      </c>
      <c r="H20" s="66" t="str">
        <f>DATABASE!I119</f>
        <v/>
      </c>
      <c r="I20" s="66">
        <f>DATABASE!J119</f>
        <v>20.399999999999999</v>
      </c>
      <c r="J20" s="66">
        <f>DATABASE!K119</f>
        <v>0</v>
      </c>
      <c r="K20" s="66">
        <f>DATABASE!L119</f>
        <v>0</v>
      </c>
      <c r="L20" s="66">
        <f>DATABASE!M119</f>
        <v>0</v>
      </c>
      <c r="M20" s="66">
        <f>DATABASE!N119</f>
        <v>0</v>
      </c>
      <c r="N20" s="66">
        <f>DATABASE!O119</f>
        <v>139.80000000000001</v>
      </c>
      <c r="O20" s="66">
        <f>DATABASE!P119</f>
        <v>0</v>
      </c>
      <c r="P20" s="66" t="str">
        <f>DATABASE!Q119</f>
        <v>AVAILABLE</v>
      </c>
      <c r="Q20" s="66">
        <f>DATABASE!R119</f>
        <v>2060000</v>
      </c>
      <c r="R20" s="66">
        <f>DATABASE!S119</f>
        <v>2140000</v>
      </c>
      <c r="S20" s="66">
        <f>DATABASE!T119</f>
        <v>2220000</v>
      </c>
      <c r="T20" s="66">
        <f>DATABASE!U119</f>
        <v>50000</v>
      </c>
      <c r="U20" s="66">
        <f>DATABASE!V119</f>
        <v>30000</v>
      </c>
      <c r="V20" s="66">
        <f>DATABASE!W119</f>
        <v>2140000</v>
      </c>
      <c r="W20" s="66">
        <f>DATABASE!X119</f>
        <v>0</v>
      </c>
      <c r="X20" s="66">
        <f>DATABASE!Y119</f>
        <v>2220000</v>
      </c>
      <c r="Y20" s="66">
        <f>DATABASE!Z119</f>
        <v>2140000</v>
      </c>
      <c r="Z20" s="66" t="e">
        <f>DATABASE!#REF!</f>
        <v>#REF!</v>
      </c>
      <c r="AA20" s="66">
        <f>DATABASE!AA119</f>
        <v>0</v>
      </c>
      <c r="AB20" s="67">
        <f>DATABASE!AB119</f>
        <v>0</v>
      </c>
    </row>
    <row r="21" spans="1:28">
      <c r="A21" s="65" t="str">
        <f>DATABASE!A120</f>
        <v>Aroeira - HOTEL APARTMENTS</v>
      </c>
      <c r="B21" s="66" t="str">
        <f>DATABASE!B120</f>
        <v>Center</v>
      </c>
      <c r="C21" s="66" t="str">
        <f>DATABASE!C120</f>
        <v>110A</v>
      </c>
      <c r="D21" s="66" t="str">
        <f>DATABASE!E120</f>
        <v>1-BR</v>
      </c>
      <c r="E21" s="66">
        <f>DATABASE!F120</f>
        <v>72.5</v>
      </c>
      <c r="F21" s="66">
        <f>DATABASE!G120</f>
        <v>0</v>
      </c>
      <c r="G21" s="66" t="str">
        <f>DATABASE!H120</f>
        <v>1</v>
      </c>
      <c r="H21" s="66" t="str">
        <f>DATABASE!I120</f>
        <v/>
      </c>
      <c r="I21" s="66">
        <f>DATABASE!J120</f>
        <v>12</v>
      </c>
      <c r="J21" s="66">
        <f>DATABASE!K120</f>
        <v>0</v>
      </c>
      <c r="K21" s="66">
        <f>DATABASE!L120</f>
        <v>0</v>
      </c>
      <c r="L21" s="66">
        <f>DATABASE!M120</f>
        <v>0</v>
      </c>
      <c r="M21" s="66">
        <f>DATABASE!N120</f>
        <v>0</v>
      </c>
      <c r="N21" s="66">
        <f>DATABASE!O120</f>
        <v>60.5</v>
      </c>
      <c r="O21" s="66">
        <f>DATABASE!P120</f>
        <v>0</v>
      </c>
      <c r="P21" s="66" t="str">
        <f>DATABASE!Q120</f>
        <v>AVAILABLE</v>
      </c>
      <c r="Q21" s="66">
        <f>DATABASE!R120</f>
        <v>425000</v>
      </c>
      <c r="R21" s="66">
        <f>DATABASE!S120</f>
        <v>460000</v>
      </c>
      <c r="S21" s="66">
        <f>DATABASE!T120</f>
        <v>460000</v>
      </c>
      <c r="T21" s="66">
        <f>DATABASE!U120</f>
        <v>0</v>
      </c>
      <c r="U21" s="66">
        <f>DATABASE!V120</f>
        <v>35000</v>
      </c>
      <c r="V21" s="66">
        <f>DATABASE!W120</f>
        <v>425000</v>
      </c>
      <c r="W21" s="66">
        <f>DATABASE!X120</f>
        <v>0</v>
      </c>
      <c r="X21" s="66">
        <f>DATABASE!Y120</f>
        <v>0</v>
      </c>
      <c r="Y21" s="66">
        <f>DATABASE!Z120</f>
        <v>-35000</v>
      </c>
      <c r="Z21" s="66" t="e">
        <f>DATABASE!#REF!</f>
        <v>#REF!</v>
      </c>
      <c r="AA21" s="66">
        <f>DATABASE!AA120</f>
        <v>0</v>
      </c>
      <c r="AB21" s="67">
        <f>DATABASE!AB120</f>
        <v>47118</v>
      </c>
    </row>
    <row r="22" spans="1:28">
      <c r="A22" s="65" t="str">
        <f>DATABASE!A121</f>
        <v>Aroeira - HOTEL APARTMENTS</v>
      </c>
      <c r="B22" s="66" t="str">
        <f>DATABASE!B121</f>
        <v>Center</v>
      </c>
      <c r="C22" s="66" t="str">
        <f>DATABASE!C121</f>
        <v>114A</v>
      </c>
      <c r="D22" s="66" t="str">
        <f>DATABASE!E121</f>
        <v>1-BR</v>
      </c>
      <c r="E22" s="66">
        <f>DATABASE!F121</f>
        <v>72.5</v>
      </c>
      <c r="F22" s="66">
        <f>DATABASE!G121</f>
        <v>0</v>
      </c>
      <c r="G22" s="66" t="str">
        <f>DATABASE!H121</f>
        <v>1</v>
      </c>
      <c r="H22" s="66" t="str">
        <f>DATABASE!I121</f>
        <v/>
      </c>
      <c r="I22" s="66">
        <f>DATABASE!J121</f>
        <v>12</v>
      </c>
      <c r="J22" s="66">
        <f>DATABASE!K121</f>
        <v>0</v>
      </c>
      <c r="K22" s="66">
        <f>DATABASE!L121</f>
        <v>0</v>
      </c>
      <c r="L22" s="66">
        <f>DATABASE!M121</f>
        <v>0</v>
      </c>
      <c r="M22" s="66">
        <f>DATABASE!N121</f>
        <v>0</v>
      </c>
      <c r="N22" s="66">
        <f>DATABASE!O121</f>
        <v>60.5</v>
      </c>
      <c r="O22" s="66">
        <f>DATABASE!P121</f>
        <v>0</v>
      </c>
      <c r="P22" s="66" t="str">
        <f>DATABASE!Q121</f>
        <v>AVAILABLE</v>
      </c>
      <c r="Q22" s="66">
        <f>DATABASE!R121</f>
        <v>425000</v>
      </c>
      <c r="R22" s="66">
        <f>DATABASE!S121</f>
        <v>460000</v>
      </c>
      <c r="S22" s="66">
        <f>DATABASE!T121</f>
        <v>460000</v>
      </c>
      <c r="T22" s="66">
        <f>DATABASE!U121</f>
        <v>0</v>
      </c>
      <c r="U22" s="66">
        <f>DATABASE!V121</f>
        <v>35000</v>
      </c>
      <c r="V22" s="66">
        <f>DATABASE!W121</f>
        <v>425000</v>
      </c>
      <c r="W22" s="66">
        <f>DATABASE!X121</f>
        <v>0</v>
      </c>
      <c r="X22" s="66">
        <f>DATABASE!Y121</f>
        <v>0</v>
      </c>
      <c r="Y22" s="66">
        <f>DATABASE!Z121</f>
        <v>-35000</v>
      </c>
      <c r="Z22" s="66" t="e">
        <f>DATABASE!#REF!</f>
        <v>#REF!</v>
      </c>
      <c r="AA22" s="66">
        <f>DATABASE!AA121</f>
        <v>0</v>
      </c>
      <c r="AB22" s="67">
        <f>DATABASE!AB121</f>
        <v>47118</v>
      </c>
    </row>
    <row r="23" spans="1:28">
      <c r="A23" s="65" t="str">
        <f>DATABASE!A122</f>
        <v>Aroeira - HOTEL APARTMENTS</v>
      </c>
      <c r="B23" s="66" t="str">
        <f>DATABASE!B122</f>
        <v>Center</v>
      </c>
      <c r="C23" s="66" t="str">
        <f>DATABASE!C122</f>
        <v>124A</v>
      </c>
      <c r="D23" s="66" t="str">
        <f>DATABASE!E122</f>
        <v>1-BR</v>
      </c>
      <c r="E23" s="66">
        <f>DATABASE!F122</f>
        <v>72.5</v>
      </c>
      <c r="F23" s="66">
        <f>DATABASE!G122</f>
        <v>0</v>
      </c>
      <c r="G23" s="66" t="str">
        <f>DATABASE!H122</f>
        <v>1</v>
      </c>
      <c r="H23" s="66" t="str">
        <f>DATABASE!I122</f>
        <v/>
      </c>
      <c r="I23" s="66">
        <f>DATABASE!J122</f>
        <v>12</v>
      </c>
      <c r="J23" s="66">
        <f>DATABASE!K122</f>
        <v>0</v>
      </c>
      <c r="K23" s="66">
        <f>DATABASE!L122</f>
        <v>0</v>
      </c>
      <c r="L23" s="66">
        <f>DATABASE!M122</f>
        <v>0</v>
      </c>
      <c r="M23" s="66">
        <f>DATABASE!N122</f>
        <v>0</v>
      </c>
      <c r="N23" s="66">
        <f>DATABASE!O122</f>
        <v>60.5</v>
      </c>
      <c r="O23" s="66">
        <f>DATABASE!P122</f>
        <v>0</v>
      </c>
      <c r="P23" s="66" t="str">
        <f>DATABASE!Q122</f>
        <v>AVAILABLE</v>
      </c>
      <c r="Q23" s="66">
        <f>DATABASE!R122</f>
        <v>425000</v>
      </c>
      <c r="R23" s="66">
        <f>DATABASE!S122</f>
        <v>460000</v>
      </c>
      <c r="S23" s="66">
        <f>DATABASE!T122</f>
        <v>460000</v>
      </c>
      <c r="T23" s="66">
        <f>DATABASE!U122</f>
        <v>0</v>
      </c>
      <c r="U23" s="66">
        <f>DATABASE!V122</f>
        <v>35000</v>
      </c>
      <c r="V23" s="66">
        <f>DATABASE!W122</f>
        <v>425000</v>
      </c>
      <c r="W23" s="66">
        <f>DATABASE!X122</f>
        <v>0</v>
      </c>
      <c r="X23" s="66">
        <f>DATABASE!Y122</f>
        <v>0</v>
      </c>
      <c r="Y23" s="66">
        <f>DATABASE!Z122</f>
        <v>-35000</v>
      </c>
      <c r="Z23" s="66" t="e">
        <f>DATABASE!#REF!</f>
        <v>#REF!</v>
      </c>
      <c r="AA23" s="66">
        <f>DATABASE!AA122</f>
        <v>0</v>
      </c>
      <c r="AB23" s="67">
        <f>DATABASE!AB122</f>
        <v>47118</v>
      </c>
    </row>
    <row r="24" spans="1:28">
      <c r="A24" s="65" t="str">
        <f>DATABASE!A123</f>
        <v>Aroeira - HOTEL APARTMENTS</v>
      </c>
      <c r="B24" s="66" t="str">
        <f>DATABASE!B123</f>
        <v>Center</v>
      </c>
      <c r="C24" s="66" t="str">
        <f>DATABASE!C123</f>
        <v>128A</v>
      </c>
      <c r="D24" s="66" t="str">
        <f>DATABASE!E123</f>
        <v>1-BR</v>
      </c>
      <c r="E24" s="66">
        <f>DATABASE!F123</f>
        <v>72.5</v>
      </c>
      <c r="F24" s="66">
        <f>DATABASE!G123</f>
        <v>0</v>
      </c>
      <c r="G24" s="66" t="str">
        <f>DATABASE!H123</f>
        <v>1</v>
      </c>
      <c r="H24" s="66" t="str">
        <f>DATABASE!I123</f>
        <v/>
      </c>
      <c r="I24" s="66">
        <f>DATABASE!J123</f>
        <v>12</v>
      </c>
      <c r="J24" s="66">
        <f>DATABASE!K123</f>
        <v>0</v>
      </c>
      <c r="K24" s="66">
        <f>DATABASE!L123</f>
        <v>0</v>
      </c>
      <c r="L24" s="66">
        <f>DATABASE!M123</f>
        <v>0</v>
      </c>
      <c r="M24" s="66">
        <f>DATABASE!N123</f>
        <v>0</v>
      </c>
      <c r="N24" s="66">
        <f>DATABASE!O123</f>
        <v>60.5</v>
      </c>
      <c r="O24" s="66">
        <f>DATABASE!P123</f>
        <v>0</v>
      </c>
      <c r="P24" s="66" t="str">
        <f>DATABASE!Q123</f>
        <v>AVAILABLE</v>
      </c>
      <c r="Q24" s="66">
        <f>DATABASE!R123</f>
        <v>425000</v>
      </c>
      <c r="R24" s="66">
        <f>DATABASE!S123</f>
        <v>460000</v>
      </c>
      <c r="S24" s="66">
        <f>DATABASE!T123</f>
        <v>460000</v>
      </c>
      <c r="T24" s="66">
        <f>DATABASE!U123</f>
        <v>0</v>
      </c>
      <c r="U24" s="66">
        <f>DATABASE!V123</f>
        <v>35000</v>
      </c>
      <c r="V24" s="66">
        <f>DATABASE!W123</f>
        <v>425000</v>
      </c>
      <c r="W24" s="66">
        <f>DATABASE!X123</f>
        <v>0</v>
      </c>
      <c r="X24" s="66">
        <f>DATABASE!Y123</f>
        <v>0</v>
      </c>
      <c r="Y24" s="66">
        <f>DATABASE!Z123</f>
        <v>-35000</v>
      </c>
      <c r="Z24" s="66" t="e">
        <f>DATABASE!#REF!</f>
        <v>#REF!</v>
      </c>
      <c r="AA24" s="66">
        <f>DATABASE!AA123</f>
        <v>0</v>
      </c>
      <c r="AB24" s="67">
        <f>DATABASE!AB123</f>
        <v>47118</v>
      </c>
    </row>
    <row r="25" spans="1:28">
      <c r="A25" s="65" t="str">
        <f>DATABASE!A124</f>
        <v>Palmares - Plots</v>
      </c>
      <c r="B25" s="66" t="str">
        <f>DATABASE!B124</f>
        <v>Algarve</v>
      </c>
      <c r="C25" s="66" t="str">
        <f>DATABASE!C124</f>
        <v>100</v>
      </c>
      <c r="D25" s="66" t="str">
        <f>DATABASE!E124</f>
        <v>Plot</v>
      </c>
      <c r="E25" s="66">
        <f>DATABASE!F124</f>
        <v>621.5</v>
      </c>
      <c r="F25" s="66">
        <f>DATABASE!G124</f>
        <v>0</v>
      </c>
      <c r="G25" s="66" t="str">
        <f>DATABASE!H124</f>
        <v/>
      </c>
      <c r="H25" s="66" t="str">
        <f>DATABASE!I124</f>
        <v/>
      </c>
      <c r="I25" s="66">
        <f>DATABASE!J124</f>
        <v>0</v>
      </c>
      <c r="J25" s="66">
        <f>DATABASE!K124</f>
        <v>0</v>
      </c>
      <c r="K25" s="66">
        <f>DATABASE!L124</f>
        <v>0</v>
      </c>
      <c r="L25" s="66">
        <f>DATABASE!M124</f>
        <v>0</v>
      </c>
      <c r="M25" s="66">
        <f>DATABASE!N124</f>
        <v>0</v>
      </c>
      <c r="N25" s="66">
        <f>DATABASE!O124</f>
        <v>621.5</v>
      </c>
      <c r="O25" s="66">
        <f>DATABASE!P124</f>
        <v>0</v>
      </c>
      <c r="P25" s="66" t="str">
        <f>DATABASE!Q124</f>
        <v>AVAILABLE</v>
      </c>
      <c r="Q25" s="66">
        <f>DATABASE!R124</f>
        <v>460000</v>
      </c>
      <c r="R25" s="66">
        <f>DATABASE!S124</f>
        <v>460000</v>
      </c>
      <c r="S25" s="66">
        <f>DATABASE!T124</f>
        <v>3000000</v>
      </c>
      <c r="T25" s="66">
        <f>DATABASE!U124</f>
        <v>0</v>
      </c>
      <c r="U25" s="66">
        <f>DATABASE!V124</f>
        <v>0</v>
      </c>
      <c r="V25" s="66">
        <f>DATABASE!W124</f>
        <v>3000000</v>
      </c>
      <c r="W25" s="66">
        <f>DATABASE!X124</f>
        <v>0</v>
      </c>
      <c r="X25" s="66">
        <f>DATABASE!Y124</f>
        <v>3000000</v>
      </c>
      <c r="Y25" s="66">
        <f>DATABASE!Z124</f>
        <v>3000000</v>
      </c>
      <c r="Z25" s="66" t="e">
        <f>DATABASE!#REF!</f>
        <v>#REF!</v>
      </c>
      <c r="AA25" s="66">
        <f>DATABASE!AA124</f>
        <v>0</v>
      </c>
      <c r="AB25" s="67">
        <f>DATABASE!AB124</f>
        <v>46843</v>
      </c>
    </row>
    <row r="26" spans="1:28">
      <c r="A26" s="65" t="str">
        <f>DATABASE!A125</f>
        <v>Palmares - Signature Residences</v>
      </c>
      <c r="B26" s="66" t="str">
        <f>DATABASE!B125</f>
        <v>Algarve</v>
      </c>
      <c r="C26" s="66" t="str">
        <f>DATABASE!C125</f>
        <v>18D</v>
      </c>
      <c r="D26" s="66" t="str">
        <f>DATABASE!E125</f>
        <v>T2 + 1 Duplex</v>
      </c>
      <c r="E26" s="66">
        <f>DATABASE!F125</f>
        <v>355.31</v>
      </c>
      <c r="F26" s="66">
        <f>DATABASE!G125</f>
        <v>0</v>
      </c>
      <c r="G26" s="66" t="str">
        <f>DATABASE!H125</f>
        <v/>
      </c>
      <c r="H26" s="66" t="str">
        <f>DATABASE!I125</f>
        <v>15.13</v>
      </c>
      <c r="I26" s="66">
        <f>DATABASE!J125</f>
        <v>0</v>
      </c>
      <c r="J26" s="66">
        <f>DATABASE!K125</f>
        <v>0</v>
      </c>
      <c r="K26" s="66">
        <f>DATABASE!L125</f>
        <v>0</v>
      </c>
      <c r="L26" s="66">
        <f>DATABASE!M125</f>
        <v>115.74</v>
      </c>
      <c r="M26" s="66">
        <f>DATABASE!N125</f>
        <v>0</v>
      </c>
      <c r="N26" s="66">
        <f>DATABASE!O125</f>
        <v>224.44</v>
      </c>
      <c r="O26" s="66">
        <f>DATABASE!P125</f>
        <v>0</v>
      </c>
      <c r="P26" s="66" t="str">
        <f>DATABASE!Q125</f>
        <v>AVAILABLE</v>
      </c>
      <c r="Q26" s="66">
        <f>DATABASE!R125</f>
        <v>2090000</v>
      </c>
      <c r="R26" s="66">
        <f>DATABASE!S125</f>
        <v>2090000</v>
      </c>
      <c r="S26" s="66">
        <f>DATABASE!T125</f>
        <v>2090000</v>
      </c>
      <c r="T26" s="66">
        <f>DATABASE!U125</f>
        <v>0</v>
      </c>
      <c r="U26" s="66">
        <f>DATABASE!V125</f>
        <v>0</v>
      </c>
      <c r="V26" s="66">
        <f>DATABASE!W125</f>
        <v>2090000</v>
      </c>
      <c r="W26" s="66">
        <f>DATABASE!X125</f>
        <v>0</v>
      </c>
      <c r="X26" s="66">
        <f>DATABASE!Y125</f>
        <v>2090000</v>
      </c>
      <c r="Y26" s="66">
        <f>DATABASE!Z125</f>
        <v>2090000</v>
      </c>
      <c r="Z26" s="66" t="e">
        <f>DATABASE!#REF!</f>
        <v>#REF!</v>
      </c>
      <c r="AA26" s="66">
        <f>DATABASE!AA125</f>
        <v>0</v>
      </c>
      <c r="AB26" s="67">
        <f>DATABASE!AB125</f>
        <v>46843</v>
      </c>
    </row>
    <row r="27" spans="1:28">
      <c r="A27" s="65" t="str">
        <f>DATABASE!A126</f>
        <v>THE UNCOMMON</v>
      </c>
      <c r="B27" s="66" t="str">
        <f>DATABASE!B126</f>
        <v>Vilamoura</v>
      </c>
      <c r="C27" s="66" t="str">
        <f>DATABASE!C126</f>
        <v>111</v>
      </c>
      <c r="D27" s="66" t="str">
        <f>DATABASE!E126</f>
        <v>T1</v>
      </c>
      <c r="E27" s="66">
        <f>DATABASE!F126</f>
        <v>80.900000000000006</v>
      </c>
      <c r="F27" s="66">
        <f>DATABASE!G126</f>
        <v>0</v>
      </c>
      <c r="G27" s="66" t="str">
        <f>DATABASE!H126</f>
        <v>1</v>
      </c>
      <c r="H27" s="66" t="str">
        <f>DATABASE!I126</f>
        <v/>
      </c>
      <c r="I27" s="66">
        <f>DATABASE!J126</f>
        <v>18</v>
      </c>
      <c r="J27" s="66">
        <f>DATABASE!K126</f>
        <v>0</v>
      </c>
      <c r="K27" s="66">
        <f>DATABASE!L126</f>
        <v>0</v>
      </c>
      <c r="L27" s="66">
        <f>DATABASE!M126</f>
        <v>0</v>
      </c>
      <c r="M27" s="66">
        <f>DATABASE!N126</f>
        <v>0</v>
      </c>
      <c r="N27" s="66">
        <f>DATABASE!O126</f>
        <v>62.9</v>
      </c>
      <c r="O27" s="66">
        <f>DATABASE!P126</f>
        <v>0</v>
      </c>
      <c r="P27" s="66" t="str">
        <f>DATABASE!Q126</f>
        <v>AVAILABLE</v>
      </c>
      <c r="Q27" s="66">
        <f>DATABASE!R126</f>
        <v>575000</v>
      </c>
      <c r="R27" s="66">
        <f>DATABASE!S126</f>
        <v>640000</v>
      </c>
      <c r="S27" s="66">
        <f>DATABASE!T126</f>
        <v>700000</v>
      </c>
      <c r="T27" s="66">
        <f>DATABASE!U126</f>
        <v>50000</v>
      </c>
      <c r="U27" s="66">
        <f>DATABASE!V126</f>
        <v>15000</v>
      </c>
      <c r="V27" s="66">
        <f>DATABASE!W126</f>
        <v>635000</v>
      </c>
      <c r="W27" s="66">
        <f>DATABASE!X126</f>
        <v>0</v>
      </c>
      <c r="X27" s="66">
        <f>DATABASE!Y126</f>
        <v>700000</v>
      </c>
      <c r="Y27" s="66">
        <f>DATABASE!Z126</f>
        <v>635000</v>
      </c>
      <c r="Z27" s="66" t="e">
        <f>DATABASE!#REF!</f>
        <v>#REF!</v>
      </c>
      <c r="AA27" s="66">
        <f>DATABASE!AA126</f>
        <v>0</v>
      </c>
      <c r="AB27" s="67">
        <f>DATABASE!AB126</f>
        <v>0</v>
      </c>
    </row>
    <row r="28" spans="1:28">
      <c r="A28" s="65" t="str">
        <f>DATABASE!A127</f>
        <v>THE UNCOMMON</v>
      </c>
      <c r="B28" s="66" t="str">
        <f>DATABASE!B127</f>
        <v>Vilamoura</v>
      </c>
      <c r="C28" s="66" t="str">
        <f>DATABASE!C127</f>
        <v>112</v>
      </c>
      <c r="D28" s="66" t="str">
        <f>DATABASE!E127</f>
        <v>T1</v>
      </c>
      <c r="E28" s="66">
        <f>DATABASE!F127</f>
        <v>81.099999999999994</v>
      </c>
      <c r="F28" s="66">
        <f>DATABASE!G127</f>
        <v>0</v>
      </c>
      <c r="G28" s="66" t="str">
        <f>DATABASE!H127</f>
        <v>1</v>
      </c>
      <c r="H28" s="66" t="str">
        <f>DATABASE!I127</f>
        <v/>
      </c>
      <c r="I28" s="66">
        <f>DATABASE!J127</f>
        <v>18</v>
      </c>
      <c r="J28" s="66">
        <f>DATABASE!K127</f>
        <v>0</v>
      </c>
      <c r="K28" s="66">
        <f>DATABASE!L127</f>
        <v>0</v>
      </c>
      <c r="L28" s="66">
        <f>DATABASE!M127</f>
        <v>0</v>
      </c>
      <c r="M28" s="66">
        <f>DATABASE!N127</f>
        <v>0</v>
      </c>
      <c r="N28" s="66">
        <f>DATABASE!O127</f>
        <v>63.1</v>
      </c>
      <c r="O28" s="66">
        <f>DATABASE!P127</f>
        <v>0</v>
      </c>
      <c r="P28" s="66" t="str">
        <f>DATABASE!Q127</f>
        <v>AVAILABLE</v>
      </c>
      <c r="Q28" s="66">
        <f>DATABASE!R127</f>
        <v>615000</v>
      </c>
      <c r="R28" s="66">
        <f>DATABASE!S127</f>
        <v>680000</v>
      </c>
      <c r="S28" s="66">
        <f>DATABASE!T127</f>
        <v>740000</v>
      </c>
      <c r="T28" s="66">
        <f>DATABASE!U127</f>
        <v>50000</v>
      </c>
      <c r="U28" s="66">
        <f>DATABASE!V127</f>
        <v>15000</v>
      </c>
      <c r="V28" s="66">
        <f>DATABASE!W127</f>
        <v>675000</v>
      </c>
      <c r="W28" s="66">
        <f>DATABASE!X127</f>
        <v>0</v>
      </c>
      <c r="X28" s="66">
        <f>DATABASE!Y127</f>
        <v>740000</v>
      </c>
      <c r="Y28" s="66">
        <f>DATABASE!Z127</f>
        <v>675000</v>
      </c>
      <c r="Z28" s="66" t="e">
        <f>DATABASE!#REF!</f>
        <v>#REF!</v>
      </c>
      <c r="AA28" s="66">
        <f>DATABASE!AA127</f>
        <v>0</v>
      </c>
      <c r="AB28" s="67">
        <f>DATABASE!AB127</f>
        <v>0</v>
      </c>
    </row>
    <row r="29" spans="1:28">
      <c r="A29" s="65" t="str">
        <f>DATABASE!A128</f>
        <v>THE UNCOMMON</v>
      </c>
      <c r="B29" s="66" t="str">
        <f>DATABASE!B128</f>
        <v>Vilamoura</v>
      </c>
      <c r="C29" s="66" t="str">
        <f>DATABASE!C128</f>
        <v>113</v>
      </c>
      <c r="D29" s="66" t="str">
        <f>DATABASE!E128</f>
        <v>T1</v>
      </c>
      <c r="E29" s="66">
        <f>DATABASE!F128</f>
        <v>81.099999999999994</v>
      </c>
      <c r="F29" s="66">
        <f>DATABASE!G128</f>
        <v>0</v>
      </c>
      <c r="G29" s="66" t="str">
        <f>DATABASE!H128</f>
        <v>1</v>
      </c>
      <c r="H29" s="66" t="str">
        <f>DATABASE!I128</f>
        <v/>
      </c>
      <c r="I29" s="66">
        <f>DATABASE!J128</f>
        <v>18</v>
      </c>
      <c r="J29" s="66">
        <f>DATABASE!K128</f>
        <v>0</v>
      </c>
      <c r="K29" s="66">
        <f>DATABASE!L128</f>
        <v>0</v>
      </c>
      <c r="L29" s="66">
        <f>DATABASE!M128</f>
        <v>0</v>
      </c>
      <c r="M29" s="66">
        <f>DATABASE!N128</f>
        <v>0</v>
      </c>
      <c r="N29" s="66">
        <f>DATABASE!O128</f>
        <v>63.1</v>
      </c>
      <c r="O29" s="66">
        <f>DATABASE!P128</f>
        <v>0</v>
      </c>
      <c r="P29" s="66" t="str">
        <f>DATABASE!Q128</f>
        <v>AVAILABLE</v>
      </c>
      <c r="Q29" s="66">
        <f>DATABASE!R128</f>
        <v>655000</v>
      </c>
      <c r="R29" s="66">
        <f>DATABASE!S128</f>
        <v>720000</v>
      </c>
      <c r="S29" s="66">
        <f>DATABASE!T128</f>
        <v>780000</v>
      </c>
      <c r="T29" s="66">
        <f>DATABASE!U128</f>
        <v>50000</v>
      </c>
      <c r="U29" s="66">
        <f>DATABASE!V128</f>
        <v>15000</v>
      </c>
      <c r="V29" s="66">
        <f>DATABASE!W128</f>
        <v>715000</v>
      </c>
      <c r="W29" s="66">
        <f>DATABASE!X128</f>
        <v>0</v>
      </c>
      <c r="X29" s="66">
        <f>DATABASE!Y128</f>
        <v>780000</v>
      </c>
      <c r="Y29" s="66">
        <f>DATABASE!Z128</f>
        <v>715000</v>
      </c>
      <c r="Z29" s="66" t="e">
        <f>DATABASE!#REF!</f>
        <v>#REF!</v>
      </c>
      <c r="AA29" s="66">
        <f>DATABASE!AA128</f>
        <v>0</v>
      </c>
      <c r="AB29" s="67">
        <f>DATABASE!AB128</f>
        <v>0</v>
      </c>
    </row>
    <row r="30" spans="1:28">
      <c r="A30" s="65" t="str">
        <f>DATABASE!A129</f>
        <v>THE UNCOMMON</v>
      </c>
      <c r="B30" s="66" t="str">
        <f>DATABASE!B129</f>
        <v>Vilamoura</v>
      </c>
      <c r="C30" s="66" t="str">
        <f>DATABASE!C129</f>
        <v>114</v>
      </c>
      <c r="D30" s="66" t="str">
        <f>DATABASE!E129</f>
        <v>T1</v>
      </c>
      <c r="E30" s="66">
        <f>DATABASE!F129</f>
        <v>81.099999999999994</v>
      </c>
      <c r="F30" s="66">
        <f>DATABASE!G129</f>
        <v>0</v>
      </c>
      <c r="G30" s="66" t="str">
        <f>DATABASE!H129</f>
        <v>1</v>
      </c>
      <c r="H30" s="66" t="str">
        <f>DATABASE!I129</f>
        <v/>
      </c>
      <c r="I30" s="66">
        <f>DATABASE!J129</f>
        <v>18</v>
      </c>
      <c r="J30" s="66">
        <f>DATABASE!K129</f>
        <v>0</v>
      </c>
      <c r="K30" s="66">
        <f>DATABASE!L129</f>
        <v>0</v>
      </c>
      <c r="L30" s="66">
        <f>DATABASE!M129</f>
        <v>0</v>
      </c>
      <c r="M30" s="66">
        <f>DATABASE!N129</f>
        <v>0</v>
      </c>
      <c r="N30" s="66">
        <f>DATABASE!O129</f>
        <v>63.1</v>
      </c>
      <c r="O30" s="66">
        <f>DATABASE!P129</f>
        <v>0</v>
      </c>
      <c r="P30" s="66" t="str">
        <f>DATABASE!Q129</f>
        <v>AVAILABLE</v>
      </c>
      <c r="Q30" s="66">
        <f>DATABASE!R129</f>
        <v>705000</v>
      </c>
      <c r="R30" s="66">
        <f>DATABASE!S129</f>
        <v>770000</v>
      </c>
      <c r="S30" s="66">
        <f>DATABASE!T129</f>
        <v>830000</v>
      </c>
      <c r="T30" s="66">
        <f>DATABASE!U129</f>
        <v>50000</v>
      </c>
      <c r="U30" s="66">
        <f>DATABASE!V129</f>
        <v>15000</v>
      </c>
      <c r="V30" s="66">
        <f>DATABASE!W129</f>
        <v>765000</v>
      </c>
      <c r="W30" s="66">
        <f>DATABASE!X129</f>
        <v>0</v>
      </c>
      <c r="X30" s="66">
        <f>DATABASE!Y129</f>
        <v>830000</v>
      </c>
      <c r="Y30" s="66">
        <f>DATABASE!Z129</f>
        <v>765000</v>
      </c>
      <c r="Z30" s="66" t="e">
        <f>DATABASE!#REF!</f>
        <v>#REF!</v>
      </c>
      <c r="AA30" s="66">
        <f>DATABASE!AA129</f>
        <v>0</v>
      </c>
      <c r="AB30" s="67">
        <f>DATABASE!AB129</f>
        <v>0</v>
      </c>
    </row>
    <row r="31" spans="1:28">
      <c r="A31" s="65" t="str">
        <f>DATABASE!A130</f>
        <v>THE UNCOMMON</v>
      </c>
      <c r="B31" s="66" t="str">
        <f>DATABASE!B130</f>
        <v>Vilamoura</v>
      </c>
      <c r="C31" s="66" t="str">
        <f>DATABASE!C130</f>
        <v>115</v>
      </c>
      <c r="D31" s="66" t="str">
        <f>DATABASE!E130</f>
        <v>T1</v>
      </c>
      <c r="E31" s="66">
        <f>DATABASE!F130</f>
        <v>83</v>
      </c>
      <c r="F31" s="66">
        <f>DATABASE!G130</f>
        <v>0</v>
      </c>
      <c r="G31" s="66" t="str">
        <f>DATABASE!H130</f>
        <v>1</v>
      </c>
      <c r="H31" s="66" t="str">
        <f>DATABASE!I130</f>
        <v/>
      </c>
      <c r="I31" s="66">
        <f>DATABASE!J130</f>
        <v>18.7</v>
      </c>
      <c r="J31" s="66">
        <f>DATABASE!K130</f>
        <v>0</v>
      </c>
      <c r="K31" s="66">
        <f>DATABASE!L130</f>
        <v>0</v>
      </c>
      <c r="L31" s="66">
        <f>DATABASE!M130</f>
        <v>0</v>
      </c>
      <c r="M31" s="66">
        <f>DATABASE!N130</f>
        <v>0</v>
      </c>
      <c r="N31" s="66">
        <f>DATABASE!O130</f>
        <v>64.3</v>
      </c>
      <c r="O31" s="66">
        <f>DATABASE!P130</f>
        <v>0</v>
      </c>
      <c r="P31" s="66" t="str">
        <f>DATABASE!Q130</f>
        <v>AVAILABLE</v>
      </c>
      <c r="Q31" s="66">
        <f>DATABASE!R130</f>
        <v>765000</v>
      </c>
      <c r="R31" s="66">
        <f>DATABASE!S130</f>
        <v>830000</v>
      </c>
      <c r="S31" s="66">
        <f>DATABASE!T130</f>
        <v>890000</v>
      </c>
      <c r="T31" s="66">
        <f>DATABASE!U130</f>
        <v>50000</v>
      </c>
      <c r="U31" s="66">
        <f>DATABASE!V130</f>
        <v>15000</v>
      </c>
      <c r="V31" s="66">
        <f>DATABASE!W130</f>
        <v>825000</v>
      </c>
      <c r="W31" s="66">
        <f>DATABASE!X130</f>
        <v>0</v>
      </c>
      <c r="X31" s="66">
        <f>DATABASE!Y130</f>
        <v>890000</v>
      </c>
      <c r="Y31" s="66">
        <f>DATABASE!Z130</f>
        <v>825000</v>
      </c>
      <c r="Z31" s="66" t="e">
        <f>DATABASE!#REF!</f>
        <v>#REF!</v>
      </c>
      <c r="AA31" s="66">
        <f>DATABASE!AA130</f>
        <v>0</v>
      </c>
      <c r="AB31" s="67">
        <f>DATABASE!AB130</f>
        <v>0</v>
      </c>
    </row>
    <row r="32" spans="1:28">
      <c r="A32" s="65" t="str">
        <f>DATABASE!A131</f>
        <v>Aroeira - HOTEL APARTMENTS</v>
      </c>
      <c r="B32" s="66" t="str">
        <f>DATABASE!B131</f>
        <v>Center</v>
      </c>
      <c r="C32" s="66" t="str">
        <f>DATABASE!C131</f>
        <v>316A</v>
      </c>
      <c r="D32" s="66" t="str">
        <f>DATABASE!E131</f>
        <v>1-BR</v>
      </c>
      <c r="E32" s="66">
        <f>DATABASE!F131</f>
        <v>65</v>
      </c>
      <c r="F32" s="66">
        <f>DATABASE!G131</f>
        <v>0</v>
      </c>
      <c r="G32" s="66" t="str">
        <f>DATABASE!H131</f>
        <v>1</v>
      </c>
      <c r="H32" s="66" t="str">
        <f>DATABASE!I131</f>
        <v/>
      </c>
      <c r="I32" s="66">
        <f>DATABASE!J131</f>
        <v>8.6999999999999993</v>
      </c>
      <c r="J32" s="66">
        <f>DATABASE!K131</f>
        <v>0</v>
      </c>
      <c r="K32" s="66">
        <f>DATABASE!L131</f>
        <v>0</v>
      </c>
      <c r="L32" s="66">
        <f>DATABASE!M131</f>
        <v>0</v>
      </c>
      <c r="M32" s="66">
        <f>DATABASE!N131</f>
        <v>0</v>
      </c>
      <c r="N32" s="66">
        <f>DATABASE!O131</f>
        <v>56.3</v>
      </c>
      <c r="O32" s="66">
        <f>DATABASE!P131</f>
        <v>0</v>
      </c>
      <c r="P32" s="66" t="str">
        <f>DATABASE!Q131</f>
        <v>AVAILABLE</v>
      </c>
      <c r="Q32" s="66">
        <f>DATABASE!R131</f>
        <v>435000</v>
      </c>
      <c r="R32" s="66">
        <f>DATABASE!S131</f>
        <v>470000</v>
      </c>
      <c r="S32" s="66">
        <f>DATABASE!T131</f>
        <v>470000</v>
      </c>
      <c r="T32" s="66">
        <f>DATABASE!U131</f>
        <v>0</v>
      </c>
      <c r="U32" s="66">
        <f>DATABASE!V131</f>
        <v>35000</v>
      </c>
      <c r="V32" s="66">
        <f>DATABASE!W131</f>
        <v>435000</v>
      </c>
      <c r="W32" s="66">
        <f>DATABASE!X131</f>
        <v>0</v>
      </c>
      <c r="X32" s="66">
        <f>DATABASE!Y131</f>
        <v>0</v>
      </c>
      <c r="Y32" s="66">
        <f>DATABASE!Z131</f>
        <v>-35000</v>
      </c>
      <c r="Z32" s="66" t="e">
        <f>DATABASE!#REF!</f>
        <v>#REF!</v>
      </c>
      <c r="AA32" s="66">
        <f>DATABASE!AA131</f>
        <v>0</v>
      </c>
      <c r="AB32" s="67">
        <f>DATABASE!AB131</f>
        <v>47118</v>
      </c>
    </row>
    <row r="33" spans="1:28">
      <c r="A33" s="65" t="str">
        <f>DATABASE!A132</f>
        <v>Aroeira - HOTEL APARTMENTS</v>
      </c>
      <c r="B33" s="66" t="str">
        <f>DATABASE!B132</f>
        <v>Center</v>
      </c>
      <c r="C33" s="66" t="str">
        <f>DATABASE!C132</f>
        <v>317A</v>
      </c>
      <c r="D33" s="66" t="str">
        <f>DATABASE!E132</f>
        <v>1-BR</v>
      </c>
      <c r="E33" s="66">
        <f>DATABASE!F132</f>
        <v>65</v>
      </c>
      <c r="F33" s="66">
        <f>DATABASE!G132</f>
        <v>0</v>
      </c>
      <c r="G33" s="66" t="str">
        <f>DATABASE!H132</f>
        <v>1</v>
      </c>
      <c r="H33" s="66" t="str">
        <f>DATABASE!I132</f>
        <v/>
      </c>
      <c r="I33" s="66">
        <f>DATABASE!J132</f>
        <v>8.6999999999999993</v>
      </c>
      <c r="J33" s="66">
        <f>DATABASE!K132</f>
        <v>0</v>
      </c>
      <c r="K33" s="66">
        <f>DATABASE!L132</f>
        <v>0</v>
      </c>
      <c r="L33" s="66">
        <f>DATABASE!M132</f>
        <v>0</v>
      </c>
      <c r="M33" s="66">
        <f>DATABASE!N132</f>
        <v>0</v>
      </c>
      <c r="N33" s="66">
        <f>DATABASE!O132</f>
        <v>56.3</v>
      </c>
      <c r="O33" s="66">
        <f>DATABASE!P132</f>
        <v>0</v>
      </c>
      <c r="P33" s="66" t="str">
        <f>DATABASE!Q132</f>
        <v>AVAILABLE</v>
      </c>
      <c r="Q33" s="66">
        <f>DATABASE!R132</f>
        <v>435000</v>
      </c>
      <c r="R33" s="66">
        <f>DATABASE!S132</f>
        <v>470000</v>
      </c>
      <c r="S33" s="66">
        <f>DATABASE!T132</f>
        <v>470000</v>
      </c>
      <c r="T33" s="66">
        <f>DATABASE!U132</f>
        <v>0</v>
      </c>
      <c r="U33" s="66">
        <f>DATABASE!V132</f>
        <v>35000</v>
      </c>
      <c r="V33" s="66">
        <f>DATABASE!W132</f>
        <v>435000</v>
      </c>
      <c r="W33" s="66">
        <f>DATABASE!X132</f>
        <v>0</v>
      </c>
      <c r="X33" s="66">
        <f>DATABASE!Y132</f>
        <v>0</v>
      </c>
      <c r="Y33" s="66">
        <f>DATABASE!Z132</f>
        <v>-35000</v>
      </c>
      <c r="Z33" s="66" t="e">
        <f>DATABASE!#REF!</f>
        <v>#REF!</v>
      </c>
      <c r="AA33" s="66">
        <f>DATABASE!AA132</f>
        <v>0</v>
      </c>
      <c r="AB33" s="67">
        <f>DATABASE!AB132</f>
        <v>47118</v>
      </c>
    </row>
    <row r="34" spans="1:28">
      <c r="A34" s="65" t="str">
        <f>DATABASE!A133</f>
        <v>Aroeira - HOTEL APARTMENTS</v>
      </c>
      <c r="B34" s="66" t="str">
        <f>DATABASE!B133</f>
        <v>Center</v>
      </c>
      <c r="C34" s="66" t="str">
        <f>DATABASE!C133</f>
        <v>318A</v>
      </c>
      <c r="D34" s="66" t="str">
        <f>DATABASE!E133</f>
        <v>1-BR</v>
      </c>
      <c r="E34" s="66">
        <f>DATABASE!F133</f>
        <v>65</v>
      </c>
      <c r="F34" s="66">
        <f>DATABASE!G133</f>
        <v>0</v>
      </c>
      <c r="G34" s="66" t="str">
        <f>DATABASE!H133</f>
        <v>1</v>
      </c>
      <c r="H34" s="66" t="str">
        <f>DATABASE!I133</f>
        <v/>
      </c>
      <c r="I34" s="66">
        <f>DATABASE!J133</f>
        <v>8.6999999999999993</v>
      </c>
      <c r="J34" s="66">
        <f>DATABASE!K133</f>
        <v>0</v>
      </c>
      <c r="K34" s="66">
        <f>DATABASE!L133</f>
        <v>0</v>
      </c>
      <c r="L34" s="66">
        <f>DATABASE!M133</f>
        <v>0</v>
      </c>
      <c r="M34" s="66">
        <f>DATABASE!N133</f>
        <v>0</v>
      </c>
      <c r="N34" s="66">
        <f>DATABASE!O133</f>
        <v>56.3</v>
      </c>
      <c r="O34" s="66">
        <f>DATABASE!P133</f>
        <v>0</v>
      </c>
      <c r="P34" s="66" t="str">
        <f>DATABASE!Q133</f>
        <v>AVAILABLE</v>
      </c>
      <c r="Q34" s="66">
        <f>DATABASE!R133</f>
        <v>435000</v>
      </c>
      <c r="R34" s="66">
        <f>DATABASE!S133</f>
        <v>470000</v>
      </c>
      <c r="S34" s="66">
        <f>DATABASE!T133</f>
        <v>470000</v>
      </c>
      <c r="T34" s="66">
        <f>DATABASE!U133</f>
        <v>0</v>
      </c>
      <c r="U34" s="66">
        <f>DATABASE!V133</f>
        <v>35000</v>
      </c>
      <c r="V34" s="66">
        <f>DATABASE!W133</f>
        <v>435000</v>
      </c>
      <c r="W34" s="66">
        <f>DATABASE!X133</f>
        <v>0</v>
      </c>
      <c r="X34" s="66">
        <f>DATABASE!Y133</f>
        <v>0</v>
      </c>
      <c r="Y34" s="66">
        <f>DATABASE!Z133</f>
        <v>-35000</v>
      </c>
      <c r="Z34" s="66" t="e">
        <f>DATABASE!#REF!</f>
        <v>#REF!</v>
      </c>
      <c r="AA34" s="66">
        <f>DATABASE!AA133</f>
        <v>0</v>
      </c>
      <c r="AB34" s="67">
        <f>DATABASE!AB133</f>
        <v>47118</v>
      </c>
    </row>
    <row r="35" spans="1:28">
      <c r="A35" s="65" t="str">
        <f>DATABASE!A134</f>
        <v>Aroeira - HOTEL APARTMENTS</v>
      </c>
      <c r="B35" s="66" t="str">
        <f>DATABASE!B134</f>
        <v>Center</v>
      </c>
      <c r="C35" s="66" t="str">
        <f>DATABASE!C134</f>
        <v>319A</v>
      </c>
      <c r="D35" s="66" t="str">
        <f>DATABASE!E134</f>
        <v>1-BR</v>
      </c>
      <c r="E35" s="66">
        <f>DATABASE!F134</f>
        <v>65</v>
      </c>
      <c r="F35" s="66">
        <f>DATABASE!G134</f>
        <v>0</v>
      </c>
      <c r="G35" s="66" t="str">
        <f>DATABASE!H134</f>
        <v>1</v>
      </c>
      <c r="H35" s="66" t="str">
        <f>DATABASE!I134</f>
        <v/>
      </c>
      <c r="I35" s="66">
        <f>DATABASE!J134</f>
        <v>8.6999999999999993</v>
      </c>
      <c r="J35" s="66">
        <f>DATABASE!K134</f>
        <v>0</v>
      </c>
      <c r="K35" s="66">
        <f>DATABASE!L134</f>
        <v>0</v>
      </c>
      <c r="L35" s="66">
        <f>DATABASE!M134</f>
        <v>0</v>
      </c>
      <c r="M35" s="66">
        <f>DATABASE!N134</f>
        <v>0</v>
      </c>
      <c r="N35" s="66">
        <f>DATABASE!O134</f>
        <v>56.3</v>
      </c>
      <c r="O35" s="66">
        <f>DATABASE!P134</f>
        <v>0</v>
      </c>
      <c r="P35" s="66" t="str">
        <f>DATABASE!Q134</f>
        <v>AVAILABLE</v>
      </c>
      <c r="Q35" s="66">
        <f>DATABASE!R134</f>
        <v>435000</v>
      </c>
      <c r="R35" s="66">
        <f>DATABASE!S134</f>
        <v>470000</v>
      </c>
      <c r="S35" s="66">
        <f>DATABASE!T134</f>
        <v>470000</v>
      </c>
      <c r="T35" s="66">
        <f>DATABASE!U134</f>
        <v>0</v>
      </c>
      <c r="U35" s="66">
        <f>DATABASE!V134</f>
        <v>35000</v>
      </c>
      <c r="V35" s="66">
        <f>DATABASE!W134</f>
        <v>435000</v>
      </c>
      <c r="W35" s="66">
        <f>DATABASE!X134</f>
        <v>0</v>
      </c>
      <c r="X35" s="66">
        <f>DATABASE!Y134</f>
        <v>0</v>
      </c>
      <c r="Y35" s="66">
        <f>DATABASE!Z134</f>
        <v>-35000</v>
      </c>
      <c r="Z35" s="66" t="e">
        <f>DATABASE!#REF!</f>
        <v>#REF!</v>
      </c>
      <c r="AA35" s="66">
        <f>DATABASE!AA134</f>
        <v>0</v>
      </c>
      <c r="AB35" s="67">
        <f>DATABASE!AB134</f>
        <v>47118</v>
      </c>
    </row>
    <row r="36" spans="1:28">
      <c r="A36" s="65" t="str">
        <f>DATABASE!A135</f>
        <v>Aroeira - HOTEL APARTMENTS</v>
      </c>
      <c r="B36" s="66" t="str">
        <f>DATABASE!B135</f>
        <v>Center</v>
      </c>
      <c r="C36" s="66" t="str">
        <f>DATABASE!C135</f>
        <v>320A</v>
      </c>
      <c r="D36" s="66" t="str">
        <f>DATABASE!E135</f>
        <v>1-BR</v>
      </c>
      <c r="E36" s="66">
        <f>DATABASE!F135</f>
        <v>65</v>
      </c>
      <c r="F36" s="66">
        <f>DATABASE!G135</f>
        <v>0</v>
      </c>
      <c r="G36" s="66" t="str">
        <f>DATABASE!H135</f>
        <v>1</v>
      </c>
      <c r="H36" s="66" t="str">
        <f>DATABASE!I135</f>
        <v/>
      </c>
      <c r="I36" s="66">
        <f>DATABASE!J135</f>
        <v>8.6999999999999993</v>
      </c>
      <c r="J36" s="66">
        <f>DATABASE!K135</f>
        <v>0</v>
      </c>
      <c r="K36" s="66">
        <f>DATABASE!L135</f>
        <v>0</v>
      </c>
      <c r="L36" s="66">
        <f>DATABASE!M135</f>
        <v>0</v>
      </c>
      <c r="M36" s="66">
        <f>DATABASE!N135</f>
        <v>0</v>
      </c>
      <c r="N36" s="66">
        <f>DATABASE!O135</f>
        <v>56.3</v>
      </c>
      <c r="O36" s="66">
        <f>DATABASE!P135</f>
        <v>0</v>
      </c>
      <c r="P36" s="66" t="str">
        <f>DATABASE!Q135</f>
        <v>AVAILABLE</v>
      </c>
      <c r="Q36" s="66">
        <f>DATABASE!R135</f>
        <v>435000</v>
      </c>
      <c r="R36" s="66">
        <f>DATABASE!S135</f>
        <v>470000</v>
      </c>
      <c r="S36" s="66">
        <f>DATABASE!T135</f>
        <v>470000</v>
      </c>
      <c r="T36" s="66">
        <f>DATABASE!U135</f>
        <v>0</v>
      </c>
      <c r="U36" s="66">
        <f>DATABASE!V135</f>
        <v>35000</v>
      </c>
      <c r="V36" s="66">
        <f>DATABASE!W135</f>
        <v>435000</v>
      </c>
      <c r="W36" s="66">
        <f>DATABASE!X135</f>
        <v>0</v>
      </c>
      <c r="X36" s="66">
        <f>DATABASE!Y135</f>
        <v>0</v>
      </c>
      <c r="Y36" s="66">
        <f>DATABASE!Z135</f>
        <v>-35000</v>
      </c>
      <c r="Z36" s="66" t="e">
        <f>DATABASE!#REF!</f>
        <v>#REF!</v>
      </c>
      <c r="AA36" s="66">
        <f>DATABASE!AA135</f>
        <v>0</v>
      </c>
      <c r="AB36" s="67">
        <f>DATABASE!AB135</f>
        <v>47118</v>
      </c>
    </row>
    <row r="37" spans="1:28">
      <c r="A37" s="65" t="str">
        <f>DATABASE!A136</f>
        <v>Aroeira - HOTEL APARTMENTS</v>
      </c>
      <c r="B37" s="66" t="str">
        <f>DATABASE!B136</f>
        <v>Center</v>
      </c>
      <c r="C37" s="66" t="str">
        <f>DATABASE!C136</f>
        <v>321A</v>
      </c>
      <c r="D37" s="66" t="str">
        <f>DATABASE!E136</f>
        <v>1-BR</v>
      </c>
      <c r="E37" s="66">
        <f>DATABASE!F136</f>
        <v>65</v>
      </c>
      <c r="F37" s="66">
        <f>DATABASE!G136</f>
        <v>0</v>
      </c>
      <c r="G37" s="66" t="str">
        <f>DATABASE!H136</f>
        <v>1</v>
      </c>
      <c r="H37" s="66" t="str">
        <f>DATABASE!I136</f>
        <v/>
      </c>
      <c r="I37" s="66">
        <f>DATABASE!J136</f>
        <v>8.6999999999999993</v>
      </c>
      <c r="J37" s="66">
        <f>DATABASE!K136</f>
        <v>0</v>
      </c>
      <c r="K37" s="66">
        <f>DATABASE!L136</f>
        <v>0</v>
      </c>
      <c r="L37" s="66">
        <f>DATABASE!M136</f>
        <v>0</v>
      </c>
      <c r="M37" s="66">
        <f>DATABASE!N136</f>
        <v>0</v>
      </c>
      <c r="N37" s="66">
        <f>DATABASE!O136</f>
        <v>56.3</v>
      </c>
      <c r="O37" s="66">
        <f>DATABASE!P136</f>
        <v>0</v>
      </c>
      <c r="P37" s="66" t="str">
        <f>DATABASE!Q136</f>
        <v>AVAILABLE</v>
      </c>
      <c r="Q37" s="66">
        <f>DATABASE!R136</f>
        <v>435000</v>
      </c>
      <c r="R37" s="66">
        <f>DATABASE!S136</f>
        <v>470000</v>
      </c>
      <c r="S37" s="66">
        <f>DATABASE!T136</f>
        <v>470000</v>
      </c>
      <c r="T37" s="66">
        <f>DATABASE!U136</f>
        <v>0</v>
      </c>
      <c r="U37" s="66">
        <f>DATABASE!V136</f>
        <v>35000</v>
      </c>
      <c r="V37" s="66">
        <f>DATABASE!W136</f>
        <v>435000</v>
      </c>
      <c r="W37" s="66">
        <f>DATABASE!X136</f>
        <v>0</v>
      </c>
      <c r="X37" s="66">
        <f>DATABASE!Y136</f>
        <v>0</v>
      </c>
      <c r="Y37" s="66">
        <f>DATABASE!Z136</f>
        <v>-35000</v>
      </c>
      <c r="Z37" s="66" t="e">
        <f>DATABASE!#REF!</f>
        <v>#REF!</v>
      </c>
      <c r="AA37" s="66">
        <f>DATABASE!AA136</f>
        <v>0</v>
      </c>
      <c r="AB37" s="67">
        <f>DATABASE!AB136</f>
        <v>47118</v>
      </c>
    </row>
    <row r="38" spans="1:28">
      <c r="A38" s="65" t="str">
        <f>DATABASE!A137</f>
        <v>Aroeira - HOTEL APARTMENTS</v>
      </c>
      <c r="B38" s="66" t="str">
        <f>DATABASE!B137</f>
        <v>Center</v>
      </c>
      <c r="C38" s="66" t="str">
        <f>DATABASE!C137</f>
        <v>322A</v>
      </c>
      <c r="D38" s="66" t="str">
        <f>DATABASE!E137</f>
        <v>1-BR</v>
      </c>
      <c r="E38" s="66">
        <f>DATABASE!F137</f>
        <v>65</v>
      </c>
      <c r="F38" s="66">
        <f>DATABASE!G137</f>
        <v>0</v>
      </c>
      <c r="G38" s="66" t="str">
        <f>DATABASE!H137</f>
        <v>1</v>
      </c>
      <c r="H38" s="66" t="str">
        <f>DATABASE!I137</f>
        <v/>
      </c>
      <c r="I38" s="66">
        <f>DATABASE!J137</f>
        <v>8.6999999999999993</v>
      </c>
      <c r="J38" s="66">
        <f>DATABASE!K137</f>
        <v>0</v>
      </c>
      <c r="K38" s="66">
        <f>DATABASE!L137</f>
        <v>0</v>
      </c>
      <c r="L38" s="66">
        <f>DATABASE!M137</f>
        <v>0</v>
      </c>
      <c r="M38" s="66">
        <f>DATABASE!N137</f>
        <v>0</v>
      </c>
      <c r="N38" s="66">
        <f>DATABASE!O137</f>
        <v>56.3</v>
      </c>
      <c r="O38" s="66">
        <f>DATABASE!P137</f>
        <v>0</v>
      </c>
      <c r="P38" s="66" t="str">
        <f>DATABASE!Q137</f>
        <v>AVAILABLE</v>
      </c>
      <c r="Q38" s="66">
        <f>DATABASE!R137</f>
        <v>435000</v>
      </c>
      <c r="R38" s="66">
        <f>DATABASE!S137</f>
        <v>470000</v>
      </c>
      <c r="S38" s="66">
        <f>DATABASE!T137</f>
        <v>470000</v>
      </c>
      <c r="T38" s="66">
        <f>DATABASE!U137</f>
        <v>0</v>
      </c>
      <c r="U38" s="66">
        <f>DATABASE!V137</f>
        <v>35000</v>
      </c>
      <c r="V38" s="66">
        <f>DATABASE!W137</f>
        <v>435000</v>
      </c>
      <c r="W38" s="66">
        <f>DATABASE!X137</f>
        <v>0</v>
      </c>
      <c r="X38" s="66">
        <f>DATABASE!Y137</f>
        <v>0</v>
      </c>
      <c r="Y38" s="66">
        <f>DATABASE!Z137</f>
        <v>-35000</v>
      </c>
      <c r="Z38" s="66" t="e">
        <f>DATABASE!#REF!</f>
        <v>#REF!</v>
      </c>
      <c r="AA38" s="66">
        <f>DATABASE!AA137</f>
        <v>0</v>
      </c>
      <c r="AB38" s="67">
        <f>DATABASE!AB137</f>
        <v>47118</v>
      </c>
    </row>
    <row r="39" spans="1:28">
      <c r="A39" s="65" t="str">
        <f>DATABASE!A138</f>
        <v>THE UNCOMMON</v>
      </c>
      <c r="B39" s="66" t="str">
        <f>DATABASE!B138</f>
        <v>Vilamoura</v>
      </c>
      <c r="C39" s="66" t="str">
        <f>DATABASE!C138</f>
        <v>116</v>
      </c>
      <c r="D39" s="66" t="str">
        <f>DATABASE!E138</f>
        <v>T3</v>
      </c>
      <c r="E39" s="66">
        <f>DATABASE!F138</f>
        <v>195.8</v>
      </c>
      <c r="F39" s="66">
        <f>DATABASE!G138</f>
        <v>0</v>
      </c>
      <c r="G39" s="66" t="str">
        <f>DATABASE!H138</f>
        <v>1</v>
      </c>
      <c r="H39" s="66" t="str">
        <f>DATABASE!I138</f>
        <v/>
      </c>
      <c r="I39" s="66">
        <f>DATABASE!J138</f>
        <v>43.9</v>
      </c>
      <c r="J39" s="66">
        <f>DATABASE!K138</f>
        <v>0</v>
      </c>
      <c r="K39" s="66">
        <f>DATABASE!L138</f>
        <v>0</v>
      </c>
      <c r="L39" s="66">
        <f>DATABASE!M138</f>
        <v>0</v>
      </c>
      <c r="M39" s="66">
        <f>DATABASE!N138</f>
        <v>0</v>
      </c>
      <c r="N39" s="66">
        <f>DATABASE!O138</f>
        <v>151.9</v>
      </c>
      <c r="O39" s="66">
        <f>DATABASE!P138</f>
        <v>0</v>
      </c>
      <c r="P39" s="66" t="str">
        <f>DATABASE!Q138</f>
        <v>AVAILABLE</v>
      </c>
      <c r="Q39" s="66">
        <f>DATABASE!R138</f>
        <v>2100000</v>
      </c>
      <c r="R39" s="66">
        <f>DATABASE!S138</f>
        <v>2180000</v>
      </c>
      <c r="S39" s="66">
        <f>DATABASE!T138</f>
        <v>2260000</v>
      </c>
      <c r="T39" s="66">
        <f>DATABASE!U138</f>
        <v>50000</v>
      </c>
      <c r="U39" s="66">
        <f>DATABASE!V138</f>
        <v>30000</v>
      </c>
      <c r="V39" s="66">
        <f>DATABASE!W138</f>
        <v>2180000</v>
      </c>
      <c r="W39" s="66">
        <f>DATABASE!X138</f>
        <v>0</v>
      </c>
      <c r="X39" s="66">
        <f>DATABASE!Y138</f>
        <v>2260000</v>
      </c>
      <c r="Y39" s="66">
        <f>DATABASE!Z138</f>
        <v>2180000</v>
      </c>
      <c r="Z39" s="66" t="e">
        <f>DATABASE!#REF!</f>
        <v>#REF!</v>
      </c>
      <c r="AA39" s="66">
        <f>DATABASE!AA138</f>
        <v>0</v>
      </c>
      <c r="AB39" s="67">
        <f>DATABASE!AB138</f>
        <v>0</v>
      </c>
    </row>
    <row r="40" spans="1:28">
      <c r="A40" s="65" t="str">
        <f>DATABASE!A139</f>
        <v>ELS</v>
      </c>
      <c r="B40" s="66" t="str">
        <f>DATABASE!B139</f>
        <v>Vilamoura</v>
      </c>
      <c r="C40" s="66" t="str">
        <f>DATABASE!C139</f>
        <v>12</v>
      </c>
      <c r="D40" s="66" t="str">
        <f>DATABASE!E139</f>
        <v>Plot</v>
      </c>
      <c r="E40" s="66">
        <f>DATABASE!F139</f>
        <v>280</v>
      </c>
      <c r="F40" s="66">
        <f>DATABASE!G139</f>
        <v>0</v>
      </c>
      <c r="G40" s="66" t="str">
        <f>DATABASE!H139</f>
        <v/>
      </c>
      <c r="H40" s="66" t="str">
        <f>DATABASE!I139</f>
        <v/>
      </c>
      <c r="I40" s="66">
        <f>DATABASE!J139</f>
        <v>0</v>
      </c>
      <c r="J40" s="66">
        <f>DATABASE!K139</f>
        <v>0</v>
      </c>
      <c r="K40" s="66">
        <f>DATABASE!L139</f>
        <v>0</v>
      </c>
      <c r="L40" s="66">
        <f>DATABASE!M139</f>
        <v>0</v>
      </c>
      <c r="M40" s="66">
        <f>DATABASE!N139</f>
        <v>0</v>
      </c>
      <c r="N40" s="66">
        <f>DATABASE!O139</f>
        <v>280</v>
      </c>
      <c r="O40" s="66">
        <f>DATABASE!P139</f>
        <v>0</v>
      </c>
      <c r="P40" s="66" t="str">
        <f>DATABASE!Q139</f>
        <v>AVAILABLE</v>
      </c>
      <c r="Q40" s="66">
        <f>DATABASE!R139</f>
        <v>3660000</v>
      </c>
      <c r="R40" s="66">
        <f>DATABASE!S139</f>
        <v>3660000</v>
      </c>
      <c r="S40" s="66">
        <f>DATABASE!T139</f>
        <v>1220000</v>
      </c>
      <c r="T40" s="66">
        <f>DATABASE!U139</f>
        <v>0</v>
      </c>
      <c r="U40" s="66">
        <f>DATABASE!V139</f>
        <v>0</v>
      </c>
      <c r="V40" s="66">
        <f>DATABASE!W139</f>
        <v>1220000</v>
      </c>
      <c r="W40" s="66">
        <f>DATABASE!X139</f>
        <v>0</v>
      </c>
      <c r="X40" s="66">
        <f>DATABASE!Y139</f>
        <v>1220000</v>
      </c>
      <c r="Y40" s="66">
        <f>DATABASE!Z139</f>
        <v>1220000</v>
      </c>
      <c r="Z40" s="66" t="e">
        <f>DATABASE!#REF!</f>
        <v>#REF!</v>
      </c>
      <c r="AA40" s="66">
        <f>DATABASE!AA139</f>
        <v>0</v>
      </c>
      <c r="AB40" s="67">
        <f>DATABASE!AB139</f>
        <v>0</v>
      </c>
    </row>
    <row r="41" spans="1:28">
      <c r="A41" s="65" t="str">
        <f>DATABASE!A140</f>
        <v>MOURAGOLFE</v>
      </c>
      <c r="B41" s="66" t="str">
        <f>DATABASE!B140</f>
        <v>Vilamoura</v>
      </c>
      <c r="C41" s="66" t="str">
        <f>DATABASE!C140</f>
        <v>12</v>
      </c>
      <c r="D41" s="66" t="str">
        <f>DATABASE!E140</f>
        <v>Plot</v>
      </c>
      <c r="E41" s="66">
        <f>DATABASE!F140</f>
        <v>245</v>
      </c>
      <c r="F41" s="66">
        <f>DATABASE!G140</f>
        <v>0</v>
      </c>
      <c r="G41" s="66" t="str">
        <f>DATABASE!H140</f>
        <v/>
      </c>
      <c r="H41" s="66" t="str">
        <f>DATABASE!I140</f>
        <v/>
      </c>
      <c r="I41" s="66">
        <f>DATABASE!J140</f>
        <v>0</v>
      </c>
      <c r="J41" s="66">
        <f>DATABASE!K140</f>
        <v>0</v>
      </c>
      <c r="K41" s="66">
        <f>DATABASE!L140</f>
        <v>0</v>
      </c>
      <c r="L41" s="66">
        <f>DATABASE!M140</f>
        <v>0</v>
      </c>
      <c r="M41" s="66">
        <f>DATABASE!N140</f>
        <v>0</v>
      </c>
      <c r="N41" s="66">
        <f>DATABASE!O140</f>
        <v>245</v>
      </c>
      <c r="O41" s="66">
        <f>DATABASE!P140</f>
        <v>0</v>
      </c>
      <c r="P41" s="66" t="str">
        <f>DATABASE!Q140</f>
        <v xml:space="preserve">DEED </v>
      </c>
      <c r="Q41" s="66">
        <f>DATABASE!R140</f>
        <v>540000</v>
      </c>
      <c r="R41" s="66">
        <f>DATABASE!S140</f>
        <v>540000</v>
      </c>
      <c r="S41" s="66">
        <f>DATABASE!T140</f>
        <v>594000</v>
      </c>
      <c r="T41" s="66">
        <f>DATABASE!U140</f>
        <v>0</v>
      </c>
      <c r="U41" s="66">
        <f>DATABASE!V140</f>
        <v>0</v>
      </c>
      <c r="V41" s="66">
        <f>DATABASE!W140</f>
        <v>594000</v>
      </c>
      <c r="W41" s="66">
        <f>DATABASE!X140</f>
        <v>0</v>
      </c>
      <c r="X41" s="66">
        <f>DATABASE!Y140</f>
        <v>594000</v>
      </c>
      <c r="Y41" s="66">
        <f>DATABASE!Z140</f>
        <v>594000</v>
      </c>
      <c r="Z41" s="66" t="e">
        <f>DATABASE!#REF!</f>
        <v>#REF!</v>
      </c>
      <c r="AA41" s="66">
        <f>DATABASE!AA140</f>
        <v>45436</v>
      </c>
      <c r="AB41" s="67">
        <f>DATABASE!AB140</f>
        <v>0</v>
      </c>
    </row>
    <row r="42" spans="1:28">
      <c r="A42" s="65" t="str">
        <f>DATABASE!A141</f>
        <v>Palmares - Plots</v>
      </c>
      <c r="B42" s="66" t="str">
        <f>DATABASE!B141</f>
        <v>Algarve</v>
      </c>
      <c r="C42" s="66" t="str">
        <f>DATABASE!C141</f>
        <v>91</v>
      </c>
      <c r="D42" s="66" t="str">
        <f>DATABASE!E141</f>
        <v>Plot</v>
      </c>
      <c r="E42" s="66">
        <f>DATABASE!F141</f>
        <v>4639</v>
      </c>
      <c r="F42" s="66">
        <f>DATABASE!G141</f>
        <v>0</v>
      </c>
      <c r="G42" s="66" t="str">
        <f>DATABASE!H141</f>
        <v/>
      </c>
      <c r="H42" s="66" t="str">
        <f>DATABASE!I141</f>
        <v/>
      </c>
      <c r="I42" s="66">
        <f>DATABASE!J141</f>
        <v>0</v>
      </c>
      <c r="J42" s="66">
        <f>DATABASE!K141</f>
        <v>0</v>
      </c>
      <c r="K42" s="66">
        <f>DATABASE!L141</f>
        <v>0</v>
      </c>
      <c r="L42" s="66">
        <f>DATABASE!M141</f>
        <v>0</v>
      </c>
      <c r="M42" s="66">
        <f>DATABASE!N141</f>
        <v>0</v>
      </c>
      <c r="N42" s="66">
        <f>DATABASE!O141</f>
        <v>340</v>
      </c>
      <c r="O42" s="66">
        <f>DATABASE!P141</f>
        <v>0</v>
      </c>
      <c r="P42" s="66" t="str">
        <f>DATABASE!Q141</f>
        <v>AVAILABLE</v>
      </c>
      <c r="Q42" s="66">
        <f>DATABASE!R141</f>
        <v>470000</v>
      </c>
      <c r="R42" s="66">
        <f>DATABASE!S141</f>
        <v>470000</v>
      </c>
      <c r="S42" s="66">
        <f>DATABASE!T141</f>
        <v>1000000</v>
      </c>
      <c r="T42" s="66">
        <f>DATABASE!U141</f>
        <v>0</v>
      </c>
      <c r="U42" s="66">
        <f>DATABASE!V141</f>
        <v>0</v>
      </c>
      <c r="V42" s="66">
        <f>DATABASE!W141</f>
        <v>1000000</v>
      </c>
      <c r="W42" s="66">
        <f>DATABASE!X141</f>
        <v>0</v>
      </c>
      <c r="X42" s="66">
        <f>DATABASE!Y141</f>
        <v>1000000</v>
      </c>
      <c r="Y42" s="66">
        <f>DATABASE!Z141</f>
        <v>1000000</v>
      </c>
      <c r="Z42" s="66" t="e">
        <f>DATABASE!#REF!</f>
        <v>#REF!</v>
      </c>
      <c r="AA42" s="66">
        <f>DATABASE!AA141</f>
        <v>0</v>
      </c>
      <c r="AB42" s="67">
        <f>DATABASE!AB141</f>
        <v>46843</v>
      </c>
    </row>
    <row r="43" spans="1:28">
      <c r="A43" s="65" t="str">
        <f>DATABASE!A142</f>
        <v>Palmares - Plots</v>
      </c>
      <c r="B43" s="66" t="str">
        <f>DATABASE!B142</f>
        <v>Algarve</v>
      </c>
      <c r="C43" s="66" t="str">
        <f>DATABASE!C142</f>
        <v>92</v>
      </c>
      <c r="D43" s="66" t="str">
        <f>DATABASE!E142</f>
        <v>Plot</v>
      </c>
      <c r="E43" s="66">
        <f>DATABASE!F142</f>
        <v>340</v>
      </c>
      <c r="F43" s="66">
        <f>DATABASE!G142</f>
        <v>0</v>
      </c>
      <c r="G43" s="66" t="str">
        <f>DATABASE!H142</f>
        <v/>
      </c>
      <c r="H43" s="66" t="str">
        <f>DATABASE!I142</f>
        <v/>
      </c>
      <c r="I43" s="66">
        <f>DATABASE!J142</f>
        <v>0</v>
      </c>
      <c r="J43" s="66">
        <f>DATABASE!K142</f>
        <v>0</v>
      </c>
      <c r="K43" s="66">
        <f>DATABASE!L142</f>
        <v>0</v>
      </c>
      <c r="L43" s="66">
        <f>DATABASE!M142</f>
        <v>0</v>
      </c>
      <c r="M43" s="66">
        <f>DATABASE!N142</f>
        <v>0</v>
      </c>
      <c r="N43" s="66">
        <f>DATABASE!O142</f>
        <v>340</v>
      </c>
      <c r="O43" s="66">
        <f>DATABASE!P142</f>
        <v>0</v>
      </c>
      <c r="P43" s="66" t="str">
        <f>DATABASE!Q142</f>
        <v>AVAILABLE</v>
      </c>
      <c r="Q43" s="66">
        <f>DATABASE!R142</f>
        <v>470000</v>
      </c>
      <c r="R43" s="66">
        <f>DATABASE!S142</f>
        <v>470000</v>
      </c>
      <c r="S43" s="66">
        <f>DATABASE!T142</f>
        <v>900000</v>
      </c>
      <c r="T43" s="66">
        <f>DATABASE!U142</f>
        <v>0</v>
      </c>
      <c r="U43" s="66">
        <f>DATABASE!V142</f>
        <v>0</v>
      </c>
      <c r="V43" s="66">
        <f>DATABASE!W142</f>
        <v>900000</v>
      </c>
      <c r="W43" s="66">
        <f>DATABASE!X142</f>
        <v>0</v>
      </c>
      <c r="X43" s="66">
        <f>DATABASE!Y142</f>
        <v>900000</v>
      </c>
      <c r="Y43" s="66">
        <f>DATABASE!Z142</f>
        <v>900000</v>
      </c>
      <c r="Z43" s="66" t="e">
        <f>DATABASE!#REF!</f>
        <v>#REF!</v>
      </c>
      <c r="AA43" s="66">
        <f>DATABASE!AA142</f>
        <v>0</v>
      </c>
      <c r="AB43" s="67">
        <f>DATABASE!AB142</f>
        <v>46843</v>
      </c>
    </row>
    <row r="44" spans="1:28">
      <c r="A44" s="65" t="str">
        <f>DATABASE!A143</f>
        <v>Palmares - Plots</v>
      </c>
      <c r="B44" s="66" t="str">
        <f>DATABASE!B143</f>
        <v>Algarve</v>
      </c>
      <c r="C44" s="66" t="str">
        <f>DATABASE!C143</f>
        <v>93</v>
      </c>
      <c r="D44" s="66" t="str">
        <f>DATABASE!E143</f>
        <v>Plot</v>
      </c>
      <c r="E44" s="66">
        <f>DATABASE!F143</f>
        <v>420</v>
      </c>
      <c r="F44" s="66">
        <f>DATABASE!G143</f>
        <v>0</v>
      </c>
      <c r="G44" s="66" t="str">
        <f>DATABASE!H143</f>
        <v/>
      </c>
      <c r="H44" s="66" t="str">
        <f>DATABASE!I143</f>
        <v/>
      </c>
      <c r="I44" s="66">
        <f>DATABASE!J143</f>
        <v>0</v>
      </c>
      <c r="J44" s="66">
        <f>DATABASE!K143</f>
        <v>0</v>
      </c>
      <c r="K44" s="66">
        <f>DATABASE!L143</f>
        <v>0</v>
      </c>
      <c r="L44" s="66">
        <f>DATABASE!M143</f>
        <v>0</v>
      </c>
      <c r="M44" s="66">
        <f>DATABASE!N143</f>
        <v>0</v>
      </c>
      <c r="N44" s="66">
        <f>DATABASE!O143</f>
        <v>420</v>
      </c>
      <c r="O44" s="66">
        <f>DATABASE!P143</f>
        <v>0</v>
      </c>
      <c r="P44" s="66" t="str">
        <f>DATABASE!Q143</f>
        <v>AVAILABLE</v>
      </c>
      <c r="Q44" s="66">
        <f>DATABASE!R143</f>
        <v>470000</v>
      </c>
      <c r="R44" s="66">
        <f>DATABASE!S143</f>
        <v>470000</v>
      </c>
      <c r="S44" s="66">
        <f>DATABASE!T143</f>
        <v>1300000</v>
      </c>
      <c r="T44" s="66">
        <f>DATABASE!U143</f>
        <v>0</v>
      </c>
      <c r="U44" s="66">
        <f>DATABASE!V143</f>
        <v>0</v>
      </c>
      <c r="V44" s="66">
        <f>DATABASE!W143</f>
        <v>1300000</v>
      </c>
      <c r="W44" s="66">
        <f>DATABASE!X143</f>
        <v>0</v>
      </c>
      <c r="X44" s="66">
        <f>DATABASE!Y143</f>
        <v>1300000</v>
      </c>
      <c r="Y44" s="66">
        <f>DATABASE!Z143</f>
        <v>1300000</v>
      </c>
      <c r="Z44" s="66" t="e">
        <f>DATABASE!#REF!</f>
        <v>#REF!</v>
      </c>
      <c r="AA44" s="66">
        <f>DATABASE!AA143</f>
        <v>0</v>
      </c>
      <c r="AB44" s="67">
        <f>DATABASE!AB143</f>
        <v>46843</v>
      </c>
    </row>
    <row r="45" spans="1:28">
      <c r="A45" s="65" t="str">
        <f>DATABASE!A144</f>
        <v>Palmares - Signature Residences</v>
      </c>
      <c r="B45" s="66" t="str">
        <f>DATABASE!B144</f>
        <v>Algarve</v>
      </c>
      <c r="C45" s="66" t="str">
        <f>DATABASE!C144</f>
        <v>19D</v>
      </c>
      <c r="D45" s="66" t="str">
        <f>DATABASE!E144</f>
        <v>T2 + 1Duplex</v>
      </c>
      <c r="E45" s="66">
        <f>DATABASE!F144</f>
        <v>363.73</v>
      </c>
      <c r="F45" s="66">
        <f>DATABASE!G144</f>
        <v>0</v>
      </c>
      <c r="G45" s="66" t="str">
        <f>DATABASE!H144</f>
        <v/>
      </c>
      <c r="H45" s="66" t="str">
        <f>DATABASE!I144</f>
        <v>15.31</v>
      </c>
      <c r="I45" s="66">
        <f>DATABASE!J144</f>
        <v>0</v>
      </c>
      <c r="J45" s="66">
        <f>DATABASE!K144</f>
        <v>0</v>
      </c>
      <c r="K45" s="66">
        <f>DATABASE!L144</f>
        <v>0</v>
      </c>
      <c r="L45" s="66">
        <f>DATABASE!M144</f>
        <v>124.56</v>
      </c>
      <c r="M45" s="66">
        <f>DATABASE!N144</f>
        <v>0</v>
      </c>
      <c r="N45" s="66">
        <f>DATABASE!O144</f>
        <v>223.86</v>
      </c>
      <c r="O45" s="66">
        <f>DATABASE!P144</f>
        <v>0</v>
      </c>
      <c r="P45" s="66" t="str">
        <f>DATABASE!Q144</f>
        <v>AVAILABLE</v>
      </c>
      <c r="Q45" s="66">
        <f>DATABASE!R144</f>
        <v>2080000</v>
      </c>
      <c r="R45" s="66">
        <f>DATABASE!S144</f>
        <v>2080000</v>
      </c>
      <c r="S45" s="66">
        <f>DATABASE!T144</f>
        <v>2080000</v>
      </c>
      <c r="T45" s="66">
        <f>DATABASE!U144</f>
        <v>0</v>
      </c>
      <c r="U45" s="66">
        <f>DATABASE!V144</f>
        <v>0</v>
      </c>
      <c r="V45" s="66">
        <f>DATABASE!W144</f>
        <v>2080000</v>
      </c>
      <c r="W45" s="66">
        <f>DATABASE!X144</f>
        <v>0</v>
      </c>
      <c r="X45" s="66">
        <f>DATABASE!Y144</f>
        <v>2080000</v>
      </c>
      <c r="Y45" s="66">
        <f>DATABASE!Z144</f>
        <v>2080000</v>
      </c>
      <c r="Z45" s="66" t="e">
        <f>DATABASE!#REF!</f>
        <v>#REF!</v>
      </c>
      <c r="AA45" s="66">
        <f>DATABASE!AA144</f>
        <v>0</v>
      </c>
      <c r="AB45" s="67">
        <f>DATABASE!AB144</f>
        <v>46843</v>
      </c>
    </row>
    <row r="46" spans="1:28">
      <c r="A46" s="65" t="str">
        <f>DATABASE!A145</f>
        <v>THE UNCOMMON</v>
      </c>
      <c r="B46" s="66" t="str">
        <f>DATABASE!B145</f>
        <v>Vilamoura</v>
      </c>
      <c r="C46" s="66" t="str">
        <f>DATABASE!C145</f>
        <v>12</v>
      </c>
      <c r="D46" s="66" t="str">
        <f>DATABASE!E145</f>
        <v>T1</v>
      </c>
      <c r="E46" s="66">
        <f>DATABASE!F145</f>
        <v>105.5</v>
      </c>
      <c r="F46" s="66">
        <f>DATABASE!G145</f>
        <v>0</v>
      </c>
      <c r="G46" s="66" t="str">
        <f>DATABASE!H145</f>
        <v>1</v>
      </c>
      <c r="H46" s="66" t="str">
        <f>DATABASE!I145</f>
        <v/>
      </c>
      <c r="I46" s="66">
        <f>DATABASE!J145</f>
        <v>42.4</v>
      </c>
      <c r="J46" s="66">
        <f>DATABASE!K145</f>
        <v>0</v>
      </c>
      <c r="K46" s="66">
        <f>DATABASE!L145</f>
        <v>0</v>
      </c>
      <c r="L46" s="66">
        <f>DATABASE!M145</f>
        <v>0</v>
      </c>
      <c r="M46" s="66">
        <f>DATABASE!N145</f>
        <v>0</v>
      </c>
      <c r="N46" s="66">
        <f>DATABASE!O145</f>
        <v>63.1</v>
      </c>
      <c r="O46" s="66">
        <f>DATABASE!P145</f>
        <v>0</v>
      </c>
      <c r="P46" s="66" t="str">
        <f>DATABASE!Q145</f>
        <v>AVAILABLE</v>
      </c>
      <c r="Q46" s="66">
        <f>DATABASE!R145</f>
        <v>625000</v>
      </c>
      <c r="R46" s="66">
        <f>DATABASE!S145</f>
        <v>690000</v>
      </c>
      <c r="S46" s="66">
        <f>DATABASE!T145</f>
        <v>750000</v>
      </c>
      <c r="T46" s="66">
        <f>DATABASE!U145</f>
        <v>50000</v>
      </c>
      <c r="U46" s="66">
        <f>DATABASE!V145</f>
        <v>15000</v>
      </c>
      <c r="V46" s="66">
        <f>DATABASE!W145</f>
        <v>685000</v>
      </c>
      <c r="W46" s="66">
        <f>DATABASE!X145</f>
        <v>0</v>
      </c>
      <c r="X46" s="66">
        <f>DATABASE!Y145</f>
        <v>750000</v>
      </c>
      <c r="Y46" s="66">
        <f>DATABASE!Z145</f>
        <v>685000</v>
      </c>
      <c r="Z46" s="66" t="e">
        <f>DATABASE!#REF!</f>
        <v>#REF!</v>
      </c>
      <c r="AA46" s="66">
        <f>DATABASE!AA145</f>
        <v>0</v>
      </c>
      <c r="AB46" s="67">
        <f>DATABASE!AB145</f>
        <v>0</v>
      </c>
    </row>
    <row r="47" spans="1:28">
      <c r="A47" s="65" t="str">
        <f>DATABASE!A146</f>
        <v>Aroeira - HOTEL APARTMENTS</v>
      </c>
      <c r="B47" s="66" t="str">
        <f>DATABASE!B146</f>
        <v>Center</v>
      </c>
      <c r="C47" s="66" t="str">
        <f>DATABASE!C146</f>
        <v>103A</v>
      </c>
      <c r="D47" s="66" t="str">
        <f>DATABASE!E146</f>
        <v>1-BR</v>
      </c>
      <c r="E47" s="66">
        <f>DATABASE!F146</f>
        <v>65</v>
      </c>
      <c r="F47" s="66">
        <f>DATABASE!G146</f>
        <v>0</v>
      </c>
      <c r="G47" s="66" t="str">
        <f>DATABASE!H146</f>
        <v>1</v>
      </c>
      <c r="H47" s="66" t="str">
        <f>DATABASE!I146</f>
        <v/>
      </c>
      <c r="I47" s="66">
        <f>DATABASE!J146</f>
        <v>8.6999999999999993</v>
      </c>
      <c r="J47" s="66">
        <f>DATABASE!K146</f>
        <v>0</v>
      </c>
      <c r="K47" s="66">
        <f>DATABASE!L146</f>
        <v>0</v>
      </c>
      <c r="L47" s="66">
        <f>DATABASE!M146</f>
        <v>0</v>
      </c>
      <c r="M47" s="66">
        <f>DATABASE!N146</f>
        <v>0</v>
      </c>
      <c r="N47" s="66">
        <f>DATABASE!O146</f>
        <v>56.3</v>
      </c>
      <c r="O47" s="66">
        <f>DATABASE!P146</f>
        <v>0</v>
      </c>
      <c r="P47" s="66" t="str">
        <f>DATABASE!Q146</f>
        <v xml:space="preserve">PSPA </v>
      </c>
      <c r="Q47" s="66">
        <f>DATABASE!R146</f>
        <v>715000</v>
      </c>
      <c r="R47" s="66">
        <f>DATABASE!S146</f>
        <v>750000</v>
      </c>
      <c r="S47" s="66">
        <f>DATABASE!T146</f>
        <v>415000</v>
      </c>
      <c r="T47" s="66">
        <f>DATABASE!U146</f>
        <v>0</v>
      </c>
      <c r="U47" s="66">
        <f>DATABASE!V146</f>
        <v>35000</v>
      </c>
      <c r="V47" s="66">
        <f>DATABASE!W146</f>
        <v>380000</v>
      </c>
      <c r="W47" s="66">
        <f>DATABASE!X146</f>
        <v>0</v>
      </c>
      <c r="X47" s="66">
        <f>DATABASE!Y146</f>
        <v>415000</v>
      </c>
      <c r="Y47" s="66">
        <f>DATABASE!Z146</f>
        <v>380000</v>
      </c>
      <c r="Z47" s="66" t="e">
        <f>DATABASE!#REF!</f>
        <v>#REF!</v>
      </c>
      <c r="AA47" s="66" t="e">
        <f>DATABASE!#REF!</f>
        <v>#REF!</v>
      </c>
      <c r="AB47" s="67">
        <f>DATABASE!AB146</f>
        <v>47118</v>
      </c>
    </row>
    <row r="48" spans="1:28">
      <c r="A48" s="65" t="str">
        <f>DATABASE!A147</f>
        <v>Aroeira - HOTEL APARTMENTS</v>
      </c>
      <c r="B48" s="66" t="str">
        <f>DATABASE!B147</f>
        <v>Center</v>
      </c>
      <c r="C48" s="66" t="str">
        <f>DATABASE!C147</f>
        <v>214A</v>
      </c>
      <c r="D48" s="66" t="str">
        <f>DATABASE!E147</f>
        <v>1-BR</v>
      </c>
      <c r="E48" s="66">
        <f>DATABASE!F147</f>
        <v>72.5</v>
      </c>
      <c r="F48" s="66">
        <f>DATABASE!G147</f>
        <v>0</v>
      </c>
      <c r="G48" s="66" t="str">
        <f>DATABASE!H147</f>
        <v>1</v>
      </c>
      <c r="H48" s="66" t="str">
        <f>DATABASE!I147</f>
        <v/>
      </c>
      <c r="I48" s="66">
        <f>DATABASE!J147</f>
        <v>12</v>
      </c>
      <c r="J48" s="66">
        <f>DATABASE!K147</f>
        <v>0</v>
      </c>
      <c r="K48" s="66">
        <f>DATABASE!L147</f>
        <v>0</v>
      </c>
      <c r="L48" s="66">
        <f>DATABASE!M147</f>
        <v>0</v>
      </c>
      <c r="M48" s="66">
        <f>DATABASE!N147</f>
        <v>0</v>
      </c>
      <c r="N48" s="66">
        <f>DATABASE!O147</f>
        <v>60.5</v>
      </c>
      <c r="O48" s="66">
        <f>DATABASE!P147</f>
        <v>0</v>
      </c>
      <c r="P48" s="66" t="str">
        <f>DATABASE!Q147</f>
        <v>AVAILABLE</v>
      </c>
      <c r="Q48" s="66">
        <f>DATABASE!R147</f>
        <v>445000</v>
      </c>
      <c r="R48" s="66">
        <f>DATABASE!S147</f>
        <v>480000</v>
      </c>
      <c r="S48" s="66">
        <f>DATABASE!T147</f>
        <v>480000</v>
      </c>
      <c r="T48" s="66">
        <f>DATABASE!U147</f>
        <v>0</v>
      </c>
      <c r="U48" s="66">
        <f>DATABASE!V147</f>
        <v>35000</v>
      </c>
      <c r="V48" s="66">
        <f>DATABASE!W147</f>
        <v>445000</v>
      </c>
      <c r="W48" s="66">
        <f>DATABASE!X147</f>
        <v>0</v>
      </c>
      <c r="X48" s="66">
        <f>DATABASE!Y147</f>
        <v>0</v>
      </c>
      <c r="Y48" s="66">
        <f>DATABASE!Z147</f>
        <v>-35000</v>
      </c>
      <c r="Z48" s="66" t="e">
        <f>DATABASE!#REF!</f>
        <v>#REF!</v>
      </c>
      <c r="AA48" s="66">
        <f>DATABASE!AA147</f>
        <v>0</v>
      </c>
      <c r="AB48" s="67">
        <f>DATABASE!AB147</f>
        <v>47118</v>
      </c>
    </row>
    <row r="49" spans="1:28">
      <c r="A49" s="65" t="str">
        <f>DATABASE!A148</f>
        <v>Aroeira - HOTEL APARTMENTS</v>
      </c>
      <c r="B49" s="66" t="str">
        <f>DATABASE!B148</f>
        <v>Center</v>
      </c>
      <c r="C49" s="66" t="str">
        <f>DATABASE!C148</f>
        <v>224A</v>
      </c>
      <c r="D49" s="66" t="str">
        <f>DATABASE!E148</f>
        <v>1-BR</v>
      </c>
      <c r="E49" s="66">
        <f>DATABASE!F148</f>
        <v>72.5</v>
      </c>
      <c r="F49" s="66">
        <f>DATABASE!G148</f>
        <v>0</v>
      </c>
      <c r="G49" s="66" t="str">
        <f>DATABASE!H148</f>
        <v>1</v>
      </c>
      <c r="H49" s="66" t="str">
        <f>DATABASE!I148</f>
        <v/>
      </c>
      <c r="I49" s="66">
        <f>DATABASE!J148</f>
        <v>12</v>
      </c>
      <c r="J49" s="66">
        <f>DATABASE!K148</f>
        <v>0</v>
      </c>
      <c r="K49" s="66">
        <f>DATABASE!L148</f>
        <v>0</v>
      </c>
      <c r="L49" s="66">
        <f>DATABASE!M148</f>
        <v>0</v>
      </c>
      <c r="M49" s="66">
        <f>DATABASE!N148</f>
        <v>0</v>
      </c>
      <c r="N49" s="66">
        <f>DATABASE!O148</f>
        <v>60.5</v>
      </c>
      <c r="O49" s="66">
        <f>DATABASE!P148</f>
        <v>0</v>
      </c>
      <c r="P49" s="66" t="str">
        <f>DATABASE!Q148</f>
        <v>AVAILABLE</v>
      </c>
      <c r="Q49" s="66">
        <f>DATABASE!R148</f>
        <v>445000</v>
      </c>
      <c r="R49" s="66">
        <f>DATABASE!S148</f>
        <v>480000</v>
      </c>
      <c r="S49" s="66">
        <f>DATABASE!T148</f>
        <v>480000</v>
      </c>
      <c r="T49" s="66">
        <f>DATABASE!U148</f>
        <v>0</v>
      </c>
      <c r="U49" s="66">
        <f>DATABASE!V148</f>
        <v>35000</v>
      </c>
      <c r="V49" s="66">
        <f>DATABASE!W148</f>
        <v>445000</v>
      </c>
      <c r="W49" s="66">
        <f>DATABASE!X148</f>
        <v>0</v>
      </c>
      <c r="X49" s="66">
        <f>DATABASE!Y148</f>
        <v>0</v>
      </c>
      <c r="Y49" s="66">
        <f>DATABASE!Z148</f>
        <v>-35000</v>
      </c>
      <c r="Z49" s="66" t="e">
        <f>DATABASE!#REF!</f>
        <v>#REF!</v>
      </c>
      <c r="AA49" s="66">
        <f>DATABASE!AA148</f>
        <v>0</v>
      </c>
      <c r="AB49" s="67">
        <f>DATABASE!AB148</f>
        <v>47118</v>
      </c>
    </row>
    <row r="50" spans="1:28">
      <c r="A50" s="65" t="str">
        <f>DATABASE!A149</f>
        <v>Aroeira - HOTEL APARTMENTS</v>
      </c>
      <c r="B50" s="66" t="str">
        <f>DATABASE!B149</f>
        <v>Center</v>
      </c>
      <c r="C50" s="66" t="str">
        <f>DATABASE!C149</f>
        <v>228A</v>
      </c>
      <c r="D50" s="66" t="str">
        <f>DATABASE!E149</f>
        <v>1-BR</v>
      </c>
      <c r="E50" s="66">
        <f>DATABASE!F149</f>
        <v>72.5</v>
      </c>
      <c r="F50" s="66">
        <f>DATABASE!G149</f>
        <v>0</v>
      </c>
      <c r="G50" s="66" t="str">
        <f>DATABASE!H149</f>
        <v>1</v>
      </c>
      <c r="H50" s="66" t="str">
        <f>DATABASE!I149</f>
        <v/>
      </c>
      <c r="I50" s="66">
        <f>DATABASE!J149</f>
        <v>12</v>
      </c>
      <c r="J50" s="66">
        <f>DATABASE!K149</f>
        <v>0</v>
      </c>
      <c r="K50" s="66">
        <f>DATABASE!L149</f>
        <v>0</v>
      </c>
      <c r="L50" s="66">
        <f>DATABASE!M149</f>
        <v>0</v>
      </c>
      <c r="M50" s="66">
        <f>DATABASE!N149</f>
        <v>0</v>
      </c>
      <c r="N50" s="66">
        <f>DATABASE!O149</f>
        <v>60.5</v>
      </c>
      <c r="O50" s="66">
        <f>DATABASE!P149</f>
        <v>0</v>
      </c>
      <c r="P50" s="66" t="str">
        <f>DATABASE!Q149</f>
        <v>AVAILABLE</v>
      </c>
      <c r="Q50" s="66">
        <f>DATABASE!R149</f>
        <v>445000</v>
      </c>
      <c r="R50" s="66">
        <f>DATABASE!S149</f>
        <v>480000</v>
      </c>
      <c r="S50" s="66">
        <f>DATABASE!T149</f>
        <v>480000</v>
      </c>
      <c r="T50" s="66">
        <f>DATABASE!U149</f>
        <v>0</v>
      </c>
      <c r="U50" s="66">
        <f>DATABASE!V149</f>
        <v>35000</v>
      </c>
      <c r="V50" s="66">
        <f>DATABASE!W149</f>
        <v>445000</v>
      </c>
      <c r="W50" s="66">
        <f>DATABASE!X149</f>
        <v>0</v>
      </c>
      <c r="X50" s="66">
        <f>DATABASE!Y149</f>
        <v>0</v>
      </c>
      <c r="Y50" s="66">
        <f>DATABASE!Z149</f>
        <v>-35000</v>
      </c>
      <c r="Z50" s="66" t="e">
        <f>DATABASE!#REF!</f>
        <v>#REF!</v>
      </c>
      <c r="AA50" s="66">
        <f>DATABASE!AA149</f>
        <v>0</v>
      </c>
      <c r="AB50" s="67">
        <f>DATABASE!AB149</f>
        <v>47118</v>
      </c>
    </row>
    <row r="51" spans="1:28">
      <c r="A51" s="65" t="str">
        <f>DATABASE!A150</f>
        <v>ELS</v>
      </c>
      <c r="B51" s="66" t="str">
        <f>DATABASE!B150</f>
        <v>Vilamoura</v>
      </c>
      <c r="C51" s="66" t="str">
        <f>DATABASE!C150</f>
        <v>13</v>
      </c>
      <c r="D51" s="66" t="str">
        <f>DATABASE!E150</f>
        <v>Plot</v>
      </c>
      <c r="E51" s="66">
        <f>DATABASE!F150</f>
        <v>560</v>
      </c>
      <c r="F51" s="66">
        <f>DATABASE!G150</f>
        <v>0</v>
      </c>
      <c r="G51" s="66" t="str">
        <f>DATABASE!H150</f>
        <v/>
      </c>
      <c r="H51" s="66" t="str">
        <f>DATABASE!I150</f>
        <v/>
      </c>
      <c r="I51" s="66">
        <f>DATABASE!J150</f>
        <v>0</v>
      </c>
      <c r="J51" s="66">
        <f>DATABASE!K150</f>
        <v>0</v>
      </c>
      <c r="K51" s="66">
        <f>DATABASE!L150</f>
        <v>0</v>
      </c>
      <c r="L51" s="66">
        <f>DATABASE!M150</f>
        <v>0</v>
      </c>
      <c r="M51" s="66">
        <f>DATABASE!N150</f>
        <v>0</v>
      </c>
      <c r="N51" s="66">
        <f>DATABASE!O150</f>
        <v>560</v>
      </c>
      <c r="O51" s="66">
        <f>DATABASE!P150</f>
        <v>0</v>
      </c>
      <c r="P51" s="66" t="str">
        <f>DATABASE!Q150</f>
        <v>AVAILABLE</v>
      </c>
      <c r="Q51" s="66">
        <f>DATABASE!R150</f>
        <v>3360000</v>
      </c>
      <c r="R51" s="66">
        <f>DATABASE!S150</f>
        <v>3360000</v>
      </c>
      <c r="S51" s="66">
        <f>DATABASE!T150</f>
        <v>2630000</v>
      </c>
      <c r="T51" s="66">
        <f>DATABASE!U150</f>
        <v>0</v>
      </c>
      <c r="U51" s="66">
        <f>DATABASE!V150</f>
        <v>0</v>
      </c>
      <c r="V51" s="66">
        <f>DATABASE!W150</f>
        <v>2630000</v>
      </c>
      <c r="W51" s="66">
        <f>DATABASE!X150</f>
        <v>0</v>
      </c>
      <c r="X51" s="66">
        <f>DATABASE!Y150</f>
        <v>2630000</v>
      </c>
      <c r="Y51" s="66">
        <f>DATABASE!Z150</f>
        <v>2630000</v>
      </c>
      <c r="Z51" s="66" t="e">
        <f>DATABASE!#REF!</f>
        <v>#REF!</v>
      </c>
      <c r="AA51" s="66">
        <f>DATABASE!AA150</f>
        <v>0</v>
      </c>
      <c r="AB51" s="67">
        <f>DATABASE!AB150</f>
        <v>0</v>
      </c>
    </row>
    <row r="52" spans="1:28">
      <c r="A52" s="65" t="str">
        <f>DATABASE!A151</f>
        <v>MOURAGOLFE</v>
      </c>
      <c r="B52" s="66" t="str">
        <f>DATABASE!B151</f>
        <v>Vilamoura</v>
      </c>
      <c r="C52" s="66" t="str">
        <f>DATABASE!C151</f>
        <v>13</v>
      </c>
      <c r="D52" s="66" t="str">
        <f>DATABASE!E151</f>
        <v>Plot</v>
      </c>
      <c r="E52" s="66">
        <f>DATABASE!F151</f>
        <v>265</v>
      </c>
      <c r="F52" s="66">
        <f>DATABASE!G151</f>
        <v>0</v>
      </c>
      <c r="G52" s="66" t="str">
        <f>DATABASE!H151</f>
        <v/>
      </c>
      <c r="H52" s="66" t="str">
        <f>DATABASE!I151</f>
        <v/>
      </c>
      <c r="I52" s="66">
        <f>DATABASE!J151</f>
        <v>0</v>
      </c>
      <c r="J52" s="66">
        <f>DATABASE!K151</f>
        <v>0</v>
      </c>
      <c r="K52" s="66">
        <f>DATABASE!L151</f>
        <v>0</v>
      </c>
      <c r="L52" s="66">
        <f>DATABASE!M151</f>
        <v>0</v>
      </c>
      <c r="M52" s="66">
        <f>DATABASE!N151</f>
        <v>0</v>
      </c>
      <c r="N52" s="66">
        <f>DATABASE!O151</f>
        <v>265</v>
      </c>
      <c r="O52" s="66">
        <f>DATABASE!P151</f>
        <v>0</v>
      </c>
      <c r="P52" s="66" t="str">
        <f>DATABASE!Q151</f>
        <v xml:space="preserve">DEED </v>
      </c>
      <c r="Q52" s="66">
        <f>DATABASE!R151</f>
        <v>580000</v>
      </c>
      <c r="R52" s="66">
        <f>DATABASE!S151</f>
        <v>580000</v>
      </c>
      <c r="S52" s="66">
        <f>DATABASE!T151</f>
        <v>638000</v>
      </c>
      <c r="T52" s="66">
        <f>DATABASE!U151</f>
        <v>0</v>
      </c>
      <c r="U52" s="66">
        <f>DATABASE!V151</f>
        <v>0</v>
      </c>
      <c r="V52" s="66">
        <f>DATABASE!W151</f>
        <v>638000</v>
      </c>
      <c r="W52" s="66">
        <f>DATABASE!X151</f>
        <v>0</v>
      </c>
      <c r="X52" s="66">
        <f>DATABASE!Y151</f>
        <v>638000</v>
      </c>
      <c r="Y52" s="66">
        <f>DATABASE!Z151</f>
        <v>638000</v>
      </c>
      <c r="Z52" s="66" t="e">
        <f>DATABASE!#REF!</f>
        <v>#REF!</v>
      </c>
      <c r="AA52" s="66">
        <f>DATABASE!AA151</f>
        <v>45436</v>
      </c>
      <c r="AB52" s="67">
        <f>DATABASE!AB151</f>
        <v>0</v>
      </c>
    </row>
    <row r="53" spans="1:28">
      <c r="A53" s="65" t="str">
        <f>DATABASE!A152</f>
        <v>THE UNCOMMON</v>
      </c>
      <c r="B53" s="66" t="str">
        <f>DATABASE!B152</f>
        <v>Vilamoura</v>
      </c>
      <c r="C53" s="66" t="str">
        <f>DATABASE!C152</f>
        <v>13</v>
      </c>
      <c r="D53" s="66" t="str">
        <f>DATABASE!E152</f>
        <v>T1</v>
      </c>
      <c r="E53" s="66">
        <f>DATABASE!F152</f>
        <v>105.5</v>
      </c>
      <c r="F53" s="66">
        <f>DATABASE!G152</f>
        <v>0</v>
      </c>
      <c r="G53" s="66" t="str">
        <f>DATABASE!H152</f>
        <v>1</v>
      </c>
      <c r="H53" s="66" t="str">
        <f>DATABASE!I152</f>
        <v/>
      </c>
      <c r="I53" s="66">
        <f>DATABASE!J152</f>
        <v>42.4</v>
      </c>
      <c r="J53" s="66">
        <f>DATABASE!K152</f>
        <v>0</v>
      </c>
      <c r="K53" s="66">
        <f>DATABASE!L152</f>
        <v>0</v>
      </c>
      <c r="L53" s="66">
        <f>DATABASE!M152</f>
        <v>0</v>
      </c>
      <c r="M53" s="66">
        <f>DATABASE!N152</f>
        <v>0</v>
      </c>
      <c r="N53" s="66">
        <f>DATABASE!O152</f>
        <v>63.1</v>
      </c>
      <c r="O53" s="66">
        <f>DATABASE!P152</f>
        <v>0</v>
      </c>
      <c r="P53" s="66" t="str">
        <f>DATABASE!Q152</f>
        <v>AVAILABLE</v>
      </c>
      <c r="Q53" s="66">
        <f>DATABASE!R152</f>
        <v>675000</v>
      </c>
      <c r="R53" s="66">
        <f>DATABASE!S152</f>
        <v>740000</v>
      </c>
      <c r="S53" s="66">
        <f>DATABASE!T152</f>
        <v>800000</v>
      </c>
      <c r="T53" s="66">
        <f>DATABASE!U152</f>
        <v>50000</v>
      </c>
      <c r="U53" s="66">
        <f>DATABASE!V152</f>
        <v>15000</v>
      </c>
      <c r="V53" s="66">
        <f>DATABASE!W152</f>
        <v>735000</v>
      </c>
      <c r="W53" s="66">
        <f>DATABASE!X152</f>
        <v>0</v>
      </c>
      <c r="X53" s="66">
        <f>DATABASE!Y152</f>
        <v>800000</v>
      </c>
      <c r="Y53" s="66">
        <f>DATABASE!Z152</f>
        <v>735000</v>
      </c>
      <c r="Z53" s="66" t="e">
        <f>DATABASE!#REF!</f>
        <v>#REF!</v>
      </c>
      <c r="AA53" s="66">
        <f>DATABASE!AA152</f>
        <v>0</v>
      </c>
      <c r="AB53" s="67">
        <f>DATABASE!AB152</f>
        <v>0</v>
      </c>
    </row>
    <row r="54" spans="1:28">
      <c r="A54" s="65" t="str">
        <f>DATABASE!A153</f>
        <v>ELS</v>
      </c>
      <c r="B54" s="66" t="str">
        <f>DATABASE!B153</f>
        <v>Vilamoura</v>
      </c>
      <c r="C54" s="66" t="str">
        <f>DATABASE!C153</f>
        <v>14</v>
      </c>
      <c r="D54" s="66" t="str">
        <f>DATABASE!E153</f>
        <v>Plot</v>
      </c>
      <c r="E54" s="66">
        <f>DATABASE!F153</f>
        <v>560</v>
      </c>
      <c r="F54" s="66">
        <f>DATABASE!G153</f>
        <v>0</v>
      </c>
      <c r="G54" s="66" t="str">
        <f>DATABASE!H153</f>
        <v/>
      </c>
      <c r="H54" s="66" t="str">
        <f>DATABASE!I153</f>
        <v/>
      </c>
      <c r="I54" s="66">
        <f>DATABASE!J153</f>
        <v>0</v>
      </c>
      <c r="J54" s="66">
        <f>DATABASE!K153</f>
        <v>0</v>
      </c>
      <c r="K54" s="66">
        <f>DATABASE!L153</f>
        <v>0</v>
      </c>
      <c r="L54" s="66">
        <f>DATABASE!M153</f>
        <v>0</v>
      </c>
      <c r="M54" s="66">
        <f>DATABASE!N153</f>
        <v>0</v>
      </c>
      <c r="N54" s="66">
        <f>DATABASE!O153</f>
        <v>560</v>
      </c>
      <c r="O54" s="66">
        <f>DATABASE!P153</f>
        <v>0</v>
      </c>
      <c r="P54" s="66" t="str">
        <f>DATABASE!Q153</f>
        <v>AVAILABLE</v>
      </c>
      <c r="Q54" s="66">
        <f>DATABASE!R153</f>
        <v>3230000</v>
      </c>
      <c r="R54" s="66">
        <f>DATABASE!S153</f>
        <v>3230000</v>
      </c>
      <c r="S54" s="66">
        <f>DATABASE!T153</f>
        <v>2610000</v>
      </c>
      <c r="T54" s="66">
        <f>DATABASE!U153</f>
        <v>0</v>
      </c>
      <c r="U54" s="66">
        <f>DATABASE!V153</f>
        <v>0</v>
      </c>
      <c r="V54" s="66">
        <f>DATABASE!W153</f>
        <v>2610000</v>
      </c>
      <c r="W54" s="66">
        <f>DATABASE!X153</f>
        <v>0</v>
      </c>
      <c r="X54" s="66">
        <f>DATABASE!Y153</f>
        <v>2610000</v>
      </c>
      <c r="Y54" s="66">
        <f>DATABASE!Z153</f>
        <v>2610000</v>
      </c>
      <c r="Z54" s="66" t="e">
        <f>DATABASE!#REF!</f>
        <v>#REF!</v>
      </c>
      <c r="AA54" s="66">
        <f>DATABASE!AA153</f>
        <v>0</v>
      </c>
      <c r="AB54" s="67">
        <f>DATABASE!AB153</f>
        <v>0</v>
      </c>
    </row>
    <row r="55" spans="1:28">
      <c r="A55" s="65" t="str">
        <f>DATABASE!A154</f>
        <v>Aroeira - APARTMENTS</v>
      </c>
      <c r="B55" s="66" t="str">
        <f>DATABASE!B154</f>
        <v>Center</v>
      </c>
      <c r="C55" s="66" t="str">
        <f>DATABASE!C154</f>
        <v>106B</v>
      </c>
      <c r="D55" s="66" t="str">
        <f>DATABASE!E154</f>
        <v>2-BR</v>
      </c>
      <c r="E55" s="66">
        <f>DATABASE!F154</f>
        <v>200.51</v>
      </c>
      <c r="F55" s="66">
        <f>DATABASE!G154</f>
        <v>0</v>
      </c>
      <c r="G55" s="66" t="str">
        <f>DATABASE!H154</f>
        <v>1</v>
      </c>
      <c r="H55" s="66" t="str">
        <f>DATABASE!I154</f>
        <v/>
      </c>
      <c r="I55" s="66">
        <f>DATABASE!J154</f>
        <v>23.08</v>
      </c>
      <c r="J55" s="66">
        <f>DATABASE!K154</f>
        <v>87.35</v>
      </c>
      <c r="K55" s="66">
        <f>DATABASE!L154</f>
        <v>0</v>
      </c>
      <c r="L55" s="66">
        <f>DATABASE!M154</f>
        <v>0</v>
      </c>
      <c r="M55" s="66">
        <f>DATABASE!N154</f>
        <v>0</v>
      </c>
      <c r="N55" s="66">
        <f>DATABASE!O154</f>
        <v>90.08</v>
      </c>
      <c r="O55" s="66">
        <f>DATABASE!P154</f>
        <v>0</v>
      </c>
      <c r="P55" s="66" t="str">
        <f>DATABASE!Q154</f>
        <v xml:space="preserve">PSPA </v>
      </c>
      <c r="Q55" s="66">
        <f>DATABASE!R154</f>
        <v>745000</v>
      </c>
      <c r="R55" s="66">
        <f>DATABASE!S154</f>
        <v>790000</v>
      </c>
      <c r="S55" s="66">
        <f>DATABASE!T154</f>
        <v>810000</v>
      </c>
      <c r="T55" s="66">
        <f>DATABASE!U154</f>
        <v>0</v>
      </c>
      <c r="U55" s="66">
        <f>DATABASE!V154</f>
        <v>45000</v>
      </c>
      <c r="V55" s="66">
        <f>DATABASE!W154</f>
        <v>765000</v>
      </c>
      <c r="W55" s="66">
        <f>DATABASE!X154</f>
        <v>0</v>
      </c>
      <c r="X55" s="66">
        <f>DATABASE!Y154</f>
        <v>810000</v>
      </c>
      <c r="Y55" s="66">
        <f>DATABASE!Z154</f>
        <v>765000</v>
      </c>
      <c r="Z55" s="66" t="e">
        <f>DATABASE!#REF!</f>
        <v>#REF!</v>
      </c>
      <c r="AA55" s="66" t="e">
        <f>DATABASE!#REF!</f>
        <v>#REF!</v>
      </c>
      <c r="AB55" s="67">
        <f>DATABASE!AB154</f>
        <v>47118</v>
      </c>
    </row>
    <row r="56" spans="1:28">
      <c r="A56" s="65" t="str">
        <f>DATABASE!A155</f>
        <v>Aroeira - HOTEL APARTMENTS</v>
      </c>
      <c r="B56" s="66" t="str">
        <f>DATABASE!B155</f>
        <v>Center</v>
      </c>
      <c r="C56" s="66" t="str">
        <f>DATABASE!C155</f>
        <v>310A</v>
      </c>
      <c r="D56" s="66" t="str">
        <f>DATABASE!E155</f>
        <v>1-BR</v>
      </c>
      <c r="E56" s="66">
        <f>DATABASE!F155</f>
        <v>72.5</v>
      </c>
      <c r="F56" s="66">
        <f>DATABASE!G155</f>
        <v>0</v>
      </c>
      <c r="G56" s="66" t="str">
        <f>DATABASE!H155</f>
        <v>1</v>
      </c>
      <c r="H56" s="66" t="str">
        <f>DATABASE!I155</f>
        <v/>
      </c>
      <c r="I56" s="66">
        <f>DATABASE!J155</f>
        <v>12</v>
      </c>
      <c r="J56" s="66">
        <f>DATABASE!K155</f>
        <v>0</v>
      </c>
      <c r="K56" s="66">
        <f>DATABASE!L155</f>
        <v>0</v>
      </c>
      <c r="L56" s="66">
        <f>DATABASE!M155</f>
        <v>0</v>
      </c>
      <c r="M56" s="66">
        <f>DATABASE!N155</f>
        <v>0</v>
      </c>
      <c r="N56" s="66">
        <f>DATABASE!O155</f>
        <v>60.5</v>
      </c>
      <c r="O56" s="66">
        <f>DATABASE!P155</f>
        <v>0</v>
      </c>
      <c r="P56" s="66" t="str">
        <f>DATABASE!Q155</f>
        <v>AVAILABLE</v>
      </c>
      <c r="Q56" s="66">
        <f>DATABASE!R155</f>
        <v>465000</v>
      </c>
      <c r="R56" s="66">
        <f>DATABASE!S155</f>
        <v>500000</v>
      </c>
      <c r="S56" s="66">
        <f>DATABASE!T155</f>
        <v>500000</v>
      </c>
      <c r="T56" s="66">
        <f>DATABASE!U155</f>
        <v>0</v>
      </c>
      <c r="U56" s="66">
        <f>DATABASE!V155</f>
        <v>35000</v>
      </c>
      <c r="V56" s="66">
        <f>DATABASE!W155</f>
        <v>465000</v>
      </c>
      <c r="W56" s="66">
        <f>DATABASE!X155</f>
        <v>0</v>
      </c>
      <c r="X56" s="66">
        <f>DATABASE!Y155</f>
        <v>0</v>
      </c>
      <c r="Y56" s="66">
        <f>DATABASE!Z155</f>
        <v>-35000</v>
      </c>
      <c r="Z56" s="66" t="e">
        <f>DATABASE!#REF!</f>
        <v>#REF!</v>
      </c>
      <c r="AA56" s="66">
        <f>DATABASE!AA155</f>
        <v>0</v>
      </c>
      <c r="AB56" s="67">
        <f>DATABASE!AB155</f>
        <v>47118</v>
      </c>
    </row>
    <row r="57" spans="1:28">
      <c r="A57" s="65" t="str">
        <f>DATABASE!A156</f>
        <v>Aroeira - HOTEL APARTMENTS</v>
      </c>
      <c r="B57" s="66" t="str">
        <f>DATABASE!B156</f>
        <v>Center</v>
      </c>
      <c r="C57" s="66" t="str">
        <f>DATABASE!C156</f>
        <v>314A</v>
      </c>
      <c r="D57" s="66" t="str">
        <f>DATABASE!E156</f>
        <v>1-BR</v>
      </c>
      <c r="E57" s="66">
        <f>DATABASE!F156</f>
        <v>72.5</v>
      </c>
      <c r="F57" s="66">
        <f>DATABASE!G156</f>
        <v>0</v>
      </c>
      <c r="G57" s="66" t="str">
        <f>DATABASE!H156</f>
        <v>1</v>
      </c>
      <c r="H57" s="66" t="str">
        <f>DATABASE!I156</f>
        <v/>
      </c>
      <c r="I57" s="66">
        <f>DATABASE!J156</f>
        <v>12</v>
      </c>
      <c r="J57" s="66">
        <f>DATABASE!K156</f>
        <v>0</v>
      </c>
      <c r="K57" s="66">
        <f>DATABASE!L156</f>
        <v>0</v>
      </c>
      <c r="L57" s="66">
        <f>DATABASE!M156</f>
        <v>0</v>
      </c>
      <c r="M57" s="66">
        <f>DATABASE!N156</f>
        <v>0</v>
      </c>
      <c r="N57" s="66">
        <f>DATABASE!O156</f>
        <v>60.5</v>
      </c>
      <c r="O57" s="66">
        <f>DATABASE!P156</f>
        <v>0</v>
      </c>
      <c r="P57" s="66" t="str">
        <f>DATABASE!Q156</f>
        <v>AVAILABLE</v>
      </c>
      <c r="Q57" s="66">
        <f>DATABASE!R156</f>
        <v>465000</v>
      </c>
      <c r="R57" s="66">
        <f>DATABASE!S156</f>
        <v>500000</v>
      </c>
      <c r="S57" s="66">
        <f>DATABASE!T156</f>
        <v>500000</v>
      </c>
      <c r="T57" s="66">
        <f>DATABASE!U156</f>
        <v>0</v>
      </c>
      <c r="U57" s="66">
        <f>DATABASE!V156</f>
        <v>35000</v>
      </c>
      <c r="V57" s="66">
        <f>DATABASE!W156</f>
        <v>465000</v>
      </c>
      <c r="W57" s="66">
        <f>DATABASE!X156</f>
        <v>0</v>
      </c>
      <c r="X57" s="66">
        <f>DATABASE!Y156</f>
        <v>0</v>
      </c>
      <c r="Y57" s="66">
        <f>DATABASE!Z156</f>
        <v>-35000</v>
      </c>
      <c r="Z57" s="66" t="e">
        <f>DATABASE!#REF!</f>
        <v>#REF!</v>
      </c>
      <c r="AA57" s="66">
        <f>DATABASE!AA156</f>
        <v>0</v>
      </c>
      <c r="AB57" s="67">
        <f>DATABASE!AB156</f>
        <v>47118</v>
      </c>
    </row>
    <row r="58" spans="1:28">
      <c r="A58" s="65" t="str">
        <f>DATABASE!A157</f>
        <v>Aroeira - HOTEL APARTMENTS</v>
      </c>
      <c r="B58" s="66" t="str">
        <f>DATABASE!B157</f>
        <v>Center</v>
      </c>
      <c r="C58" s="66" t="str">
        <f>DATABASE!C157</f>
        <v>328A</v>
      </c>
      <c r="D58" s="66" t="str">
        <f>DATABASE!E157</f>
        <v>1-BR</v>
      </c>
      <c r="E58" s="66">
        <f>DATABASE!F157</f>
        <v>72.5</v>
      </c>
      <c r="F58" s="66">
        <f>DATABASE!G157</f>
        <v>0</v>
      </c>
      <c r="G58" s="66" t="str">
        <f>DATABASE!H157</f>
        <v>1</v>
      </c>
      <c r="H58" s="66" t="str">
        <f>DATABASE!I157</f>
        <v/>
      </c>
      <c r="I58" s="66">
        <f>DATABASE!J157</f>
        <v>12</v>
      </c>
      <c r="J58" s="66">
        <f>DATABASE!K157</f>
        <v>0</v>
      </c>
      <c r="K58" s="66">
        <f>DATABASE!L157</f>
        <v>0</v>
      </c>
      <c r="L58" s="66">
        <f>DATABASE!M157</f>
        <v>0</v>
      </c>
      <c r="M58" s="66">
        <f>DATABASE!N157</f>
        <v>0</v>
      </c>
      <c r="N58" s="66">
        <f>DATABASE!O157</f>
        <v>60.5</v>
      </c>
      <c r="O58" s="66">
        <f>DATABASE!P157</f>
        <v>0</v>
      </c>
      <c r="P58" s="66" t="str">
        <f>DATABASE!Q157</f>
        <v>AVAILABLE</v>
      </c>
      <c r="Q58" s="66">
        <f>DATABASE!R157</f>
        <v>465000</v>
      </c>
      <c r="R58" s="66">
        <f>DATABASE!S157</f>
        <v>500000</v>
      </c>
      <c r="S58" s="66">
        <f>DATABASE!T157</f>
        <v>500000</v>
      </c>
      <c r="T58" s="66">
        <f>DATABASE!U157</f>
        <v>0</v>
      </c>
      <c r="U58" s="66">
        <f>DATABASE!V157</f>
        <v>35000</v>
      </c>
      <c r="V58" s="66">
        <f>DATABASE!W157</f>
        <v>465000</v>
      </c>
      <c r="W58" s="66">
        <f>DATABASE!X157</f>
        <v>0</v>
      </c>
      <c r="X58" s="66">
        <f>DATABASE!Y157</f>
        <v>0</v>
      </c>
      <c r="Y58" s="66">
        <f>DATABASE!Z157</f>
        <v>-35000</v>
      </c>
      <c r="Z58" s="66" t="e">
        <f>DATABASE!#REF!</f>
        <v>#REF!</v>
      </c>
      <c r="AA58" s="66">
        <f>DATABASE!AA157</f>
        <v>0</v>
      </c>
      <c r="AB58" s="67">
        <f>DATABASE!AB157</f>
        <v>47118</v>
      </c>
    </row>
    <row r="59" spans="1:28">
      <c r="A59" s="65" t="str">
        <f>DATABASE!A158</f>
        <v>MOURAGOLFE</v>
      </c>
      <c r="B59" s="66" t="str">
        <f>DATABASE!B158</f>
        <v>Vilamoura</v>
      </c>
      <c r="C59" s="66" t="str">
        <f>DATABASE!C158</f>
        <v>14</v>
      </c>
      <c r="D59" s="66" t="str">
        <f>DATABASE!E158</f>
        <v>Plot</v>
      </c>
      <c r="E59" s="66">
        <f>DATABASE!F158</f>
        <v>265</v>
      </c>
      <c r="F59" s="66">
        <f>DATABASE!G158</f>
        <v>0</v>
      </c>
      <c r="G59" s="66" t="str">
        <f>DATABASE!H158</f>
        <v/>
      </c>
      <c r="H59" s="66" t="str">
        <f>DATABASE!I158</f>
        <v/>
      </c>
      <c r="I59" s="66">
        <f>DATABASE!J158</f>
        <v>0</v>
      </c>
      <c r="J59" s="66">
        <f>DATABASE!K158</f>
        <v>0</v>
      </c>
      <c r="K59" s="66">
        <f>DATABASE!L158</f>
        <v>0</v>
      </c>
      <c r="L59" s="66">
        <f>DATABASE!M158</f>
        <v>0</v>
      </c>
      <c r="M59" s="66">
        <f>DATABASE!N158</f>
        <v>0</v>
      </c>
      <c r="N59" s="66">
        <f>DATABASE!O158</f>
        <v>265</v>
      </c>
      <c r="O59" s="66">
        <f>DATABASE!P158</f>
        <v>0</v>
      </c>
      <c r="P59" s="66" t="str">
        <f>DATABASE!Q158</f>
        <v xml:space="preserve">DEED </v>
      </c>
      <c r="Q59" s="66">
        <f>DATABASE!R158</f>
        <v>580000</v>
      </c>
      <c r="R59" s="66">
        <f>DATABASE!S158</f>
        <v>580000</v>
      </c>
      <c r="S59" s="66">
        <f>DATABASE!T158</f>
        <v>638000</v>
      </c>
      <c r="T59" s="66">
        <f>DATABASE!U158</f>
        <v>0</v>
      </c>
      <c r="U59" s="66">
        <f>DATABASE!V158</f>
        <v>0</v>
      </c>
      <c r="V59" s="66">
        <f>DATABASE!W158</f>
        <v>638000</v>
      </c>
      <c r="W59" s="66">
        <f>DATABASE!X158</f>
        <v>0</v>
      </c>
      <c r="X59" s="66">
        <f>DATABASE!Y158</f>
        <v>638000</v>
      </c>
      <c r="Y59" s="66">
        <f>DATABASE!Z158</f>
        <v>638000</v>
      </c>
      <c r="Z59" s="66" t="e">
        <f>DATABASE!#REF!</f>
        <v>#REF!</v>
      </c>
      <c r="AA59" s="66">
        <f>DATABASE!AA158</f>
        <v>45436</v>
      </c>
      <c r="AB59" s="67">
        <f>DATABASE!AB158</f>
        <v>0</v>
      </c>
    </row>
    <row r="60" spans="1:28">
      <c r="A60" s="65" t="str">
        <f>DATABASE!A159</f>
        <v>THE UNCOMMON</v>
      </c>
      <c r="B60" s="66" t="str">
        <f>DATABASE!B159</f>
        <v>Vilamoura</v>
      </c>
      <c r="C60" s="66" t="str">
        <f>DATABASE!C159</f>
        <v>14</v>
      </c>
      <c r="D60" s="66" t="str">
        <f>DATABASE!E159</f>
        <v>T1</v>
      </c>
      <c r="E60" s="66">
        <f>DATABASE!F159</f>
        <v>105.5</v>
      </c>
      <c r="F60" s="66">
        <f>DATABASE!G159</f>
        <v>0</v>
      </c>
      <c r="G60" s="66" t="str">
        <f>DATABASE!H159</f>
        <v>1</v>
      </c>
      <c r="H60" s="66" t="str">
        <f>DATABASE!I159</f>
        <v/>
      </c>
      <c r="I60" s="66">
        <f>DATABASE!J159</f>
        <v>42.4</v>
      </c>
      <c r="J60" s="66">
        <f>DATABASE!K159</f>
        <v>0</v>
      </c>
      <c r="K60" s="66">
        <f>DATABASE!L159</f>
        <v>0</v>
      </c>
      <c r="L60" s="66">
        <f>DATABASE!M159</f>
        <v>0</v>
      </c>
      <c r="M60" s="66">
        <f>DATABASE!N159</f>
        <v>0</v>
      </c>
      <c r="N60" s="66">
        <f>DATABASE!O159</f>
        <v>63.1</v>
      </c>
      <c r="O60" s="66">
        <f>DATABASE!P159</f>
        <v>0</v>
      </c>
      <c r="P60" s="66" t="str">
        <f>DATABASE!Q159</f>
        <v>AVAILABLE</v>
      </c>
      <c r="Q60" s="66">
        <f>DATABASE!R159</f>
        <v>725000</v>
      </c>
      <c r="R60" s="66">
        <f>DATABASE!S159</f>
        <v>790000</v>
      </c>
      <c r="S60" s="66">
        <f>DATABASE!T159</f>
        <v>850000</v>
      </c>
      <c r="T60" s="66">
        <f>DATABASE!U159</f>
        <v>50000</v>
      </c>
      <c r="U60" s="66">
        <f>DATABASE!V159</f>
        <v>15000</v>
      </c>
      <c r="V60" s="66">
        <f>DATABASE!W159</f>
        <v>785000</v>
      </c>
      <c r="W60" s="66">
        <f>DATABASE!X159</f>
        <v>0</v>
      </c>
      <c r="X60" s="66">
        <f>DATABASE!Y159</f>
        <v>850000</v>
      </c>
      <c r="Y60" s="66">
        <f>DATABASE!Z159</f>
        <v>785000</v>
      </c>
      <c r="Z60" s="66" t="e">
        <f>DATABASE!#REF!</f>
        <v>#REF!</v>
      </c>
      <c r="AA60" s="66">
        <f>DATABASE!AA159</f>
        <v>0</v>
      </c>
      <c r="AB60" s="67">
        <f>DATABASE!AB159</f>
        <v>0</v>
      </c>
    </row>
    <row r="61" spans="1:28">
      <c r="A61" s="65" t="str">
        <f>DATABASE!A160</f>
        <v>ELS</v>
      </c>
      <c r="B61" s="66" t="str">
        <f>DATABASE!B160</f>
        <v>Vilamoura</v>
      </c>
      <c r="C61" s="66" t="str">
        <f>DATABASE!C160</f>
        <v>15</v>
      </c>
      <c r="D61" s="66" t="str">
        <f>DATABASE!E160</f>
        <v>Plot</v>
      </c>
      <c r="E61" s="66">
        <f>DATABASE!F160</f>
        <v>480</v>
      </c>
      <c r="F61" s="66">
        <f>DATABASE!G160</f>
        <v>0</v>
      </c>
      <c r="G61" s="66" t="str">
        <f>DATABASE!H160</f>
        <v/>
      </c>
      <c r="H61" s="66" t="str">
        <f>DATABASE!I160</f>
        <v/>
      </c>
      <c r="I61" s="66">
        <f>DATABASE!J160</f>
        <v>0</v>
      </c>
      <c r="J61" s="66">
        <f>DATABASE!K160</f>
        <v>0</v>
      </c>
      <c r="K61" s="66">
        <f>DATABASE!L160</f>
        <v>0</v>
      </c>
      <c r="L61" s="66">
        <f>DATABASE!M160</f>
        <v>0</v>
      </c>
      <c r="M61" s="66">
        <f>DATABASE!N160</f>
        <v>0</v>
      </c>
      <c r="N61" s="66">
        <f>DATABASE!O160</f>
        <v>480</v>
      </c>
      <c r="O61" s="66">
        <f>DATABASE!P160</f>
        <v>0</v>
      </c>
      <c r="P61" s="66" t="str">
        <f>DATABASE!Q160</f>
        <v>PRE-RESERVED</v>
      </c>
      <c r="Q61" s="66">
        <f>DATABASE!R160</f>
        <v>3230000</v>
      </c>
      <c r="R61" s="66">
        <f>DATABASE!S160</f>
        <v>3230000</v>
      </c>
      <c r="S61" s="66">
        <f>DATABASE!T160</f>
        <v>2200000</v>
      </c>
      <c r="T61" s="66">
        <f>DATABASE!U160</f>
        <v>0</v>
      </c>
      <c r="U61" s="66">
        <f>DATABASE!V160</f>
        <v>0</v>
      </c>
      <c r="V61" s="66">
        <f>DATABASE!W160</f>
        <v>2200000</v>
      </c>
      <c r="W61" s="66">
        <f>DATABASE!X160</f>
        <v>0</v>
      </c>
      <c r="X61" s="66">
        <f>DATABASE!Y160</f>
        <v>2200000</v>
      </c>
      <c r="Y61" s="66">
        <f>DATABASE!Z160</f>
        <v>2200000</v>
      </c>
      <c r="Z61" s="66" t="e">
        <f>DATABASE!#REF!</f>
        <v>#REF!</v>
      </c>
      <c r="AA61" s="66">
        <f>DATABASE!AA160</f>
        <v>46174</v>
      </c>
      <c r="AB61" s="67">
        <f>DATABASE!AB160</f>
        <v>0</v>
      </c>
    </row>
    <row r="62" spans="1:28">
      <c r="A62" s="65" t="str">
        <f>DATABASE!A161</f>
        <v>MOURAGOLFE</v>
      </c>
      <c r="B62" s="66" t="str">
        <f>DATABASE!B161</f>
        <v>Vilamoura</v>
      </c>
      <c r="C62" s="66" t="str">
        <f>DATABASE!C161</f>
        <v>15</v>
      </c>
      <c r="D62" s="66" t="str">
        <f>DATABASE!E161</f>
        <v>Plot</v>
      </c>
      <c r="E62" s="66">
        <f>DATABASE!F161</f>
        <v>245</v>
      </c>
      <c r="F62" s="66">
        <f>DATABASE!G161</f>
        <v>0</v>
      </c>
      <c r="G62" s="66" t="str">
        <f>DATABASE!H161</f>
        <v/>
      </c>
      <c r="H62" s="66" t="str">
        <f>DATABASE!I161</f>
        <v/>
      </c>
      <c r="I62" s="66">
        <f>DATABASE!J161</f>
        <v>0</v>
      </c>
      <c r="J62" s="66">
        <f>DATABASE!K161</f>
        <v>0</v>
      </c>
      <c r="K62" s="66">
        <f>DATABASE!L161</f>
        <v>0</v>
      </c>
      <c r="L62" s="66">
        <f>DATABASE!M161</f>
        <v>0</v>
      </c>
      <c r="M62" s="66">
        <f>DATABASE!N161</f>
        <v>0</v>
      </c>
      <c r="N62" s="66">
        <f>DATABASE!O161</f>
        <v>245</v>
      </c>
      <c r="O62" s="66">
        <f>DATABASE!P161</f>
        <v>0</v>
      </c>
      <c r="P62" s="66" t="str">
        <f>DATABASE!Q161</f>
        <v xml:space="preserve">DEED </v>
      </c>
      <c r="Q62" s="66">
        <f>DATABASE!R161</f>
        <v>470000</v>
      </c>
      <c r="R62" s="66">
        <f>DATABASE!S161</f>
        <v>470000</v>
      </c>
      <c r="S62" s="66">
        <f>DATABASE!T161</f>
        <v>470000</v>
      </c>
      <c r="T62" s="66">
        <f>DATABASE!U161</f>
        <v>0</v>
      </c>
      <c r="U62" s="66">
        <f>DATABASE!V161</f>
        <v>0</v>
      </c>
      <c r="V62" s="66">
        <f>DATABASE!W161</f>
        <v>470000</v>
      </c>
      <c r="W62" s="66">
        <f>DATABASE!X161</f>
        <v>0</v>
      </c>
      <c r="X62" s="66">
        <f>DATABASE!Y161</f>
        <v>470000</v>
      </c>
      <c r="Y62" s="66">
        <f>DATABASE!Z161</f>
        <v>470000</v>
      </c>
      <c r="Z62" s="66" t="e">
        <f>DATABASE!#REF!</f>
        <v>#REF!</v>
      </c>
      <c r="AA62" s="66">
        <f>DATABASE!AA161</f>
        <v>45473</v>
      </c>
      <c r="AB62" s="67">
        <f>DATABASE!AB161</f>
        <v>0</v>
      </c>
    </row>
    <row r="63" spans="1:28">
      <c r="A63" s="65" t="str">
        <f>DATABASE!A162</f>
        <v>THE UNCOMMON</v>
      </c>
      <c r="B63" s="66" t="str">
        <f>DATABASE!B162</f>
        <v>Vilamoura</v>
      </c>
      <c r="C63" s="66" t="str">
        <f>DATABASE!C162</f>
        <v>15</v>
      </c>
      <c r="D63" s="66" t="str">
        <f>DATABASE!E162</f>
        <v>T1</v>
      </c>
      <c r="E63" s="66">
        <f>DATABASE!F162</f>
        <v>100.1</v>
      </c>
      <c r="F63" s="66">
        <f>DATABASE!G162</f>
        <v>0</v>
      </c>
      <c r="G63" s="66" t="str">
        <f>DATABASE!H162</f>
        <v>1</v>
      </c>
      <c r="H63" s="66" t="str">
        <f>DATABASE!I162</f>
        <v/>
      </c>
      <c r="I63" s="66">
        <f>DATABASE!J162</f>
        <v>37</v>
      </c>
      <c r="J63" s="66">
        <f>DATABASE!K162</f>
        <v>0</v>
      </c>
      <c r="K63" s="66">
        <f>DATABASE!L162</f>
        <v>0</v>
      </c>
      <c r="L63" s="66">
        <f>DATABASE!M162</f>
        <v>0</v>
      </c>
      <c r="M63" s="66">
        <f>DATABASE!N162</f>
        <v>0</v>
      </c>
      <c r="N63" s="66">
        <f>DATABASE!O162</f>
        <v>63.1</v>
      </c>
      <c r="O63" s="66">
        <f>DATABASE!P162</f>
        <v>0</v>
      </c>
      <c r="P63" s="66" t="str">
        <f>DATABASE!Q162</f>
        <v>AVAILABLE</v>
      </c>
      <c r="Q63" s="66">
        <f>DATABASE!R162</f>
        <v>775000</v>
      </c>
      <c r="R63" s="66">
        <f>DATABASE!S162</f>
        <v>840000</v>
      </c>
      <c r="S63" s="66">
        <f>DATABASE!T162</f>
        <v>900000</v>
      </c>
      <c r="T63" s="66">
        <f>DATABASE!U162</f>
        <v>50000</v>
      </c>
      <c r="U63" s="66">
        <f>DATABASE!V162</f>
        <v>15000</v>
      </c>
      <c r="V63" s="66">
        <f>DATABASE!W162</f>
        <v>835000</v>
      </c>
      <c r="W63" s="66">
        <f>DATABASE!X162</f>
        <v>0</v>
      </c>
      <c r="X63" s="66">
        <f>DATABASE!Y162</f>
        <v>900000</v>
      </c>
      <c r="Y63" s="66">
        <f>DATABASE!Z162</f>
        <v>835000</v>
      </c>
      <c r="Z63" s="66" t="e">
        <f>DATABASE!#REF!</f>
        <v>#REF!</v>
      </c>
      <c r="AA63" s="66">
        <f>DATABASE!AA162</f>
        <v>0</v>
      </c>
      <c r="AB63" s="67">
        <f>DATABASE!AB162</f>
        <v>0</v>
      </c>
    </row>
    <row r="64" spans="1:28">
      <c r="A64" s="65" t="str">
        <f>DATABASE!A163</f>
        <v>Palmares - Plots</v>
      </c>
      <c r="B64" s="66" t="str">
        <f>DATABASE!B163</f>
        <v>Algarve</v>
      </c>
      <c r="C64" s="66" t="str">
        <f>DATABASE!C163</f>
        <v>88</v>
      </c>
      <c r="D64" s="66" t="str">
        <f>DATABASE!E163</f>
        <v>Plot</v>
      </c>
      <c r="E64" s="66">
        <f>DATABASE!F163</f>
        <v>4980</v>
      </c>
      <c r="F64" s="66">
        <f>DATABASE!G163</f>
        <v>0</v>
      </c>
      <c r="G64" s="66" t="str">
        <f>DATABASE!H163</f>
        <v/>
      </c>
      <c r="H64" s="66" t="str">
        <f>DATABASE!I163</f>
        <v/>
      </c>
      <c r="I64" s="66">
        <f>DATABASE!J163</f>
        <v>0</v>
      </c>
      <c r="J64" s="66">
        <f>DATABASE!K163</f>
        <v>0</v>
      </c>
      <c r="K64" s="66">
        <f>DATABASE!L163</f>
        <v>0</v>
      </c>
      <c r="L64" s="66">
        <f>DATABASE!M163</f>
        <v>0</v>
      </c>
      <c r="M64" s="66">
        <f>DATABASE!N163</f>
        <v>0</v>
      </c>
      <c r="N64" s="66">
        <f>DATABASE!O163</f>
        <v>420</v>
      </c>
      <c r="O64" s="66">
        <f>DATABASE!P163</f>
        <v>0</v>
      </c>
      <c r="P64" s="66" t="str">
        <f>DATABASE!Q163</f>
        <v>AVAILABLE</v>
      </c>
      <c r="Q64" s="66">
        <f>DATABASE!R163</f>
        <v>540000</v>
      </c>
      <c r="R64" s="66">
        <f>DATABASE!S163</f>
        <v>540000</v>
      </c>
      <c r="S64" s="66">
        <f>DATABASE!T163</f>
        <v>1500000</v>
      </c>
      <c r="T64" s="66">
        <f>DATABASE!U163</f>
        <v>0</v>
      </c>
      <c r="U64" s="66">
        <f>DATABASE!V163</f>
        <v>0</v>
      </c>
      <c r="V64" s="66">
        <f>DATABASE!W163</f>
        <v>1500000</v>
      </c>
      <c r="W64" s="66">
        <f>DATABASE!X163</f>
        <v>0</v>
      </c>
      <c r="X64" s="66">
        <f>DATABASE!Y163</f>
        <v>1500000</v>
      </c>
      <c r="Y64" s="66">
        <f>DATABASE!Z163</f>
        <v>1500000</v>
      </c>
      <c r="Z64" s="66" t="e">
        <f>DATABASE!#REF!</f>
        <v>#REF!</v>
      </c>
      <c r="AA64" s="66">
        <f>DATABASE!AA163</f>
        <v>0</v>
      </c>
      <c r="AB64" s="67">
        <f>DATABASE!AB163</f>
        <v>46843</v>
      </c>
    </row>
    <row r="65" spans="1:28">
      <c r="A65" s="65" t="str">
        <f>DATABASE!A164</f>
        <v>Palmares - Plots</v>
      </c>
      <c r="B65" s="66" t="str">
        <f>DATABASE!B164</f>
        <v>Algarve</v>
      </c>
      <c r="C65" s="66" t="str">
        <f>DATABASE!C164</f>
        <v>94</v>
      </c>
      <c r="D65" s="66" t="str">
        <f>DATABASE!E164</f>
        <v>Plot</v>
      </c>
      <c r="E65" s="66">
        <f>DATABASE!F164</f>
        <v>420</v>
      </c>
      <c r="F65" s="66">
        <f>DATABASE!G164</f>
        <v>0</v>
      </c>
      <c r="G65" s="66" t="str">
        <f>DATABASE!H164</f>
        <v/>
      </c>
      <c r="H65" s="66" t="str">
        <f>DATABASE!I164</f>
        <v/>
      </c>
      <c r="I65" s="66">
        <f>DATABASE!J164</f>
        <v>0</v>
      </c>
      <c r="J65" s="66">
        <f>DATABASE!K164</f>
        <v>0</v>
      </c>
      <c r="K65" s="66">
        <f>DATABASE!L164</f>
        <v>0</v>
      </c>
      <c r="L65" s="66">
        <f>DATABASE!M164</f>
        <v>0</v>
      </c>
      <c r="M65" s="66">
        <f>DATABASE!N164</f>
        <v>0</v>
      </c>
      <c r="N65" s="66">
        <f>DATABASE!O164</f>
        <v>420</v>
      </c>
      <c r="O65" s="66">
        <f>DATABASE!P164</f>
        <v>0</v>
      </c>
      <c r="P65" s="66" t="str">
        <f>DATABASE!Q164</f>
        <v>AVAILABLE</v>
      </c>
      <c r="Q65" s="66">
        <f>DATABASE!R164</f>
        <v>540000</v>
      </c>
      <c r="R65" s="66">
        <f>DATABASE!S164</f>
        <v>540000</v>
      </c>
      <c r="S65" s="66">
        <f>DATABASE!T164</f>
        <v>1300000</v>
      </c>
      <c r="T65" s="66">
        <f>DATABASE!U164</f>
        <v>0</v>
      </c>
      <c r="U65" s="66">
        <f>DATABASE!V164</f>
        <v>0</v>
      </c>
      <c r="V65" s="66">
        <f>DATABASE!W164</f>
        <v>1300000</v>
      </c>
      <c r="W65" s="66">
        <f>DATABASE!X164</f>
        <v>0</v>
      </c>
      <c r="X65" s="66">
        <f>DATABASE!Y164</f>
        <v>1300000</v>
      </c>
      <c r="Y65" s="66">
        <f>DATABASE!Z164</f>
        <v>1300000</v>
      </c>
      <c r="Z65" s="66" t="e">
        <f>DATABASE!#REF!</f>
        <v>#REF!</v>
      </c>
      <c r="AA65" s="66">
        <f>DATABASE!AA164</f>
        <v>0</v>
      </c>
      <c r="AB65" s="67">
        <f>DATABASE!AB164</f>
        <v>46843</v>
      </c>
    </row>
    <row r="66" spans="1:28">
      <c r="A66" s="65" t="str">
        <f>DATABASE!A165</f>
        <v>Palmares - Signature Residences</v>
      </c>
      <c r="B66" s="66" t="str">
        <f>DATABASE!B165</f>
        <v>Algarve</v>
      </c>
      <c r="C66" s="66" t="str">
        <f>DATABASE!C165</f>
        <v>1A</v>
      </c>
      <c r="D66" s="66" t="str">
        <f>DATABASE!E165</f>
        <v>T1 + 1</v>
      </c>
      <c r="E66" s="66">
        <f>DATABASE!F165</f>
        <v>137.29</v>
      </c>
      <c r="F66" s="66">
        <f>DATABASE!G165</f>
        <v>0</v>
      </c>
      <c r="G66" s="66" t="str">
        <f>DATABASE!H165</f>
        <v/>
      </c>
      <c r="H66" s="66" t="str">
        <f>DATABASE!I165</f>
        <v>7.28</v>
      </c>
      <c r="I66" s="66">
        <f>DATABASE!J165</f>
        <v>0</v>
      </c>
      <c r="J66" s="66">
        <f>DATABASE!K165</f>
        <v>0</v>
      </c>
      <c r="K66" s="66">
        <f>DATABASE!L165</f>
        <v>0</v>
      </c>
      <c r="L66" s="66">
        <f>DATABASE!M165</f>
        <v>28.75</v>
      </c>
      <c r="M66" s="66">
        <f>DATABASE!N165</f>
        <v>0</v>
      </c>
      <c r="N66" s="66">
        <f>DATABASE!O165</f>
        <v>101.26</v>
      </c>
      <c r="O66" s="66">
        <f>DATABASE!P165</f>
        <v>0</v>
      </c>
      <c r="P66" s="66" t="str">
        <f>DATABASE!Q165</f>
        <v>RESERVED</v>
      </c>
      <c r="Q66" s="66">
        <f>DATABASE!R165</f>
        <v>820000</v>
      </c>
      <c r="R66" s="66">
        <f>DATABASE!S165</f>
        <v>820000</v>
      </c>
      <c r="S66" s="66">
        <f>DATABASE!T165</f>
        <v>820000</v>
      </c>
      <c r="T66" s="66">
        <f>DATABASE!U165</f>
        <v>0</v>
      </c>
      <c r="U66" s="66">
        <f>DATABASE!V165</f>
        <v>0</v>
      </c>
      <c r="V66" s="66">
        <f>DATABASE!W165</f>
        <v>820000</v>
      </c>
      <c r="W66" s="66">
        <f>DATABASE!X165</f>
        <v>0</v>
      </c>
      <c r="X66" s="66">
        <f>DATABASE!Y165</f>
        <v>820000</v>
      </c>
      <c r="Y66" s="66">
        <f>DATABASE!Z165</f>
        <v>820000</v>
      </c>
      <c r="Z66" s="66" t="e">
        <f>DATABASE!#REF!</f>
        <v>#REF!</v>
      </c>
      <c r="AA66" s="66">
        <f>DATABASE!AA165</f>
        <v>0</v>
      </c>
      <c r="AB66" s="67">
        <f>DATABASE!AB165</f>
        <v>46843</v>
      </c>
    </row>
    <row r="67" spans="1:28">
      <c r="A67" s="65" t="str">
        <f>DATABASE!A166</f>
        <v>Palmares - Signature Residences</v>
      </c>
      <c r="B67" s="66" t="str">
        <f>DATABASE!B166</f>
        <v>Algarve</v>
      </c>
      <c r="C67" s="66" t="str">
        <f>DATABASE!C166</f>
        <v>20D</v>
      </c>
      <c r="D67" s="66" t="str">
        <f>DATABASE!E166</f>
        <v>T2 + 1Duplex</v>
      </c>
      <c r="E67" s="66">
        <f>DATABASE!F166</f>
        <v>355.2</v>
      </c>
      <c r="F67" s="66">
        <f>DATABASE!G166</f>
        <v>0</v>
      </c>
      <c r="G67" s="66" t="str">
        <f>DATABASE!H166</f>
        <v/>
      </c>
      <c r="H67" s="66" t="str">
        <f>DATABASE!I166</f>
        <v>15.13</v>
      </c>
      <c r="I67" s="66">
        <f>DATABASE!J166</f>
        <v>0</v>
      </c>
      <c r="J67" s="66">
        <f>DATABASE!K166</f>
        <v>0</v>
      </c>
      <c r="K67" s="66">
        <f>DATABASE!L166</f>
        <v>0</v>
      </c>
      <c r="L67" s="66">
        <f>DATABASE!M166</f>
        <v>115.74</v>
      </c>
      <c r="M67" s="66">
        <f>DATABASE!N166</f>
        <v>0</v>
      </c>
      <c r="N67" s="66">
        <f>DATABASE!O166</f>
        <v>224.33</v>
      </c>
      <c r="O67" s="66">
        <f>DATABASE!P166</f>
        <v>0</v>
      </c>
      <c r="P67" s="66" t="str">
        <f>DATABASE!Q166</f>
        <v>AVAILABLE</v>
      </c>
      <c r="Q67" s="66">
        <f>DATABASE!R166</f>
        <v>2070000</v>
      </c>
      <c r="R67" s="66">
        <f>DATABASE!S166</f>
        <v>2070000</v>
      </c>
      <c r="S67" s="66">
        <f>DATABASE!T166</f>
        <v>2070000</v>
      </c>
      <c r="T67" s="66">
        <f>DATABASE!U166</f>
        <v>0</v>
      </c>
      <c r="U67" s="66">
        <f>DATABASE!V166</f>
        <v>0</v>
      </c>
      <c r="V67" s="66">
        <f>DATABASE!W166</f>
        <v>2070000</v>
      </c>
      <c r="W67" s="66">
        <f>DATABASE!X166</f>
        <v>0</v>
      </c>
      <c r="X67" s="66">
        <f>DATABASE!Y166</f>
        <v>2070000</v>
      </c>
      <c r="Y67" s="66">
        <f>DATABASE!Z166</f>
        <v>2070000</v>
      </c>
      <c r="Z67" s="66" t="e">
        <f>DATABASE!#REF!</f>
        <v>#REF!</v>
      </c>
      <c r="AA67" s="66">
        <f>DATABASE!AA166</f>
        <v>0</v>
      </c>
      <c r="AB67" s="67">
        <f>DATABASE!AB166</f>
        <v>46843</v>
      </c>
    </row>
    <row r="68" spans="1:28">
      <c r="A68" s="65" t="str">
        <f>DATABASE!A167</f>
        <v>Palmares - Signature Residences</v>
      </c>
      <c r="B68" s="66" t="str">
        <f>DATABASE!B167</f>
        <v>Algarve</v>
      </c>
      <c r="C68" s="66" t="str">
        <f>DATABASE!C167</f>
        <v>21D</v>
      </c>
      <c r="D68" s="66" t="str">
        <f>DATABASE!E167</f>
        <v>T2 + 1Duplex</v>
      </c>
      <c r="E68" s="66">
        <f>DATABASE!F167</f>
        <v>363.7</v>
      </c>
      <c r="F68" s="66">
        <f>DATABASE!G167</f>
        <v>0</v>
      </c>
      <c r="G68" s="66" t="str">
        <f>DATABASE!H167</f>
        <v/>
      </c>
      <c r="H68" s="66" t="str">
        <f>DATABASE!I167</f>
        <v>15.31</v>
      </c>
      <c r="I68" s="66">
        <f>DATABASE!J167</f>
        <v>0</v>
      </c>
      <c r="J68" s="66">
        <f>DATABASE!K167</f>
        <v>0</v>
      </c>
      <c r="K68" s="66">
        <f>DATABASE!L167</f>
        <v>0</v>
      </c>
      <c r="L68" s="66">
        <f>DATABASE!M167</f>
        <v>124.56</v>
      </c>
      <c r="M68" s="66">
        <f>DATABASE!N167</f>
        <v>0</v>
      </c>
      <c r="N68" s="66">
        <f>DATABASE!O167</f>
        <v>223.83</v>
      </c>
      <c r="O68" s="66">
        <f>DATABASE!P167</f>
        <v>0</v>
      </c>
      <c r="P68" s="66" t="str">
        <f>DATABASE!Q167</f>
        <v>AVAILABLE</v>
      </c>
      <c r="Q68" s="66">
        <f>DATABASE!R167</f>
        <v>2050000</v>
      </c>
      <c r="R68" s="66">
        <f>DATABASE!S167</f>
        <v>2050000</v>
      </c>
      <c r="S68" s="66">
        <f>DATABASE!T167</f>
        <v>2050000</v>
      </c>
      <c r="T68" s="66">
        <f>DATABASE!U167</f>
        <v>0</v>
      </c>
      <c r="U68" s="66">
        <f>DATABASE!V167</f>
        <v>0</v>
      </c>
      <c r="V68" s="66">
        <f>DATABASE!W167</f>
        <v>2050000</v>
      </c>
      <c r="W68" s="66">
        <f>DATABASE!X167</f>
        <v>0</v>
      </c>
      <c r="X68" s="66">
        <f>DATABASE!Y167</f>
        <v>2050000</v>
      </c>
      <c r="Y68" s="66">
        <f>DATABASE!Z167</f>
        <v>2050000</v>
      </c>
      <c r="Z68" s="66" t="e">
        <f>DATABASE!#REF!</f>
        <v>#REF!</v>
      </c>
      <c r="AA68" s="66">
        <f>DATABASE!AA167</f>
        <v>0</v>
      </c>
      <c r="AB68" s="67">
        <f>DATABASE!AB167</f>
        <v>46843</v>
      </c>
    </row>
    <row r="69" spans="1:28">
      <c r="A69" s="65" t="str">
        <f>DATABASE!A168</f>
        <v>Palmares - Signature Residences</v>
      </c>
      <c r="B69" s="66" t="str">
        <f>DATABASE!B168</f>
        <v>Algarve</v>
      </c>
      <c r="C69" s="66" t="str">
        <f>DATABASE!C168</f>
        <v>22D</v>
      </c>
      <c r="D69" s="66" t="str">
        <f>DATABASE!E168</f>
        <v>T2 + 1Duplex</v>
      </c>
      <c r="E69" s="66">
        <f>DATABASE!F168</f>
        <v>355.14</v>
      </c>
      <c r="F69" s="66">
        <f>DATABASE!G168</f>
        <v>0</v>
      </c>
      <c r="G69" s="66" t="str">
        <f>DATABASE!H168</f>
        <v/>
      </c>
      <c r="H69" s="66" t="str">
        <f>DATABASE!I168</f>
        <v>15.13</v>
      </c>
      <c r="I69" s="66">
        <f>DATABASE!J168</f>
        <v>0</v>
      </c>
      <c r="J69" s="66">
        <f>DATABASE!K168</f>
        <v>0</v>
      </c>
      <c r="K69" s="66">
        <f>DATABASE!L168</f>
        <v>0</v>
      </c>
      <c r="L69" s="66">
        <f>DATABASE!M168</f>
        <v>115.74</v>
      </c>
      <c r="M69" s="66">
        <f>DATABASE!N168</f>
        <v>0</v>
      </c>
      <c r="N69" s="66">
        <f>DATABASE!O168</f>
        <v>224.27</v>
      </c>
      <c r="O69" s="66">
        <f>DATABASE!P168</f>
        <v>0</v>
      </c>
      <c r="P69" s="66" t="str">
        <f>DATABASE!Q168</f>
        <v>AVAILABLE</v>
      </c>
      <c r="Q69" s="66">
        <f>DATABASE!R168</f>
        <v>2040000</v>
      </c>
      <c r="R69" s="66">
        <f>DATABASE!S168</f>
        <v>2040000</v>
      </c>
      <c r="S69" s="66">
        <f>DATABASE!T168</f>
        <v>2040000</v>
      </c>
      <c r="T69" s="66">
        <f>DATABASE!U168</f>
        <v>0</v>
      </c>
      <c r="U69" s="66">
        <f>DATABASE!V168</f>
        <v>0</v>
      </c>
      <c r="V69" s="66">
        <f>DATABASE!W168</f>
        <v>2040000</v>
      </c>
      <c r="W69" s="66">
        <f>DATABASE!X168</f>
        <v>0</v>
      </c>
      <c r="X69" s="66">
        <f>DATABASE!Y168</f>
        <v>2040000</v>
      </c>
      <c r="Y69" s="66">
        <f>DATABASE!Z168</f>
        <v>2040000</v>
      </c>
      <c r="Z69" s="66" t="e">
        <f>DATABASE!#REF!</f>
        <v>#REF!</v>
      </c>
      <c r="AA69" s="66">
        <f>DATABASE!AA168</f>
        <v>0</v>
      </c>
      <c r="AB69" s="67">
        <f>DATABASE!AB168</f>
        <v>46843</v>
      </c>
    </row>
    <row r="70" spans="1:28">
      <c r="A70" s="65" t="str">
        <f>DATABASE!A169</f>
        <v>Palmares - Signature Residences</v>
      </c>
      <c r="B70" s="66" t="str">
        <f>DATABASE!B169</f>
        <v>Algarve</v>
      </c>
      <c r="C70" s="66" t="str">
        <f>DATABASE!C169</f>
        <v>23D</v>
      </c>
      <c r="D70" s="66" t="str">
        <f>DATABASE!E169</f>
        <v>T2 + 1 Duplex</v>
      </c>
      <c r="E70" s="66">
        <f>DATABASE!F169</f>
        <v>396.94</v>
      </c>
      <c r="F70" s="66">
        <f>DATABASE!G169</f>
        <v>0</v>
      </c>
      <c r="G70" s="66" t="str">
        <f>DATABASE!H169</f>
        <v/>
      </c>
      <c r="H70" s="66" t="str">
        <f>DATABASE!I169</f>
        <v>15.34</v>
      </c>
      <c r="I70" s="66">
        <f>DATABASE!J169</f>
        <v>0</v>
      </c>
      <c r="J70" s="66">
        <f>DATABASE!K169</f>
        <v>0</v>
      </c>
      <c r="K70" s="66">
        <f>DATABASE!L169</f>
        <v>0</v>
      </c>
      <c r="L70" s="66">
        <f>DATABASE!M169</f>
        <v>146.99</v>
      </c>
      <c r="M70" s="66">
        <f>DATABASE!N169</f>
        <v>0</v>
      </c>
      <c r="N70" s="66">
        <f>DATABASE!O169</f>
        <v>234.61</v>
      </c>
      <c r="O70" s="66">
        <f>DATABASE!P169</f>
        <v>0</v>
      </c>
      <c r="P70" s="66" t="str">
        <f>DATABASE!Q169</f>
        <v>AVAILABLE</v>
      </c>
      <c r="Q70" s="66">
        <f>DATABASE!R169</f>
        <v>2040000</v>
      </c>
      <c r="R70" s="66">
        <f>DATABASE!S169</f>
        <v>2040000</v>
      </c>
      <c r="S70" s="66">
        <f>DATABASE!T169</f>
        <v>2040000</v>
      </c>
      <c r="T70" s="66">
        <f>DATABASE!U169</f>
        <v>0</v>
      </c>
      <c r="U70" s="66">
        <f>DATABASE!V169</f>
        <v>0</v>
      </c>
      <c r="V70" s="66">
        <f>DATABASE!W169</f>
        <v>2040000</v>
      </c>
      <c r="W70" s="66">
        <f>DATABASE!X169</f>
        <v>0</v>
      </c>
      <c r="X70" s="66">
        <f>DATABASE!Y169</f>
        <v>2040000</v>
      </c>
      <c r="Y70" s="66">
        <f>DATABASE!Z169</f>
        <v>2040000</v>
      </c>
      <c r="Z70" s="66" t="e">
        <f>DATABASE!#REF!</f>
        <v>#REF!</v>
      </c>
      <c r="AA70" s="66">
        <f>DATABASE!AA169</f>
        <v>0</v>
      </c>
      <c r="AB70" s="67">
        <f>DATABASE!AB169</f>
        <v>46843</v>
      </c>
    </row>
    <row r="71" spans="1:28">
      <c r="A71" s="65" t="str">
        <f>DATABASE!A170</f>
        <v>ELS</v>
      </c>
      <c r="B71" s="66" t="str">
        <f>DATABASE!B170</f>
        <v>Vilamoura</v>
      </c>
      <c r="C71" s="66" t="str">
        <f>DATABASE!C170</f>
        <v>16</v>
      </c>
      <c r="D71" s="66" t="str">
        <f>DATABASE!E170</f>
        <v>Plot</v>
      </c>
      <c r="E71" s="66">
        <f>DATABASE!F170</f>
        <v>480</v>
      </c>
      <c r="F71" s="66">
        <f>DATABASE!G170</f>
        <v>0</v>
      </c>
      <c r="G71" s="66" t="str">
        <f>DATABASE!H170</f>
        <v/>
      </c>
      <c r="H71" s="66" t="str">
        <f>DATABASE!I170</f>
        <v/>
      </c>
      <c r="I71" s="66">
        <f>DATABASE!J170</f>
        <v>0</v>
      </c>
      <c r="J71" s="66">
        <f>DATABASE!K170</f>
        <v>0</v>
      </c>
      <c r="K71" s="66">
        <f>DATABASE!L170</f>
        <v>0</v>
      </c>
      <c r="L71" s="66">
        <f>DATABASE!M170</f>
        <v>0</v>
      </c>
      <c r="M71" s="66">
        <f>DATABASE!N170</f>
        <v>0</v>
      </c>
      <c r="N71" s="66">
        <f>DATABASE!O170</f>
        <v>480</v>
      </c>
      <c r="O71" s="66">
        <f>DATABASE!P170</f>
        <v>0</v>
      </c>
      <c r="P71" s="66" t="str">
        <f>DATABASE!Q170</f>
        <v>AVAILABLE</v>
      </c>
      <c r="Q71" s="66">
        <f>DATABASE!R170</f>
        <v>3120000</v>
      </c>
      <c r="R71" s="66">
        <f>DATABASE!S170</f>
        <v>3120000</v>
      </c>
      <c r="S71" s="66">
        <f>DATABASE!T170</f>
        <v>2160000</v>
      </c>
      <c r="T71" s="66">
        <f>DATABASE!U170</f>
        <v>0</v>
      </c>
      <c r="U71" s="66">
        <f>DATABASE!V170</f>
        <v>0</v>
      </c>
      <c r="V71" s="66">
        <f>DATABASE!W170</f>
        <v>2160000</v>
      </c>
      <c r="W71" s="66">
        <f>DATABASE!X170</f>
        <v>0</v>
      </c>
      <c r="X71" s="66">
        <f>DATABASE!Y170</f>
        <v>2160000</v>
      </c>
      <c r="Y71" s="66">
        <f>DATABASE!Z170</f>
        <v>2160000</v>
      </c>
      <c r="Z71" s="66" t="e">
        <f>DATABASE!#REF!</f>
        <v>#REF!</v>
      </c>
      <c r="AA71" s="66">
        <f>DATABASE!AA170</f>
        <v>0</v>
      </c>
      <c r="AB71" s="67">
        <f>DATABASE!AB170</f>
        <v>0</v>
      </c>
    </row>
    <row r="72" spans="1:28">
      <c r="A72" s="65" t="str">
        <f>DATABASE!A171</f>
        <v>MOURAGOLFE</v>
      </c>
      <c r="B72" s="66" t="str">
        <f>DATABASE!B171</f>
        <v>Vilamoura</v>
      </c>
      <c r="C72" s="66" t="str">
        <f>DATABASE!C171</f>
        <v>16</v>
      </c>
      <c r="D72" s="66" t="str">
        <f>DATABASE!E171</f>
        <v>Plot</v>
      </c>
      <c r="E72" s="66">
        <f>DATABASE!F171</f>
        <v>245</v>
      </c>
      <c r="F72" s="66">
        <f>DATABASE!G171</f>
        <v>0</v>
      </c>
      <c r="G72" s="66" t="str">
        <f>DATABASE!H171</f>
        <v/>
      </c>
      <c r="H72" s="66" t="str">
        <f>DATABASE!I171</f>
        <v/>
      </c>
      <c r="I72" s="66">
        <f>DATABASE!J171</f>
        <v>0</v>
      </c>
      <c r="J72" s="66">
        <f>DATABASE!K171</f>
        <v>0</v>
      </c>
      <c r="K72" s="66">
        <f>DATABASE!L171</f>
        <v>0</v>
      </c>
      <c r="L72" s="66">
        <f>DATABASE!M171</f>
        <v>0</v>
      </c>
      <c r="M72" s="66">
        <f>DATABASE!N171</f>
        <v>0</v>
      </c>
      <c r="N72" s="66">
        <f>DATABASE!O171</f>
        <v>245</v>
      </c>
      <c r="O72" s="66">
        <f>DATABASE!P171</f>
        <v>0</v>
      </c>
      <c r="P72" s="66" t="str">
        <f>DATABASE!Q171</f>
        <v xml:space="preserve">DEED </v>
      </c>
      <c r="Q72" s="66">
        <f>DATABASE!R171</f>
        <v>470000</v>
      </c>
      <c r="R72" s="66">
        <f>DATABASE!S171</f>
        <v>470000</v>
      </c>
      <c r="S72" s="66">
        <f>DATABASE!T171</f>
        <v>517000</v>
      </c>
      <c r="T72" s="66">
        <f>DATABASE!U171</f>
        <v>0</v>
      </c>
      <c r="U72" s="66">
        <f>DATABASE!V171</f>
        <v>0</v>
      </c>
      <c r="V72" s="66">
        <f>DATABASE!W171</f>
        <v>517000</v>
      </c>
      <c r="W72" s="66">
        <f>DATABASE!X171</f>
        <v>0</v>
      </c>
      <c r="X72" s="66">
        <f>DATABASE!Y171</f>
        <v>517000</v>
      </c>
      <c r="Y72" s="66">
        <f>DATABASE!Z171</f>
        <v>517000</v>
      </c>
      <c r="Z72" s="66" t="e">
        <f>DATABASE!#REF!</f>
        <v>#REF!</v>
      </c>
      <c r="AA72" s="66">
        <f>DATABASE!AA171</f>
        <v>45223</v>
      </c>
      <c r="AB72" s="67">
        <f>DATABASE!AB171</f>
        <v>0</v>
      </c>
    </row>
    <row r="73" spans="1:28">
      <c r="A73" s="65" t="str">
        <f>DATABASE!A172</f>
        <v>THE UNCOMMON</v>
      </c>
      <c r="B73" s="66" t="str">
        <f>DATABASE!B172</f>
        <v>Vilamoura</v>
      </c>
      <c r="C73" s="66" t="str">
        <f>DATABASE!C172</f>
        <v>16</v>
      </c>
      <c r="D73" s="66" t="str">
        <f>DATABASE!E172</f>
        <v>T3</v>
      </c>
      <c r="E73" s="66">
        <f>DATABASE!F172</f>
        <v>200.9</v>
      </c>
      <c r="F73" s="66">
        <f>DATABASE!G172</f>
        <v>0</v>
      </c>
      <c r="G73" s="66" t="str">
        <f>DATABASE!H172</f>
        <v>1</v>
      </c>
      <c r="H73" s="66" t="str">
        <f>DATABASE!I172</f>
        <v/>
      </c>
      <c r="I73" s="66">
        <f>DATABASE!J172</f>
        <v>49</v>
      </c>
      <c r="J73" s="66">
        <f>DATABASE!K172</f>
        <v>0</v>
      </c>
      <c r="K73" s="66">
        <f>DATABASE!L172</f>
        <v>0</v>
      </c>
      <c r="L73" s="66">
        <f>DATABASE!M172</f>
        <v>0</v>
      </c>
      <c r="M73" s="66">
        <f>DATABASE!N172</f>
        <v>0</v>
      </c>
      <c r="N73" s="66">
        <f>DATABASE!O172</f>
        <v>151.9</v>
      </c>
      <c r="O73" s="66">
        <f>DATABASE!P172</f>
        <v>0</v>
      </c>
      <c r="P73" s="66" t="str">
        <f>DATABASE!Q172</f>
        <v>AVAILABLE</v>
      </c>
      <c r="Q73" s="66">
        <f>DATABASE!R172</f>
        <v>1930000</v>
      </c>
      <c r="R73" s="66">
        <f>DATABASE!S172</f>
        <v>2010000</v>
      </c>
      <c r="S73" s="66">
        <f>DATABASE!T172</f>
        <v>2090000</v>
      </c>
      <c r="T73" s="66">
        <f>DATABASE!U172</f>
        <v>50000</v>
      </c>
      <c r="U73" s="66">
        <f>DATABASE!V172</f>
        <v>30000</v>
      </c>
      <c r="V73" s="66">
        <f>DATABASE!W172</f>
        <v>2010000</v>
      </c>
      <c r="W73" s="66">
        <f>DATABASE!X172</f>
        <v>0</v>
      </c>
      <c r="X73" s="66">
        <f>DATABASE!Y172</f>
        <v>2090000</v>
      </c>
      <c r="Y73" s="66">
        <f>DATABASE!Z172</f>
        <v>2010000</v>
      </c>
      <c r="Z73" s="66" t="e">
        <f>DATABASE!#REF!</f>
        <v>#REF!</v>
      </c>
      <c r="AA73" s="66">
        <f>DATABASE!AA172</f>
        <v>0</v>
      </c>
      <c r="AB73" s="67">
        <f>DATABASE!AB172</f>
        <v>0</v>
      </c>
    </row>
    <row r="74" spans="1:28">
      <c r="A74" s="65" t="str">
        <f>DATABASE!A173</f>
        <v>ELS</v>
      </c>
      <c r="B74" s="66" t="str">
        <f>DATABASE!B173</f>
        <v>Vilamoura</v>
      </c>
      <c r="C74" s="66" t="str">
        <f>DATABASE!C173</f>
        <v>17</v>
      </c>
      <c r="D74" s="66" t="str">
        <f>DATABASE!E173</f>
        <v>Plot</v>
      </c>
      <c r="E74" s="66">
        <f>DATABASE!F173</f>
        <v>220</v>
      </c>
      <c r="F74" s="66">
        <f>DATABASE!G173</f>
        <v>0</v>
      </c>
      <c r="G74" s="66" t="str">
        <f>DATABASE!H173</f>
        <v/>
      </c>
      <c r="H74" s="66" t="str">
        <f>DATABASE!I173</f>
        <v/>
      </c>
      <c r="I74" s="66">
        <f>DATABASE!J173</f>
        <v>0</v>
      </c>
      <c r="J74" s="66">
        <f>DATABASE!K173</f>
        <v>0</v>
      </c>
      <c r="K74" s="66">
        <f>DATABASE!L173</f>
        <v>0</v>
      </c>
      <c r="L74" s="66">
        <f>DATABASE!M173</f>
        <v>0</v>
      </c>
      <c r="M74" s="66">
        <f>DATABASE!N173</f>
        <v>0</v>
      </c>
      <c r="N74" s="66">
        <f>DATABASE!O173</f>
        <v>220</v>
      </c>
      <c r="O74" s="66">
        <f>DATABASE!P173</f>
        <v>0</v>
      </c>
      <c r="P74" s="66" t="str">
        <f>DATABASE!Q173</f>
        <v>AVAILABLE</v>
      </c>
      <c r="Q74" s="66">
        <f>DATABASE!R173</f>
        <v>3100000</v>
      </c>
      <c r="R74" s="66">
        <f>DATABASE!S173</f>
        <v>3100000</v>
      </c>
      <c r="S74" s="66">
        <f>DATABASE!T173</f>
        <v>980000</v>
      </c>
      <c r="T74" s="66">
        <f>DATABASE!U173</f>
        <v>0</v>
      </c>
      <c r="U74" s="66">
        <f>DATABASE!V173</f>
        <v>0</v>
      </c>
      <c r="V74" s="66">
        <f>DATABASE!W173</f>
        <v>980000</v>
      </c>
      <c r="W74" s="66">
        <f>DATABASE!X173</f>
        <v>0</v>
      </c>
      <c r="X74" s="66">
        <f>DATABASE!Y173</f>
        <v>980000</v>
      </c>
      <c r="Y74" s="66">
        <f>DATABASE!Z173</f>
        <v>980000</v>
      </c>
      <c r="Z74" s="66" t="e">
        <f>DATABASE!#REF!</f>
        <v>#REF!</v>
      </c>
      <c r="AA74" s="66">
        <f>DATABASE!AA173</f>
        <v>0</v>
      </c>
      <c r="AB74" s="67">
        <f>DATABASE!AB173</f>
        <v>0</v>
      </c>
    </row>
    <row r="75" spans="1:28">
      <c r="A75" s="65" t="str">
        <f>DATABASE!A174</f>
        <v>MOURAGOLFE</v>
      </c>
      <c r="B75" s="66" t="str">
        <f>DATABASE!B174</f>
        <v>Vilamoura</v>
      </c>
      <c r="C75" s="66" t="str">
        <f>DATABASE!C174</f>
        <v>17</v>
      </c>
      <c r="D75" s="66" t="str">
        <f>DATABASE!E174</f>
        <v>Plot</v>
      </c>
      <c r="E75" s="66">
        <f>DATABASE!F174</f>
        <v>245</v>
      </c>
      <c r="F75" s="66">
        <f>DATABASE!G174</f>
        <v>0</v>
      </c>
      <c r="G75" s="66" t="str">
        <f>DATABASE!H174</f>
        <v/>
      </c>
      <c r="H75" s="66" t="str">
        <f>DATABASE!I174</f>
        <v/>
      </c>
      <c r="I75" s="66">
        <f>DATABASE!J174</f>
        <v>0</v>
      </c>
      <c r="J75" s="66">
        <f>DATABASE!K174</f>
        <v>0</v>
      </c>
      <c r="K75" s="66">
        <f>DATABASE!L174</f>
        <v>0</v>
      </c>
      <c r="L75" s="66">
        <f>DATABASE!M174</f>
        <v>0</v>
      </c>
      <c r="M75" s="66">
        <f>DATABASE!N174</f>
        <v>0</v>
      </c>
      <c r="N75" s="66">
        <f>DATABASE!O174</f>
        <v>245</v>
      </c>
      <c r="O75" s="66">
        <f>DATABASE!P174</f>
        <v>0</v>
      </c>
      <c r="P75" s="66" t="str">
        <f>DATABASE!Q174</f>
        <v xml:space="preserve">DEED </v>
      </c>
      <c r="Q75" s="66">
        <f>DATABASE!R174</f>
        <v>470000</v>
      </c>
      <c r="R75" s="66">
        <f>DATABASE!S174</f>
        <v>470000</v>
      </c>
      <c r="S75" s="66">
        <f>DATABASE!T174</f>
        <v>517000</v>
      </c>
      <c r="T75" s="66">
        <f>DATABASE!U174</f>
        <v>0</v>
      </c>
      <c r="U75" s="66">
        <f>DATABASE!V174</f>
        <v>0</v>
      </c>
      <c r="V75" s="66">
        <f>DATABASE!W174</f>
        <v>517000</v>
      </c>
      <c r="W75" s="66">
        <f>DATABASE!X174</f>
        <v>0</v>
      </c>
      <c r="X75" s="66">
        <f>DATABASE!Y174</f>
        <v>517000</v>
      </c>
      <c r="Y75" s="66">
        <f>DATABASE!Z174</f>
        <v>517000</v>
      </c>
      <c r="Z75" s="66" t="e">
        <f>DATABASE!#REF!</f>
        <v>#REF!</v>
      </c>
      <c r="AA75" s="66">
        <f>DATABASE!AA174</f>
        <v>45223</v>
      </c>
      <c r="AB75" s="67">
        <f>DATABASE!AB174</f>
        <v>0</v>
      </c>
    </row>
    <row r="76" spans="1:28">
      <c r="A76" s="65" t="str">
        <f>DATABASE!A175</f>
        <v>ELS</v>
      </c>
      <c r="B76" s="66" t="str">
        <f>DATABASE!B175</f>
        <v>Vilamoura</v>
      </c>
      <c r="C76" s="66" t="str">
        <f>DATABASE!C175</f>
        <v>18</v>
      </c>
      <c r="D76" s="66" t="str">
        <f>DATABASE!E175</f>
        <v>Plot</v>
      </c>
      <c r="E76" s="66">
        <f>DATABASE!F175</f>
        <v>220</v>
      </c>
      <c r="F76" s="66">
        <f>DATABASE!G175</f>
        <v>0</v>
      </c>
      <c r="G76" s="66" t="str">
        <f>DATABASE!H175</f>
        <v/>
      </c>
      <c r="H76" s="66" t="str">
        <f>DATABASE!I175</f>
        <v/>
      </c>
      <c r="I76" s="66">
        <f>DATABASE!J175</f>
        <v>0</v>
      </c>
      <c r="J76" s="66">
        <f>DATABASE!K175</f>
        <v>0</v>
      </c>
      <c r="K76" s="66">
        <f>DATABASE!L175</f>
        <v>0</v>
      </c>
      <c r="L76" s="66">
        <f>DATABASE!M175</f>
        <v>0</v>
      </c>
      <c r="M76" s="66">
        <f>DATABASE!N175</f>
        <v>0</v>
      </c>
      <c r="N76" s="66">
        <f>DATABASE!O175</f>
        <v>220</v>
      </c>
      <c r="O76" s="66">
        <f>DATABASE!P175</f>
        <v>0</v>
      </c>
      <c r="P76" s="66" t="str">
        <f>DATABASE!Q175</f>
        <v>AVAILABLE</v>
      </c>
      <c r="Q76" s="66">
        <f>DATABASE!R175</f>
        <v>2790000</v>
      </c>
      <c r="R76" s="66">
        <f>DATABASE!S175</f>
        <v>2790000</v>
      </c>
      <c r="S76" s="66">
        <f>DATABASE!T175</f>
        <v>990000</v>
      </c>
      <c r="T76" s="66">
        <f>DATABASE!U175</f>
        <v>0</v>
      </c>
      <c r="U76" s="66">
        <f>DATABASE!V175</f>
        <v>0</v>
      </c>
      <c r="V76" s="66">
        <f>DATABASE!W175</f>
        <v>990000</v>
      </c>
      <c r="W76" s="66">
        <f>DATABASE!X175</f>
        <v>0</v>
      </c>
      <c r="X76" s="66">
        <f>DATABASE!Y175</f>
        <v>990000</v>
      </c>
      <c r="Y76" s="66">
        <f>DATABASE!Z175</f>
        <v>990000</v>
      </c>
      <c r="Z76" s="66" t="e">
        <f>DATABASE!#REF!</f>
        <v>#REF!</v>
      </c>
      <c r="AA76" s="66">
        <f>DATABASE!AA175</f>
        <v>0</v>
      </c>
      <c r="AB76" s="67">
        <f>DATABASE!AB175</f>
        <v>0</v>
      </c>
    </row>
    <row r="77" spans="1:28">
      <c r="A77" s="65" t="str">
        <f>DATABASE!A176</f>
        <v>Palmares - Signature Residences</v>
      </c>
      <c r="B77" s="66" t="str">
        <f>DATABASE!B176</f>
        <v>Algarve</v>
      </c>
      <c r="C77" s="66" t="str">
        <f>DATABASE!C176</f>
        <v>24D</v>
      </c>
      <c r="D77" s="66" t="str">
        <f>DATABASE!E176</f>
        <v>T2  Simplex</v>
      </c>
      <c r="E77" s="66">
        <f>DATABASE!F176</f>
        <v>240.78</v>
      </c>
      <c r="F77" s="66">
        <f>DATABASE!G176</f>
        <v>0</v>
      </c>
      <c r="G77" s="66" t="str">
        <f>DATABASE!H176</f>
        <v/>
      </c>
      <c r="H77" s="66" t="str">
        <f>DATABASE!I176</f>
        <v>16.38</v>
      </c>
      <c r="I77" s="66">
        <f>DATABASE!J176</f>
        <v>0</v>
      </c>
      <c r="J77" s="66">
        <f>DATABASE!K176</f>
        <v>0</v>
      </c>
      <c r="K77" s="66">
        <f>DATABASE!L176</f>
        <v>0</v>
      </c>
      <c r="L77" s="66">
        <f>DATABASE!M176</f>
        <v>75.489999999999995</v>
      </c>
      <c r="M77" s="66">
        <f>DATABASE!N176</f>
        <v>0</v>
      </c>
      <c r="N77" s="66">
        <f>DATABASE!O176</f>
        <v>148.91</v>
      </c>
      <c r="O77" s="66">
        <f>DATABASE!P176</f>
        <v>0</v>
      </c>
      <c r="P77" s="66" t="str">
        <f>DATABASE!Q176</f>
        <v>AVAILABLE</v>
      </c>
      <c r="Q77" s="66">
        <f>DATABASE!R176</f>
        <v>1430000</v>
      </c>
      <c r="R77" s="66">
        <f>DATABASE!S176</f>
        <v>1430000</v>
      </c>
      <c r="S77" s="66">
        <f>DATABASE!T176</f>
        <v>1430000</v>
      </c>
      <c r="T77" s="66">
        <f>DATABASE!U176</f>
        <v>0</v>
      </c>
      <c r="U77" s="66">
        <f>DATABASE!V176</f>
        <v>0</v>
      </c>
      <c r="V77" s="66">
        <f>DATABASE!W176</f>
        <v>1430000</v>
      </c>
      <c r="W77" s="66">
        <f>DATABASE!X176</f>
        <v>0</v>
      </c>
      <c r="X77" s="66">
        <f>DATABASE!Y176</f>
        <v>1430000</v>
      </c>
      <c r="Y77" s="66">
        <f>DATABASE!Z176</f>
        <v>1430000</v>
      </c>
      <c r="Z77" s="66" t="e">
        <f>DATABASE!#REF!</f>
        <v>#REF!</v>
      </c>
      <c r="AA77" s="66">
        <f>DATABASE!AA176</f>
        <v>0</v>
      </c>
      <c r="AB77" s="67">
        <f>DATABASE!AB176</f>
        <v>46843</v>
      </c>
    </row>
    <row r="78" spans="1:28">
      <c r="A78" s="65" t="str">
        <f>DATABASE!A177</f>
        <v>Palmares - Signature Residences</v>
      </c>
      <c r="B78" s="66" t="str">
        <f>DATABASE!B177</f>
        <v>Algarve</v>
      </c>
      <c r="C78" s="66" t="str">
        <f>DATABASE!C177</f>
        <v>25E</v>
      </c>
      <c r="D78" s="66" t="str">
        <f>DATABASE!E177</f>
        <v>T3 + 1  Simplex</v>
      </c>
      <c r="E78" s="66">
        <f>DATABASE!F177</f>
        <v>447.28</v>
      </c>
      <c r="F78" s="66">
        <f>DATABASE!G177</f>
        <v>0</v>
      </c>
      <c r="G78" s="66" t="str">
        <f>DATABASE!H177</f>
        <v/>
      </c>
      <c r="H78" s="66" t="str">
        <f>DATABASE!I177</f>
        <v>32.8</v>
      </c>
      <c r="I78" s="66">
        <f>DATABASE!J177</f>
        <v>0</v>
      </c>
      <c r="J78" s="66">
        <f>DATABASE!K177</f>
        <v>0</v>
      </c>
      <c r="K78" s="66">
        <f>DATABASE!L177</f>
        <v>0</v>
      </c>
      <c r="L78" s="66">
        <f>DATABASE!M177</f>
        <v>110.49</v>
      </c>
      <c r="M78" s="66">
        <f>DATABASE!N177</f>
        <v>0</v>
      </c>
      <c r="N78" s="66">
        <f>DATABASE!O177</f>
        <v>303.99</v>
      </c>
      <c r="O78" s="66">
        <f>DATABASE!P177</f>
        <v>0</v>
      </c>
      <c r="P78" s="66" t="str">
        <f>DATABASE!Q177</f>
        <v>AVAILABLE</v>
      </c>
      <c r="Q78" s="66">
        <f>DATABASE!R177</f>
        <v>3060000</v>
      </c>
      <c r="R78" s="66">
        <f>DATABASE!S177</f>
        <v>3060000</v>
      </c>
      <c r="S78" s="66">
        <f>DATABASE!T177</f>
        <v>3060000</v>
      </c>
      <c r="T78" s="66">
        <f>DATABASE!U177</f>
        <v>0</v>
      </c>
      <c r="U78" s="66">
        <f>DATABASE!V177</f>
        <v>0</v>
      </c>
      <c r="V78" s="66">
        <f>DATABASE!W177</f>
        <v>3060000</v>
      </c>
      <c r="W78" s="66">
        <f>DATABASE!X177</f>
        <v>0</v>
      </c>
      <c r="X78" s="66">
        <f>DATABASE!Y177</f>
        <v>3060000</v>
      </c>
      <c r="Y78" s="66">
        <f>DATABASE!Z177</f>
        <v>3060000</v>
      </c>
      <c r="Z78" s="66" t="e">
        <f>DATABASE!#REF!</f>
        <v>#REF!</v>
      </c>
      <c r="AA78" s="66">
        <f>DATABASE!AA177</f>
        <v>0</v>
      </c>
      <c r="AB78" s="67">
        <f>DATABASE!AB177</f>
        <v>46843</v>
      </c>
    </row>
    <row r="79" spans="1:28">
      <c r="A79" s="65" t="str">
        <f>DATABASE!A178</f>
        <v>Palmares - Signature Residences</v>
      </c>
      <c r="B79" s="66" t="str">
        <f>DATABASE!B178</f>
        <v>Algarve</v>
      </c>
      <c r="C79" s="66" t="str">
        <f>DATABASE!C178</f>
        <v>26E</v>
      </c>
      <c r="D79" s="66" t="str">
        <f>DATABASE!E178</f>
        <v>T3 + 1  Simplex</v>
      </c>
      <c r="E79" s="66">
        <f>DATABASE!F178</f>
        <v>447.28</v>
      </c>
      <c r="F79" s="66">
        <f>DATABASE!G178</f>
        <v>0</v>
      </c>
      <c r="G79" s="66" t="str">
        <f>DATABASE!H178</f>
        <v/>
      </c>
      <c r="H79" s="66" t="str">
        <f>DATABASE!I178</f>
        <v>32.8</v>
      </c>
      <c r="I79" s="66">
        <f>DATABASE!J178</f>
        <v>0</v>
      </c>
      <c r="J79" s="66">
        <f>DATABASE!K178</f>
        <v>0</v>
      </c>
      <c r="K79" s="66">
        <f>DATABASE!L178</f>
        <v>0</v>
      </c>
      <c r="L79" s="66">
        <f>DATABASE!M178</f>
        <v>110.49</v>
      </c>
      <c r="M79" s="66">
        <f>DATABASE!N178</f>
        <v>0</v>
      </c>
      <c r="N79" s="66">
        <f>DATABASE!O178</f>
        <v>303.99</v>
      </c>
      <c r="O79" s="66">
        <f>DATABASE!P178</f>
        <v>0</v>
      </c>
      <c r="P79" s="66" t="str">
        <f>DATABASE!Q178</f>
        <v>AVAILABLE</v>
      </c>
      <c r="Q79" s="66">
        <f>DATABASE!R178</f>
        <v>2990000</v>
      </c>
      <c r="R79" s="66">
        <f>DATABASE!S178</f>
        <v>2990000</v>
      </c>
      <c r="S79" s="66">
        <f>DATABASE!T178</f>
        <v>2990000</v>
      </c>
      <c r="T79" s="66">
        <f>DATABASE!U178</f>
        <v>0</v>
      </c>
      <c r="U79" s="66">
        <f>DATABASE!V178</f>
        <v>0</v>
      </c>
      <c r="V79" s="66">
        <f>DATABASE!W178</f>
        <v>2990000</v>
      </c>
      <c r="W79" s="66">
        <f>DATABASE!X178</f>
        <v>0</v>
      </c>
      <c r="X79" s="66">
        <f>DATABASE!Y178</f>
        <v>2990000</v>
      </c>
      <c r="Y79" s="66">
        <f>DATABASE!Z178</f>
        <v>2990000</v>
      </c>
      <c r="Z79" s="66" t="e">
        <f>DATABASE!#REF!</f>
        <v>#REF!</v>
      </c>
      <c r="AA79" s="66">
        <f>DATABASE!AA178</f>
        <v>0</v>
      </c>
      <c r="AB79" s="67">
        <f>DATABASE!AB178</f>
        <v>46843</v>
      </c>
    </row>
    <row r="80" spans="1:28">
      <c r="A80" s="65" t="str">
        <f>DATABASE!A179</f>
        <v>Palmares - Signature Residences</v>
      </c>
      <c r="B80" s="66" t="str">
        <f>DATABASE!B179</f>
        <v>Algarve</v>
      </c>
      <c r="C80" s="66" t="str">
        <f>DATABASE!C179</f>
        <v>27E</v>
      </c>
      <c r="D80" s="66" t="str">
        <f>DATABASE!E179</f>
        <v>T3 + 1  Simplex</v>
      </c>
      <c r="E80" s="66">
        <f>DATABASE!F179</f>
        <v>445.43</v>
      </c>
      <c r="F80" s="66">
        <f>DATABASE!G179</f>
        <v>0</v>
      </c>
      <c r="G80" s="66" t="str">
        <f>DATABASE!H179</f>
        <v/>
      </c>
      <c r="H80" s="66" t="str">
        <f>DATABASE!I179</f>
        <v>32.8</v>
      </c>
      <c r="I80" s="66">
        <f>DATABASE!J179</f>
        <v>0</v>
      </c>
      <c r="J80" s="66">
        <f>DATABASE!K179</f>
        <v>0</v>
      </c>
      <c r="K80" s="66">
        <f>DATABASE!L179</f>
        <v>0</v>
      </c>
      <c r="L80" s="66">
        <f>DATABASE!M179</f>
        <v>110.49</v>
      </c>
      <c r="M80" s="66">
        <f>DATABASE!N179</f>
        <v>0</v>
      </c>
      <c r="N80" s="66">
        <f>DATABASE!O179</f>
        <v>302.14</v>
      </c>
      <c r="O80" s="66">
        <f>DATABASE!P179</f>
        <v>0</v>
      </c>
      <c r="P80" s="66" t="str">
        <f>DATABASE!Q179</f>
        <v>AVAILABLE</v>
      </c>
      <c r="Q80" s="66">
        <f>DATABASE!R179</f>
        <v>2890000</v>
      </c>
      <c r="R80" s="66">
        <f>DATABASE!S179</f>
        <v>2890000</v>
      </c>
      <c r="S80" s="66">
        <f>DATABASE!T179</f>
        <v>2890000</v>
      </c>
      <c r="T80" s="66">
        <f>DATABASE!U179</f>
        <v>0</v>
      </c>
      <c r="U80" s="66">
        <f>DATABASE!V179</f>
        <v>0</v>
      </c>
      <c r="V80" s="66">
        <f>DATABASE!W179</f>
        <v>2890000</v>
      </c>
      <c r="W80" s="66">
        <f>DATABASE!X179</f>
        <v>0</v>
      </c>
      <c r="X80" s="66">
        <f>DATABASE!Y179</f>
        <v>2890000</v>
      </c>
      <c r="Y80" s="66">
        <f>DATABASE!Z179</f>
        <v>2890000</v>
      </c>
      <c r="Z80" s="66" t="e">
        <f>DATABASE!#REF!</f>
        <v>#REF!</v>
      </c>
      <c r="AA80" s="66">
        <f>DATABASE!AA179</f>
        <v>0</v>
      </c>
      <c r="AB80" s="67">
        <f>DATABASE!AB179</f>
        <v>46843</v>
      </c>
    </row>
    <row r="81" spans="1:28">
      <c r="A81" s="65" t="str">
        <f>DATABASE!A180</f>
        <v>Palmares - Signature Residences</v>
      </c>
      <c r="B81" s="66" t="str">
        <f>DATABASE!B180</f>
        <v>Algarve</v>
      </c>
      <c r="C81" s="66" t="str">
        <f>DATABASE!C180</f>
        <v>28E</v>
      </c>
      <c r="D81" s="66" t="str">
        <f>DATABASE!E180</f>
        <v>T2 + 1   Simplex</v>
      </c>
      <c r="E81" s="66">
        <f>DATABASE!F180</f>
        <v>327.23</v>
      </c>
      <c r="F81" s="66">
        <f>DATABASE!G180</f>
        <v>0</v>
      </c>
      <c r="G81" s="66" t="str">
        <f>DATABASE!H180</f>
        <v/>
      </c>
      <c r="H81" s="66" t="str">
        <f>DATABASE!I180</f>
        <v>18.39</v>
      </c>
      <c r="I81" s="66">
        <f>DATABASE!J180</f>
        <v>0</v>
      </c>
      <c r="J81" s="66">
        <f>DATABASE!K180</f>
        <v>0</v>
      </c>
      <c r="K81" s="66">
        <f>DATABASE!L180</f>
        <v>0</v>
      </c>
      <c r="L81" s="66">
        <f>DATABASE!M180</f>
        <v>113.23</v>
      </c>
      <c r="M81" s="66">
        <f>DATABASE!N180</f>
        <v>0</v>
      </c>
      <c r="N81" s="66">
        <f>DATABASE!O180</f>
        <v>195.61</v>
      </c>
      <c r="O81" s="66">
        <f>DATABASE!P180</f>
        <v>0</v>
      </c>
      <c r="P81" s="66" t="str">
        <f>DATABASE!Q180</f>
        <v>AVAILABLE</v>
      </c>
      <c r="Q81" s="66">
        <f>DATABASE!R180</f>
        <v>1930000</v>
      </c>
      <c r="R81" s="66">
        <f>DATABASE!S180</f>
        <v>1930000</v>
      </c>
      <c r="S81" s="66">
        <f>DATABASE!T180</f>
        <v>1930000</v>
      </c>
      <c r="T81" s="66">
        <f>DATABASE!U180</f>
        <v>0</v>
      </c>
      <c r="U81" s="66">
        <f>DATABASE!V180</f>
        <v>0</v>
      </c>
      <c r="V81" s="66">
        <f>DATABASE!W180</f>
        <v>1930000</v>
      </c>
      <c r="W81" s="66">
        <f>DATABASE!X180</f>
        <v>0</v>
      </c>
      <c r="X81" s="66">
        <f>DATABASE!Y180</f>
        <v>1930000</v>
      </c>
      <c r="Y81" s="66">
        <f>DATABASE!Z180</f>
        <v>1930000</v>
      </c>
      <c r="Z81" s="66" t="e">
        <f>DATABASE!#REF!</f>
        <v>#REF!</v>
      </c>
      <c r="AA81" s="66">
        <f>DATABASE!AA180</f>
        <v>0</v>
      </c>
      <c r="AB81" s="67">
        <f>DATABASE!AB180</f>
        <v>46843</v>
      </c>
    </row>
    <row r="82" spans="1:28">
      <c r="A82" s="65" t="str">
        <f>DATABASE!A181</f>
        <v>Palmares - Signature Residences</v>
      </c>
      <c r="B82" s="66" t="str">
        <f>DATABASE!B181</f>
        <v>Algarve</v>
      </c>
      <c r="C82" s="66" t="str">
        <f>DATABASE!C181</f>
        <v>29E</v>
      </c>
      <c r="D82" s="66" t="str">
        <f>DATABASE!E181</f>
        <v>T2 Duplex</v>
      </c>
      <c r="E82" s="66">
        <f>DATABASE!F181</f>
        <v>258.68</v>
      </c>
      <c r="F82" s="66">
        <f>DATABASE!G181</f>
        <v>0</v>
      </c>
      <c r="G82" s="66" t="str">
        <f>DATABASE!H181</f>
        <v/>
      </c>
      <c r="H82" s="66" t="str">
        <f>DATABASE!I181</f>
        <v>18.78</v>
      </c>
      <c r="I82" s="66">
        <f>DATABASE!J181</f>
        <v>0</v>
      </c>
      <c r="J82" s="66">
        <f>DATABASE!K181</f>
        <v>0</v>
      </c>
      <c r="K82" s="66">
        <f>DATABASE!L181</f>
        <v>0</v>
      </c>
      <c r="L82" s="66">
        <f>DATABASE!M181</f>
        <v>75.849999999999994</v>
      </c>
      <c r="M82" s="66">
        <f>DATABASE!N181</f>
        <v>0</v>
      </c>
      <c r="N82" s="66">
        <f>DATABASE!O181</f>
        <v>164.05</v>
      </c>
      <c r="O82" s="66">
        <f>DATABASE!P181</f>
        <v>0</v>
      </c>
      <c r="P82" s="66" t="str">
        <f>DATABASE!Q181</f>
        <v>AVAILABLE</v>
      </c>
      <c r="Q82" s="66">
        <f>DATABASE!R181</f>
        <v>1340000</v>
      </c>
      <c r="R82" s="66">
        <f>DATABASE!S181</f>
        <v>1340000</v>
      </c>
      <c r="S82" s="66">
        <f>DATABASE!T181</f>
        <v>1340000</v>
      </c>
      <c r="T82" s="66">
        <f>DATABASE!U181</f>
        <v>0</v>
      </c>
      <c r="U82" s="66">
        <f>DATABASE!V181</f>
        <v>0</v>
      </c>
      <c r="V82" s="66">
        <f>DATABASE!W181</f>
        <v>1340000</v>
      </c>
      <c r="W82" s="66">
        <f>DATABASE!X181</f>
        <v>0</v>
      </c>
      <c r="X82" s="66">
        <f>DATABASE!Y181</f>
        <v>1340000</v>
      </c>
      <c r="Y82" s="66">
        <f>DATABASE!Z181</f>
        <v>1340000</v>
      </c>
      <c r="Z82" s="66" t="e">
        <f>DATABASE!#REF!</f>
        <v>#REF!</v>
      </c>
      <c r="AA82" s="66">
        <f>DATABASE!AA181</f>
        <v>0</v>
      </c>
      <c r="AB82" s="67">
        <f>DATABASE!AB181</f>
        <v>46843</v>
      </c>
    </row>
    <row r="83" spans="1:28">
      <c r="A83" s="65" t="str">
        <f>DATABASE!A182</f>
        <v>Palmares - Signature Residences</v>
      </c>
      <c r="B83" s="66" t="str">
        <f>DATABASE!B182</f>
        <v>Algarve</v>
      </c>
      <c r="C83" s="66" t="str">
        <f>DATABASE!C182</f>
        <v>2A</v>
      </c>
      <c r="D83" s="66" t="str">
        <f>DATABASE!E182</f>
        <v>T1</v>
      </c>
      <c r="E83" s="66">
        <f>DATABASE!F182</f>
        <v>87.35</v>
      </c>
      <c r="F83" s="66">
        <f>DATABASE!G182</f>
        <v>0</v>
      </c>
      <c r="G83" s="66" t="str">
        <f>DATABASE!H182</f>
        <v/>
      </c>
      <c r="H83" s="66" t="str">
        <f>DATABASE!I182</f>
        <v>8.37</v>
      </c>
      <c r="I83" s="66">
        <f>DATABASE!J182</f>
        <v>0</v>
      </c>
      <c r="J83" s="66">
        <f>DATABASE!K182</f>
        <v>0</v>
      </c>
      <c r="K83" s="66">
        <f>DATABASE!L182</f>
        <v>0</v>
      </c>
      <c r="L83" s="66">
        <f>DATABASE!M182</f>
        <v>15.12</v>
      </c>
      <c r="M83" s="66">
        <f>DATABASE!N182</f>
        <v>0</v>
      </c>
      <c r="N83" s="66">
        <f>DATABASE!O182</f>
        <v>63.86</v>
      </c>
      <c r="O83" s="66">
        <f>DATABASE!P182</f>
        <v>0</v>
      </c>
      <c r="P83" s="66" t="str">
        <f>DATABASE!Q182</f>
        <v>AVAILABLE</v>
      </c>
      <c r="Q83" s="66">
        <f>DATABASE!R182</f>
        <v>660000</v>
      </c>
      <c r="R83" s="66">
        <f>DATABASE!S182</f>
        <v>660000</v>
      </c>
      <c r="S83" s="66">
        <f>DATABASE!T182</f>
        <v>660000</v>
      </c>
      <c r="T83" s="66">
        <f>DATABASE!U182</f>
        <v>0</v>
      </c>
      <c r="U83" s="66">
        <f>DATABASE!V182</f>
        <v>0</v>
      </c>
      <c r="V83" s="66">
        <f>DATABASE!W182</f>
        <v>660000</v>
      </c>
      <c r="W83" s="66">
        <f>DATABASE!X182</f>
        <v>0</v>
      </c>
      <c r="X83" s="66">
        <f>DATABASE!Y182</f>
        <v>660000</v>
      </c>
      <c r="Y83" s="66">
        <f>DATABASE!Z182</f>
        <v>660000</v>
      </c>
      <c r="Z83" s="66" t="e">
        <f>DATABASE!#REF!</f>
        <v>#REF!</v>
      </c>
      <c r="AA83" s="66">
        <f>DATABASE!AA182</f>
        <v>0</v>
      </c>
      <c r="AB83" s="67">
        <f>DATABASE!AB182</f>
        <v>46843</v>
      </c>
    </row>
    <row r="84" spans="1:28">
      <c r="A84" s="65" t="str">
        <f>DATABASE!A183</f>
        <v>Palmares - Signature Residences</v>
      </c>
      <c r="B84" s="66" t="str">
        <f>DATABASE!B183</f>
        <v>Algarve</v>
      </c>
      <c r="C84" s="66" t="str">
        <f>DATABASE!C183</f>
        <v>3A</v>
      </c>
      <c r="D84" s="66" t="str">
        <f>DATABASE!E183</f>
        <v>T1</v>
      </c>
      <c r="E84" s="66">
        <f>DATABASE!F183</f>
        <v>89.62</v>
      </c>
      <c r="F84" s="66">
        <f>DATABASE!G183</f>
        <v>0</v>
      </c>
      <c r="G84" s="66" t="str">
        <f>DATABASE!H183</f>
        <v/>
      </c>
      <c r="H84" s="66" t="str">
        <f>DATABASE!I183</f>
        <v>7.28</v>
      </c>
      <c r="I84" s="66">
        <f>DATABASE!J183</f>
        <v>0</v>
      </c>
      <c r="J84" s="66">
        <f>DATABASE!K183</f>
        <v>0</v>
      </c>
      <c r="K84" s="66">
        <f>DATABASE!L183</f>
        <v>0</v>
      </c>
      <c r="L84" s="66">
        <f>DATABASE!M183</f>
        <v>19.03</v>
      </c>
      <c r="M84" s="66">
        <f>DATABASE!N183</f>
        <v>0</v>
      </c>
      <c r="N84" s="66">
        <f>DATABASE!O183</f>
        <v>63.31</v>
      </c>
      <c r="O84" s="66">
        <f>DATABASE!P183</f>
        <v>0</v>
      </c>
      <c r="P84" s="66" t="str">
        <f>DATABASE!Q183</f>
        <v>AVAILABLE</v>
      </c>
      <c r="Q84" s="66">
        <f>DATABASE!R183</f>
        <v>640000</v>
      </c>
      <c r="R84" s="66">
        <f>DATABASE!S183</f>
        <v>640000</v>
      </c>
      <c r="S84" s="66">
        <f>DATABASE!T183</f>
        <v>640000</v>
      </c>
      <c r="T84" s="66">
        <f>DATABASE!U183</f>
        <v>0</v>
      </c>
      <c r="U84" s="66">
        <f>DATABASE!V183</f>
        <v>0</v>
      </c>
      <c r="V84" s="66">
        <f>DATABASE!W183</f>
        <v>640000</v>
      </c>
      <c r="W84" s="66">
        <f>DATABASE!X183</f>
        <v>0</v>
      </c>
      <c r="X84" s="66">
        <f>DATABASE!Y183</f>
        <v>640000</v>
      </c>
      <c r="Y84" s="66">
        <f>DATABASE!Z183</f>
        <v>640000</v>
      </c>
      <c r="Z84" s="66" t="e">
        <f>DATABASE!#REF!</f>
        <v>#REF!</v>
      </c>
      <c r="AA84" s="66">
        <f>DATABASE!AA183</f>
        <v>0</v>
      </c>
      <c r="AB84" s="67">
        <f>DATABASE!AB183</f>
        <v>46843</v>
      </c>
    </row>
    <row r="85" spans="1:28">
      <c r="A85" s="65" t="str">
        <f>DATABASE!A184</f>
        <v>Palmares - Signature Residences</v>
      </c>
      <c r="B85" s="66" t="str">
        <f>DATABASE!B184</f>
        <v>Algarve</v>
      </c>
      <c r="C85" s="66" t="str">
        <f>DATABASE!C184</f>
        <v>4A</v>
      </c>
      <c r="D85" s="66" t="str">
        <f>DATABASE!E184</f>
        <v>T1</v>
      </c>
      <c r="E85" s="66">
        <f>DATABASE!F184</f>
        <v>86.99</v>
      </c>
      <c r="F85" s="66">
        <f>DATABASE!G184</f>
        <v>0</v>
      </c>
      <c r="G85" s="66" t="str">
        <f>DATABASE!H184</f>
        <v/>
      </c>
      <c r="H85" s="66" t="str">
        <f>DATABASE!I184</f>
        <v>8.37</v>
      </c>
      <c r="I85" s="66">
        <f>DATABASE!J184</f>
        <v>0</v>
      </c>
      <c r="J85" s="66">
        <f>DATABASE!K184</f>
        <v>0</v>
      </c>
      <c r="K85" s="66">
        <f>DATABASE!L184</f>
        <v>0</v>
      </c>
      <c r="L85" s="66">
        <f>DATABASE!M184</f>
        <v>15.09</v>
      </c>
      <c r="M85" s="66">
        <f>DATABASE!N184</f>
        <v>0</v>
      </c>
      <c r="N85" s="66">
        <f>DATABASE!O184</f>
        <v>63.53</v>
      </c>
      <c r="O85" s="66">
        <f>DATABASE!P184</f>
        <v>0</v>
      </c>
      <c r="P85" s="66" t="str">
        <f>DATABASE!Q184</f>
        <v>AVAILABLE</v>
      </c>
      <c r="Q85" s="66">
        <f>DATABASE!R184</f>
        <v>660000</v>
      </c>
      <c r="R85" s="66">
        <f>DATABASE!S184</f>
        <v>660000</v>
      </c>
      <c r="S85" s="66">
        <f>DATABASE!T184</f>
        <v>660000</v>
      </c>
      <c r="T85" s="66">
        <f>DATABASE!U184</f>
        <v>0</v>
      </c>
      <c r="U85" s="66">
        <f>DATABASE!V184</f>
        <v>0</v>
      </c>
      <c r="V85" s="66">
        <f>DATABASE!W184</f>
        <v>660000</v>
      </c>
      <c r="W85" s="66">
        <f>DATABASE!X184</f>
        <v>0</v>
      </c>
      <c r="X85" s="66">
        <f>DATABASE!Y184</f>
        <v>660000</v>
      </c>
      <c r="Y85" s="66">
        <f>DATABASE!Z184</f>
        <v>660000</v>
      </c>
      <c r="Z85" s="66" t="e">
        <f>DATABASE!#REF!</f>
        <v>#REF!</v>
      </c>
      <c r="AA85" s="66">
        <f>DATABASE!AA184</f>
        <v>0</v>
      </c>
      <c r="AB85" s="67">
        <f>DATABASE!AB184</f>
        <v>46843</v>
      </c>
    </row>
    <row r="86" spans="1:28">
      <c r="A86" s="65" t="str">
        <f>DATABASE!A185</f>
        <v>MOURAGOLFE</v>
      </c>
      <c r="B86" s="66" t="str">
        <f>DATABASE!B185</f>
        <v>Vilamoura</v>
      </c>
      <c r="C86" s="66" t="str">
        <f>DATABASE!C185</f>
        <v>18</v>
      </c>
      <c r="D86" s="66" t="str">
        <f>DATABASE!E185</f>
        <v>Plot</v>
      </c>
      <c r="E86" s="66">
        <f>DATABASE!F185</f>
        <v>245</v>
      </c>
      <c r="F86" s="66">
        <f>DATABASE!G185</f>
        <v>0</v>
      </c>
      <c r="G86" s="66" t="str">
        <f>DATABASE!H185</f>
        <v/>
      </c>
      <c r="H86" s="66" t="str">
        <f>DATABASE!I185</f>
        <v/>
      </c>
      <c r="I86" s="66">
        <f>DATABASE!J185</f>
        <v>0</v>
      </c>
      <c r="J86" s="66">
        <f>DATABASE!K185</f>
        <v>0</v>
      </c>
      <c r="K86" s="66">
        <f>DATABASE!L185</f>
        <v>0</v>
      </c>
      <c r="L86" s="66">
        <f>DATABASE!M185</f>
        <v>0</v>
      </c>
      <c r="M86" s="66">
        <f>DATABASE!N185</f>
        <v>0</v>
      </c>
      <c r="N86" s="66">
        <f>DATABASE!O185</f>
        <v>245</v>
      </c>
      <c r="O86" s="66">
        <f>DATABASE!P185</f>
        <v>0</v>
      </c>
      <c r="P86" s="66" t="str">
        <f>DATABASE!Q185</f>
        <v xml:space="preserve">DEED </v>
      </c>
      <c r="Q86" s="66">
        <f>DATABASE!R185</f>
        <v>540000</v>
      </c>
      <c r="R86" s="66">
        <f>DATABASE!S185</f>
        <v>540000</v>
      </c>
      <c r="S86" s="66">
        <f>DATABASE!T185</f>
        <v>594000</v>
      </c>
      <c r="T86" s="66">
        <f>DATABASE!U185</f>
        <v>0</v>
      </c>
      <c r="U86" s="66">
        <f>DATABASE!V185</f>
        <v>0</v>
      </c>
      <c r="V86" s="66">
        <f>DATABASE!W185</f>
        <v>594000</v>
      </c>
      <c r="W86" s="66">
        <f>DATABASE!X185</f>
        <v>0</v>
      </c>
      <c r="X86" s="66">
        <f>DATABASE!Y185</f>
        <v>594000</v>
      </c>
      <c r="Y86" s="66">
        <f>DATABASE!Z185</f>
        <v>594000</v>
      </c>
      <c r="Z86" s="66" t="e">
        <f>DATABASE!#REF!</f>
        <v>#REF!</v>
      </c>
      <c r="AA86" s="66">
        <f>DATABASE!AA185</f>
        <v>45938</v>
      </c>
      <c r="AB86" s="67">
        <f>DATABASE!AB185</f>
        <v>0</v>
      </c>
    </row>
    <row r="87" spans="1:28">
      <c r="A87" s="65" t="str">
        <f>DATABASE!A186</f>
        <v>ELS</v>
      </c>
      <c r="B87" s="66" t="str">
        <f>DATABASE!B186</f>
        <v>Vilamoura</v>
      </c>
      <c r="C87" s="66" t="str">
        <f>DATABASE!C186</f>
        <v>19</v>
      </c>
      <c r="D87" s="66" t="str">
        <f>DATABASE!E186</f>
        <v>Plot</v>
      </c>
      <c r="E87" s="66">
        <f>DATABASE!F186</f>
        <v>260</v>
      </c>
      <c r="F87" s="66">
        <f>DATABASE!G186</f>
        <v>0</v>
      </c>
      <c r="G87" s="66" t="str">
        <f>DATABASE!H186</f>
        <v/>
      </c>
      <c r="H87" s="66" t="str">
        <f>DATABASE!I186</f>
        <v/>
      </c>
      <c r="I87" s="66">
        <f>DATABASE!J186</f>
        <v>0</v>
      </c>
      <c r="J87" s="66">
        <f>DATABASE!K186</f>
        <v>0</v>
      </c>
      <c r="K87" s="66">
        <f>DATABASE!L186</f>
        <v>0</v>
      </c>
      <c r="L87" s="66">
        <f>DATABASE!M186</f>
        <v>0</v>
      </c>
      <c r="M87" s="66">
        <f>DATABASE!N186</f>
        <v>0</v>
      </c>
      <c r="N87" s="66">
        <f>DATABASE!O186</f>
        <v>260</v>
      </c>
      <c r="O87" s="66">
        <f>DATABASE!P186</f>
        <v>0</v>
      </c>
      <c r="P87" s="66" t="str">
        <f>DATABASE!Q186</f>
        <v>AVAILABLE</v>
      </c>
      <c r="Q87" s="66">
        <f>DATABASE!R186</f>
        <v>2920000</v>
      </c>
      <c r="R87" s="66">
        <f>DATABASE!S186</f>
        <v>2920000</v>
      </c>
      <c r="S87" s="66">
        <f>DATABASE!T186</f>
        <v>660000</v>
      </c>
      <c r="T87" s="66">
        <f>DATABASE!U186</f>
        <v>0</v>
      </c>
      <c r="U87" s="66">
        <f>DATABASE!V186</f>
        <v>0</v>
      </c>
      <c r="V87" s="66">
        <f>DATABASE!W186</f>
        <v>660000</v>
      </c>
      <c r="W87" s="66">
        <f>DATABASE!X186</f>
        <v>0</v>
      </c>
      <c r="X87" s="66">
        <f>DATABASE!Y186</f>
        <v>660000</v>
      </c>
      <c r="Y87" s="66">
        <f>DATABASE!Z186</f>
        <v>660000</v>
      </c>
      <c r="Z87" s="66" t="e">
        <f>DATABASE!#REF!</f>
        <v>#REF!</v>
      </c>
      <c r="AA87" s="66">
        <f>DATABASE!AA186</f>
        <v>0</v>
      </c>
      <c r="AB87" s="67">
        <f>DATABASE!AB186</f>
        <v>0</v>
      </c>
    </row>
    <row r="88" spans="1:28">
      <c r="A88" s="68" t="str">
        <f>DATABASE!A187</f>
        <v>MOURAGOLFE</v>
      </c>
      <c r="B88" s="69" t="str">
        <f>DATABASE!B187</f>
        <v>Vilamoura</v>
      </c>
      <c r="C88" s="69" t="str">
        <f>DATABASE!C187</f>
        <v>19</v>
      </c>
      <c r="D88" s="69" t="str">
        <f>DATABASE!E187</f>
        <v>Plot</v>
      </c>
      <c r="E88" s="69">
        <f>DATABASE!F187</f>
        <v>265</v>
      </c>
      <c r="F88" s="69">
        <f>DATABASE!G187</f>
        <v>0</v>
      </c>
      <c r="G88" s="69" t="str">
        <f>DATABASE!H187</f>
        <v/>
      </c>
      <c r="H88" s="69" t="str">
        <f>DATABASE!I187</f>
        <v/>
      </c>
      <c r="I88" s="69">
        <f>DATABASE!J187</f>
        <v>0</v>
      </c>
      <c r="J88" s="69">
        <f>DATABASE!K187</f>
        <v>0</v>
      </c>
      <c r="K88" s="69">
        <f>DATABASE!L187</f>
        <v>0</v>
      </c>
      <c r="L88" s="69">
        <f>DATABASE!M187</f>
        <v>0</v>
      </c>
      <c r="M88" s="69">
        <f>DATABASE!N187</f>
        <v>0</v>
      </c>
      <c r="N88" s="69">
        <f>DATABASE!O187</f>
        <v>265</v>
      </c>
      <c r="O88" s="69">
        <f>DATABASE!P187</f>
        <v>0</v>
      </c>
      <c r="P88" s="69" t="str">
        <f>DATABASE!Q187</f>
        <v xml:space="preserve">DEED </v>
      </c>
      <c r="Q88" s="69">
        <f>DATABASE!R187</f>
        <v>580000</v>
      </c>
      <c r="R88" s="69">
        <f>DATABASE!S187</f>
        <v>580000</v>
      </c>
      <c r="S88" s="69">
        <f>DATABASE!T187</f>
        <v>701800</v>
      </c>
      <c r="T88" s="69">
        <f>DATABASE!U187</f>
        <v>0</v>
      </c>
      <c r="U88" s="69">
        <f>DATABASE!V187</f>
        <v>0</v>
      </c>
      <c r="V88" s="69">
        <f>DATABASE!W187</f>
        <v>701800</v>
      </c>
      <c r="W88" s="69">
        <f>DATABASE!X187</f>
        <v>0</v>
      </c>
      <c r="X88" s="69">
        <f>DATABASE!Y187</f>
        <v>701800</v>
      </c>
      <c r="Y88" s="69">
        <f>DATABASE!Z187</f>
        <v>701800</v>
      </c>
      <c r="Z88" s="69" t="e">
        <f>DATABASE!#REF!</f>
        <v>#REF!</v>
      </c>
      <c r="AA88" s="69">
        <f>DATABASE!AA187</f>
        <v>45474</v>
      </c>
      <c r="AB88" s="70">
        <f>DATABASE!AB187</f>
        <v>0</v>
      </c>
    </row>
  </sheetData>
  <conditionalFormatting sqref="A1">
    <cfRule type="containsText" dxfId="58" priority="1" operator="containsText" text="Center">
      <formula>NOT(ISERROR(SEARCH("Center",A1)))</formula>
    </cfRule>
    <cfRule type="containsText" dxfId="57" priority="2" operator="containsText" text="North">
      <formula>NOT(ISERROR(SEARCH("North",A1)))</formula>
    </cfRule>
    <cfRule type="containsText" dxfId="56" priority="3" operator="containsText" text="Algarve">
      <formula>NOT(ISERROR(SEARCH("Algarve",A1)))</formula>
    </cfRule>
    <cfRule type="containsText" dxfId="55" priority="4" operator="containsText" text="Vilamoura">
      <formula>NOT(ISERROR(SEARCH("Vilamoura",A1)))</formula>
    </cfRule>
  </conditionalFormatting>
  <pageMargins left="0.7" right="0.7" top="0.75" bottom="0.75" header="0.3" footer="0.3"/>
  <pageSetup paperSize="8" scale="53"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1E57-20A3-4D29-9AC1-A20B676A56DB}">
  <sheetPr>
    <tabColor rgb="FFC2B59E"/>
    <pageSetUpPr fitToPage="1"/>
  </sheetPr>
  <dimension ref="A1:AB74"/>
  <sheetViews>
    <sheetView showGridLines="0" zoomScale="71" zoomScaleNormal="40" zoomScaleSheetLayoutView="70" workbookViewId="0">
      <pane xSplit="1" topLeftCell="B1" activePane="topRight" state="frozen"/>
      <selection activeCell="I25" sqref="I25"/>
      <selection pane="topRight"/>
    </sheetView>
  </sheetViews>
  <sheetFormatPr defaultColWidth="8.7109375" defaultRowHeight="15" outlineLevelCol="2"/>
  <cols>
    <col min="1" max="1" width="20.28515625" bestFit="1" customWidth="1"/>
    <col min="2" max="2" width="11.7109375" bestFit="1" customWidth="1"/>
    <col min="3" max="3" width="15.42578125" bestFit="1" customWidth="1"/>
    <col min="4" max="4" width="12.140625" bestFit="1" customWidth="1"/>
    <col min="5" max="5" width="14.28515625" customWidth="1" outlineLevel="2"/>
    <col min="6" max="6" width="14.7109375" customWidth="1" outlineLevel="2"/>
    <col min="7" max="7" width="13.42578125" customWidth="1" outlineLevel="2"/>
    <col min="8" max="9" width="27.7109375" customWidth="1" outlineLevel="2"/>
    <col min="10" max="10" width="15.42578125" customWidth="1" outlineLevel="2"/>
    <col min="11" max="11" width="28.42578125" customWidth="1" outlineLevel="1"/>
    <col min="12" max="12" width="16.7109375" customWidth="1" outlineLevel="1"/>
    <col min="13" max="13" width="24.7109375" style="3" customWidth="1"/>
    <col min="14" max="14" width="33" customWidth="1"/>
    <col min="15" max="15" width="29.28515625" bestFit="1" customWidth="1" outlineLevel="1"/>
    <col min="16" max="16" width="27.7109375" bestFit="1" customWidth="1" outlineLevel="1"/>
    <col min="17" max="17" width="22.7109375" customWidth="1" outlineLevel="1"/>
    <col min="18" max="18" width="19.28515625" customWidth="1" outlineLevel="1"/>
    <col min="19" max="19" width="31.7109375" bestFit="1" customWidth="1"/>
    <col min="20" max="20" width="17" bestFit="1" customWidth="1" outlineLevel="1"/>
    <col min="21" max="21" width="20.7109375" bestFit="1" customWidth="1"/>
  </cols>
  <sheetData>
    <row r="1" spans="1:28" s="1" customFormat="1" ht="54">
      <c r="A1" s="58" t="s">
        <v>335</v>
      </c>
      <c r="B1" s="59" t="s">
        <v>687</v>
      </c>
      <c r="C1" s="59" t="s">
        <v>770</v>
      </c>
      <c r="D1" s="59" t="s">
        <v>93</v>
      </c>
      <c r="E1" s="59" t="s">
        <v>766</v>
      </c>
      <c r="F1" s="60" t="s">
        <v>678</v>
      </c>
      <c r="G1" s="60" t="s">
        <v>679</v>
      </c>
      <c r="H1" s="60" t="s">
        <v>680</v>
      </c>
      <c r="I1" s="60" t="s">
        <v>681</v>
      </c>
      <c r="J1" s="60" t="s">
        <v>682</v>
      </c>
      <c r="K1" s="60" t="s">
        <v>785</v>
      </c>
      <c r="L1" s="60" t="s">
        <v>683</v>
      </c>
      <c r="M1" s="59" t="s">
        <v>684</v>
      </c>
      <c r="N1" s="59" t="s">
        <v>94</v>
      </c>
      <c r="O1" s="59" t="s">
        <v>95</v>
      </c>
      <c r="P1" s="59" t="s">
        <v>627</v>
      </c>
      <c r="Q1" s="61" t="s">
        <v>331</v>
      </c>
      <c r="R1" s="61" t="s">
        <v>332</v>
      </c>
      <c r="S1" s="61" t="s">
        <v>333</v>
      </c>
      <c r="T1" s="61" t="s">
        <v>685</v>
      </c>
      <c r="U1" s="61" t="s">
        <v>97</v>
      </c>
      <c r="V1" s="59" t="s">
        <v>330</v>
      </c>
      <c r="W1" s="62" t="s">
        <v>767</v>
      </c>
      <c r="X1" s="61" t="s">
        <v>334</v>
      </c>
      <c r="Y1" s="59" t="s">
        <v>98</v>
      </c>
      <c r="Z1" s="59" t="s">
        <v>771</v>
      </c>
      <c r="AA1" s="63" t="s">
        <v>768</v>
      </c>
      <c r="AB1" s="64" t="s">
        <v>7</v>
      </c>
    </row>
    <row r="2" spans="1:28">
      <c r="A2" s="52" t="str">
        <f>DATABASE!A188</f>
        <v>ELS</v>
      </c>
      <c r="B2" s="53" t="str">
        <f>DATABASE!B188</f>
        <v>Vilamoura</v>
      </c>
      <c r="C2" s="53" t="str">
        <f>DATABASE!C188</f>
        <v>2</v>
      </c>
      <c r="D2" s="53" t="str">
        <f>DATABASE!E188</f>
        <v>Plot</v>
      </c>
      <c r="E2" s="53">
        <f>DATABASE!F188</f>
        <v>285</v>
      </c>
      <c r="F2" s="53">
        <f>DATABASE!G188</f>
        <v>0</v>
      </c>
      <c r="G2" s="53" t="str">
        <f>DATABASE!H188</f>
        <v/>
      </c>
      <c r="H2" s="53" t="str">
        <f>DATABASE!I188</f>
        <v/>
      </c>
      <c r="I2" s="53">
        <f>DATABASE!J188</f>
        <v>0</v>
      </c>
      <c r="J2" s="53">
        <f>DATABASE!K188</f>
        <v>0</v>
      </c>
      <c r="K2" s="53">
        <f>DATABASE!L188</f>
        <v>0</v>
      </c>
      <c r="L2" s="53">
        <f>DATABASE!M188</f>
        <v>0</v>
      </c>
      <c r="M2" s="53">
        <f>DATABASE!N188</f>
        <v>0</v>
      </c>
      <c r="N2" s="53">
        <f>DATABASE!O188</f>
        <v>285</v>
      </c>
      <c r="O2" s="53">
        <f>DATABASE!P188</f>
        <v>0</v>
      </c>
      <c r="P2" s="53" t="str">
        <f>DATABASE!Q188</f>
        <v>AVAILABLE</v>
      </c>
      <c r="Q2" s="53">
        <f>DATABASE!R188</f>
        <v>2640000</v>
      </c>
      <c r="R2" s="53">
        <f>DATABASE!S188</f>
        <v>2640000</v>
      </c>
      <c r="S2" s="53">
        <f>DATABASE!T188</f>
        <v>1510000</v>
      </c>
      <c r="T2" s="53">
        <f>DATABASE!U188</f>
        <v>0</v>
      </c>
      <c r="U2" s="53">
        <f>DATABASE!V188</f>
        <v>0</v>
      </c>
      <c r="V2" s="53">
        <f>DATABASE!W188</f>
        <v>1510000</v>
      </c>
      <c r="W2" s="53">
        <f>DATABASE!X188</f>
        <v>0</v>
      </c>
      <c r="X2" s="53">
        <f>DATABASE!Y188</f>
        <v>1510000</v>
      </c>
      <c r="Y2" s="53">
        <f>DATABASE!Z188</f>
        <v>1510000</v>
      </c>
      <c r="Z2" s="53" t="e">
        <f>DATABASE!#REF!</f>
        <v>#REF!</v>
      </c>
      <c r="AA2" s="53">
        <f>DATABASE!AA188</f>
        <v>0</v>
      </c>
      <c r="AB2" s="54">
        <f>DATABASE!AB188</f>
        <v>0</v>
      </c>
    </row>
    <row r="3" spans="1:28" s="17" customFormat="1" ht="13.5">
      <c r="A3" s="52" t="str">
        <f>DATABASE!A189</f>
        <v>THE UNCOMMON</v>
      </c>
      <c r="B3" s="53" t="str">
        <f>DATABASE!B189</f>
        <v>Vilamoura</v>
      </c>
      <c r="C3" s="53" t="str">
        <f>DATABASE!C189</f>
        <v>2</v>
      </c>
      <c r="D3" s="53" t="str">
        <f>DATABASE!E189</f>
        <v>T2</v>
      </c>
      <c r="E3" s="53">
        <f>DATABASE!F189</f>
        <v>168.6</v>
      </c>
      <c r="F3" s="53">
        <f>DATABASE!G189</f>
        <v>0</v>
      </c>
      <c r="G3" s="53" t="str">
        <f>DATABASE!H189</f>
        <v>1</v>
      </c>
      <c r="H3" s="53" t="str">
        <f>DATABASE!I189</f>
        <v/>
      </c>
      <c r="I3" s="53">
        <f>DATABASE!J189</f>
        <v>64.7</v>
      </c>
      <c r="J3" s="53">
        <f>DATABASE!K189</f>
        <v>0</v>
      </c>
      <c r="K3" s="53">
        <f>DATABASE!L189</f>
        <v>0</v>
      </c>
      <c r="L3" s="53">
        <f>DATABASE!M189</f>
        <v>0</v>
      </c>
      <c r="M3" s="53">
        <f>DATABASE!N189</f>
        <v>0</v>
      </c>
      <c r="N3" s="53">
        <f>DATABASE!O189</f>
        <v>103.9</v>
      </c>
      <c r="O3" s="53">
        <f>DATABASE!P189</f>
        <v>0</v>
      </c>
      <c r="P3" s="53" t="str">
        <f>DATABASE!Q189</f>
        <v>AVAILABLE</v>
      </c>
      <c r="Q3" s="53">
        <f>DATABASE!R189</f>
        <v>1037000</v>
      </c>
      <c r="R3" s="53">
        <f>DATABASE!S189</f>
        <v>1110000</v>
      </c>
      <c r="S3" s="53">
        <f>DATABASE!T189</f>
        <v>1180000</v>
      </c>
      <c r="T3" s="53">
        <f>DATABASE!U189</f>
        <v>50000</v>
      </c>
      <c r="U3" s="53">
        <f>DATABASE!V189</f>
        <v>23000</v>
      </c>
      <c r="V3" s="53">
        <f>DATABASE!W189</f>
        <v>1107000</v>
      </c>
      <c r="W3" s="53">
        <f>DATABASE!X189</f>
        <v>0</v>
      </c>
      <c r="X3" s="53">
        <f>DATABASE!Y189</f>
        <v>1180000</v>
      </c>
      <c r="Y3" s="53">
        <f>DATABASE!Z189</f>
        <v>1107000</v>
      </c>
      <c r="Z3" s="53" t="e">
        <f>DATABASE!#REF!</f>
        <v>#REF!</v>
      </c>
      <c r="AA3" s="53">
        <f>DATABASE!AA189</f>
        <v>0</v>
      </c>
      <c r="AB3" s="54">
        <f>DATABASE!AB189</f>
        <v>0</v>
      </c>
    </row>
    <row r="4" spans="1:28">
      <c r="A4" s="52" t="str">
        <f>DATABASE!A190</f>
        <v>ELS</v>
      </c>
      <c r="B4" s="53" t="str">
        <f>DATABASE!B190</f>
        <v>Vilamoura</v>
      </c>
      <c r="C4" s="53" t="str">
        <f>DATABASE!C190</f>
        <v>20</v>
      </c>
      <c r="D4" s="53" t="str">
        <f>DATABASE!E190</f>
        <v>Plot</v>
      </c>
      <c r="E4" s="53">
        <f>DATABASE!F190</f>
        <v>260</v>
      </c>
      <c r="F4" s="53">
        <f>DATABASE!G190</f>
        <v>0</v>
      </c>
      <c r="G4" s="53" t="str">
        <f>DATABASE!H190</f>
        <v/>
      </c>
      <c r="H4" s="53" t="str">
        <f>DATABASE!I190</f>
        <v/>
      </c>
      <c r="I4" s="53">
        <f>DATABASE!J190</f>
        <v>0</v>
      </c>
      <c r="J4" s="53">
        <f>DATABASE!K190</f>
        <v>0</v>
      </c>
      <c r="K4" s="53">
        <f>DATABASE!L190</f>
        <v>0</v>
      </c>
      <c r="L4" s="53">
        <f>DATABASE!M190</f>
        <v>0</v>
      </c>
      <c r="M4" s="53">
        <f>DATABASE!N190</f>
        <v>0</v>
      </c>
      <c r="N4" s="53">
        <f>DATABASE!O190</f>
        <v>260</v>
      </c>
      <c r="O4" s="53">
        <f>DATABASE!P190</f>
        <v>0</v>
      </c>
      <c r="P4" s="53" t="str">
        <f>DATABASE!Q190</f>
        <v>AVAILABLE</v>
      </c>
      <c r="Q4" s="53">
        <f>DATABASE!R190</f>
        <v>1840000</v>
      </c>
      <c r="R4" s="53">
        <f>DATABASE!S190</f>
        <v>1840000</v>
      </c>
      <c r="S4" s="53">
        <f>DATABASE!T190</f>
        <v>640000</v>
      </c>
      <c r="T4" s="53">
        <f>DATABASE!U190</f>
        <v>0</v>
      </c>
      <c r="U4" s="53">
        <f>DATABASE!V190</f>
        <v>0</v>
      </c>
      <c r="V4" s="53">
        <f>DATABASE!W190</f>
        <v>640000</v>
      </c>
      <c r="W4" s="53">
        <f>DATABASE!X190</f>
        <v>0</v>
      </c>
      <c r="X4" s="53">
        <f>DATABASE!Y190</f>
        <v>640000</v>
      </c>
      <c r="Y4" s="53">
        <f>DATABASE!Z190</f>
        <v>640000</v>
      </c>
      <c r="Z4" s="53" t="e">
        <f>DATABASE!#REF!</f>
        <v>#REF!</v>
      </c>
      <c r="AA4" s="53">
        <f>DATABASE!AA190</f>
        <v>0</v>
      </c>
      <c r="AB4" s="54">
        <f>DATABASE!AB190</f>
        <v>0</v>
      </c>
    </row>
    <row r="5" spans="1:28">
      <c r="A5" s="52" t="str">
        <f>DATABASE!A191</f>
        <v>MOURAGOLFE</v>
      </c>
      <c r="B5" s="53" t="str">
        <f>DATABASE!B191</f>
        <v>Vilamoura</v>
      </c>
      <c r="C5" s="53" t="str">
        <f>DATABASE!C191</f>
        <v>20</v>
      </c>
      <c r="D5" s="53" t="str">
        <f>DATABASE!E191</f>
        <v>Plot</v>
      </c>
      <c r="E5" s="53">
        <f>DATABASE!F191</f>
        <v>265</v>
      </c>
      <c r="F5" s="53">
        <f>DATABASE!G191</f>
        <v>0</v>
      </c>
      <c r="G5" s="53" t="str">
        <f>DATABASE!H191</f>
        <v/>
      </c>
      <c r="H5" s="53" t="str">
        <f>DATABASE!I191</f>
        <v/>
      </c>
      <c r="I5" s="53">
        <f>DATABASE!J191</f>
        <v>0</v>
      </c>
      <c r="J5" s="53">
        <f>DATABASE!K191</f>
        <v>0</v>
      </c>
      <c r="K5" s="53">
        <f>DATABASE!L191</f>
        <v>0</v>
      </c>
      <c r="L5" s="53">
        <f>DATABASE!M191</f>
        <v>0</v>
      </c>
      <c r="M5" s="53">
        <f>DATABASE!N191</f>
        <v>0</v>
      </c>
      <c r="N5" s="53">
        <f>DATABASE!O191</f>
        <v>265</v>
      </c>
      <c r="O5" s="53">
        <f>DATABASE!P191</f>
        <v>0</v>
      </c>
      <c r="P5" s="53" t="str">
        <f>DATABASE!Q191</f>
        <v xml:space="preserve">DEED </v>
      </c>
      <c r="Q5" s="53">
        <f>DATABASE!R191</f>
        <v>580000</v>
      </c>
      <c r="R5" s="53">
        <f>DATABASE!S191</f>
        <v>580000</v>
      </c>
      <c r="S5" s="53">
        <f>DATABASE!T191</f>
        <v>638000</v>
      </c>
      <c r="T5" s="53">
        <f>DATABASE!U191</f>
        <v>0</v>
      </c>
      <c r="U5" s="53">
        <f>DATABASE!V191</f>
        <v>0</v>
      </c>
      <c r="V5" s="53">
        <f>DATABASE!W191</f>
        <v>638000</v>
      </c>
      <c r="W5" s="53">
        <f>DATABASE!X191</f>
        <v>0</v>
      </c>
      <c r="X5" s="53">
        <f>DATABASE!Y191</f>
        <v>638000</v>
      </c>
      <c r="Y5" s="53">
        <f>DATABASE!Z191</f>
        <v>638000</v>
      </c>
      <c r="Z5" s="53" t="e">
        <f>DATABASE!#REF!</f>
        <v>#REF!</v>
      </c>
      <c r="AA5" s="53">
        <f>DATABASE!AA191</f>
        <v>45348</v>
      </c>
      <c r="AB5" s="54">
        <f>DATABASE!AB191</f>
        <v>0</v>
      </c>
    </row>
    <row r="6" spans="1:28">
      <c r="A6" s="52" t="str">
        <f>DATABASE!A192</f>
        <v>THE UNCOMMON</v>
      </c>
      <c r="B6" s="53" t="str">
        <f>DATABASE!B192</f>
        <v>Vilamoura</v>
      </c>
      <c r="C6" s="53" t="str">
        <f>DATABASE!C192</f>
        <v>201</v>
      </c>
      <c r="D6" s="53" t="str">
        <f>DATABASE!E192</f>
        <v>T3</v>
      </c>
      <c r="E6" s="53">
        <f>DATABASE!F192</f>
        <v>183.9</v>
      </c>
      <c r="F6" s="53">
        <f>DATABASE!G192</f>
        <v>0</v>
      </c>
      <c r="G6" s="53" t="str">
        <f>DATABASE!H192</f>
        <v>1</v>
      </c>
      <c r="H6" s="53" t="str">
        <f>DATABASE!I192</f>
        <v/>
      </c>
      <c r="I6" s="53">
        <f>DATABASE!J192</f>
        <v>34.299999999999997</v>
      </c>
      <c r="J6" s="53">
        <f>DATABASE!K192</f>
        <v>0</v>
      </c>
      <c r="K6" s="53">
        <f>DATABASE!L192</f>
        <v>0</v>
      </c>
      <c r="L6" s="53">
        <f>DATABASE!M192</f>
        <v>0</v>
      </c>
      <c r="M6" s="53">
        <f>DATABASE!N192</f>
        <v>0</v>
      </c>
      <c r="N6" s="53">
        <f>DATABASE!O192</f>
        <v>149.6</v>
      </c>
      <c r="O6" s="53">
        <f>DATABASE!P192</f>
        <v>0</v>
      </c>
      <c r="P6" s="53" t="str">
        <f>DATABASE!Q192</f>
        <v>AVAILABLE</v>
      </c>
      <c r="Q6" s="53">
        <f>DATABASE!R192</f>
        <v>2000000</v>
      </c>
      <c r="R6" s="53">
        <f>DATABASE!S192</f>
        <v>2080000</v>
      </c>
      <c r="S6" s="53">
        <f>DATABASE!T192</f>
        <v>2160000</v>
      </c>
      <c r="T6" s="53">
        <f>DATABASE!U192</f>
        <v>50000</v>
      </c>
      <c r="U6" s="53">
        <f>DATABASE!V192</f>
        <v>30000</v>
      </c>
      <c r="V6" s="53">
        <f>DATABASE!W192</f>
        <v>2080000</v>
      </c>
      <c r="W6" s="53">
        <f>DATABASE!X192</f>
        <v>0</v>
      </c>
      <c r="X6" s="53">
        <f>DATABASE!Y192</f>
        <v>2160000</v>
      </c>
      <c r="Y6" s="53">
        <f>DATABASE!Z192</f>
        <v>2080000</v>
      </c>
      <c r="Z6" s="53" t="e">
        <f>DATABASE!#REF!</f>
        <v>#REF!</v>
      </c>
      <c r="AA6" s="53">
        <f>DATABASE!AA192</f>
        <v>0</v>
      </c>
      <c r="AB6" s="54">
        <f>DATABASE!AB192</f>
        <v>0</v>
      </c>
    </row>
    <row r="7" spans="1:28">
      <c r="A7" s="52" t="str">
        <f>DATABASE!A193</f>
        <v>THE UNCOMMON</v>
      </c>
      <c r="B7" s="53" t="str">
        <f>DATABASE!B193</f>
        <v>Vilamoura</v>
      </c>
      <c r="C7" s="53" t="str">
        <f>DATABASE!C193</f>
        <v>202</v>
      </c>
      <c r="D7" s="53" t="str">
        <f>DATABASE!E193</f>
        <v>T2</v>
      </c>
      <c r="E7" s="53">
        <f>DATABASE!F193</f>
        <v>129.4</v>
      </c>
      <c r="F7" s="53">
        <f>DATABASE!G193</f>
        <v>0</v>
      </c>
      <c r="G7" s="53" t="str">
        <f>DATABASE!H193</f>
        <v>1</v>
      </c>
      <c r="H7" s="53" t="str">
        <f>DATABASE!I193</f>
        <v/>
      </c>
      <c r="I7" s="53">
        <f>DATABASE!J193</f>
        <v>25.5</v>
      </c>
      <c r="J7" s="53">
        <f>DATABASE!K193</f>
        <v>0</v>
      </c>
      <c r="K7" s="53">
        <f>DATABASE!L193</f>
        <v>0</v>
      </c>
      <c r="L7" s="53">
        <f>DATABASE!M193</f>
        <v>0</v>
      </c>
      <c r="M7" s="53">
        <f>DATABASE!N193</f>
        <v>0</v>
      </c>
      <c r="N7" s="53">
        <f>DATABASE!O193</f>
        <v>103.9</v>
      </c>
      <c r="O7" s="53">
        <f>DATABASE!P193</f>
        <v>0</v>
      </c>
      <c r="P7" s="53" t="str">
        <f>DATABASE!Q193</f>
        <v xml:space="preserve">PSPA </v>
      </c>
      <c r="Q7" s="53">
        <f>DATABASE!R193</f>
        <v>1057000</v>
      </c>
      <c r="R7" s="53">
        <f>DATABASE!S193</f>
        <v>1130000</v>
      </c>
      <c r="S7" s="53">
        <f>DATABASE!T193</f>
        <v>1230000</v>
      </c>
      <c r="T7" s="53">
        <f>DATABASE!U193</f>
        <v>50000</v>
      </c>
      <c r="U7" s="53">
        <f>DATABASE!V193</f>
        <v>23000</v>
      </c>
      <c r="V7" s="53">
        <f>DATABASE!W193</f>
        <v>1157000</v>
      </c>
      <c r="W7" s="53">
        <f>DATABASE!X193</f>
        <v>6.94308943089431E-2</v>
      </c>
      <c r="X7" s="53">
        <f>DATABASE!Y193</f>
        <v>1144600</v>
      </c>
      <c r="Y7" s="53">
        <f>DATABASE!Z193</f>
        <v>1071600</v>
      </c>
      <c r="Z7" s="53" t="e">
        <f>DATABASE!#REF!</f>
        <v>#REF!</v>
      </c>
      <c r="AA7" s="53">
        <f>DATABASE!AA193</f>
        <v>46057</v>
      </c>
      <c r="AB7" s="54">
        <f>DATABASE!AB193</f>
        <v>0</v>
      </c>
    </row>
    <row r="8" spans="1:28">
      <c r="A8" s="52" t="str">
        <f>DATABASE!A194</f>
        <v>THE UNCOMMON</v>
      </c>
      <c r="B8" s="53" t="str">
        <f>DATABASE!B194</f>
        <v>Vilamoura</v>
      </c>
      <c r="C8" s="53" t="str">
        <f>DATABASE!C194</f>
        <v>203</v>
      </c>
      <c r="D8" s="53" t="str">
        <f>DATABASE!E194</f>
        <v>T2</v>
      </c>
      <c r="E8" s="53">
        <f>DATABASE!F194</f>
        <v>129.4</v>
      </c>
      <c r="F8" s="53">
        <f>DATABASE!G194</f>
        <v>0</v>
      </c>
      <c r="G8" s="53" t="str">
        <f>DATABASE!H194</f>
        <v>1</v>
      </c>
      <c r="H8" s="53" t="str">
        <f>DATABASE!I194</f>
        <v/>
      </c>
      <c r="I8" s="53">
        <f>DATABASE!J194</f>
        <v>25.5</v>
      </c>
      <c r="J8" s="53">
        <f>DATABASE!K194</f>
        <v>0</v>
      </c>
      <c r="K8" s="53">
        <f>DATABASE!L194</f>
        <v>0</v>
      </c>
      <c r="L8" s="53">
        <f>DATABASE!M194</f>
        <v>0</v>
      </c>
      <c r="M8" s="53">
        <f>DATABASE!N194</f>
        <v>0</v>
      </c>
      <c r="N8" s="53">
        <f>DATABASE!O194</f>
        <v>103.9</v>
      </c>
      <c r="O8" s="53">
        <f>DATABASE!P194</f>
        <v>0</v>
      </c>
      <c r="P8" s="53" t="str">
        <f>DATABASE!Q194</f>
        <v>AVAILABLE</v>
      </c>
      <c r="Q8" s="53">
        <f>DATABASE!R194</f>
        <v>977000</v>
      </c>
      <c r="R8" s="53">
        <f>DATABASE!S194</f>
        <v>1050000</v>
      </c>
      <c r="S8" s="53">
        <f>DATABASE!T194</f>
        <v>1120000</v>
      </c>
      <c r="T8" s="53">
        <f>DATABASE!U194</f>
        <v>50000</v>
      </c>
      <c r="U8" s="53">
        <f>DATABASE!V194</f>
        <v>23000</v>
      </c>
      <c r="V8" s="53">
        <f>DATABASE!W194</f>
        <v>1047000</v>
      </c>
      <c r="W8" s="53">
        <f>DATABASE!X194</f>
        <v>0</v>
      </c>
      <c r="X8" s="53">
        <f>DATABASE!Y194</f>
        <v>1120000</v>
      </c>
      <c r="Y8" s="53">
        <f>DATABASE!Z194</f>
        <v>1047000</v>
      </c>
      <c r="Z8" s="53" t="e">
        <f>DATABASE!#REF!</f>
        <v>#REF!</v>
      </c>
      <c r="AA8" s="53">
        <f>DATABASE!AA194</f>
        <v>0</v>
      </c>
      <c r="AB8" s="54">
        <f>DATABASE!AB194</f>
        <v>0</v>
      </c>
    </row>
    <row r="9" spans="1:28">
      <c r="A9" s="52" t="str">
        <f>DATABASE!A195</f>
        <v>THE UNCOMMON</v>
      </c>
      <c r="B9" s="53" t="str">
        <f>DATABASE!B195</f>
        <v>Vilamoura</v>
      </c>
      <c r="C9" s="53" t="str">
        <f>DATABASE!C195</f>
        <v>204</v>
      </c>
      <c r="D9" s="53" t="str">
        <f>DATABASE!E195</f>
        <v>T2</v>
      </c>
      <c r="E9" s="53">
        <f>DATABASE!F195</f>
        <v>130</v>
      </c>
      <c r="F9" s="53">
        <f>DATABASE!G195</f>
        <v>0</v>
      </c>
      <c r="G9" s="53" t="str">
        <f>DATABASE!H195</f>
        <v>1</v>
      </c>
      <c r="H9" s="53" t="str">
        <f>DATABASE!I195</f>
        <v/>
      </c>
      <c r="I9" s="53">
        <f>DATABASE!J195</f>
        <v>25.4</v>
      </c>
      <c r="J9" s="53">
        <f>DATABASE!K195</f>
        <v>0</v>
      </c>
      <c r="K9" s="53">
        <f>DATABASE!L195</f>
        <v>0</v>
      </c>
      <c r="L9" s="53">
        <f>DATABASE!M195</f>
        <v>0</v>
      </c>
      <c r="M9" s="53">
        <f>DATABASE!N195</f>
        <v>0</v>
      </c>
      <c r="N9" s="53">
        <f>DATABASE!O195</f>
        <v>104.6</v>
      </c>
      <c r="O9" s="53">
        <f>DATABASE!P195</f>
        <v>0</v>
      </c>
      <c r="P9" s="53" t="str">
        <f>DATABASE!Q195</f>
        <v>AVAILABLE</v>
      </c>
      <c r="Q9" s="53">
        <f>DATABASE!R195</f>
        <v>887000</v>
      </c>
      <c r="R9" s="53">
        <f>DATABASE!S195</f>
        <v>960000</v>
      </c>
      <c r="S9" s="53">
        <f>DATABASE!T195</f>
        <v>1020000</v>
      </c>
      <c r="T9" s="53">
        <f>DATABASE!U195</f>
        <v>50000</v>
      </c>
      <c r="U9" s="53">
        <f>DATABASE!V195</f>
        <v>23000</v>
      </c>
      <c r="V9" s="53">
        <f>DATABASE!W195</f>
        <v>947000</v>
      </c>
      <c r="W9" s="53">
        <f>DATABASE!X195</f>
        <v>0</v>
      </c>
      <c r="X9" s="53">
        <f>DATABASE!Y195</f>
        <v>1020000</v>
      </c>
      <c r="Y9" s="53">
        <f>DATABASE!Z195</f>
        <v>947000</v>
      </c>
      <c r="Z9" s="53" t="e">
        <f>DATABASE!#REF!</f>
        <v>#REF!</v>
      </c>
      <c r="AA9" s="53">
        <f>DATABASE!AA195</f>
        <v>0</v>
      </c>
      <c r="AB9" s="54">
        <f>DATABASE!AB195</f>
        <v>0</v>
      </c>
    </row>
    <row r="10" spans="1:28">
      <c r="A10" s="52" t="str">
        <f>DATABASE!A196</f>
        <v>THE UNCOMMON</v>
      </c>
      <c r="B10" s="53" t="str">
        <f>DATABASE!B196</f>
        <v>Vilamoura</v>
      </c>
      <c r="C10" s="53" t="str">
        <f>DATABASE!C196</f>
        <v>205</v>
      </c>
      <c r="D10" s="53" t="str">
        <f>DATABASE!E196</f>
        <v>T2</v>
      </c>
      <c r="E10" s="53">
        <f>DATABASE!F196</f>
        <v>130.1</v>
      </c>
      <c r="F10" s="53">
        <f>DATABASE!G196</f>
        <v>0</v>
      </c>
      <c r="G10" s="53" t="str">
        <f>DATABASE!H196</f>
        <v>1</v>
      </c>
      <c r="H10" s="53" t="str">
        <f>DATABASE!I196</f>
        <v/>
      </c>
      <c r="I10" s="53">
        <f>DATABASE!J196</f>
        <v>25.5</v>
      </c>
      <c r="J10" s="53">
        <f>DATABASE!K196</f>
        <v>0</v>
      </c>
      <c r="K10" s="53">
        <f>DATABASE!L196</f>
        <v>0</v>
      </c>
      <c r="L10" s="53">
        <f>DATABASE!M196</f>
        <v>0</v>
      </c>
      <c r="M10" s="53">
        <f>DATABASE!N196</f>
        <v>0</v>
      </c>
      <c r="N10" s="53">
        <f>DATABASE!O196</f>
        <v>104.6</v>
      </c>
      <c r="O10" s="53">
        <f>DATABASE!P196</f>
        <v>0</v>
      </c>
      <c r="P10" s="53" t="str">
        <f>DATABASE!Q196</f>
        <v>AVAILABLE</v>
      </c>
      <c r="Q10" s="53">
        <f>DATABASE!R196</f>
        <v>967000</v>
      </c>
      <c r="R10" s="53">
        <f>DATABASE!S196</f>
        <v>1040000</v>
      </c>
      <c r="S10" s="53">
        <f>DATABASE!T196</f>
        <v>1140000</v>
      </c>
      <c r="T10" s="53">
        <f>DATABASE!U196</f>
        <v>50000</v>
      </c>
      <c r="U10" s="53">
        <f>DATABASE!V196</f>
        <v>23000</v>
      </c>
      <c r="V10" s="53">
        <f>DATABASE!W196</f>
        <v>1067000</v>
      </c>
      <c r="W10" s="53">
        <f>DATABASE!X196</f>
        <v>0</v>
      </c>
      <c r="X10" s="53">
        <f>DATABASE!Y196</f>
        <v>1044780</v>
      </c>
      <c r="Y10" s="53">
        <f>DATABASE!Z196</f>
        <v>971780</v>
      </c>
      <c r="Z10" s="53" t="e">
        <f>DATABASE!#REF!</f>
        <v>#REF!</v>
      </c>
      <c r="AA10" s="53">
        <f>DATABASE!AA196</f>
        <v>0</v>
      </c>
      <c r="AB10" s="54">
        <f>DATABASE!AB196</f>
        <v>0</v>
      </c>
    </row>
    <row r="11" spans="1:28">
      <c r="A11" s="52" t="str">
        <f>DATABASE!A197</f>
        <v>THE UNCOMMON</v>
      </c>
      <c r="B11" s="53" t="str">
        <f>DATABASE!B197</f>
        <v>Vilamoura</v>
      </c>
      <c r="C11" s="53" t="str">
        <f>DATABASE!C197</f>
        <v>206</v>
      </c>
      <c r="D11" s="53" t="str">
        <f>DATABASE!E197</f>
        <v>T2</v>
      </c>
      <c r="E11" s="53">
        <f>DATABASE!F197</f>
        <v>129.4</v>
      </c>
      <c r="F11" s="53">
        <f>DATABASE!G197</f>
        <v>0</v>
      </c>
      <c r="G11" s="53" t="str">
        <f>DATABASE!H197</f>
        <v>1</v>
      </c>
      <c r="H11" s="53" t="str">
        <f>DATABASE!I197</f>
        <v/>
      </c>
      <c r="I11" s="53">
        <f>DATABASE!J197</f>
        <v>25.5</v>
      </c>
      <c r="J11" s="53">
        <f>DATABASE!K197</f>
        <v>0</v>
      </c>
      <c r="K11" s="53">
        <f>DATABASE!L197</f>
        <v>0</v>
      </c>
      <c r="L11" s="53">
        <f>DATABASE!M197</f>
        <v>0</v>
      </c>
      <c r="M11" s="53">
        <f>DATABASE!N197</f>
        <v>0</v>
      </c>
      <c r="N11" s="53">
        <f>DATABASE!O197</f>
        <v>103.9</v>
      </c>
      <c r="O11" s="53">
        <f>DATABASE!P197</f>
        <v>0</v>
      </c>
      <c r="P11" s="53" t="str">
        <f>DATABASE!Q197</f>
        <v>AVAILABLE</v>
      </c>
      <c r="Q11" s="53">
        <f>DATABASE!R197</f>
        <v>1057000</v>
      </c>
      <c r="R11" s="53">
        <f>DATABASE!S197</f>
        <v>1130000</v>
      </c>
      <c r="S11" s="53">
        <f>DATABASE!T197</f>
        <v>1200000</v>
      </c>
      <c r="T11" s="53">
        <f>DATABASE!U197</f>
        <v>50000</v>
      </c>
      <c r="U11" s="53">
        <f>DATABASE!V197</f>
        <v>23000</v>
      </c>
      <c r="V11" s="53">
        <f>DATABASE!W197</f>
        <v>1127000</v>
      </c>
      <c r="W11" s="53">
        <f>DATABASE!X197</f>
        <v>0</v>
      </c>
      <c r="X11" s="53">
        <f>DATABASE!Y197</f>
        <v>1200000</v>
      </c>
      <c r="Y11" s="53">
        <f>DATABASE!Z197</f>
        <v>1127000</v>
      </c>
      <c r="Z11" s="53" t="e">
        <f>DATABASE!#REF!</f>
        <v>#REF!</v>
      </c>
      <c r="AA11" s="53">
        <f>DATABASE!AA197</f>
        <v>0</v>
      </c>
      <c r="AB11" s="54">
        <f>DATABASE!AB197</f>
        <v>0</v>
      </c>
    </row>
    <row r="12" spans="1:28">
      <c r="A12" s="52" t="str">
        <f>DATABASE!A198</f>
        <v>THE UNCOMMON</v>
      </c>
      <c r="B12" s="53" t="str">
        <f>DATABASE!B198</f>
        <v>Vilamoura</v>
      </c>
      <c r="C12" s="53" t="str">
        <f>DATABASE!C198</f>
        <v>207</v>
      </c>
      <c r="D12" s="53" t="str">
        <f>DATABASE!E198</f>
        <v>T2</v>
      </c>
      <c r="E12" s="53">
        <f>DATABASE!F198</f>
        <v>129.4</v>
      </c>
      <c r="F12" s="53">
        <f>DATABASE!G198</f>
        <v>0</v>
      </c>
      <c r="G12" s="53" t="str">
        <f>DATABASE!H198</f>
        <v>1</v>
      </c>
      <c r="H12" s="53" t="str">
        <f>DATABASE!I198</f>
        <v/>
      </c>
      <c r="I12" s="53">
        <f>DATABASE!J198</f>
        <v>25.5</v>
      </c>
      <c r="J12" s="53">
        <f>DATABASE!K198</f>
        <v>0</v>
      </c>
      <c r="K12" s="53">
        <f>DATABASE!L198</f>
        <v>0</v>
      </c>
      <c r="L12" s="53">
        <f>DATABASE!M198</f>
        <v>0</v>
      </c>
      <c r="M12" s="53">
        <f>DATABASE!N198</f>
        <v>0</v>
      </c>
      <c r="N12" s="53">
        <f>DATABASE!O198</f>
        <v>103.9</v>
      </c>
      <c r="O12" s="53">
        <f>DATABASE!P198</f>
        <v>0</v>
      </c>
      <c r="P12" s="53" t="str">
        <f>DATABASE!Q198</f>
        <v>AVAILABLE</v>
      </c>
      <c r="Q12" s="53">
        <f>DATABASE!R198</f>
        <v>1137000</v>
      </c>
      <c r="R12" s="53">
        <f>DATABASE!S198</f>
        <v>1210000</v>
      </c>
      <c r="S12" s="53">
        <f>DATABASE!T198</f>
        <v>1280000</v>
      </c>
      <c r="T12" s="53">
        <f>DATABASE!U198</f>
        <v>50000</v>
      </c>
      <c r="U12" s="53">
        <f>DATABASE!V198</f>
        <v>23000</v>
      </c>
      <c r="V12" s="53">
        <f>DATABASE!W198</f>
        <v>1207000</v>
      </c>
      <c r="W12" s="53">
        <f>DATABASE!X198</f>
        <v>0</v>
      </c>
      <c r="X12" s="53">
        <f>DATABASE!Y198</f>
        <v>1280000</v>
      </c>
      <c r="Y12" s="53">
        <f>DATABASE!Z198</f>
        <v>1207000</v>
      </c>
      <c r="Z12" s="53" t="e">
        <f>DATABASE!#REF!</f>
        <v>#REF!</v>
      </c>
      <c r="AA12" s="53">
        <f>DATABASE!AA198</f>
        <v>0</v>
      </c>
      <c r="AB12" s="54">
        <f>DATABASE!AB198</f>
        <v>0</v>
      </c>
    </row>
    <row r="13" spans="1:28">
      <c r="A13" s="52" t="str">
        <f>DATABASE!A199</f>
        <v>THE UNCOMMON</v>
      </c>
      <c r="B13" s="53" t="str">
        <f>DATABASE!B199</f>
        <v>Vilamoura</v>
      </c>
      <c r="C13" s="53" t="str">
        <f>DATABASE!C199</f>
        <v>208</v>
      </c>
      <c r="D13" s="53" t="str">
        <f>DATABASE!E199</f>
        <v>T2</v>
      </c>
      <c r="E13" s="53">
        <f>DATABASE!F199</f>
        <v>129.4</v>
      </c>
      <c r="F13" s="53">
        <f>DATABASE!G199</f>
        <v>0</v>
      </c>
      <c r="G13" s="53" t="str">
        <f>DATABASE!H199</f>
        <v>1</v>
      </c>
      <c r="H13" s="53" t="str">
        <f>DATABASE!I199</f>
        <v/>
      </c>
      <c r="I13" s="53">
        <f>DATABASE!J199</f>
        <v>25.5</v>
      </c>
      <c r="J13" s="53">
        <f>DATABASE!K199</f>
        <v>0</v>
      </c>
      <c r="K13" s="53">
        <f>DATABASE!L199</f>
        <v>0</v>
      </c>
      <c r="L13" s="53">
        <f>DATABASE!M199</f>
        <v>0</v>
      </c>
      <c r="M13" s="53">
        <f>DATABASE!N199</f>
        <v>0</v>
      </c>
      <c r="N13" s="53">
        <f>DATABASE!O199</f>
        <v>103.9</v>
      </c>
      <c r="O13" s="53">
        <f>DATABASE!P199</f>
        <v>0</v>
      </c>
      <c r="P13" s="53" t="str">
        <f>DATABASE!Q199</f>
        <v>AVAILABLE</v>
      </c>
      <c r="Q13" s="53">
        <f>DATABASE!R199</f>
        <v>1187000</v>
      </c>
      <c r="R13" s="53">
        <f>DATABASE!S199</f>
        <v>1260000</v>
      </c>
      <c r="S13" s="53">
        <f>DATABASE!T199</f>
        <v>1330000</v>
      </c>
      <c r="T13" s="53">
        <f>DATABASE!U199</f>
        <v>50000</v>
      </c>
      <c r="U13" s="53">
        <f>DATABASE!V199</f>
        <v>23000</v>
      </c>
      <c r="V13" s="53">
        <f>DATABASE!W199</f>
        <v>1257000</v>
      </c>
      <c r="W13" s="53">
        <f>DATABASE!X199</f>
        <v>0</v>
      </c>
      <c r="X13" s="53">
        <f>DATABASE!Y199</f>
        <v>1330000</v>
      </c>
      <c r="Y13" s="53">
        <f>DATABASE!Z199</f>
        <v>1257000</v>
      </c>
      <c r="Z13" s="53" t="e">
        <f>DATABASE!#REF!</f>
        <v>#REF!</v>
      </c>
      <c r="AA13" s="53">
        <f>DATABASE!AA199</f>
        <v>0</v>
      </c>
      <c r="AB13" s="54">
        <f>DATABASE!AB199</f>
        <v>0</v>
      </c>
    </row>
    <row r="14" spans="1:28">
      <c r="A14" s="52" t="str">
        <f>DATABASE!A200</f>
        <v>THE UNCOMMON</v>
      </c>
      <c r="B14" s="53" t="str">
        <f>DATABASE!B200</f>
        <v>Vilamoura</v>
      </c>
      <c r="C14" s="53" t="str">
        <f>DATABASE!C200</f>
        <v>209</v>
      </c>
      <c r="D14" s="53" t="str">
        <f>DATABASE!E200</f>
        <v>T2</v>
      </c>
      <c r="E14" s="53">
        <f>DATABASE!F200</f>
        <v>129.4</v>
      </c>
      <c r="F14" s="53">
        <f>DATABASE!G200</f>
        <v>0</v>
      </c>
      <c r="G14" s="53" t="str">
        <f>DATABASE!H200</f>
        <v>1</v>
      </c>
      <c r="H14" s="53" t="str">
        <f>DATABASE!I200</f>
        <v/>
      </c>
      <c r="I14" s="53">
        <f>DATABASE!J200</f>
        <v>25.5</v>
      </c>
      <c r="J14" s="53">
        <f>DATABASE!K200</f>
        <v>0</v>
      </c>
      <c r="K14" s="53">
        <f>DATABASE!L200</f>
        <v>0</v>
      </c>
      <c r="L14" s="53">
        <f>DATABASE!M200</f>
        <v>0</v>
      </c>
      <c r="M14" s="53">
        <f>DATABASE!N200</f>
        <v>0</v>
      </c>
      <c r="N14" s="53">
        <f>DATABASE!O200</f>
        <v>103.9</v>
      </c>
      <c r="O14" s="53">
        <f>DATABASE!P200</f>
        <v>0</v>
      </c>
      <c r="P14" s="53" t="str">
        <f>DATABASE!Q200</f>
        <v>AVAILABLE</v>
      </c>
      <c r="Q14" s="53">
        <f>DATABASE!R200</f>
        <v>1247000</v>
      </c>
      <c r="R14" s="53">
        <f>DATABASE!S200</f>
        <v>1320000</v>
      </c>
      <c r="S14" s="53">
        <f>DATABASE!T200</f>
        <v>1390000</v>
      </c>
      <c r="T14" s="53">
        <f>DATABASE!U200</f>
        <v>50000</v>
      </c>
      <c r="U14" s="53">
        <f>DATABASE!V200</f>
        <v>23000</v>
      </c>
      <c r="V14" s="53">
        <f>DATABASE!W200</f>
        <v>1317000</v>
      </c>
      <c r="W14" s="53">
        <f>DATABASE!X200</f>
        <v>0</v>
      </c>
      <c r="X14" s="53">
        <f>DATABASE!Y200</f>
        <v>1390000</v>
      </c>
      <c r="Y14" s="53">
        <f>DATABASE!Z200</f>
        <v>1317000</v>
      </c>
      <c r="Z14" s="53" t="e">
        <f>DATABASE!#REF!</f>
        <v>#REF!</v>
      </c>
      <c r="AA14" s="53">
        <f>DATABASE!AA200</f>
        <v>0</v>
      </c>
      <c r="AB14" s="54">
        <f>DATABASE!AB200</f>
        <v>0</v>
      </c>
    </row>
    <row r="15" spans="1:28">
      <c r="A15" s="52" t="str">
        <f>DATABASE!A201</f>
        <v>ELS</v>
      </c>
      <c r="B15" s="53" t="str">
        <f>DATABASE!B201</f>
        <v>Vilamoura</v>
      </c>
      <c r="C15" s="53" t="str">
        <f>DATABASE!C201</f>
        <v>21</v>
      </c>
      <c r="D15" s="53" t="str">
        <f>DATABASE!E201</f>
        <v>Plot</v>
      </c>
      <c r="E15" s="53">
        <f>DATABASE!F201</f>
        <v>260</v>
      </c>
      <c r="F15" s="53">
        <f>DATABASE!G201</f>
        <v>0</v>
      </c>
      <c r="G15" s="53" t="str">
        <f>DATABASE!H201</f>
        <v/>
      </c>
      <c r="H15" s="53" t="str">
        <f>DATABASE!I201</f>
        <v/>
      </c>
      <c r="I15" s="53">
        <f>DATABASE!J201</f>
        <v>0</v>
      </c>
      <c r="J15" s="53">
        <f>DATABASE!K201</f>
        <v>0</v>
      </c>
      <c r="K15" s="53">
        <f>DATABASE!L201</f>
        <v>0</v>
      </c>
      <c r="L15" s="53">
        <f>DATABASE!M201</f>
        <v>0</v>
      </c>
      <c r="M15" s="53">
        <f>DATABASE!N201</f>
        <v>0</v>
      </c>
      <c r="N15" s="53">
        <f>DATABASE!O201</f>
        <v>260</v>
      </c>
      <c r="O15" s="53">
        <f>DATABASE!P201</f>
        <v>0</v>
      </c>
      <c r="P15" s="53" t="str">
        <f>DATABASE!Q201</f>
        <v>AVAILABLE</v>
      </c>
      <c r="Q15" s="53">
        <f>DATABASE!R201</f>
        <v>3150000</v>
      </c>
      <c r="R15" s="53">
        <f>DATABASE!S201</f>
        <v>3150000</v>
      </c>
      <c r="S15" s="53">
        <f>DATABASE!T201</f>
        <v>660000</v>
      </c>
      <c r="T15" s="53">
        <f>DATABASE!U201</f>
        <v>0</v>
      </c>
      <c r="U15" s="53">
        <f>DATABASE!V201</f>
        <v>0</v>
      </c>
      <c r="V15" s="53">
        <f>DATABASE!W201</f>
        <v>660000</v>
      </c>
      <c r="W15" s="53">
        <f>DATABASE!X201</f>
        <v>0</v>
      </c>
      <c r="X15" s="53">
        <f>DATABASE!Y201</f>
        <v>660000</v>
      </c>
      <c r="Y15" s="53">
        <f>DATABASE!Z201</f>
        <v>660000</v>
      </c>
      <c r="Z15" s="53" t="e">
        <f>DATABASE!#REF!</f>
        <v>#REF!</v>
      </c>
      <c r="AA15" s="53">
        <f>DATABASE!AA201</f>
        <v>0</v>
      </c>
      <c r="AB15" s="54">
        <f>DATABASE!AB201</f>
        <v>0</v>
      </c>
    </row>
    <row r="16" spans="1:28">
      <c r="A16" s="52" t="str">
        <f>DATABASE!A202</f>
        <v>MOURAGOLFE</v>
      </c>
      <c r="B16" s="53" t="str">
        <f>DATABASE!B202</f>
        <v>Vilamoura</v>
      </c>
      <c r="C16" s="53" t="str">
        <f>DATABASE!C202</f>
        <v>21</v>
      </c>
      <c r="D16" s="53" t="str">
        <f>DATABASE!E202</f>
        <v>Plot</v>
      </c>
      <c r="E16" s="53">
        <f>DATABASE!F202</f>
        <v>280</v>
      </c>
      <c r="F16" s="53">
        <f>DATABASE!G202</f>
        <v>0</v>
      </c>
      <c r="G16" s="53" t="str">
        <f>DATABASE!H202</f>
        <v/>
      </c>
      <c r="H16" s="53" t="str">
        <f>DATABASE!I202</f>
        <v/>
      </c>
      <c r="I16" s="53">
        <f>DATABASE!J202</f>
        <v>0</v>
      </c>
      <c r="J16" s="53">
        <f>DATABASE!K202</f>
        <v>0</v>
      </c>
      <c r="K16" s="53">
        <f>DATABASE!L202</f>
        <v>0</v>
      </c>
      <c r="L16" s="53">
        <f>DATABASE!M202</f>
        <v>0</v>
      </c>
      <c r="M16" s="53">
        <f>DATABASE!N202</f>
        <v>0</v>
      </c>
      <c r="N16" s="53">
        <f>DATABASE!O202</f>
        <v>280</v>
      </c>
      <c r="O16" s="53">
        <f>DATABASE!P202</f>
        <v>0</v>
      </c>
      <c r="P16" s="53" t="str">
        <f>DATABASE!Q202</f>
        <v xml:space="preserve">DEED </v>
      </c>
      <c r="Q16" s="53">
        <f>DATABASE!R202</f>
        <v>610000</v>
      </c>
      <c r="R16" s="53">
        <f>DATABASE!S202</f>
        <v>610000</v>
      </c>
      <c r="S16" s="53">
        <f>DATABASE!T202</f>
        <v>738100</v>
      </c>
      <c r="T16" s="53">
        <f>DATABASE!U202</f>
        <v>0</v>
      </c>
      <c r="U16" s="53">
        <f>DATABASE!V202</f>
        <v>0</v>
      </c>
      <c r="V16" s="53">
        <f>DATABASE!W202</f>
        <v>738100</v>
      </c>
      <c r="W16" s="53">
        <f>DATABASE!X202</f>
        <v>1.11022302462516E-16</v>
      </c>
      <c r="X16" s="53">
        <f>DATABASE!Y202</f>
        <v>738100</v>
      </c>
      <c r="Y16" s="53">
        <f>DATABASE!Z202</f>
        <v>738100</v>
      </c>
      <c r="Z16" s="53" t="e">
        <f>DATABASE!#REF!</f>
        <v>#REF!</v>
      </c>
      <c r="AA16" s="53">
        <f>DATABASE!AA202</f>
        <v>45464</v>
      </c>
      <c r="AB16" s="54">
        <f>DATABASE!AB202</f>
        <v>0</v>
      </c>
    </row>
    <row r="17" spans="1:28">
      <c r="A17" s="52" t="str">
        <f>DATABASE!A203</f>
        <v>Palmares - Plots</v>
      </c>
      <c r="B17" s="53" t="str">
        <f>DATABASE!B203</f>
        <v>Algarve</v>
      </c>
      <c r="C17" s="53" t="str">
        <f>DATABASE!C203</f>
        <v>42</v>
      </c>
      <c r="D17" s="53" t="str">
        <f>DATABASE!E203</f>
        <v>Plot</v>
      </c>
      <c r="E17" s="53">
        <f>DATABASE!F203</f>
        <v>2725</v>
      </c>
      <c r="F17" s="53">
        <f>DATABASE!G203</f>
        <v>0</v>
      </c>
      <c r="G17" s="53" t="str">
        <f>DATABASE!H203</f>
        <v/>
      </c>
      <c r="H17" s="53" t="str">
        <f>DATABASE!I203</f>
        <v/>
      </c>
      <c r="I17" s="53">
        <f>DATABASE!J203</f>
        <v>0</v>
      </c>
      <c r="J17" s="53">
        <f>DATABASE!K203</f>
        <v>0</v>
      </c>
      <c r="K17" s="53">
        <f>DATABASE!L203</f>
        <v>0</v>
      </c>
      <c r="L17" s="53">
        <f>DATABASE!M203</f>
        <v>0</v>
      </c>
      <c r="M17" s="53">
        <f>DATABASE!N203</f>
        <v>0</v>
      </c>
      <c r="N17" s="53">
        <f>DATABASE!O203</f>
        <v>340</v>
      </c>
      <c r="O17" s="53">
        <f>DATABASE!P203</f>
        <v>0</v>
      </c>
      <c r="P17" s="53" t="str">
        <f>DATABASE!Q203</f>
        <v>AVAILABLE</v>
      </c>
      <c r="Q17" s="53">
        <f>DATABASE!R203</f>
        <v>570000</v>
      </c>
      <c r="R17" s="53">
        <f>DATABASE!S203</f>
        <v>570000</v>
      </c>
      <c r="S17" s="53">
        <f>DATABASE!T203</f>
        <v>1250000</v>
      </c>
      <c r="T17" s="53">
        <f>DATABASE!U203</f>
        <v>0</v>
      </c>
      <c r="U17" s="53">
        <f>DATABASE!V203</f>
        <v>0</v>
      </c>
      <c r="V17" s="53">
        <f>DATABASE!W203</f>
        <v>1250000</v>
      </c>
      <c r="W17" s="53">
        <f>DATABASE!X203</f>
        <v>0</v>
      </c>
      <c r="X17" s="53">
        <f>DATABASE!Y203</f>
        <v>1250000</v>
      </c>
      <c r="Y17" s="53">
        <f>DATABASE!Z203</f>
        <v>1250000</v>
      </c>
      <c r="Z17" s="53" t="e">
        <f>DATABASE!#REF!</f>
        <v>#REF!</v>
      </c>
      <c r="AA17" s="53">
        <f>DATABASE!AA203</f>
        <v>0</v>
      </c>
      <c r="AB17" s="54">
        <f>DATABASE!AB203</f>
        <v>46843</v>
      </c>
    </row>
    <row r="18" spans="1:28">
      <c r="A18" s="52" t="str">
        <f>DATABASE!A204</f>
        <v>Palmares - Plots</v>
      </c>
      <c r="B18" s="53" t="str">
        <f>DATABASE!B204</f>
        <v>Algarve</v>
      </c>
      <c r="C18" s="53" t="str">
        <f>DATABASE!C204</f>
        <v>44</v>
      </c>
      <c r="D18" s="53" t="str">
        <f>DATABASE!E204</f>
        <v>Plot</v>
      </c>
      <c r="E18" s="53">
        <f>DATABASE!F204</f>
        <v>3281</v>
      </c>
      <c r="F18" s="53">
        <f>DATABASE!G204</f>
        <v>0</v>
      </c>
      <c r="G18" s="53" t="str">
        <f>DATABASE!H204</f>
        <v/>
      </c>
      <c r="H18" s="53" t="str">
        <f>DATABASE!I204</f>
        <v/>
      </c>
      <c r="I18" s="53">
        <f>DATABASE!J204</f>
        <v>0</v>
      </c>
      <c r="J18" s="53">
        <f>DATABASE!K204</f>
        <v>0</v>
      </c>
      <c r="K18" s="53">
        <f>DATABASE!L204</f>
        <v>0</v>
      </c>
      <c r="L18" s="53">
        <f>DATABASE!M204</f>
        <v>0</v>
      </c>
      <c r="M18" s="53">
        <f>DATABASE!N204</f>
        <v>0</v>
      </c>
      <c r="N18" s="53">
        <f>DATABASE!O204</f>
        <v>500</v>
      </c>
      <c r="O18" s="53">
        <f>DATABASE!P204</f>
        <v>0</v>
      </c>
      <c r="P18" s="53" t="str">
        <f>DATABASE!Q204</f>
        <v>AVAILABLE</v>
      </c>
      <c r="Q18" s="53">
        <f>DATABASE!R204</f>
        <v>570000</v>
      </c>
      <c r="R18" s="53">
        <f>DATABASE!S204</f>
        <v>570000</v>
      </c>
      <c r="S18" s="53">
        <f>DATABASE!T204</f>
        <v>1350000</v>
      </c>
      <c r="T18" s="53">
        <f>DATABASE!U204</f>
        <v>0</v>
      </c>
      <c r="U18" s="53">
        <f>DATABASE!V204</f>
        <v>0</v>
      </c>
      <c r="V18" s="53">
        <f>DATABASE!W204</f>
        <v>1350000</v>
      </c>
      <c r="W18" s="53">
        <f>DATABASE!X204</f>
        <v>0</v>
      </c>
      <c r="X18" s="53">
        <f>DATABASE!Y204</f>
        <v>1350000</v>
      </c>
      <c r="Y18" s="53">
        <f>DATABASE!Z204</f>
        <v>1350000</v>
      </c>
      <c r="Z18" s="53" t="e">
        <f>DATABASE!#REF!</f>
        <v>#REF!</v>
      </c>
      <c r="AA18" s="53">
        <f>DATABASE!AA204</f>
        <v>0</v>
      </c>
      <c r="AB18" s="54">
        <f>DATABASE!AB204</f>
        <v>46843</v>
      </c>
    </row>
    <row r="19" spans="1:28">
      <c r="A19" s="52" t="str">
        <f>DATABASE!A205</f>
        <v>Palmares - Signature Residences</v>
      </c>
      <c r="B19" s="53" t="str">
        <f>DATABASE!B205</f>
        <v>Algarve</v>
      </c>
      <c r="C19" s="53" t="str">
        <f>DATABASE!C205</f>
        <v>5A</v>
      </c>
      <c r="D19" s="53" t="str">
        <f>DATABASE!E205</f>
        <v>T1</v>
      </c>
      <c r="E19" s="53">
        <f>DATABASE!F205</f>
        <v>90.53</v>
      </c>
      <c r="F19" s="53">
        <f>DATABASE!G205</f>
        <v>0</v>
      </c>
      <c r="G19" s="53" t="str">
        <f>DATABASE!H205</f>
        <v/>
      </c>
      <c r="H19" s="53" t="str">
        <f>DATABASE!I205</f>
        <v>7.28</v>
      </c>
      <c r="I19" s="53">
        <f>DATABASE!J205</f>
        <v>0</v>
      </c>
      <c r="J19" s="53">
        <f>DATABASE!K205</f>
        <v>0</v>
      </c>
      <c r="K19" s="53">
        <f>DATABASE!L205</f>
        <v>0</v>
      </c>
      <c r="L19" s="53">
        <f>DATABASE!M205</f>
        <v>19.03</v>
      </c>
      <c r="M19" s="53">
        <f>DATABASE!N205</f>
        <v>0</v>
      </c>
      <c r="N19" s="53">
        <f>DATABASE!O205</f>
        <v>64.22</v>
      </c>
      <c r="O19" s="53">
        <f>DATABASE!P205</f>
        <v>0</v>
      </c>
      <c r="P19" s="53" t="str">
        <f>DATABASE!Q205</f>
        <v>AVAILABLE</v>
      </c>
      <c r="Q19" s="53">
        <f>DATABASE!R205</f>
        <v>640000</v>
      </c>
      <c r="R19" s="53">
        <f>DATABASE!S205</f>
        <v>640000</v>
      </c>
      <c r="S19" s="53">
        <f>DATABASE!T205</f>
        <v>640000</v>
      </c>
      <c r="T19" s="53">
        <f>DATABASE!U205</f>
        <v>0</v>
      </c>
      <c r="U19" s="53">
        <f>DATABASE!V205</f>
        <v>0</v>
      </c>
      <c r="V19" s="53">
        <f>DATABASE!W205</f>
        <v>640000</v>
      </c>
      <c r="W19" s="53">
        <f>DATABASE!X205</f>
        <v>0</v>
      </c>
      <c r="X19" s="53">
        <f>DATABASE!Y205</f>
        <v>640000</v>
      </c>
      <c r="Y19" s="53">
        <f>DATABASE!Z205</f>
        <v>640000</v>
      </c>
      <c r="Z19" s="53" t="e">
        <f>DATABASE!#REF!</f>
        <v>#REF!</v>
      </c>
      <c r="AA19" s="53">
        <f>DATABASE!AA205</f>
        <v>0</v>
      </c>
      <c r="AB19" s="54">
        <f>DATABASE!AB205</f>
        <v>46843</v>
      </c>
    </row>
    <row r="20" spans="1:28">
      <c r="A20" s="52" t="str">
        <f>DATABASE!A206</f>
        <v>THE UNCOMMON</v>
      </c>
      <c r="B20" s="53" t="str">
        <f>DATABASE!B206</f>
        <v>Vilamoura</v>
      </c>
      <c r="C20" s="53" t="str">
        <f>DATABASE!C206</f>
        <v>210</v>
      </c>
      <c r="D20" s="53" t="str">
        <f>DATABASE!E206</f>
        <v>T4 Duplex</v>
      </c>
      <c r="E20" s="53">
        <f>DATABASE!F206</f>
        <v>280.5</v>
      </c>
      <c r="F20" s="53">
        <f>DATABASE!G206</f>
        <v>0</v>
      </c>
      <c r="G20" s="53" t="str">
        <f>DATABASE!H206</f>
        <v>1</v>
      </c>
      <c r="H20" s="53" t="str">
        <f>DATABASE!I206</f>
        <v/>
      </c>
      <c r="I20" s="53">
        <f>DATABASE!J206</f>
        <v>46.5</v>
      </c>
      <c r="J20" s="53">
        <f>DATABASE!K206</f>
        <v>0</v>
      </c>
      <c r="K20" s="53">
        <f>DATABASE!L206</f>
        <v>0</v>
      </c>
      <c r="L20" s="53">
        <f>DATABASE!M206</f>
        <v>0</v>
      </c>
      <c r="M20" s="53">
        <f>DATABASE!N206</f>
        <v>0</v>
      </c>
      <c r="N20" s="53">
        <f>DATABASE!O206</f>
        <v>234</v>
      </c>
      <c r="O20" s="53">
        <f>DATABASE!P206</f>
        <v>0</v>
      </c>
      <c r="P20" s="53" t="str">
        <f>DATABASE!Q206</f>
        <v>AVAILABLE</v>
      </c>
      <c r="Q20" s="53">
        <f>DATABASE!R206</f>
        <v>3705000</v>
      </c>
      <c r="R20" s="53">
        <f>DATABASE!S206</f>
        <v>3810000</v>
      </c>
      <c r="S20" s="53">
        <f>DATABASE!T206</f>
        <v>3930000</v>
      </c>
      <c r="T20" s="53">
        <f>DATABASE!U206</f>
        <v>60000</v>
      </c>
      <c r="U20" s="53">
        <f>DATABASE!V206</f>
        <v>45000</v>
      </c>
      <c r="V20" s="53">
        <f>DATABASE!W206</f>
        <v>3825000</v>
      </c>
      <c r="W20" s="53">
        <f>DATABASE!X206</f>
        <v>0</v>
      </c>
      <c r="X20" s="53">
        <f>DATABASE!Y206</f>
        <v>3930000</v>
      </c>
      <c r="Y20" s="53">
        <f>DATABASE!Z206</f>
        <v>3825000</v>
      </c>
      <c r="Z20" s="53" t="e">
        <f>DATABASE!#REF!</f>
        <v>#REF!</v>
      </c>
      <c r="AA20" s="53">
        <f>DATABASE!AA206</f>
        <v>0</v>
      </c>
      <c r="AB20" s="54">
        <f>DATABASE!AB206</f>
        <v>0</v>
      </c>
    </row>
    <row r="21" spans="1:28">
      <c r="A21" s="52" t="str">
        <f>DATABASE!A207</f>
        <v>THE UNCOMMON</v>
      </c>
      <c r="B21" s="53" t="str">
        <f>DATABASE!B207</f>
        <v>Vilamoura</v>
      </c>
      <c r="C21" s="53" t="str">
        <f>DATABASE!C207</f>
        <v>211</v>
      </c>
      <c r="D21" s="53" t="str">
        <f>DATABASE!E207</f>
        <v>T1</v>
      </c>
      <c r="E21" s="53">
        <f>DATABASE!F207</f>
        <v>80.900000000000006</v>
      </c>
      <c r="F21" s="53">
        <f>DATABASE!G207</f>
        <v>0</v>
      </c>
      <c r="G21" s="53" t="str">
        <f>DATABASE!H207</f>
        <v>1</v>
      </c>
      <c r="H21" s="53" t="str">
        <f>DATABASE!I207</f>
        <v/>
      </c>
      <c r="I21" s="53">
        <f>DATABASE!J207</f>
        <v>18</v>
      </c>
      <c r="J21" s="53">
        <f>DATABASE!K207</f>
        <v>0</v>
      </c>
      <c r="K21" s="53">
        <f>DATABASE!L207</f>
        <v>0</v>
      </c>
      <c r="L21" s="53">
        <f>DATABASE!M207</f>
        <v>0</v>
      </c>
      <c r="M21" s="53">
        <f>DATABASE!N207</f>
        <v>0</v>
      </c>
      <c r="N21" s="53">
        <f>DATABASE!O207</f>
        <v>62.9</v>
      </c>
      <c r="O21" s="53">
        <f>DATABASE!P207</f>
        <v>0</v>
      </c>
      <c r="P21" s="53" t="str">
        <f>DATABASE!Q207</f>
        <v>AVAILABLE</v>
      </c>
      <c r="Q21" s="53">
        <f>DATABASE!R207</f>
        <v>625000</v>
      </c>
      <c r="R21" s="53">
        <f>DATABASE!S207</f>
        <v>690000</v>
      </c>
      <c r="S21" s="53">
        <f>DATABASE!T207</f>
        <v>750000</v>
      </c>
      <c r="T21" s="53">
        <f>DATABASE!U207</f>
        <v>50000</v>
      </c>
      <c r="U21" s="53">
        <f>DATABASE!V207</f>
        <v>15000</v>
      </c>
      <c r="V21" s="53">
        <f>DATABASE!W207</f>
        <v>685000</v>
      </c>
      <c r="W21" s="53">
        <f>DATABASE!X207</f>
        <v>0</v>
      </c>
      <c r="X21" s="53">
        <f>DATABASE!Y207</f>
        <v>750000</v>
      </c>
      <c r="Y21" s="53">
        <f>DATABASE!Z207</f>
        <v>685000</v>
      </c>
      <c r="Z21" s="53" t="e">
        <f>DATABASE!#REF!</f>
        <v>#REF!</v>
      </c>
      <c r="AA21" s="53">
        <f>DATABASE!AA207</f>
        <v>0</v>
      </c>
      <c r="AB21" s="54">
        <f>DATABASE!AB207</f>
        <v>0</v>
      </c>
    </row>
    <row r="22" spans="1:28">
      <c r="A22" s="52" t="str">
        <f>DATABASE!A208</f>
        <v>THE UNCOMMON</v>
      </c>
      <c r="B22" s="53" t="str">
        <f>DATABASE!B208</f>
        <v>Vilamoura</v>
      </c>
      <c r="C22" s="53" t="str">
        <f>DATABASE!C208</f>
        <v>212</v>
      </c>
      <c r="D22" s="53" t="str">
        <f>DATABASE!E208</f>
        <v>T1</v>
      </c>
      <c r="E22" s="53">
        <f>DATABASE!F208</f>
        <v>81.099999999999994</v>
      </c>
      <c r="F22" s="53">
        <f>DATABASE!G208</f>
        <v>0</v>
      </c>
      <c r="G22" s="53" t="str">
        <f>DATABASE!H208</f>
        <v>1</v>
      </c>
      <c r="H22" s="53" t="str">
        <f>DATABASE!I208</f>
        <v/>
      </c>
      <c r="I22" s="53">
        <f>DATABASE!J208</f>
        <v>18</v>
      </c>
      <c r="J22" s="53">
        <f>DATABASE!K208</f>
        <v>0</v>
      </c>
      <c r="K22" s="53">
        <f>DATABASE!L208</f>
        <v>0</v>
      </c>
      <c r="L22" s="53">
        <f>DATABASE!M208</f>
        <v>0</v>
      </c>
      <c r="M22" s="53">
        <f>DATABASE!N208</f>
        <v>0</v>
      </c>
      <c r="N22" s="53">
        <f>DATABASE!O208</f>
        <v>63.1</v>
      </c>
      <c r="O22" s="53">
        <f>DATABASE!P208</f>
        <v>0</v>
      </c>
      <c r="P22" s="53" t="str">
        <f>DATABASE!Q208</f>
        <v>AVAILABLE</v>
      </c>
      <c r="Q22" s="53">
        <f>DATABASE!R208</f>
        <v>645000</v>
      </c>
      <c r="R22" s="53">
        <f>DATABASE!S208</f>
        <v>710000</v>
      </c>
      <c r="S22" s="53">
        <f>DATABASE!T208</f>
        <v>770000</v>
      </c>
      <c r="T22" s="53">
        <f>DATABASE!U208</f>
        <v>50000</v>
      </c>
      <c r="U22" s="53">
        <f>DATABASE!V208</f>
        <v>15000</v>
      </c>
      <c r="V22" s="53">
        <f>DATABASE!W208</f>
        <v>705000</v>
      </c>
      <c r="W22" s="53">
        <f>DATABASE!X208</f>
        <v>0</v>
      </c>
      <c r="X22" s="53">
        <f>DATABASE!Y208</f>
        <v>770000</v>
      </c>
      <c r="Y22" s="53">
        <f>DATABASE!Z208</f>
        <v>705000</v>
      </c>
      <c r="Z22" s="53" t="e">
        <f>DATABASE!#REF!</f>
        <v>#REF!</v>
      </c>
      <c r="AA22" s="53">
        <f>DATABASE!AA208</f>
        <v>0</v>
      </c>
      <c r="AB22" s="54">
        <f>DATABASE!AB208</f>
        <v>0</v>
      </c>
    </row>
    <row r="23" spans="1:28">
      <c r="A23" s="52" t="str">
        <f>DATABASE!A209</f>
        <v>THE UNCOMMON</v>
      </c>
      <c r="B23" s="53" t="str">
        <f>DATABASE!B209</f>
        <v>Vilamoura</v>
      </c>
      <c r="C23" s="53" t="str">
        <f>DATABASE!C209</f>
        <v>213</v>
      </c>
      <c r="D23" s="53" t="str">
        <f>DATABASE!E209</f>
        <v>T1</v>
      </c>
      <c r="E23" s="53">
        <f>DATABASE!F209</f>
        <v>81.099999999999994</v>
      </c>
      <c r="F23" s="53">
        <f>DATABASE!G209</f>
        <v>0</v>
      </c>
      <c r="G23" s="53" t="str">
        <f>DATABASE!H209</f>
        <v>1</v>
      </c>
      <c r="H23" s="53" t="str">
        <f>DATABASE!I209</f>
        <v/>
      </c>
      <c r="I23" s="53">
        <f>DATABASE!J209</f>
        <v>18</v>
      </c>
      <c r="J23" s="53">
        <f>DATABASE!K209</f>
        <v>0</v>
      </c>
      <c r="K23" s="53">
        <f>DATABASE!L209</f>
        <v>0</v>
      </c>
      <c r="L23" s="53">
        <f>DATABASE!M209</f>
        <v>0</v>
      </c>
      <c r="M23" s="53">
        <f>DATABASE!N209</f>
        <v>0</v>
      </c>
      <c r="N23" s="53">
        <f>DATABASE!O209</f>
        <v>63.1</v>
      </c>
      <c r="O23" s="53">
        <f>DATABASE!P209</f>
        <v>0</v>
      </c>
      <c r="P23" s="53" t="str">
        <f>DATABASE!Q209</f>
        <v>AVAILABLE</v>
      </c>
      <c r="Q23" s="53">
        <f>DATABASE!R209</f>
        <v>695000</v>
      </c>
      <c r="R23" s="53">
        <f>DATABASE!S209</f>
        <v>760000</v>
      </c>
      <c r="S23" s="53">
        <f>DATABASE!T209</f>
        <v>820000</v>
      </c>
      <c r="T23" s="53">
        <f>DATABASE!U209</f>
        <v>50000</v>
      </c>
      <c r="U23" s="53">
        <f>DATABASE!V209</f>
        <v>15000</v>
      </c>
      <c r="V23" s="53">
        <f>DATABASE!W209</f>
        <v>755000</v>
      </c>
      <c r="W23" s="53">
        <f>DATABASE!X209</f>
        <v>0</v>
      </c>
      <c r="X23" s="53">
        <f>DATABASE!Y209</f>
        <v>820000</v>
      </c>
      <c r="Y23" s="53">
        <f>DATABASE!Z209</f>
        <v>755000</v>
      </c>
      <c r="Z23" s="53" t="e">
        <f>DATABASE!#REF!</f>
        <v>#REF!</v>
      </c>
      <c r="AA23" s="53">
        <f>DATABASE!AA209</f>
        <v>0</v>
      </c>
      <c r="AB23" s="54">
        <f>DATABASE!AB209</f>
        <v>0</v>
      </c>
    </row>
    <row r="24" spans="1:28">
      <c r="A24" s="52" t="str">
        <f>DATABASE!A210</f>
        <v>THE UNCOMMON</v>
      </c>
      <c r="B24" s="53" t="str">
        <f>DATABASE!B210</f>
        <v>Vilamoura</v>
      </c>
      <c r="C24" s="53" t="str">
        <f>DATABASE!C210</f>
        <v>214</v>
      </c>
      <c r="D24" s="53" t="str">
        <f>DATABASE!E210</f>
        <v>T1</v>
      </c>
      <c r="E24" s="53">
        <f>DATABASE!F210</f>
        <v>81.099999999999994</v>
      </c>
      <c r="F24" s="53">
        <f>DATABASE!G210</f>
        <v>0</v>
      </c>
      <c r="G24" s="53" t="str">
        <f>DATABASE!H210</f>
        <v>1</v>
      </c>
      <c r="H24" s="53" t="str">
        <f>DATABASE!I210</f>
        <v/>
      </c>
      <c r="I24" s="53">
        <f>DATABASE!J210</f>
        <v>18</v>
      </c>
      <c r="J24" s="53">
        <f>DATABASE!K210</f>
        <v>0</v>
      </c>
      <c r="K24" s="53">
        <f>DATABASE!L210</f>
        <v>0</v>
      </c>
      <c r="L24" s="53">
        <f>DATABASE!M210</f>
        <v>0</v>
      </c>
      <c r="M24" s="53">
        <f>DATABASE!N210</f>
        <v>0</v>
      </c>
      <c r="N24" s="53">
        <f>DATABASE!O210</f>
        <v>63.1</v>
      </c>
      <c r="O24" s="53">
        <f>DATABASE!P210</f>
        <v>0</v>
      </c>
      <c r="P24" s="53" t="str">
        <f>DATABASE!Q210</f>
        <v>AVAILABLE</v>
      </c>
      <c r="Q24" s="53">
        <f>DATABASE!R210</f>
        <v>735000</v>
      </c>
      <c r="R24" s="53">
        <f>DATABASE!S210</f>
        <v>800000</v>
      </c>
      <c r="S24" s="53">
        <f>DATABASE!T210</f>
        <v>860000</v>
      </c>
      <c r="T24" s="53">
        <f>DATABASE!U210</f>
        <v>50000</v>
      </c>
      <c r="U24" s="53">
        <f>DATABASE!V210</f>
        <v>15000</v>
      </c>
      <c r="V24" s="53">
        <f>DATABASE!W210</f>
        <v>795000</v>
      </c>
      <c r="W24" s="53">
        <f>DATABASE!X210</f>
        <v>0</v>
      </c>
      <c r="X24" s="53">
        <f>DATABASE!Y210</f>
        <v>860000</v>
      </c>
      <c r="Y24" s="53">
        <f>DATABASE!Z210</f>
        <v>795000</v>
      </c>
      <c r="Z24" s="53" t="e">
        <f>DATABASE!#REF!</f>
        <v>#REF!</v>
      </c>
      <c r="AA24" s="53">
        <f>DATABASE!AA210</f>
        <v>0</v>
      </c>
      <c r="AB24" s="54">
        <f>DATABASE!AB210</f>
        <v>0</v>
      </c>
    </row>
    <row r="25" spans="1:28">
      <c r="A25" s="52" t="str">
        <f>DATABASE!A211</f>
        <v>THE UNCOMMON</v>
      </c>
      <c r="B25" s="53" t="str">
        <f>DATABASE!B211</f>
        <v>Vilamoura</v>
      </c>
      <c r="C25" s="53" t="str">
        <f>DATABASE!C211</f>
        <v>215</v>
      </c>
      <c r="D25" s="53" t="str">
        <f>DATABASE!E211</f>
        <v>T1</v>
      </c>
      <c r="E25" s="53">
        <f>DATABASE!F211</f>
        <v>83</v>
      </c>
      <c r="F25" s="53">
        <f>DATABASE!G211</f>
        <v>0</v>
      </c>
      <c r="G25" s="53" t="str">
        <f>DATABASE!H211</f>
        <v>1</v>
      </c>
      <c r="H25" s="53" t="str">
        <f>DATABASE!I211</f>
        <v/>
      </c>
      <c r="I25" s="53">
        <f>DATABASE!J211</f>
        <v>18.7</v>
      </c>
      <c r="J25" s="53">
        <f>DATABASE!K211</f>
        <v>0</v>
      </c>
      <c r="K25" s="53">
        <f>DATABASE!L211</f>
        <v>0</v>
      </c>
      <c r="L25" s="53">
        <f>DATABASE!M211</f>
        <v>0</v>
      </c>
      <c r="M25" s="53">
        <f>DATABASE!N211</f>
        <v>0</v>
      </c>
      <c r="N25" s="53">
        <f>DATABASE!O211</f>
        <v>64.3</v>
      </c>
      <c r="O25" s="53">
        <f>DATABASE!P211</f>
        <v>0</v>
      </c>
      <c r="P25" s="53" t="str">
        <f>DATABASE!Q211</f>
        <v>AVAILABLE</v>
      </c>
      <c r="Q25" s="53">
        <f>DATABASE!R211</f>
        <v>805000</v>
      </c>
      <c r="R25" s="53">
        <f>DATABASE!S211</f>
        <v>870000</v>
      </c>
      <c r="S25" s="53">
        <f>DATABASE!T211</f>
        <v>930000</v>
      </c>
      <c r="T25" s="53">
        <f>DATABASE!U211</f>
        <v>50000</v>
      </c>
      <c r="U25" s="53">
        <f>DATABASE!V211</f>
        <v>15000</v>
      </c>
      <c r="V25" s="53">
        <f>DATABASE!W211</f>
        <v>865000</v>
      </c>
      <c r="W25" s="53">
        <f>DATABASE!X211</f>
        <v>0</v>
      </c>
      <c r="X25" s="53">
        <f>DATABASE!Y211</f>
        <v>930000</v>
      </c>
      <c r="Y25" s="53">
        <f>DATABASE!Z211</f>
        <v>865000</v>
      </c>
      <c r="Z25" s="53" t="e">
        <f>DATABASE!#REF!</f>
        <v>#REF!</v>
      </c>
      <c r="AA25" s="53">
        <f>DATABASE!AA211</f>
        <v>0</v>
      </c>
      <c r="AB25" s="54">
        <f>DATABASE!AB211</f>
        <v>0</v>
      </c>
    </row>
    <row r="26" spans="1:28">
      <c r="A26" s="52" t="str">
        <f>DATABASE!A212</f>
        <v>THE UNCOMMON</v>
      </c>
      <c r="B26" s="53" t="str">
        <f>DATABASE!B212</f>
        <v>Vilamoura</v>
      </c>
      <c r="C26" s="53" t="str">
        <f>DATABASE!C212</f>
        <v>216</v>
      </c>
      <c r="D26" s="53" t="str">
        <f>DATABASE!E212</f>
        <v>T4 Duplex</v>
      </c>
      <c r="E26" s="53">
        <f>DATABASE!F212</f>
        <v>284.8</v>
      </c>
      <c r="F26" s="53">
        <f>DATABASE!G212</f>
        <v>0</v>
      </c>
      <c r="G26" s="53" t="str">
        <f>DATABASE!H212</f>
        <v>1</v>
      </c>
      <c r="H26" s="53" t="str">
        <f>DATABASE!I212</f>
        <v/>
      </c>
      <c r="I26" s="53">
        <f>DATABASE!J212</f>
        <v>60.8</v>
      </c>
      <c r="J26" s="53">
        <f>DATABASE!K212</f>
        <v>0</v>
      </c>
      <c r="K26" s="53">
        <f>DATABASE!L212</f>
        <v>0</v>
      </c>
      <c r="L26" s="53">
        <f>DATABASE!M212</f>
        <v>0</v>
      </c>
      <c r="M26" s="53">
        <f>DATABASE!N212</f>
        <v>0</v>
      </c>
      <c r="N26" s="53">
        <f>DATABASE!O212</f>
        <v>224</v>
      </c>
      <c r="O26" s="53">
        <f>DATABASE!P212</f>
        <v>0</v>
      </c>
      <c r="P26" s="53" t="str">
        <f>DATABASE!Q212</f>
        <v>AVAILABLE</v>
      </c>
      <c r="Q26" s="53">
        <f>DATABASE!R212</f>
        <v>3525000</v>
      </c>
      <c r="R26" s="53">
        <f>DATABASE!S212</f>
        <v>3630000</v>
      </c>
      <c r="S26" s="53">
        <f>DATABASE!T212</f>
        <v>3740000</v>
      </c>
      <c r="T26" s="53">
        <f>DATABASE!U212</f>
        <v>60000</v>
      </c>
      <c r="U26" s="53">
        <f>DATABASE!V212</f>
        <v>45000</v>
      </c>
      <c r="V26" s="53">
        <f>DATABASE!W212</f>
        <v>3635000</v>
      </c>
      <c r="W26" s="53">
        <f>DATABASE!X212</f>
        <v>0</v>
      </c>
      <c r="X26" s="53">
        <f>DATABASE!Y212</f>
        <v>3740000</v>
      </c>
      <c r="Y26" s="53">
        <f>DATABASE!Z212</f>
        <v>3635000</v>
      </c>
      <c r="Z26" s="53" t="e">
        <f>DATABASE!#REF!</f>
        <v>#REF!</v>
      </c>
      <c r="AA26" s="53">
        <f>DATABASE!AA212</f>
        <v>0</v>
      </c>
      <c r="AB26" s="54">
        <f>DATABASE!AB212</f>
        <v>0</v>
      </c>
    </row>
    <row r="27" spans="1:28">
      <c r="A27" s="52" t="str">
        <f>DATABASE!A213</f>
        <v>ELS</v>
      </c>
      <c r="B27" s="53" t="str">
        <f>DATABASE!B213</f>
        <v>Vilamoura</v>
      </c>
      <c r="C27" s="53" t="str">
        <f>DATABASE!C213</f>
        <v>22</v>
      </c>
      <c r="D27" s="53" t="str">
        <f>DATABASE!E213</f>
        <v>Plot</v>
      </c>
      <c r="E27" s="53">
        <f>DATABASE!F213</f>
        <v>260</v>
      </c>
      <c r="F27" s="53">
        <f>DATABASE!G213</f>
        <v>0</v>
      </c>
      <c r="G27" s="53" t="str">
        <f>DATABASE!H213</f>
        <v/>
      </c>
      <c r="H27" s="53" t="str">
        <f>DATABASE!I213</f>
        <v/>
      </c>
      <c r="I27" s="53">
        <f>DATABASE!J213</f>
        <v>0</v>
      </c>
      <c r="J27" s="53">
        <f>DATABASE!K213</f>
        <v>0</v>
      </c>
      <c r="K27" s="53">
        <f>DATABASE!L213</f>
        <v>0</v>
      </c>
      <c r="L27" s="53">
        <f>DATABASE!M213</f>
        <v>0</v>
      </c>
      <c r="M27" s="53">
        <f>DATABASE!N213</f>
        <v>0</v>
      </c>
      <c r="N27" s="53">
        <f>DATABASE!O213</f>
        <v>260</v>
      </c>
      <c r="O27" s="53">
        <f>DATABASE!P213</f>
        <v>0</v>
      </c>
      <c r="P27" s="53" t="str">
        <f>DATABASE!Q213</f>
        <v>AVAILABLE</v>
      </c>
      <c r="Q27" s="53">
        <f>DATABASE!R213</f>
        <v>1840000</v>
      </c>
      <c r="R27" s="53">
        <f>DATABASE!S213</f>
        <v>1840000</v>
      </c>
      <c r="S27" s="53">
        <f>DATABASE!T213</f>
        <v>650000</v>
      </c>
      <c r="T27" s="53">
        <f>DATABASE!U213</f>
        <v>0</v>
      </c>
      <c r="U27" s="53">
        <f>DATABASE!V213</f>
        <v>0</v>
      </c>
      <c r="V27" s="53">
        <f>DATABASE!W213</f>
        <v>650000</v>
      </c>
      <c r="W27" s="53">
        <f>DATABASE!X213</f>
        <v>0</v>
      </c>
      <c r="X27" s="53">
        <f>DATABASE!Y213</f>
        <v>650000</v>
      </c>
      <c r="Y27" s="53">
        <f>DATABASE!Z213</f>
        <v>650000</v>
      </c>
      <c r="Z27" s="53" t="e">
        <f>DATABASE!#REF!</f>
        <v>#REF!</v>
      </c>
      <c r="AA27" s="53">
        <f>DATABASE!AA213</f>
        <v>0</v>
      </c>
      <c r="AB27" s="54">
        <f>DATABASE!AB213</f>
        <v>0</v>
      </c>
    </row>
    <row r="28" spans="1:28">
      <c r="A28" s="52" t="str">
        <f>DATABASE!A214</f>
        <v>MOURAGOLFE</v>
      </c>
      <c r="B28" s="53" t="str">
        <f>DATABASE!B214</f>
        <v>Vilamoura</v>
      </c>
      <c r="C28" s="53" t="str">
        <f>DATABASE!C214</f>
        <v>22</v>
      </c>
      <c r="D28" s="53" t="str">
        <f>DATABASE!E214</f>
        <v>Plot</v>
      </c>
      <c r="E28" s="53">
        <f>DATABASE!F214</f>
        <v>280</v>
      </c>
      <c r="F28" s="53">
        <f>DATABASE!G214</f>
        <v>0</v>
      </c>
      <c r="G28" s="53" t="str">
        <f>DATABASE!H214</f>
        <v/>
      </c>
      <c r="H28" s="53" t="str">
        <f>DATABASE!I214</f>
        <v/>
      </c>
      <c r="I28" s="53">
        <f>DATABASE!J214</f>
        <v>0</v>
      </c>
      <c r="J28" s="53">
        <f>DATABASE!K214</f>
        <v>0</v>
      </c>
      <c r="K28" s="53">
        <f>DATABASE!L214</f>
        <v>0</v>
      </c>
      <c r="L28" s="53">
        <f>DATABASE!M214</f>
        <v>0</v>
      </c>
      <c r="M28" s="53">
        <f>DATABASE!N214</f>
        <v>0</v>
      </c>
      <c r="N28" s="53">
        <f>DATABASE!O214</f>
        <v>280</v>
      </c>
      <c r="O28" s="53">
        <f>DATABASE!P214</f>
        <v>0</v>
      </c>
      <c r="P28" s="53" t="str">
        <f>DATABASE!Q214</f>
        <v xml:space="preserve">PSPA </v>
      </c>
      <c r="Q28" s="53">
        <f>DATABASE!R214</f>
        <v>610000</v>
      </c>
      <c r="R28" s="53">
        <f>DATABASE!S214</f>
        <v>610000</v>
      </c>
      <c r="S28" s="53">
        <f>DATABASE!T214</f>
        <v>738100</v>
      </c>
      <c r="T28" s="53">
        <f>DATABASE!U214</f>
        <v>0</v>
      </c>
      <c r="U28" s="53">
        <f>DATABASE!V214</f>
        <v>0</v>
      </c>
      <c r="V28" s="53">
        <f>DATABASE!W214</f>
        <v>738100</v>
      </c>
      <c r="W28" s="53">
        <f>DATABASE!X214</f>
        <v>1.11022302462516E-16</v>
      </c>
      <c r="X28" s="53">
        <f>DATABASE!Y214</f>
        <v>738100</v>
      </c>
      <c r="Y28" s="53">
        <f>DATABASE!Z214</f>
        <v>738100</v>
      </c>
      <c r="Z28" s="53" t="e">
        <f>DATABASE!#REF!</f>
        <v>#REF!</v>
      </c>
      <c r="AA28" s="53">
        <f>DATABASE!AA214</f>
        <v>46185</v>
      </c>
      <c r="AB28" s="54">
        <f>DATABASE!AB214</f>
        <v>0</v>
      </c>
    </row>
    <row r="29" spans="1:28">
      <c r="A29" s="52" t="str">
        <f>DATABASE!A215</f>
        <v>ELS</v>
      </c>
      <c r="B29" s="53" t="str">
        <f>DATABASE!B215</f>
        <v>Vilamoura</v>
      </c>
      <c r="C29" s="53" t="str">
        <f>DATABASE!C215</f>
        <v>23</v>
      </c>
      <c r="D29" s="53" t="str">
        <f>DATABASE!E215</f>
        <v>Plot</v>
      </c>
      <c r="E29" s="53">
        <f>DATABASE!F215</f>
        <v>260</v>
      </c>
      <c r="F29" s="53">
        <f>DATABASE!G215</f>
        <v>0</v>
      </c>
      <c r="G29" s="53" t="str">
        <f>DATABASE!H215</f>
        <v/>
      </c>
      <c r="H29" s="53" t="str">
        <f>DATABASE!I215</f>
        <v/>
      </c>
      <c r="I29" s="53">
        <f>DATABASE!J215</f>
        <v>0</v>
      </c>
      <c r="J29" s="53">
        <f>DATABASE!K215</f>
        <v>0</v>
      </c>
      <c r="K29" s="53">
        <f>DATABASE!L215</f>
        <v>0</v>
      </c>
      <c r="L29" s="53">
        <f>DATABASE!M215</f>
        <v>0</v>
      </c>
      <c r="M29" s="53">
        <f>DATABASE!N215</f>
        <v>0</v>
      </c>
      <c r="N29" s="53">
        <f>DATABASE!O215</f>
        <v>260</v>
      </c>
      <c r="O29" s="53">
        <f>DATABASE!P215</f>
        <v>0</v>
      </c>
      <c r="P29" s="53" t="str">
        <f>DATABASE!Q215</f>
        <v>PRE-RESERVED</v>
      </c>
      <c r="Q29" s="53">
        <f>DATABASE!R215</f>
        <v>3150000</v>
      </c>
      <c r="R29" s="53">
        <f>DATABASE!S215</f>
        <v>3150000</v>
      </c>
      <c r="S29" s="53">
        <f>DATABASE!T215</f>
        <v>780000</v>
      </c>
      <c r="T29" s="53">
        <f>DATABASE!U215</f>
        <v>0</v>
      </c>
      <c r="U29" s="53">
        <f>DATABASE!V215</f>
        <v>0</v>
      </c>
      <c r="V29" s="53">
        <f>DATABASE!W215</f>
        <v>780000</v>
      </c>
      <c r="W29" s="53">
        <f>DATABASE!X215</f>
        <v>0</v>
      </c>
      <c r="X29" s="53">
        <f>DATABASE!Y215</f>
        <v>780000</v>
      </c>
      <c r="Y29" s="53">
        <f>DATABASE!Z215</f>
        <v>780000</v>
      </c>
      <c r="Z29" s="53" t="e">
        <f>DATABASE!#REF!</f>
        <v>#REF!</v>
      </c>
      <c r="AA29" s="53">
        <f>DATABASE!AA215</f>
        <v>46174</v>
      </c>
      <c r="AB29" s="54">
        <f>DATABASE!AB215</f>
        <v>0</v>
      </c>
    </row>
    <row r="30" spans="1:28">
      <c r="A30" s="52" t="str">
        <f>DATABASE!A216</f>
        <v>MOURAGOLFE</v>
      </c>
      <c r="B30" s="53" t="str">
        <f>DATABASE!B216</f>
        <v>Vilamoura</v>
      </c>
      <c r="C30" s="53" t="str">
        <f>DATABASE!C216</f>
        <v>23</v>
      </c>
      <c r="D30" s="53" t="str">
        <f>DATABASE!E216</f>
        <v>Plot</v>
      </c>
      <c r="E30" s="53">
        <f>DATABASE!F216</f>
        <v>305</v>
      </c>
      <c r="F30" s="53">
        <f>DATABASE!G216</f>
        <v>0</v>
      </c>
      <c r="G30" s="53" t="str">
        <f>DATABASE!H216</f>
        <v/>
      </c>
      <c r="H30" s="53" t="str">
        <f>DATABASE!I216</f>
        <v/>
      </c>
      <c r="I30" s="53">
        <f>DATABASE!J216</f>
        <v>0</v>
      </c>
      <c r="J30" s="53">
        <f>DATABASE!K216</f>
        <v>0</v>
      </c>
      <c r="K30" s="53">
        <f>DATABASE!L216</f>
        <v>0</v>
      </c>
      <c r="L30" s="53">
        <f>DATABASE!M216</f>
        <v>0</v>
      </c>
      <c r="M30" s="53">
        <f>DATABASE!N216</f>
        <v>0</v>
      </c>
      <c r="N30" s="53">
        <f>DATABASE!O216</f>
        <v>305</v>
      </c>
      <c r="O30" s="53">
        <f>DATABASE!P216</f>
        <v>0</v>
      </c>
      <c r="P30" s="53" t="str">
        <f>DATABASE!Q216</f>
        <v xml:space="preserve">DEED </v>
      </c>
      <c r="Q30" s="53">
        <f>DATABASE!R216</f>
        <v>1000000</v>
      </c>
      <c r="R30" s="53">
        <f>DATABASE!S216</f>
        <v>1000000</v>
      </c>
      <c r="S30" s="53">
        <f>DATABASE!T216</f>
        <v>1210000</v>
      </c>
      <c r="T30" s="53">
        <f>DATABASE!U216</f>
        <v>0</v>
      </c>
      <c r="U30" s="53">
        <f>DATABASE!V216</f>
        <v>0</v>
      </c>
      <c r="V30" s="53">
        <f>DATABASE!W216</f>
        <v>1210000</v>
      </c>
      <c r="W30" s="53">
        <f>DATABASE!X216</f>
        <v>0</v>
      </c>
      <c r="X30" s="53">
        <f>DATABASE!Y216</f>
        <v>1210000</v>
      </c>
      <c r="Y30" s="53">
        <f>DATABASE!Z216</f>
        <v>1210000</v>
      </c>
      <c r="Z30" s="53" t="e">
        <f>DATABASE!#REF!</f>
        <v>#REF!</v>
      </c>
      <c r="AA30" s="53">
        <f>DATABASE!AA216</f>
        <v>46174</v>
      </c>
      <c r="AB30" s="54">
        <f>DATABASE!AB216</f>
        <v>0</v>
      </c>
    </row>
    <row r="31" spans="1:28">
      <c r="A31" s="52" t="str">
        <f>DATABASE!A217</f>
        <v>ELS</v>
      </c>
      <c r="B31" s="53" t="str">
        <f>DATABASE!B217</f>
        <v>Vilamoura</v>
      </c>
      <c r="C31" s="53" t="str">
        <f>DATABASE!C217</f>
        <v>3</v>
      </c>
      <c r="D31" s="53" t="str">
        <f>DATABASE!E217</f>
        <v>Plot</v>
      </c>
      <c r="E31" s="53">
        <f>DATABASE!F217</f>
        <v>440</v>
      </c>
      <c r="F31" s="53">
        <f>DATABASE!G217</f>
        <v>0</v>
      </c>
      <c r="G31" s="53" t="str">
        <f>DATABASE!H217</f>
        <v/>
      </c>
      <c r="H31" s="53" t="str">
        <f>DATABASE!I217</f>
        <v/>
      </c>
      <c r="I31" s="53">
        <f>DATABASE!J217</f>
        <v>0</v>
      </c>
      <c r="J31" s="53">
        <f>DATABASE!K217</f>
        <v>0</v>
      </c>
      <c r="K31" s="53">
        <f>DATABASE!L217</f>
        <v>0</v>
      </c>
      <c r="L31" s="53">
        <f>DATABASE!M217</f>
        <v>0</v>
      </c>
      <c r="M31" s="53">
        <f>DATABASE!N217</f>
        <v>0</v>
      </c>
      <c r="N31" s="53">
        <f>DATABASE!O217</f>
        <v>440</v>
      </c>
      <c r="O31" s="53">
        <f>DATABASE!P217</f>
        <v>0</v>
      </c>
      <c r="P31" s="53" t="str">
        <f>DATABASE!Q217</f>
        <v>AVAILABLE</v>
      </c>
      <c r="Q31" s="53">
        <f>DATABASE!R217</f>
        <v>1230000</v>
      </c>
      <c r="R31" s="53">
        <f>DATABASE!S217</f>
        <v>1230000</v>
      </c>
      <c r="S31" s="53">
        <f>DATABASE!T217</f>
        <v>2390000</v>
      </c>
      <c r="T31" s="53">
        <f>DATABASE!U217</f>
        <v>0</v>
      </c>
      <c r="U31" s="53">
        <f>DATABASE!V217</f>
        <v>0</v>
      </c>
      <c r="V31" s="53">
        <f>DATABASE!W217</f>
        <v>2390000</v>
      </c>
      <c r="W31" s="53">
        <f>DATABASE!X217</f>
        <v>0</v>
      </c>
      <c r="X31" s="53">
        <f>DATABASE!Y217</f>
        <v>2390000</v>
      </c>
      <c r="Y31" s="53">
        <f>DATABASE!Z217</f>
        <v>2390000</v>
      </c>
      <c r="Z31" s="53" t="e">
        <f>DATABASE!#REF!</f>
        <v>#REF!</v>
      </c>
      <c r="AA31" s="53">
        <f>DATABASE!AA217</f>
        <v>0</v>
      </c>
      <c r="AB31" s="54">
        <f>DATABASE!AB217</f>
        <v>0</v>
      </c>
    </row>
    <row r="32" spans="1:28">
      <c r="A32" s="52" t="str">
        <f>DATABASE!A218</f>
        <v>Palmares - Signature Residences</v>
      </c>
      <c r="B32" s="53" t="str">
        <f>DATABASE!B218</f>
        <v>Algarve</v>
      </c>
      <c r="C32" s="53" t="str">
        <f>DATABASE!C218</f>
        <v>6A</v>
      </c>
      <c r="D32" s="53" t="str">
        <f>DATABASE!E218</f>
        <v>T1</v>
      </c>
      <c r="E32" s="53">
        <f>DATABASE!F218</f>
        <v>87.33</v>
      </c>
      <c r="F32" s="53">
        <f>DATABASE!G218</f>
        <v>0</v>
      </c>
      <c r="G32" s="53" t="str">
        <f>DATABASE!H218</f>
        <v/>
      </c>
      <c r="H32" s="53" t="str">
        <f>DATABASE!I218</f>
        <v>8.37</v>
      </c>
      <c r="I32" s="53">
        <f>DATABASE!J218</f>
        <v>0</v>
      </c>
      <c r="J32" s="53">
        <f>DATABASE!K218</f>
        <v>0</v>
      </c>
      <c r="K32" s="53">
        <f>DATABASE!L218</f>
        <v>0</v>
      </c>
      <c r="L32" s="53">
        <f>DATABASE!M218</f>
        <v>15.12</v>
      </c>
      <c r="M32" s="53">
        <f>DATABASE!N218</f>
        <v>0</v>
      </c>
      <c r="N32" s="53">
        <f>DATABASE!O218</f>
        <v>63.84</v>
      </c>
      <c r="O32" s="53">
        <f>DATABASE!P218</f>
        <v>0</v>
      </c>
      <c r="P32" s="53" t="str">
        <f>DATABASE!Q218</f>
        <v>AVAILABLE</v>
      </c>
      <c r="Q32" s="53">
        <f>DATABASE!R218</f>
        <v>660000</v>
      </c>
      <c r="R32" s="53">
        <f>DATABASE!S218</f>
        <v>660000</v>
      </c>
      <c r="S32" s="53">
        <f>DATABASE!T218</f>
        <v>660000</v>
      </c>
      <c r="T32" s="53">
        <f>DATABASE!U218</f>
        <v>0</v>
      </c>
      <c r="U32" s="53">
        <f>DATABASE!V218</f>
        <v>0</v>
      </c>
      <c r="V32" s="53">
        <f>DATABASE!W218</f>
        <v>660000</v>
      </c>
      <c r="W32" s="53">
        <f>DATABASE!X218</f>
        <v>0</v>
      </c>
      <c r="X32" s="53">
        <f>DATABASE!Y218</f>
        <v>660000</v>
      </c>
      <c r="Y32" s="53">
        <f>DATABASE!Z218</f>
        <v>660000</v>
      </c>
      <c r="Z32" s="53" t="e">
        <f>DATABASE!#REF!</f>
        <v>#REF!</v>
      </c>
      <c r="AA32" s="53">
        <f>DATABASE!AA218</f>
        <v>0</v>
      </c>
      <c r="AB32" s="54">
        <f>DATABASE!AB218</f>
        <v>46843</v>
      </c>
    </row>
    <row r="33" spans="1:28">
      <c r="A33" s="52" t="str">
        <f>DATABASE!A219</f>
        <v>THE UNCOMMON</v>
      </c>
      <c r="B33" s="53" t="str">
        <f>DATABASE!B219</f>
        <v>Vilamoura</v>
      </c>
      <c r="C33" s="53" t="str">
        <f>DATABASE!C219</f>
        <v>3</v>
      </c>
      <c r="D33" s="53" t="str">
        <f>DATABASE!E219</f>
        <v>T2</v>
      </c>
      <c r="E33" s="53">
        <f>DATABASE!F219</f>
        <v>168.6</v>
      </c>
      <c r="F33" s="53">
        <f>DATABASE!G219</f>
        <v>0</v>
      </c>
      <c r="G33" s="53" t="str">
        <f>DATABASE!H219</f>
        <v>1</v>
      </c>
      <c r="H33" s="53" t="str">
        <f>DATABASE!I219</f>
        <v/>
      </c>
      <c r="I33" s="53">
        <f>DATABASE!J219</f>
        <v>64.7</v>
      </c>
      <c r="J33" s="53">
        <f>DATABASE!K219</f>
        <v>0</v>
      </c>
      <c r="K33" s="53">
        <f>DATABASE!L219</f>
        <v>0</v>
      </c>
      <c r="L33" s="53">
        <f>DATABASE!M219</f>
        <v>0</v>
      </c>
      <c r="M33" s="53">
        <f>DATABASE!N219</f>
        <v>0</v>
      </c>
      <c r="N33" s="53">
        <f>DATABASE!O219</f>
        <v>103.9</v>
      </c>
      <c r="O33" s="53">
        <f>DATABASE!P219</f>
        <v>0</v>
      </c>
      <c r="P33" s="53" t="str">
        <f>DATABASE!Q219</f>
        <v>AVAILABLE</v>
      </c>
      <c r="Q33" s="53">
        <f>DATABASE!R219</f>
        <v>957000</v>
      </c>
      <c r="R33" s="53">
        <f>DATABASE!S219</f>
        <v>1030000</v>
      </c>
      <c r="S33" s="53">
        <f>DATABASE!T219</f>
        <v>1100000</v>
      </c>
      <c r="T33" s="53">
        <f>DATABASE!U219</f>
        <v>50000</v>
      </c>
      <c r="U33" s="53">
        <f>DATABASE!V219</f>
        <v>23000</v>
      </c>
      <c r="V33" s="53">
        <f>DATABASE!W219</f>
        <v>1027000</v>
      </c>
      <c r="W33" s="53">
        <f>DATABASE!X219</f>
        <v>0</v>
      </c>
      <c r="X33" s="53">
        <f>DATABASE!Y219</f>
        <v>1100000</v>
      </c>
      <c r="Y33" s="53">
        <f>DATABASE!Z219</f>
        <v>1027000</v>
      </c>
      <c r="Z33" s="53" t="e">
        <f>DATABASE!#REF!</f>
        <v>#REF!</v>
      </c>
      <c r="AA33" s="53">
        <f>DATABASE!AA219</f>
        <v>0</v>
      </c>
      <c r="AB33" s="54">
        <f>DATABASE!AB219</f>
        <v>0</v>
      </c>
    </row>
    <row r="34" spans="1:28">
      <c r="A34" s="52" t="str">
        <f>DATABASE!A220</f>
        <v>THE UNCOMMON</v>
      </c>
      <c r="B34" s="53" t="str">
        <f>DATABASE!B220</f>
        <v>Vilamoura</v>
      </c>
      <c r="C34" s="53" t="str">
        <f>DATABASE!C220</f>
        <v>301</v>
      </c>
      <c r="D34" s="53" t="str">
        <f>DATABASE!E220</f>
        <v>T3</v>
      </c>
      <c r="E34" s="53">
        <f>DATABASE!F220</f>
        <v>183.9</v>
      </c>
      <c r="F34" s="53">
        <f>DATABASE!G220</f>
        <v>0</v>
      </c>
      <c r="G34" s="53" t="str">
        <f>DATABASE!H220</f>
        <v>1</v>
      </c>
      <c r="H34" s="53" t="str">
        <f>DATABASE!I220</f>
        <v/>
      </c>
      <c r="I34" s="53">
        <f>DATABASE!J220</f>
        <v>34.299999999999997</v>
      </c>
      <c r="J34" s="53">
        <f>DATABASE!K220</f>
        <v>0</v>
      </c>
      <c r="K34" s="53">
        <f>DATABASE!L220</f>
        <v>0</v>
      </c>
      <c r="L34" s="53">
        <f>DATABASE!M220</f>
        <v>0</v>
      </c>
      <c r="M34" s="53">
        <f>DATABASE!N220</f>
        <v>0</v>
      </c>
      <c r="N34" s="53">
        <f>DATABASE!O220</f>
        <v>149.6</v>
      </c>
      <c r="O34" s="53">
        <f>DATABASE!P220</f>
        <v>0</v>
      </c>
      <c r="P34" s="53" t="str">
        <f>DATABASE!Q220</f>
        <v>AVAILABLE</v>
      </c>
      <c r="Q34" s="53">
        <f>DATABASE!R220</f>
        <v>2110000</v>
      </c>
      <c r="R34" s="53">
        <f>DATABASE!S220</f>
        <v>2190000</v>
      </c>
      <c r="S34" s="53">
        <f>DATABASE!T220</f>
        <v>2270000</v>
      </c>
      <c r="T34" s="53">
        <f>DATABASE!U220</f>
        <v>50000</v>
      </c>
      <c r="U34" s="53">
        <f>DATABASE!V220</f>
        <v>30000</v>
      </c>
      <c r="V34" s="53">
        <f>DATABASE!W220</f>
        <v>2190000</v>
      </c>
      <c r="W34" s="53">
        <f>DATABASE!X220</f>
        <v>0</v>
      </c>
      <c r="X34" s="53">
        <f>DATABASE!Y220</f>
        <v>2270000</v>
      </c>
      <c r="Y34" s="53">
        <f>DATABASE!Z220</f>
        <v>2190000</v>
      </c>
      <c r="Z34" s="53" t="e">
        <f>DATABASE!#REF!</f>
        <v>#REF!</v>
      </c>
      <c r="AA34" s="53">
        <f>DATABASE!AA220</f>
        <v>0</v>
      </c>
      <c r="AB34" s="54">
        <f>DATABASE!AB220</f>
        <v>0</v>
      </c>
    </row>
    <row r="35" spans="1:28">
      <c r="A35" s="52" t="str">
        <f>DATABASE!A221</f>
        <v>THE UNCOMMON</v>
      </c>
      <c r="B35" s="53" t="str">
        <f>DATABASE!B221</f>
        <v>Vilamoura</v>
      </c>
      <c r="C35" s="53" t="str">
        <f>DATABASE!C221</f>
        <v>302</v>
      </c>
      <c r="D35" s="53" t="str">
        <f>DATABASE!E221</f>
        <v>T2</v>
      </c>
      <c r="E35" s="53">
        <f>DATABASE!F221</f>
        <v>129.4</v>
      </c>
      <c r="F35" s="53">
        <f>DATABASE!G221</f>
        <v>0</v>
      </c>
      <c r="G35" s="53" t="str">
        <f>DATABASE!H221</f>
        <v>1</v>
      </c>
      <c r="H35" s="53" t="str">
        <f>DATABASE!I221</f>
        <v/>
      </c>
      <c r="I35" s="53">
        <f>DATABASE!J221</f>
        <v>25.5</v>
      </c>
      <c r="J35" s="53">
        <f>DATABASE!K221</f>
        <v>0</v>
      </c>
      <c r="K35" s="53">
        <f>DATABASE!L221</f>
        <v>0</v>
      </c>
      <c r="L35" s="53">
        <f>DATABASE!M221</f>
        <v>0</v>
      </c>
      <c r="M35" s="53">
        <f>DATABASE!N221</f>
        <v>0</v>
      </c>
      <c r="N35" s="53">
        <f>DATABASE!O221</f>
        <v>103.9</v>
      </c>
      <c r="O35" s="53">
        <f>DATABASE!P221</f>
        <v>0</v>
      </c>
      <c r="P35" s="53" t="str">
        <f>DATABASE!Q221</f>
        <v>AVAILABLE</v>
      </c>
      <c r="Q35" s="53">
        <f>DATABASE!R221</f>
        <v>1097000</v>
      </c>
      <c r="R35" s="53">
        <f>DATABASE!S221</f>
        <v>1170000</v>
      </c>
      <c r="S35" s="53">
        <f>DATABASE!T221</f>
        <v>1240000</v>
      </c>
      <c r="T35" s="53">
        <f>DATABASE!U221</f>
        <v>50000</v>
      </c>
      <c r="U35" s="53">
        <f>DATABASE!V221</f>
        <v>23000</v>
      </c>
      <c r="V35" s="53">
        <f>DATABASE!W221</f>
        <v>1167000</v>
      </c>
      <c r="W35" s="53">
        <f>DATABASE!X221</f>
        <v>0</v>
      </c>
      <c r="X35" s="53">
        <f>DATABASE!Y221</f>
        <v>1240000</v>
      </c>
      <c r="Y35" s="53">
        <f>DATABASE!Z221</f>
        <v>1167000</v>
      </c>
      <c r="Z35" s="53" t="e">
        <f>DATABASE!#REF!</f>
        <v>#REF!</v>
      </c>
      <c r="AA35" s="53">
        <f>DATABASE!AA221</f>
        <v>0</v>
      </c>
      <c r="AB35" s="54">
        <f>DATABASE!AB221</f>
        <v>0</v>
      </c>
    </row>
    <row r="36" spans="1:28">
      <c r="A36" s="52" t="str">
        <f>DATABASE!A222</f>
        <v>THE UNCOMMON</v>
      </c>
      <c r="B36" s="53" t="str">
        <f>DATABASE!B222</f>
        <v>Vilamoura</v>
      </c>
      <c r="C36" s="53" t="str">
        <f>DATABASE!C222</f>
        <v>303</v>
      </c>
      <c r="D36" s="53" t="str">
        <f>DATABASE!E222</f>
        <v>T2</v>
      </c>
      <c r="E36" s="53">
        <f>DATABASE!F222</f>
        <v>130.1</v>
      </c>
      <c r="F36" s="53">
        <f>DATABASE!G222</f>
        <v>0</v>
      </c>
      <c r="G36" s="53" t="str">
        <f>DATABASE!H222</f>
        <v>1</v>
      </c>
      <c r="H36" s="53" t="str">
        <f>DATABASE!I222</f>
        <v/>
      </c>
      <c r="I36" s="53">
        <f>DATABASE!J222</f>
        <v>25.5</v>
      </c>
      <c r="J36" s="53">
        <f>DATABASE!K222</f>
        <v>0</v>
      </c>
      <c r="K36" s="53">
        <f>DATABASE!L222</f>
        <v>0</v>
      </c>
      <c r="L36" s="53">
        <f>DATABASE!M222</f>
        <v>0</v>
      </c>
      <c r="M36" s="53">
        <f>DATABASE!N222</f>
        <v>0</v>
      </c>
      <c r="N36" s="53">
        <f>DATABASE!O222</f>
        <v>104.6</v>
      </c>
      <c r="O36" s="53">
        <f>DATABASE!P222</f>
        <v>0</v>
      </c>
      <c r="P36" s="53" t="str">
        <f>DATABASE!Q222</f>
        <v>AVAILABLE</v>
      </c>
      <c r="Q36" s="53">
        <f>DATABASE!R222</f>
        <v>1017000</v>
      </c>
      <c r="R36" s="53">
        <f>DATABASE!S222</f>
        <v>1090000</v>
      </c>
      <c r="S36" s="53">
        <f>DATABASE!T222</f>
        <v>1160000</v>
      </c>
      <c r="T36" s="53">
        <f>DATABASE!U222</f>
        <v>50000</v>
      </c>
      <c r="U36" s="53">
        <f>DATABASE!V222</f>
        <v>23000</v>
      </c>
      <c r="V36" s="53">
        <f>DATABASE!W222</f>
        <v>1087000</v>
      </c>
      <c r="W36" s="53">
        <f>DATABASE!X222</f>
        <v>0</v>
      </c>
      <c r="X36" s="53">
        <f>DATABASE!Y222</f>
        <v>1160000</v>
      </c>
      <c r="Y36" s="53">
        <f>DATABASE!Z222</f>
        <v>1087000</v>
      </c>
      <c r="Z36" s="53" t="e">
        <f>DATABASE!#REF!</f>
        <v>#REF!</v>
      </c>
      <c r="AA36" s="53">
        <f>DATABASE!AA222</f>
        <v>0</v>
      </c>
      <c r="AB36" s="54">
        <f>DATABASE!AB222</f>
        <v>0</v>
      </c>
    </row>
    <row r="37" spans="1:28">
      <c r="A37" s="52" t="str">
        <f>DATABASE!A223</f>
        <v>THE UNCOMMON</v>
      </c>
      <c r="B37" s="53" t="str">
        <f>DATABASE!B223</f>
        <v>Vilamoura</v>
      </c>
      <c r="C37" s="53" t="str">
        <f>DATABASE!C223</f>
        <v>304</v>
      </c>
      <c r="D37" s="53" t="str">
        <f>DATABASE!E223</f>
        <v>T2</v>
      </c>
      <c r="E37" s="53">
        <f>DATABASE!F223</f>
        <v>130</v>
      </c>
      <c r="F37" s="53">
        <f>DATABASE!G223</f>
        <v>0</v>
      </c>
      <c r="G37" s="53" t="str">
        <f>DATABASE!H223</f>
        <v>1</v>
      </c>
      <c r="H37" s="53" t="str">
        <f>DATABASE!I223</f>
        <v/>
      </c>
      <c r="I37" s="53">
        <f>DATABASE!J223</f>
        <v>25.4</v>
      </c>
      <c r="J37" s="53">
        <f>DATABASE!K223</f>
        <v>0</v>
      </c>
      <c r="K37" s="53">
        <f>DATABASE!L223</f>
        <v>0</v>
      </c>
      <c r="L37" s="53">
        <f>DATABASE!M223</f>
        <v>0</v>
      </c>
      <c r="M37" s="53">
        <f>DATABASE!N223</f>
        <v>0</v>
      </c>
      <c r="N37" s="53">
        <f>DATABASE!O223</f>
        <v>104.6</v>
      </c>
      <c r="O37" s="53">
        <f>DATABASE!P223</f>
        <v>0</v>
      </c>
      <c r="P37" s="53" t="str">
        <f>DATABASE!Q223</f>
        <v>AVAILABLE</v>
      </c>
      <c r="Q37" s="53">
        <f>DATABASE!R223</f>
        <v>937000</v>
      </c>
      <c r="R37" s="53">
        <f>DATABASE!S223</f>
        <v>1010000</v>
      </c>
      <c r="S37" s="53">
        <f>DATABASE!T223</f>
        <v>1070000</v>
      </c>
      <c r="T37" s="53">
        <f>DATABASE!U223</f>
        <v>50000</v>
      </c>
      <c r="U37" s="53">
        <f>DATABASE!V223</f>
        <v>23000</v>
      </c>
      <c r="V37" s="53">
        <f>DATABASE!W223</f>
        <v>997000</v>
      </c>
      <c r="W37" s="53">
        <f>DATABASE!X223</f>
        <v>0</v>
      </c>
      <c r="X37" s="53">
        <f>DATABASE!Y223</f>
        <v>1070000</v>
      </c>
      <c r="Y37" s="53">
        <f>DATABASE!Z223</f>
        <v>997000</v>
      </c>
      <c r="Z37" s="53" t="e">
        <f>DATABASE!#REF!</f>
        <v>#REF!</v>
      </c>
      <c r="AA37" s="53">
        <f>DATABASE!AA223</f>
        <v>0</v>
      </c>
      <c r="AB37" s="54">
        <f>DATABASE!AB223</f>
        <v>0</v>
      </c>
    </row>
    <row r="38" spans="1:28">
      <c r="A38" s="52" t="str">
        <f>DATABASE!A224</f>
        <v>THE UNCOMMON</v>
      </c>
      <c r="B38" s="53" t="str">
        <f>DATABASE!B224</f>
        <v>Vilamoura</v>
      </c>
      <c r="C38" s="53" t="str">
        <f>DATABASE!C224</f>
        <v>305</v>
      </c>
      <c r="D38" s="53" t="str">
        <f>DATABASE!E224</f>
        <v>T2</v>
      </c>
      <c r="E38" s="53">
        <f>DATABASE!F224</f>
        <v>130.1</v>
      </c>
      <c r="F38" s="53">
        <f>DATABASE!G224</f>
        <v>0</v>
      </c>
      <c r="G38" s="53" t="str">
        <f>DATABASE!H224</f>
        <v>1</v>
      </c>
      <c r="H38" s="53" t="str">
        <f>DATABASE!I224</f>
        <v/>
      </c>
      <c r="I38" s="53">
        <f>DATABASE!J224</f>
        <v>25.5</v>
      </c>
      <c r="J38" s="53">
        <f>DATABASE!K224</f>
        <v>0</v>
      </c>
      <c r="K38" s="53">
        <f>DATABASE!L224</f>
        <v>0</v>
      </c>
      <c r="L38" s="53">
        <f>DATABASE!M224</f>
        <v>0</v>
      </c>
      <c r="M38" s="53">
        <f>DATABASE!N224</f>
        <v>0</v>
      </c>
      <c r="N38" s="53">
        <f>DATABASE!O224</f>
        <v>104.6</v>
      </c>
      <c r="O38" s="53">
        <f>DATABASE!P224</f>
        <v>0</v>
      </c>
      <c r="P38" s="53" t="str">
        <f>DATABASE!Q224</f>
        <v>AVAILABLE</v>
      </c>
      <c r="Q38" s="53">
        <f>DATABASE!R224</f>
        <v>1017000</v>
      </c>
      <c r="R38" s="53">
        <f>DATABASE!S224</f>
        <v>1090000</v>
      </c>
      <c r="S38" s="53">
        <f>DATABASE!T224</f>
        <v>1160000</v>
      </c>
      <c r="T38" s="53">
        <f>DATABASE!U224</f>
        <v>50000</v>
      </c>
      <c r="U38" s="53">
        <f>DATABASE!V224</f>
        <v>23000</v>
      </c>
      <c r="V38" s="53">
        <f>DATABASE!W224</f>
        <v>1087000</v>
      </c>
      <c r="W38" s="53">
        <f>DATABASE!X224</f>
        <v>0</v>
      </c>
      <c r="X38" s="53">
        <f>DATABASE!Y224</f>
        <v>1160000</v>
      </c>
      <c r="Y38" s="53">
        <f>DATABASE!Z224</f>
        <v>1087000</v>
      </c>
      <c r="Z38" s="53" t="e">
        <f>DATABASE!#REF!</f>
        <v>#REF!</v>
      </c>
      <c r="AA38" s="53">
        <f>DATABASE!AA224</f>
        <v>0</v>
      </c>
      <c r="AB38" s="54">
        <f>DATABASE!AB224</f>
        <v>0</v>
      </c>
    </row>
    <row r="39" spans="1:28">
      <c r="A39" s="52" t="str">
        <f>DATABASE!A225</f>
        <v>Palmares - Plots</v>
      </c>
      <c r="B39" s="53" t="str">
        <f>DATABASE!B225</f>
        <v>Algarve</v>
      </c>
      <c r="C39" s="53" t="str">
        <f>DATABASE!C225</f>
        <v>95</v>
      </c>
      <c r="D39" s="53" t="str">
        <f>DATABASE!E225</f>
        <v>Plot</v>
      </c>
      <c r="E39" s="53">
        <f>DATABASE!F225</f>
        <v>420</v>
      </c>
      <c r="F39" s="53">
        <f>DATABASE!G225</f>
        <v>0</v>
      </c>
      <c r="G39" s="53" t="str">
        <f>DATABASE!H225</f>
        <v/>
      </c>
      <c r="H39" s="53" t="str">
        <f>DATABASE!I225</f>
        <v/>
      </c>
      <c r="I39" s="53">
        <f>DATABASE!J225</f>
        <v>0</v>
      </c>
      <c r="J39" s="53">
        <f>DATABASE!K225</f>
        <v>0</v>
      </c>
      <c r="K39" s="53">
        <f>DATABASE!L225</f>
        <v>0</v>
      </c>
      <c r="L39" s="53">
        <f>DATABASE!M225</f>
        <v>0</v>
      </c>
      <c r="M39" s="53">
        <f>DATABASE!N225</f>
        <v>0</v>
      </c>
      <c r="N39" s="53">
        <f>DATABASE!O225</f>
        <v>420</v>
      </c>
      <c r="O39" s="53">
        <f>DATABASE!P225</f>
        <v>0</v>
      </c>
      <c r="P39" s="53" t="str">
        <f>DATABASE!Q225</f>
        <v>AVAILABLE</v>
      </c>
      <c r="Q39" s="53">
        <f>DATABASE!R225</f>
        <v>580000</v>
      </c>
      <c r="R39" s="53">
        <f>DATABASE!S225</f>
        <v>580000</v>
      </c>
      <c r="S39" s="53">
        <f>DATABASE!T225</f>
        <v>1300000</v>
      </c>
      <c r="T39" s="53">
        <f>DATABASE!U225</f>
        <v>0</v>
      </c>
      <c r="U39" s="53">
        <f>DATABASE!V225</f>
        <v>0</v>
      </c>
      <c r="V39" s="53">
        <f>DATABASE!W225</f>
        <v>1300000</v>
      </c>
      <c r="W39" s="53">
        <f>DATABASE!X225</f>
        <v>0</v>
      </c>
      <c r="X39" s="53">
        <f>DATABASE!Y225</f>
        <v>1300000</v>
      </c>
      <c r="Y39" s="53">
        <f>DATABASE!Z225</f>
        <v>1300000</v>
      </c>
      <c r="Z39" s="53" t="e">
        <f>DATABASE!#REF!</f>
        <v>#REF!</v>
      </c>
      <c r="AA39" s="53">
        <f>DATABASE!AA225</f>
        <v>0</v>
      </c>
      <c r="AB39" s="54">
        <f>DATABASE!AB225</f>
        <v>46843</v>
      </c>
    </row>
    <row r="40" spans="1:28">
      <c r="A40" s="52" t="str">
        <f>DATABASE!A226</f>
        <v>Palmares - Plots</v>
      </c>
      <c r="B40" s="53" t="str">
        <f>DATABASE!B226</f>
        <v>Algarve</v>
      </c>
      <c r="C40" s="53" t="str">
        <f>DATABASE!C226</f>
        <v>96</v>
      </c>
      <c r="D40" s="53" t="str">
        <f>DATABASE!E226</f>
        <v>Plot</v>
      </c>
      <c r="E40" s="53">
        <f>DATABASE!F226</f>
        <v>420</v>
      </c>
      <c r="F40" s="53">
        <f>DATABASE!G226</f>
        <v>0</v>
      </c>
      <c r="G40" s="53" t="str">
        <f>DATABASE!H226</f>
        <v/>
      </c>
      <c r="H40" s="53" t="str">
        <f>DATABASE!I226</f>
        <v/>
      </c>
      <c r="I40" s="53">
        <f>DATABASE!J226</f>
        <v>0</v>
      </c>
      <c r="J40" s="53">
        <f>DATABASE!K226</f>
        <v>0</v>
      </c>
      <c r="K40" s="53">
        <f>DATABASE!L226</f>
        <v>0</v>
      </c>
      <c r="L40" s="53">
        <f>DATABASE!M226</f>
        <v>0</v>
      </c>
      <c r="M40" s="53">
        <f>DATABASE!N226</f>
        <v>0</v>
      </c>
      <c r="N40" s="53">
        <f>DATABASE!O226</f>
        <v>420</v>
      </c>
      <c r="O40" s="53">
        <f>DATABASE!P226</f>
        <v>0</v>
      </c>
      <c r="P40" s="53" t="str">
        <f>DATABASE!Q226</f>
        <v>AVAILABLE</v>
      </c>
      <c r="Q40" s="53">
        <f>DATABASE!R226</f>
        <v>580000</v>
      </c>
      <c r="R40" s="53">
        <f>DATABASE!S226</f>
        <v>580000</v>
      </c>
      <c r="S40" s="53">
        <f>DATABASE!T226</f>
        <v>1300000</v>
      </c>
      <c r="T40" s="53">
        <f>DATABASE!U226</f>
        <v>0</v>
      </c>
      <c r="U40" s="53">
        <f>DATABASE!V226</f>
        <v>0</v>
      </c>
      <c r="V40" s="53">
        <f>DATABASE!W226</f>
        <v>1300000</v>
      </c>
      <c r="W40" s="53">
        <f>DATABASE!X226</f>
        <v>0</v>
      </c>
      <c r="X40" s="53">
        <f>DATABASE!Y226</f>
        <v>1300000</v>
      </c>
      <c r="Y40" s="53">
        <f>DATABASE!Z226</f>
        <v>1300000</v>
      </c>
      <c r="Z40" s="53" t="e">
        <f>DATABASE!#REF!</f>
        <v>#REF!</v>
      </c>
      <c r="AA40" s="53">
        <f>DATABASE!AA226</f>
        <v>0</v>
      </c>
      <c r="AB40" s="54">
        <f>DATABASE!AB226</f>
        <v>46843</v>
      </c>
    </row>
    <row r="41" spans="1:28">
      <c r="A41" s="52" t="str">
        <f>DATABASE!A227</f>
        <v>Palmares - Plots</v>
      </c>
      <c r="B41" s="53" t="str">
        <f>DATABASE!B227</f>
        <v>Algarve</v>
      </c>
      <c r="C41" s="53" t="str">
        <f>DATABASE!C227</f>
        <v>71</v>
      </c>
      <c r="D41" s="53" t="str">
        <f>DATABASE!E227</f>
        <v>Plot</v>
      </c>
      <c r="E41" s="53">
        <f>DATABASE!F227</f>
        <v>14391</v>
      </c>
      <c r="F41" s="53">
        <f>DATABASE!G227</f>
        <v>0</v>
      </c>
      <c r="G41" s="53" t="str">
        <f>DATABASE!H227</f>
        <v/>
      </c>
      <c r="H41" s="53" t="str">
        <f>DATABASE!I227</f>
        <v/>
      </c>
      <c r="I41" s="53">
        <f>DATABASE!J227</f>
        <v>0</v>
      </c>
      <c r="J41" s="53">
        <f>DATABASE!K227</f>
        <v>0</v>
      </c>
      <c r="K41" s="53">
        <f>DATABASE!L227</f>
        <v>0</v>
      </c>
      <c r="L41" s="53">
        <f>DATABASE!M227</f>
        <v>0</v>
      </c>
      <c r="M41" s="53">
        <f>DATABASE!N227</f>
        <v>0</v>
      </c>
      <c r="N41" s="53">
        <f>DATABASE!O227</f>
        <v>500</v>
      </c>
      <c r="O41" s="53">
        <f>DATABASE!P227</f>
        <v>0</v>
      </c>
      <c r="P41" s="53" t="str">
        <f>DATABASE!Q227</f>
        <v>AVAILABLE</v>
      </c>
      <c r="Q41" s="53">
        <f>DATABASE!R227</f>
        <v>590000</v>
      </c>
      <c r="R41" s="53">
        <f>DATABASE!S227</f>
        <v>590000</v>
      </c>
      <c r="S41" s="53">
        <f>DATABASE!T227</f>
        <v>3400000</v>
      </c>
      <c r="T41" s="53">
        <f>DATABASE!U227</f>
        <v>0</v>
      </c>
      <c r="U41" s="53">
        <f>DATABASE!V227</f>
        <v>0</v>
      </c>
      <c r="V41" s="53">
        <f>DATABASE!W227</f>
        <v>3400000</v>
      </c>
      <c r="W41" s="53">
        <f>DATABASE!X227</f>
        <v>0</v>
      </c>
      <c r="X41" s="53">
        <f>DATABASE!Y227</f>
        <v>3400000</v>
      </c>
      <c r="Y41" s="53">
        <f>DATABASE!Z227</f>
        <v>3400000</v>
      </c>
      <c r="Z41" s="53" t="e">
        <f>DATABASE!#REF!</f>
        <v>#REF!</v>
      </c>
      <c r="AA41" s="53">
        <f>DATABASE!AA227</f>
        <v>0</v>
      </c>
      <c r="AB41" s="54">
        <f>DATABASE!AB227</f>
        <v>46843</v>
      </c>
    </row>
    <row r="42" spans="1:28">
      <c r="A42" s="52" t="str">
        <f>DATABASE!A228</f>
        <v>Palmares - Plots</v>
      </c>
      <c r="B42" s="53" t="str">
        <f>DATABASE!B228</f>
        <v>Algarve</v>
      </c>
      <c r="C42" s="53" t="str">
        <f>DATABASE!C228</f>
        <v>72</v>
      </c>
      <c r="D42" s="53" t="str">
        <f>DATABASE!E228</f>
        <v>Plot</v>
      </c>
      <c r="E42" s="53">
        <f>DATABASE!F228</f>
        <v>3888</v>
      </c>
      <c r="F42" s="53">
        <f>DATABASE!G228</f>
        <v>0</v>
      </c>
      <c r="G42" s="53" t="str">
        <f>DATABASE!H228</f>
        <v/>
      </c>
      <c r="H42" s="53" t="str">
        <f>DATABASE!I228</f>
        <v/>
      </c>
      <c r="I42" s="53">
        <f>DATABASE!J228</f>
        <v>0</v>
      </c>
      <c r="J42" s="53">
        <f>DATABASE!K228</f>
        <v>0</v>
      </c>
      <c r="K42" s="53">
        <f>DATABASE!L228</f>
        <v>0</v>
      </c>
      <c r="L42" s="53">
        <f>DATABASE!M228</f>
        <v>0</v>
      </c>
      <c r="M42" s="53">
        <f>DATABASE!N228</f>
        <v>0</v>
      </c>
      <c r="N42" s="53">
        <f>DATABASE!O228</f>
        <v>484</v>
      </c>
      <c r="O42" s="53">
        <f>DATABASE!P228</f>
        <v>0</v>
      </c>
      <c r="P42" s="53" t="str">
        <f>DATABASE!Q228</f>
        <v>AVAILABLE</v>
      </c>
      <c r="Q42" s="53">
        <f>DATABASE!R228</f>
        <v>590000</v>
      </c>
      <c r="R42" s="53">
        <f>DATABASE!S228</f>
        <v>590000</v>
      </c>
      <c r="S42" s="53">
        <f>DATABASE!T228</f>
        <v>1700000</v>
      </c>
      <c r="T42" s="53">
        <f>DATABASE!U228</f>
        <v>0</v>
      </c>
      <c r="U42" s="53">
        <f>DATABASE!V228</f>
        <v>0</v>
      </c>
      <c r="V42" s="53">
        <f>DATABASE!W228</f>
        <v>1700000</v>
      </c>
      <c r="W42" s="53">
        <f>DATABASE!X228</f>
        <v>0</v>
      </c>
      <c r="X42" s="53">
        <f>DATABASE!Y228</f>
        <v>1700000</v>
      </c>
      <c r="Y42" s="53">
        <f>DATABASE!Z228</f>
        <v>1700000</v>
      </c>
      <c r="Z42" s="53" t="e">
        <f>DATABASE!#REF!</f>
        <v>#REF!</v>
      </c>
      <c r="AA42" s="53">
        <f>DATABASE!AA228</f>
        <v>0</v>
      </c>
      <c r="AB42" s="54">
        <f>DATABASE!AB228</f>
        <v>46843</v>
      </c>
    </row>
    <row r="43" spans="1:28">
      <c r="A43" s="52" t="str">
        <f>DATABASE!A229</f>
        <v>Palmares - Plots</v>
      </c>
      <c r="B43" s="53" t="str">
        <f>DATABASE!B229</f>
        <v>Algarve</v>
      </c>
      <c r="C43" s="53" t="str">
        <f>DATABASE!C229</f>
        <v>74</v>
      </c>
      <c r="D43" s="53" t="str">
        <f>DATABASE!E229</f>
        <v>Plot</v>
      </c>
      <c r="E43" s="53">
        <f>DATABASE!F229</f>
        <v>3718</v>
      </c>
      <c r="F43" s="53">
        <f>DATABASE!G229</f>
        <v>0</v>
      </c>
      <c r="G43" s="53" t="str">
        <f>DATABASE!H229</f>
        <v/>
      </c>
      <c r="H43" s="53" t="str">
        <f>DATABASE!I229</f>
        <v/>
      </c>
      <c r="I43" s="53">
        <f>DATABASE!J229</f>
        <v>0</v>
      </c>
      <c r="J43" s="53">
        <f>DATABASE!K229</f>
        <v>0</v>
      </c>
      <c r="K43" s="53">
        <f>DATABASE!L229</f>
        <v>0</v>
      </c>
      <c r="L43" s="53">
        <f>DATABASE!M229</f>
        <v>0</v>
      </c>
      <c r="M43" s="53">
        <f>DATABASE!N229</f>
        <v>0</v>
      </c>
      <c r="N43" s="53">
        <f>DATABASE!O229</f>
        <v>420</v>
      </c>
      <c r="O43" s="53">
        <f>DATABASE!P229</f>
        <v>0</v>
      </c>
      <c r="P43" s="53" t="str">
        <f>DATABASE!Q229</f>
        <v>AVAILABLE</v>
      </c>
      <c r="Q43" s="53">
        <f>DATABASE!R229</f>
        <v>590000</v>
      </c>
      <c r="R43" s="53">
        <f>DATABASE!S229</f>
        <v>590000</v>
      </c>
      <c r="S43" s="53">
        <f>DATABASE!T229</f>
        <v>1500000</v>
      </c>
      <c r="T43" s="53">
        <f>DATABASE!U229</f>
        <v>0</v>
      </c>
      <c r="U43" s="53">
        <f>DATABASE!V229</f>
        <v>0</v>
      </c>
      <c r="V43" s="53">
        <f>DATABASE!W229</f>
        <v>1500000</v>
      </c>
      <c r="W43" s="53">
        <f>DATABASE!X229</f>
        <v>0</v>
      </c>
      <c r="X43" s="53">
        <f>DATABASE!Y229</f>
        <v>1500000</v>
      </c>
      <c r="Y43" s="53">
        <f>DATABASE!Z229</f>
        <v>1500000</v>
      </c>
      <c r="Z43" s="53" t="e">
        <f>DATABASE!#REF!</f>
        <v>#REF!</v>
      </c>
      <c r="AA43" s="53">
        <f>DATABASE!AA229</f>
        <v>0</v>
      </c>
      <c r="AB43" s="54">
        <f>DATABASE!AB229</f>
        <v>46843</v>
      </c>
    </row>
    <row r="44" spans="1:28">
      <c r="A44" s="52" t="str">
        <f>DATABASE!A230</f>
        <v>Palmares - Plots</v>
      </c>
      <c r="B44" s="53" t="str">
        <f>DATABASE!B230</f>
        <v>Algarve</v>
      </c>
      <c r="C44" s="53" t="str">
        <f>DATABASE!C230</f>
        <v>75</v>
      </c>
      <c r="D44" s="53" t="str">
        <f>DATABASE!E230</f>
        <v>Plot</v>
      </c>
      <c r="E44" s="53">
        <f>DATABASE!F230</f>
        <v>4600</v>
      </c>
      <c r="F44" s="53">
        <f>DATABASE!G230</f>
        <v>0</v>
      </c>
      <c r="G44" s="53" t="str">
        <f>DATABASE!H230</f>
        <v/>
      </c>
      <c r="H44" s="53" t="str">
        <f>DATABASE!I230</f>
        <v/>
      </c>
      <c r="I44" s="53">
        <f>DATABASE!J230</f>
        <v>0</v>
      </c>
      <c r="J44" s="53">
        <f>DATABASE!K230</f>
        <v>0</v>
      </c>
      <c r="K44" s="53">
        <f>DATABASE!L230</f>
        <v>0</v>
      </c>
      <c r="L44" s="53">
        <f>DATABASE!M230</f>
        <v>0</v>
      </c>
      <c r="M44" s="53">
        <f>DATABASE!N230</f>
        <v>0</v>
      </c>
      <c r="N44" s="53">
        <f>DATABASE!O230</f>
        <v>420</v>
      </c>
      <c r="O44" s="53">
        <f>DATABASE!P230</f>
        <v>0</v>
      </c>
      <c r="P44" s="53" t="str">
        <f>DATABASE!Q230</f>
        <v>AVAILABLE</v>
      </c>
      <c r="Q44" s="53">
        <f>DATABASE!R230</f>
        <v>590000</v>
      </c>
      <c r="R44" s="53">
        <f>DATABASE!S230</f>
        <v>590000</v>
      </c>
      <c r="S44" s="53">
        <f>DATABASE!T230</f>
        <v>1600000</v>
      </c>
      <c r="T44" s="53">
        <f>DATABASE!U230</f>
        <v>0</v>
      </c>
      <c r="U44" s="53">
        <f>DATABASE!V230</f>
        <v>0</v>
      </c>
      <c r="V44" s="53">
        <f>DATABASE!W230</f>
        <v>1600000</v>
      </c>
      <c r="W44" s="53">
        <f>DATABASE!X230</f>
        <v>0</v>
      </c>
      <c r="X44" s="53">
        <f>DATABASE!Y230</f>
        <v>1600000</v>
      </c>
      <c r="Y44" s="53">
        <f>DATABASE!Z230</f>
        <v>1600000</v>
      </c>
      <c r="Z44" s="53" t="e">
        <f>DATABASE!#REF!</f>
        <v>#REF!</v>
      </c>
      <c r="AA44" s="53">
        <f>DATABASE!AA230</f>
        <v>0</v>
      </c>
      <c r="AB44" s="54">
        <f>DATABASE!AB230</f>
        <v>46843</v>
      </c>
    </row>
    <row r="45" spans="1:28">
      <c r="A45" s="52" t="str">
        <f>DATABASE!A231</f>
        <v>Palmares - Plots</v>
      </c>
      <c r="B45" s="53" t="str">
        <f>DATABASE!B231</f>
        <v>Algarve</v>
      </c>
      <c r="C45" s="53" t="str">
        <f>DATABASE!C231</f>
        <v>76</v>
      </c>
      <c r="D45" s="53" t="str">
        <f>DATABASE!E231</f>
        <v>Plot</v>
      </c>
      <c r="E45" s="53">
        <f>DATABASE!F231</f>
        <v>4356</v>
      </c>
      <c r="F45" s="53">
        <f>DATABASE!G231</f>
        <v>0</v>
      </c>
      <c r="G45" s="53" t="str">
        <f>DATABASE!H231</f>
        <v/>
      </c>
      <c r="H45" s="53" t="str">
        <f>DATABASE!I231</f>
        <v/>
      </c>
      <c r="I45" s="53">
        <f>DATABASE!J231</f>
        <v>0</v>
      </c>
      <c r="J45" s="53">
        <f>DATABASE!K231</f>
        <v>0</v>
      </c>
      <c r="K45" s="53">
        <f>DATABASE!L231</f>
        <v>0</v>
      </c>
      <c r="L45" s="53">
        <f>DATABASE!M231</f>
        <v>0</v>
      </c>
      <c r="M45" s="53">
        <f>DATABASE!N231</f>
        <v>0</v>
      </c>
      <c r="N45" s="53">
        <f>DATABASE!O231</f>
        <v>420</v>
      </c>
      <c r="O45" s="53">
        <f>DATABASE!P231</f>
        <v>0</v>
      </c>
      <c r="P45" s="53" t="str">
        <f>DATABASE!Q231</f>
        <v>AVAILABLE</v>
      </c>
      <c r="Q45" s="53">
        <f>DATABASE!R231</f>
        <v>590000</v>
      </c>
      <c r="R45" s="53">
        <f>DATABASE!S231</f>
        <v>590000</v>
      </c>
      <c r="S45" s="53">
        <f>DATABASE!T231</f>
        <v>1600000</v>
      </c>
      <c r="T45" s="53">
        <f>DATABASE!U231</f>
        <v>0</v>
      </c>
      <c r="U45" s="53">
        <f>DATABASE!V231</f>
        <v>0</v>
      </c>
      <c r="V45" s="53">
        <f>DATABASE!W231</f>
        <v>1600000</v>
      </c>
      <c r="W45" s="53">
        <f>DATABASE!X231</f>
        <v>0</v>
      </c>
      <c r="X45" s="53">
        <f>DATABASE!Y231</f>
        <v>1600000</v>
      </c>
      <c r="Y45" s="53">
        <f>DATABASE!Z231</f>
        <v>1600000</v>
      </c>
      <c r="Z45" s="53" t="e">
        <f>DATABASE!#REF!</f>
        <v>#REF!</v>
      </c>
      <c r="AA45" s="53">
        <f>DATABASE!AA231</f>
        <v>0</v>
      </c>
      <c r="AB45" s="54">
        <f>DATABASE!AB231</f>
        <v>46843</v>
      </c>
    </row>
    <row r="46" spans="1:28">
      <c r="A46" s="52" t="str">
        <f>DATABASE!A232</f>
        <v>THE UNCOMMON</v>
      </c>
      <c r="B46" s="53" t="str">
        <f>DATABASE!B232</f>
        <v>Vilamoura</v>
      </c>
      <c r="C46" s="53" t="str">
        <f>DATABASE!C232</f>
        <v>306</v>
      </c>
      <c r="D46" s="53" t="str">
        <f>DATABASE!E232</f>
        <v>T2</v>
      </c>
      <c r="E46" s="53">
        <f>DATABASE!F232</f>
        <v>129.4</v>
      </c>
      <c r="F46" s="53">
        <f>DATABASE!G232</f>
        <v>0</v>
      </c>
      <c r="G46" s="53" t="str">
        <f>DATABASE!H232</f>
        <v>1</v>
      </c>
      <c r="H46" s="53" t="str">
        <f>DATABASE!I232</f>
        <v/>
      </c>
      <c r="I46" s="53">
        <f>DATABASE!J232</f>
        <v>25.5</v>
      </c>
      <c r="J46" s="53">
        <f>DATABASE!K232</f>
        <v>0</v>
      </c>
      <c r="K46" s="53">
        <f>DATABASE!L232</f>
        <v>0</v>
      </c>
      <c r="L46" s="53">
        <f>DATABASE!M232</f>
        <v>0</v>
      </c>
      <c r="M46" s="53">
        <f>DATABASE!N232</f>
        <v>0</v>
      </c>
      <c r="N46" s="53">
        <f>DATABASE!O232</f>
        <v>103.9</v>
      </c>
      <c r="O46" s="53">
        <f>DATABASE!P232</f>
        <v>0</v>
      </c>
      <c r="P46" s="53" t="str">
        <f>DATABASE!Q232</f>
        <v>AVAILABLE</v>
      </c>
      <c r="Q46" s="53">
        <f>DATABASE!R232</f>
        <v>1097000</v>
      </c>
      <c r="R46" s="53">
        <f>DATABASE!S232</f>
        <v>1170000</v>
      </c>
      <c r="S46" s="53">
        <f>DATABASE!T232</f>
        <v>1240000</v>
      </c>
      <c r="T46" s="53">
        <f>DATABASE!U232</f>
        <v>50000</v>
      </c>
      <c r="U46" s="53">
        <f>DATABASE!V232</f>
        <v>23000</v>
      </c>
      <c r="V46" s="53">
        <f>DATABASE!W232</f>
        <v>1167000</v>
      </c>
      <c r="W46" s="53">
        <f>DATABASE!X232</f>
        <v>0</v>
      </c>
      <c r="X46" s="53">
        <f>DATABASE!Y232</f>
        <v>1240000</v>
      </c>
      <c r="Y46" s="53">
        <f>DATABASE!Z232</f>
        <v>1167000</v>
      </c>
      <c r="Z46" s="53" t="e">
        <f>DATABASE!#REF!</f>
        <v>#REF!</v>
      </c>
      <c r="AA46" s="53">
        <f>DATABASE!AA232</f>
        <v>0</v>
      </c>
      <c r="AB46" s="54">
        <f>DATABASE!AB232</f>
        <v>0</v>
      </c>
    </row>
    <row r="47" spans="1:28">
      <c r="A47" s="52" t="str">
        <f>DATABASE!A233</f>
        <v>THE UNCOMMON</v>
      </c>
      <c r="B47" s="53" t="str">
        <f>DATABASE!B233</f>
        <v>Vilamoura</v>
      </c>
      <c r="C47" s="53" t="str">
        <f>DATABASE!C233</f>
        <v>307</v>
      </c>
      <c r="D47" s="53" t="str">
        <f>DATABASE!E233</f>
        <v>T2</v>
      </c>
      <c r="E47" s="53">
        <f>DATABASE!F233</f>
        <v>129.4</v>
      </c>
      <c r="F47" s="53">
        <f>DATABASE!G233</f>
        <v>0</v>
      </c>
      <c r="G47" s="53" t="str">
        <f>DATABASE!H233</f>
        <v>1</v>
      </c>
      <c r="H47" s="53" t="str">
        <f>DATABASE!I233</f>
        <v/>
      </c>
      <c r="I47" s="53">
        <f>DATABASE!J233</f>
        <v>25.5</v>
      </c>
      <c r="J47" s="53">
        <f>DATABASE!K233</f>
        <v>0</v>
      </c>
      <c r="K47" s="53">
        <f>DATABASE!L233</f>
        <v>0</v>
      </c>
      <c r="L47" s="53">
        <f>DATABASE!M233</f>
        <v>0</v>
      </c>
      <c r="M47" s="53">
        <f>DATABASE!N233</f>
        <v>0</v>
      </c>
      <c r="N47" s="53">
        <f>DATABASE!O233</f>
        <v>103.9</v>
      </c>
      <c r="O47" s="53">
        <f>DATABASE!P233</f>
        <v>0</v>
      </c>
      <c r="P47" s="53" t="str">
        <f>DATABASE!Q233</f>
        <v>AVAILABLE</v>
      </c>
      <c r="Q47" s="53">
        <f>DATABASE!R233</f>
        <v>1177000</v>
      </c>
      <c r="R47" s="53">
        <f>DATABASE!S233</f>
        <v>1250000</v>
      </c>
      <c r="S47" s="53">
        <f>DATABASE!T233</f>
        <v>1320000</v>
      </c>
      <c r="T47" s="53">
        <f>DATABASE!U233</f>
        <v>50000</v>
      </c>
      <c r="U47" s="53">
        <f>DATABASE!V233</f>
        <v>23000</v>
      </c>
      <c r="V47" s="53">
        <f>DATABASE!W233</f>
        <v>1247000</v>
      </c>
      <c r="W47" s="53">
        <f>DATABASE!X233</f>
        <v>0</v>
      </c>
      <c r="X47" s="53">
        <f>DATABASE!Y233</f>
        <v>1320000</v>
      </c>
      <c r="Y47" s="53">
        <f>DATABASE!Z233</f>
        <v>1247000</v>
      </c>
      <c r="Z47" s="53" t="e">
        <f>DATABASE!#REF!</f>
        <v>#REF!</v>
      </c>
      <c r="AA47" s="53">
        <f>DATABASE!AA233</f>
        <v>0</v>
      </c>
      <c r="AB47" s="54">
        <f>DATABASE!AB233</f>
        <v>0</v>
      </c>
    </row>
    <row r="48" spans="1:28">
      <c r="A48" s="55" t="str">
        <f>DATABASE!A234</f>
        <v>THE UNCOMMON</v>
      </c>
      <c r="B48" s="56" t="str">
        <f>DATABASE!B234</f>
        <v>Vilamoura</v>
      </c>
      <c r="C48" s="56" t="str">
        <f>DATABASE!C234</f>
        <v>308</v>
      </c>
      <c r="D48" s="56" t="str">
        <f>DATABASE!E234</f>
        <v>T2</v>
      </c>
      <c r="E48" s="56">
        <f>DATABASE!F234</f>
        <v>129.4</v>
      </c>
      <c r="F48" s="56">
        <f>DATABASE!G234</f>
        <v>0</v>
      </c>
      <c r="G48" s="56" t="str">
        <f>DATABASE!H234</f>
        <v>1</v>
      </c>
      <c r="H48" s="56" t="str">
        <f>DATABASE!I234</f>
        <v/>
      </c>
      <c r="I48" s="56">
        <f>DATABASE!J234</f>
        <v>25.5</v>
      </c>
      <c r="J48" s="56">
        <f>DATABASE!K234</f>
        <v>0</v>
      </c>
      <c r="K48" s="56">
        <f>DATABASE!L234</f>
        <v>0</v>
      </c>
      <c r="L48" s="56">
        <f>DATABASE!M234</f>
        <v>0</v>
      </c>
      <c r="M48" s="56">
        <f>DATABASE!N234</f>
        <v>0</v>
      </c>
      <c r="N48" s="56">
        <f>DATABASE!O234</f>
        <v>103.9</v>
      </c>
      <c r="O48" s="56">
        <f>DATABASE!P234</f>
        <v>0</v>
      </c>
      <c r="P48" s="56" t="str">
        <f>DATABASE!Q234</f>
        <v>AVAILABLE</v>
      </c>
      <c r="Q48" s="56">
        <f>DATABASE!R234</f>
        <v>1237000</v>
      </c>
      <c r="R48" s="56">
        <f>DATABASE!S234</f>
        <v>1310000</v>
      </c>
      <c r="S48" s="56">
        <f>DATABASE!T234</f>
        <v>1380000</v>
      </c>
      <c r="T48" s="56">
        <f>DATABASE!U234</f>
        <v>50000</v>
      </c>
      <c r="U48" s="56">
        <f>DATABASE!V234</f>
        <v>23000</v>
      </c>
      <c r="V48" s="56">
        <f>DATABASE!W234</f>
        <v>1307000</v>
      </c>
      <c r="W48" s="56">
        <f>DATABASE!X234</f>
        <v>0</v>
      </c>
      <c r="X48" s="56">
        <f>DATABASE!Y234</f>
        <v>1380000</v>
      </c>
      <c r="Y48" s="56">
        <f>DATABASE!Z234</f>
        <v>1307000</v>
      </c>
      <c r="Z48" s="56" t="e">
        <f>DATABASE!#REF!</f>
        <v>#REF!</v>
      </c>
      <c r="AA48" s="56">
        <f>DATABASE!AA234</f>
        <v>0</v>
      </c>
      <c r="AB48" s="57">
        <f>DATABASE!AB234</f>
        <v>0</v>
      </c>
    </row>
    <row r="74" spans="11:12">
      <c r="K74" s="20"/>
      <c r="L74" s="2"/>
    </row>
  </sheetData>
  <conditionalFormatting sqref="A1">
    <cfRule type="containsText" dxfId="54" priority="1" operator="containsText" text="Center">
      <formula>NOT(ISERROR(SEARCH("Center",A1)))</formula>
    </cfRule>
    <cfRule type="containsText" dxfId="53" priority="2" operator="containsText" text="North">
      <formula>NOT(ISERROR(SEARCH("North",A1)))</formula>
    </cfRule>
    <cfRule type="containsText" dxfId="52" priority="3" operator="containsText" text="Algarve">
      <formula>NOT(ISERROR(SEARCH("Algarve",A1)))</formula>
    </cfRule>
    <cfRule type="containsText" dxfId="51" priority="4" operator="containsText" text="Vilamoura">
      <formula>NOT(ISERROR(SEARCH("Vilamoura",A1)))</formula>
    </cfRule>
  </conditionalFormatting>
  <pageMargins left="0.7" right="0.7" top="0.75" bottom="0.75" header="0.3" footer="0.3"/>
  <pageSetup paperSize="8" scale="69"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AA368-E04D-478C-8DEA-252C4F5FC886}">
  <sheetPr>
    <tabColor rgb="FFCABCA2"/>
    <pageSetUpPr fitToPage="1"/>
  </sheetPr>
  <dimension ref="A1:AB63"/>
  <sheetViews>
    <sheetView showGridLines="0" zoomScale="70" zoomScaleNormal="70" zoomScaleSheetLayoutView="70" workbookViewId="0">
      <selection activeCell="D25" sqref="D25"/>
    </sheetView>
  </sheetViews>
  <sheetFormatPr defaultColWidth="8.7109375" defaultRowHeight="15" outlineLevelCol="2"/>
  <cols>
    <col min="1" max="1" width="27.140625" customWidth="1"/>
    <col min="2" max="2" width="19.7109375" bestFit="1" customWidth="1"/>
    <col min="3" max="3" width="22.28515625" bestFit="1" customWidth="1"/>
    <col min="4" max="4" width="14.7109375" bestFit="1" customWidth="1"/>
    <col min="5" max="5" width="21.7109375" hidden="1" customWidth="1" outlineLevel="2"/>
    <col min="6" max="6" width="12" hidden="1" customWidth="1" outlineLevel="2"/>
    <col min="7" max="7" width="16.28515625" hidden="1" customWidth="1" outlineLevel="2"/>
    <col min="8" max="8" width="13.140625" hidden="1" customWidth="1" outlineLevel="2"/>
    <col min="9" max="9" width="25.42578125" hidden="1" customWidth="1" outlineLevel="2"/>
    <col min="10" max="10" width="27.7109375" hidden="1" customWidth="1" outlineLevel="2"/>
    <col min="11" max="11" width="18.28515625" hidden="1" customWidth="1" outlineLevel="1"/>
    <col min="12" max="12" width="73.7109375" hidden="1" customWidth="1" outlineLevel="1"/>
    <col min="13" max="13" width="25.28515625" customWidth="1" collapsed="1"/>
    <col min="14" max="14" width="25.28515625" customWidth="1"/>
    <col min="15" max="15" width="33.42578125" customWidth="1"/>
    <col min="16" max="16" width="30.7109375" customWidth="1"/>
    <col min="17" max="18" width="25.28515625" customWidth="1"/>
    <col min="19" max="19" width="33.7109375" customWidth="1"/>
    <col min="20" max="22" width="25.28515625" customWidth="1"/>
  </cols>
  <sheetData>
    <row r="1" spans="1:28" s="1" customFormat="1" ht="40.5">
      <c r="A1" s="58" t="s">
        <v>335</v>
      </c>
      <c r="B1" s="59" t="s">
        <v>687</v>
      </c>
      <c r="C1" s="59" t="s">
        <v>770</v>
      </c>
      <c r="D1" s="59" t="s">
        <v>93</v>
      </c>
      <c r="E1" s="59" t="s">
        <v>766</v>
      </c>
      <c r="F1" s="60" t="s">
        <v>678</v>
      </c>
      <c r="G1" s="60" t="s">
        <v>679</v>
      </c>
      <c r="H1" s="60" t="s">
        <v>680</v>
      </c>
      <c r="I1" s="60" t="s">
        <v>681</v>
      </c>
      <c r="J1" s="60" t="s">
        <v>682</v>
      </c>
      <c r="K1" s="60" t="s">
        <v>785</v>
      </c>
      <c r="L1" s="60" t="s">
        <v>683</v>
      </c>
      <c r="M1" s="59" t="s">
        <v>684</v>
      </c>
      <c r="N1" s="59" t="s">
        <v>94</v>
      </c>
      <c r="O1" s="59" t="s">
        <v>95</v>
      </c>
      <c r="P1" s="59" t="s">
        <v>627</v>
      </c>
      <c r="Q1" s="61" t="s">
        <v>331</v>
      </c>
      <c r="R1" s="61" t="s">
        <v>332</v>
      </c>
      <c r="S1" s="61" t="s">
        <v>333</v>
      </c>
      <c r="T1" s="61" t="s">
        <v>685</v>
      </c>
      <c r="U1" s="61" t="s">
        <v>97</v>
      </c>
      <c r="V1" s="59" t="s">
        <v>330</v>
      </c>
      <c r="W1" s="62" t="s">
        <v>767</v>
      </c>
      <c r="X1" s="61" t="s">
        <v>334</v>
      </c>
      <c r="Y1" s="59" t="s">
        <v>98</v>
      </c>
      <c r="Z1" s="59" t="s">
        <v>771</v>
      </c>
      <c r="AA1" s="63" t="s">
        <v>768</v>
      </c>
      <c r="AB1" s="64" t="s">
        <v>7</v>
      </c>
    </row>
    <row r="2" spans="1:28">
      <c r="A2" s="71" t="str">
        <f>DATABASE!A235</f>
        <v>THE UNCOMMON</v>
      </c>
      <c r="B2" s="53" t="str">
        <f>DATABASE!B235</f>
        <v>Vilamoura</v>
      </c>
      <c r="C2" s="53" t="str">
        <f>DATABASE!C235</f>
        <v>309</v>
      </c>
      <c r="D2" s="72" t="str">
        <f>DATABASE!E235</f>
        <v>T2</v>
      </c>
      <c r="E2" s="73">
        <f>DATABASE!F235</f>
        <v>129.4</v>
      </c>
      <c r="F2" s="74">
        <f>DATABASE!G235</f>
        <v>0</v>
      </c>
      <c r="G2" s="72" t="str">
        <f>DATABASE!H235</f>
        <v>1</v>
      </c>
      <c r="H2" s="73" t="str">
        <f>DATABASE!I235</f>
        <v/>
      </c>
      <c r="I2" s="73">
        <f>DATABASE!J235</f>
        <v>25.5</v>
      </c>
      <c r="J2" s="73">
        <f>DATABASE!K235</f>
        <v>0</v>
      </c>
      <c r="K2" s="72">
        <f>DATABASE!L235</f>
        <v>0</v>
      </c>
      <c r="L2" s="75">
        <f>DATABASE!M235</f>
        <v>0</v>
      </c>
      <c r="M2" s="72">
        <f>DATABASE!N235</f>
        <v>0</v>
      </c>
      <c r="N2" s="76">
        <f>DATABASE!O235</f>
        <v>103.9</v>
      </c>
      <c r="O2" s="76">
        <f>DATABASE!P235</f>
        <v>0</v>
      </c>
      <c r="P2" s="77" t="str">
        <f>DATABASE!Q235</f>
        <v>AVAILABLE</v>
      </c>
      <c r="Q2" s="78">
        <f>DATABASE!R235</f>
        <v>1297000</v>
      </c>
      <c r="R2" s="78">
        <f>DATABASE!S235</f>
        <v>1370000</v>
      </c>
      <c r="S2" s="78">
        <f>DATABASE!T235</f>
        <v>1440000</v>
      </c>
      <c r="T2" s="78">
        <f>DATABASE!U235</f>
        <v>50000</v>
      </c>
      <c r="U2" s="78">
        <f>DATABASE!V235</f>
        <v>23000</v>
      </c>
      <c r="V2" s="79">
        <f>DATABASE!W235</f>
        <v>1367000</v>
      </c>
      <c r="W2" s="80">
        <f>DATABASE!X235</f>
        <v>0</v>
      </c>
      <c r="X2" s="79">
        <f>DATABASE!Y235</f>
        <v>1440000</v>
      </c>
      <c r="Y2" s="79">
        <f>DATABASE!Z235</f>
        <v>1367000</v>
      </c>
      <c r="Z2" s="79" t="e">
        <f>DATABASE!#REF!</f>
        <v>#REF!</v>
      </c>
      <c r="AA2" s="81">
        <f>DATABASE!AA235</f>
        <v>0</v>
      </c>
      <c r="AB2" s="82">
        <f>DATABASE!AB235</f>
        <v>0</v>
      </c>
    </row>
    <row r="3" spans="1:28">
      <c r="A3" s="71" t="str">
        <f>DATABASE!A236</f>
        <v>THE UNCOMMON</v>
      </c>
      <c r="B3" s="83" t="str">
        <f>DATABASE!B236</f>
        <v>Vilamoura</v>
      </c>
      <c r="C3" s="83" t="str">
        <f>DATABASE!C236</f>
        <v>311</v>
      </c>
      <c r="D3" s="84" t="str">
        <f>DATABASE!E236</f>
        <v>T1</v>
      </c>
      <c r="E3" s="85">
        <f>DATABASE!F236</f>
        <v>80.900000000000006</v>
      </c>
      <c r="F3" s="85">
        <f>DATABASE!G236</f>
        <v>0</v>
      </c>
      <c r="G3" s="85" t="str">
        <f>DATABASE!H236</f>
        <v>1</v>
      </c>
      <c r="H3" s="86" t="str">
        <f>DATABASE!I236</f>
        <v/>
      </c>
      <c r="I3" s="84">
        <f>DATABASE!J236</f>
        <v>18</v>
      </c>
      <c r="J3" s="84">
        <f>DATABASE!K236</f>
        <v>0</v>
      </c>
      <c r="K3" s="84">
        <f>DATABASE!L236</f>
        <v>0</v>
      </c>
      <c r="L3" s="75">
        <f>DATABASE!M236</f>
        <v>0</v>
      </c>
      <c r="M3" s="72">
        <f>DATABASE!N236</f>
        <v>0</v>
      </c>
      <c r="N3" s="76">
        <f>DATABASE!O236</f>
        <v>62.9</v>
      </c>
      <c r="O3" s="87">
        <f>DATABASE!P236</f>
        <v>0</v>
      </c>
      <c r="P3" s="88" t="str">
        <f>DATABASE!Q236</f>
        <v>AVAILABLE</v>
      </c>
      <c r="Q3" s="78">
        <f>DATABASE!R236</f>
        <v>645000</v>
      </c>
      <c r="R3" s="78">
        <f>DATABASE!S236</f>
        <v>710000</v>
      </c>
      <c r="S3" s="78">
        <f>DATABASE!T236</f>
        <v>770000</v>
      </c>
      <c r="T3" s="78">
        <f>DATABASE!U236</f>
        <v>50000</v>
      </c>
      <c r="U3" s="78">
        <f>DATABASE!V236</f>
        <v>15000</v>
      </c>
      <c r="V3" s="79">
        <f>DATABASE!W236</f>
        <v>705000</v>
      </c>
      <c r="W3" s="80">
        <f>DATABASE!X236</f>
        <v>0</v>
      </c>
      <c r="X3" s="79">
        <f>DATABASE!Y236</f>
        <v>770000</v>
      </c>
      <c r="Y3" s="79">
        <f>DATABASE!Z236</f>
        <v>705000</v>
      </c>
      <c r="Z3" s="79" t="e">
        <f>DATABASE!#REF!</f>
        <v>#REF!</v>
      </c>
      <c r="AA3" s="81">
        <f>DATABASE!AA236</f>
        <v>0</v>
      </c>
      <c r="AB3" s="82">
        <f>DATABASE!AB236</f>
        <v>0</v>
      </c>
    </row>
    <row r="4" spans="1:28">
      <c r="A4" s="71" t="str">
        <f>DATABASE!A237</f>
        <v>THE UNCOMMON</v>
      </c>
      <c r="B4" s="89" t="str">
        <f>DATABASE!B237</f>
        <v>Vilamoura</v>
      </c>
      <c r="C4" s="89" t="str">
        <f>DATABASE!C237</f>
        <v>312</v>
      </c>
      <c r="D4" s="90" t="str">
        <f>DATABASE!E237</f>
        <v>T1</v>
      </c>
      <c r="E4" s="91">
        <f>DATABASE!F237</f>
        <v>81.099999999999994</v>
      </c>
      <c r="F4" s="91">
        <f>DATABASE!G237</f>
        <v>0</v>
      </c>
      <c r="G4" s="91" t="str">
        <f>DATABASE!H237</f>
        <v>1</v>
      </c>
      <c r="H4" s="92" t="str">
        <f>DATABASE!I237</f>
        <v/>
      </c>
      <c r="I4" s="90">
        <f>DATABASE!J237</f>
        <v>18</v>
      </c>
      <c r="J4" s="90">
        <f>DATABASE!K237</f>
        <v>0</v>
      </c>
      <c r="K4" s="90">
        <f>DATABASE!L237</f>
        <v>0</v>
      </c>
      <c r="L4" s="75">
        <f>DATABASE!M237</f>
        <v>0</v>
      </c>
      <c r="M4" s="90">
        <f>DATABASE!N237</f>
        <v>0</v>
      </c>
      <c r="N4" s="76">
        <f>DATABASE!O237</f>
        <v>63.1</v>
      </c>
      <c r="O4" s="88">
        <f>DATABASE!P237</f>
        <v>0</v>
      </c>
      <c r="P4" s="88" t="str">
        <f>DATABASE!Q237</f>
        <v>AVAILABLE</v>
      </c>
      <c r="Q4" s="78">
        <f>DATABASE!R237</f>
        <v>685000</v>
      </c>
      <c r="R4" s="78">
        <f>DATABASE!S237</f>
        <v>750000</v>
      </c>
      <c r="S4" s="78">
        <f>DATABASE!T237</f>
        <v>810000</v>
      </c>
      <c r="T4" s="78">
        <f>DATABASE!U237</f>
        <v>50000</v>
      </c>
      <c r="U4" s="78">
        <f>DATABASE!V237</f>
        <v>15000</v>
      </c>
      <c r="V4" s="79">
        <f>DATABASE!W237</f>
        <v>745000</v>
      </c>
      <c r="W4" s="80">
        <f>DATABASE!X237</f>
        <v>0</v>
      </c>
      <c r="X4" s="79">
        <f>DATABASE!Y237</f>
        <v>810000</v>
      </c>
      <c r="Y4" s="79">
        <f>DATABASE!Z237</f>
        <v>745000</v>
      </c>
      <c r="Z4" s="79" t="e">
        <f>DATABASE!#REF!</f>
        <v>#REF!</v>
      </c>
      <c r="AA4" s="81">
        <f>DATABASE!AA237</f>
        <v>0</v>
      </c>
      <c r="AB4" s="82">
        <f>DATABASE!AB237</f>
        <v>0</v>
      </c>
    </row>
    <row r="5" spans="1:28">
      <c r="A5" s="71" t="str">
        <f>DATABASE!A238</f>
        <v>THE UNCOMMON</v>
      </c>
      <c r="B5" s="89" t="str">
        <f>DATABASE!B238</f>
        <v>Vilamoura</v>
      </c>
      <c r="C5" s="89" t="str">
        <f>DATABASE!C238</f>
        <v>313</v>
      </c>
      <c r="D5" s="93" t="str">
        <f>DATABASE!E238</f>
        <v>T1</v>
      </c>
      <c r="E5" s="91">
        <f>DATABASE!F238</f>
        <v>81.099999999999994</v>
      </c>
      <c r="F5" s="91">
        <f>DATABASE!G238</f>
        <v>0</v>
      </c>
      <c r="G5" s="91" t="str">
        <f>DATABASE!H238</f>
        <v>1</v>
      </c>
      <c r="H5" s="91" t="str">
        <f>DATABASE!I238</f>
        <v/>
      </c>
      <c r="I5" s="93">
        <f>DATABASE!J238</f>
        <v>18</v>
      </c>
      <c r="J5" s="93">
        <f>DATABASE!K238</f>
        <v>0</v>
      </c>
      <c r="K5" s="93">
        <f>DATABASE!L238</f>
        <v>0</v>
      </c>
      <c r="L5" s="75">
        <f>DATABASE!M238</f>
        <v>0</v>
      </c>
      <c r="M5" s="93">
        <f>DATABASE!N238</f>
        <v>0</v>
      </c>
      <c r="N5" s="76">
        <f>DATABASE!O238</f>
        <v>63.1</v>
      </c>
      <c r="O5" s="88">
        <f>DATABASE!P238</f>
        <v>0</v>
      </c>
      <c r="P5" s="88" t="str">
        <f>DATABASE!Q238</f>
        <v>AVAILABLE</v>
      </c>
      <c r="Q5" s="78">
        <f>DATABASE!R238</f>
        <v>725000</v>
      </c>
      <c r="R5" s="78">
        <f>DATABASE!S238</f>
        <v>790000</v>
      </c>
      <c r="S5" s="78">
        <f>DATABASE!T238</f>
        <v>850000</v>
      </c>
      <c r="T5" s="78">
        <f>DATABASE!U238</f>
        <v>50000</v>
      </c>
      <c r="U5" s="78">
        <f>DATABASE!V238</f>
        <v>15000</v>
      </c>
      <c r="V5" s="79">
        <f>DATABASE!W238</f>
        <v>785000</v>
      </c>
      <c r="W5" s="80">
        <f>DATABASE!X238</f>
        <v>0</v>
      </c>
      <c r="X5" s="79">
        <f>DATABASE!Y238</f>
        <v>850000</v>
      </c>
      <c r="Y5" s="79">
        <f>DATABASE!Z238</f>
        <v>785000</v>
      </c>
      <c r="Z5" s="79" t="e">
        <f>DATABASE!#REF!</f>
        <v>#REF!</v>
      </c>
      <c r="AA5" s="81">
        <f>DATABASE!AA238</f>
        <v>0</v>
      </c>
      <c r="AB5" s="82">
        <f>DATABASE!AB238</f>
        <v>0</v>
      </c>
    </row>
    <row r="6" spans="1:28">
      <c r="A6" s="71" t="str">
        <f>DATABASE!A239</f>
        <v>THE UNCOMMON</v>
      </c>
      <c r="B6" s="89" t="str">
        <f>DATABASE!B239</f>
        <v>Vilamoura</v>
      </c>
      <c r="C6" s="89" t="str">
        <f>DATABASE!C239</f>
        <v>314</v>
      </c>
      <c r="D6" s="93" t="str">
        <f>DATABASE!E239</f>
        <v>T1</v>
      </c>
      <c r="E6" s="91">
        <f>DATABASE!F239</f>
        <v>81.099999999999994</v>
      </c>
      <c r="F6" s="91">
        <f>DATABASE!G239</f>
        <v>0</v>
      </c>
      <c r="G6" s="91" t="str">
        <f>DATABASE!H239</f>
        <v>1</v>
      </c>
      <c r="H6" s="91" t="str">
        <f>DATABASE!I239</f>
        <v/>
      </c>
      <c r="I6" s="93">
        <f>DATABASE!J239</f>
        <v>18</v>
      </c>
      <c r="J6" s="93">
        <f>DATABASE!K239</f>
        <v>0</v>
      </c>
      <c r="K6" s="93">
        <f>DATABASE!L239</f>
        <v>0</v>
      </c>
      <c r="L6" s="75">
        <f>DATABASE!M239</f>
        <v>0</v>
      </c>
      <c r="M6" s="93">
        <f>DATABASE!N239</f>
        <v>0</v>
      </c>
      <c r="N6" s="76">
        <f>DATABASE!O239</f>
        <v>63.1</v>
      </c>
      <c r="O6" s="88">
        <f>DATABASE!P239</f>
        <v>0</v>
      </c>
      <c r="P6" s="88" t="str">
        <f>DATABASE!Q239</f>
        <v>AVAILABLE</v>
      </c>
      <c r="Q6" s="78">
        <f>DATABASE!R239</f>
        <v>775000</v>
      </c>
      <c r="R6" s="78">
        <f>DATABASE!S239</f>
        <v>840000</v>
      </c>
      <c r="S6" s="78">
        <f>DATABASE!T239</f>
        <v>900000</v>
      </c>
      <c r="T6" s="78">
        <f>DATABASE!U239</f>
        <v>50000</v>
      </c>
      <c r="U6" s="78">
        <f>DATABASE!V239</f>
        <v>15000</v>
      </c>
      <c r="V6" s="79">
        <f>DATABASE!W239</f>
        <v>835000</v>
      </c>
      <c r="W6" s="80">
        <f>DATABASE!X239</f>
        <v>0</v>
      </c>
      <c r="X6" s="79">
        <f>DATABASE!Y239</f>
        <v>900000</v>
      </c>
      <c r="Y6" s="79">
        <f>DATABASE!Z239</f>
        <v>835000</v>
      </c>
      <c r="Z6" s="79" t="e">
        <f>DATABASE!#REF!</f>
        <v>#REF!</v>
      </c>
      <c r="AA6" s="81">
        <f>DATABASE!AA239</f>
        <v>0</v>
      </c>
      <c r="AB6" s="82">
        <f>DATABASE!AB239</f>
        <v>0</v>
      </c>
    </row>
    <row r="7" spans="1:28">
      <c r="A7" s="71" t="str">
        <f>DATABASE!A240</f>
        <v>THE UNCOMMON</v>
      </c>
      <c r="B7" s="89" t="str">
        <f>DATABASE!B240</f>
        <v>Vilamoura</v>
      </c>
      <c r="C7" s="89" t="str">
        <f>DATABASE!C240</f>
        <v>315</v>
      </c>
      <c r="D7" s="93" t="str">
        <f>DATABASE!E240</f>
        <v>T1</v>
      </c>
      <c r="E7" s="91">
        <f>DATABASE!F240</f>
        <v>83</v>
      </c>
      <c r="F7" s="91">
        <f>DATABASE!G240</f>
        <v>0</v>
      </c>
      <c r="G7" s="91" t="str">
        <f>DATABASE!H240</f>
        <v>1</v>
      </c>
      <c r="H7" s="91" t="str">
        <f>DATABASE!I240</f>
        <v/>
      </c>
      <c r="I7" s="93">
        <f>DATABASE!J240</f>
        <v>18.7</v>
      </c>
      <c r="J7" s="93">
        <f>DATABASE!K240</f>
        <v>0</v>
      </c>
      <c r="K7" s="93">
        <f>DATABASE!L240</f>
        <v>0</v>
      </c>
      <c r="L7" s="75">
        <f>DATABASE!M240</f>
        <v>0</v>
      </c>
      <c r="M7" s="93">
        <f>DATABASE!N240</f>
        <v>0</v>
      </c>
      <c r="N7" s="76">
        <f>DATABASE!O240</f>
        <v>64.3</v>
      </c>
      <c r="O7" s="88">
        <f>DATABASE!P240</f>
        <v>0</v>
      </c>
      <c r="P7" s="88" t="str">
        <f>DATABASE!Q240</f>
        <v>AVAILABLE</v>
      </c>
      <c r="Q7" s="78">
        <f>DATABASE!R240</f>
        <v>835000</v>
      </c>
      <c r="R7" s="78">
        <f>DATABASE!S240</f>
        <v>900000</v>
      </c>
      <c r="S7" s="78">
        <f>DATABASE!T240</f>
        <v>960000</v>
      </c>
      <c r="T7" s="78">
        <f>DATABASE!U240</f>
        <v>50000</v>
      </c>
      <c r="U7" s="78">
        <f>DATABASE!V240</f>
        <v>15000</v>
      </c>
      <c r="V7" s="79">
        <f>DATABASE!W240</f>
        <v>895000</v>
      </c>
      <c r="W7" s="80">
        <f>DATABASE!X240</f>
        <v>0</v>
      </c>
      <c r="X7" s="79">
        <f>DATABASE!Y240</f>
        <v>960000</v>
      </c>
      <c r="Y7" s="79">
        <f>DATABASE!Z240</f>
        <v>895000</v>
      </c>
      <c r="Z7" s="79" t="e">
        <f>DATABASE!#REF!</f>
        <v>#REF!</v>
      </c>
      <c r="AA7" s="81">
        <f>DATABASE!AA240</f>
        <v>0</v>
      </c>
      <c r="AB7" s="82">
        <f>DATABASE!AB240</f>
        <v>0</v>
      </c>
    </row>
    <row r="8" spans="1:28">
      <c r="A8" s="71" t="str">
        <f>DATABASE!A241</f>
        <v>ELS</v>
      </c>
      <c r="B8" s="89" t="str">
        <f>DATABASE!B241</f>
        <v>Vilamoura</v>
      </c>
      <c r="C8" s="89" t="str">
        <f>DATABASE!C241</f>
        <v>4</v>
      </c>
      <c r="D8" s="93" t="str">
        <f>DATABASE!E241</f>
        <v>Plot</v>
      </c>
      <c r="E8" s="91">
        <f>DATABASE!F241</f>
        <v>440</v>
      </c>
      <c r="F8" s="91">
        <f>DATABASE!G241</f>
        <v>0</v>
      </c>
      <c r="G8" s="91" t="str">
        <f>DATABASE!H241</f>
        <v/>
      </c>
      <c r="H8" s="91" t="str">
        <f>DATABASE!I241</f>
        <v/>
      </c>
      <c r="I8" s="93">
        <f>DATABASE!J241</f>
        <v>0</v>
      </c>
      <c r="J8" s="93">
        <f>DATABASE!K241</f>
        <v>0</v>
      </c>
      <c r="K8" s="93">
        <f>DATABASE!L241</f>
        <v>0</v>
      </c>
      <c r="L8" s="75">
        <f>DATABASE!M241</f>
        <v>0</v>
      </c>
      <c r="M8" s="93">
        <f>DATABASE!N241</f>
        <v>0</v>
      </c>
      <c r="N8" s="76">
        <f>DATABASE!O241</f>
        <v>440</v>
      </c>
      <c r="O8" s="88">
        <f>DATABASE!P241</f>
        <v>0</v>
      </c>
      <c r="P8" s="88" t="str">
        <f>DATABASE!Q241</f>
        <v>AVAILABLE</v>
      </c>
      <c r="Q8" s="78">
        <f>DATABASE!R241</f>
        <v>1240000</v>
      </c>
      <c r="R8" s="78">
        <f>DATABASE!S241</f>
        <v>1240000</v>
      </c>
      <c r="S8" s="78">
        <f>DATABASE!T241</f>
        <v>2280000</v>
      </c>
      <c r="T8" s="78">
        <f>DATABASE!U241</f>
        <v>0</v>
      </c>
      <c r="U8" s="78">
        <f>DATABASE!V241</f>
        <v>0</v>
      </c>
      <c r="V8" s="79">
        <f>DATABASE!W241</f>
        <v>2280000</v>
      </c>
      <c r="W8" s="80">
        <f>DATABASE!X241</f>
        <v>0</v>
      </c>
      <c r="X8" s="79">
        <f>DATABASE!Y241</f>
        <v>2280000</v>
      </c>
      <c r="Y8" s="79">
        <f>DATABASE!Z241</f>
        <v>2280000</v>
      </c>
      <c r="Z8" s="79" t="e">
        <f>DATABASE!#REF!</f>
        <v>#REF!</v>
      </c>
      <c r="AA8" s="81">
        <f>DATABASE!AA241</f>
        <v>0</v>
      </c>
      <c r="AB8" s="82">
        <f>DATABASE!AB241</f>
        <v>0</v>
      </c>
    </row>
    <row r="9" spans="1:28">
      <c r="A9" s="71" t="str">
        <f>DATABASE!A242</f>
        <v>THE UNCOMMON</v>
      </c>
      <c r="B9" s="89" t="str">
        <f>DATABASE!B242</f>
        <v>Vilamoura</v>
      </c>
      <c r="C9" s="89" t="str">
        <f>DATABASE!C242</f>
        <v>4</v>
      </c>
      <c r="D9" s="93" t="str">
        <f>DATABASE!E242</f>
        <v>T2</v>
      </c>
      <c r="E9" s="91">
        <f>DATABASE!F242</f>
        <v>160.19999999999999</v>
      </c>
      <c r="F9" s="91">
        <f>DATABASE!G242</f>
        <v>0</v>
      </c>
      <c r="G9" s="91" t="str">
        <f>DATABASE!H242</f>
        <v>1</v>
      </c>
      <c r="H9" s="91" t="str">
        <f>DATABASE!I242</f>
        <v/>
      </c>
      <c r="I9" s="93">
        <f>DATABASE!J242</f>
        <v>55.6</v>
      </c>
      <c r="J9" s="93">
        <f>DATABASE!K242</f>
        <v>0</v>
      </c>
      <c r="K9" s="93">
        <f>DATABASE!L242</f>
        <v>0</v>
      </c>
      <c r="L9" s="75">
        <f>DATABASE!M242</f>
        <v>0</v>
      </c>
      <c r="M9" s="93">
        <f>DATABASE!N242</f>
        <v>0</v>
      </c>
      <c r="N9" s="76">
        <f>DATABASE!O242</f>
        <v>104.6</v>
      </c>
      <c r="O9" s="88">
        <f>DATABASE!P242</f>
        <v>0</v>
      </c>
      <c r="P9" s="88" t="str">
        <f>DATABASE!Q242</f>
        <v>AVAILABLE</v>
      </c>
      <c r="Q9" s="78">
        <f>DATABASE!R242</f>
        <v>847000</v>
      </c>
      <c r="R9" s="78">
        <f>DATABASE!S242</f>
        <v>920000</v>
      </c>
      <c r="S9" s="78">
        <f>DATABASE!T242</f>
        <v>980000</v>
      </c>
      <c r="T9" s="78">
        <f>DATABASE!U242</f>
        <v>50000</v>
      </c>
      <c r="U9" s="78">
        <f>DATABASE!V242</f>
        <v>23000</v>
      </c>
      <c r="V9" s="79">
        <f>DATABASE!W242</f>
        <v>907000</v>
      </c>
      <c r="W9" s="80">
        <f>DATABASE!X242</f>
        <v>0</v>
      </c>
      <c r="X9" s="79">
        <f>DATABASE!Y242</f>
        <v>980000</v>
      </c>
      <c r="Y9" s="79">
        <f>DATABASE!Z242</f>
        <v>907000</v>
      </c>
      <c r="Z9" s="79" t="e">
        <f>DATABASE!#REF!</f>
        <v>#REF!</v>
      </c>
      <c r="AA9" s="81">
        <f>DATABASE!AA242</f>
        <v>0</v>
      </c>
      <c r="AB9" s="82">
        <f>DATABASE!AB242</f>
        <v>0</v>
      </c>
    </row>
    <row r="10" spans="1:28">
      <c r="A10" s="71" t="str">
        <f>DATABASE!A243</f>
        <v>THE UNCOMMON</v>
      </c>
      <c r="B10" s="89" t="str">
        <f>DATABASE!B243</f>
        <v>Vilamoura</v>
      </c>
      <c r="C10" s="89" t="str">
        <f>DATABASE!C243</f>
        <v>401</v>
      </c>
      <c r="D10" s="93" t="str">
        <f>DATABASE!E243</f>
        <v>T3</v>
      </c>
      <c r="E10" s="91">
        <f>DATABASE!F243</f>
        <v>183.9</v>
      </c>
      <c r="F10" s="91">
        <f>DATABASE!G243</f>
        <v>0</v>
      </c>
      <c r="G10" s="91" t="str">
        <f>DATABASE!H243</f>
        <v>1</v>
      </c>
      <c r="H10" s="91" t="str">
        <f>DATABASE!I243</f>
        <v/>
      </c>
      <c r="I10" s="93">
        <f>DATABASE!J243</f>
        <v>34.299999999999997</v>
      </c>
      <c r="J10" s="93">
        <f>DATABASE!K243</f>
        <v>0</v>
      </c>
      <c r="K10" s="93">
        <f>DATABASE!L243</f>
        <v>0</v>
      </c>
      <c r="L10" s="75">
        <f>DATABASE!M243</f>
        <v>0</v>
      </c>
      <c r="M10" s="93">
        <f>DATABASE!N243</f>
        <v>0</v>
      </c>
      <c r="N10" s="76">
        <f>DATABASE!O243</f>
        <v>149.6</v>
      </c>
      <c r="O10" s="88">
        <f>DATABASE!P243</f>
        <v>0</v>
      </c>
      <c r="P10" s="88" t="str">
        <f>DATABASE!Q243</f>
        <v>AVAILABLE</v>
      </c>
      <c r="Q10" s="78">
        <f>DATABASE!R243</f>
        <v>2190000</v>
      </c>
      <c r="R10" s="78">
        <f>DATABASE!S243</f>
        <v>2270000</v>
      </c>
      <c r="S10" s="78">
        <f>DATABASE!T243</f>
        <v>2350000</v>
      </c>
      <c r="T10" s="78">
        <f>DATABASE!U243</f>
        <v>50000</v>
      </c>
      <c r="U10" s="78">
        <f>DATABASE!V243</f>
        <v>30000</v>
      </c>
      <c r="V10" s="79">
        <f>DATABASE!W243</f>
        <v>2270000</v>
      </c>
      <c r="W10" s="80">
        <f>DATABASE!X243</f>
        <v>0</v>
      </c>
      <c r="X10" s="79">
        <f>DATABASE!Y243</f>
        <v>2350000</v>
      </c>
      <c r="Y10" s="79">
        <f>DATABASE!Z243</f>
        <v>2270000</v>
      </c>
      <c r="Z10" s="79" t="e">
        <f>DATABASE!#REF!</f>
        <v>#REF!</v>
      </c>
      <c r="AA10" s="81">
        <f>DATABASE!AA243</f>
        <v>0</v>
      </c>
      <c r="AB10" s="82">
        <f>DATABASE!AB243</f>
        <v>0</v>
      </c>
    </row>
    <row r="11" spans="1:28">
      <c r="A11" s="71" t="str">
        <f>DATABASE!A244</f>
        <v>THE UNCOMMON</v>
      </c>
      <c r="B11" s="89" t="str">
        <f>DATABASE!B244</f>
        <v>Vilamoura</v>
      </c>
      <c r="C11" s="89" t="str">
        <f>DATABASE!C244</f>
        <v>402</v>
      </c>
      <c r="D11" s="93" t="str">
        <f>DATABASE!E244</f>
        <v>T2</v>
      </c>
      <c r="E11" s="91">
        <f>DATABASE!F244</f>
        <v>129.4</v>
      </c>
      <c r="F11" s="91">
        <f>DATABASE!G244</f>
        <v>0</v>
      </c>
      <c r="G11" s="91" t="str">
        <f>DATABASE!H244</f>
        <v>1</v>
      </c>
      <c r="H11" s="91" t="str">
        <f>DATABASE!I244</f>
        <v/>
      </c>
      <c r="I11" s="93">
        <f>DATABASE!J244</f>
        <v>25.5</v>
      </c>
      <c r="J11" s="93">
        <f>DATABASE!K244</f>
        <v>0</v>
      </c>
      <c r="K11" s="93">
        <f>DATABASE!L244</f>
        <v>0</v>
      </c>
      <c r="L11" s="75">
        <f>DATABASE!M244</f>
        <v>0</v>
      </c>
      <c r="M11" s="93">
        <f>DATABASE!N244</f>
        <v>0</v>
      </c>
      <c r="N11" s="76">
        <f>DATABASE!O244</f>
        <v>103.9</v>
      </c>
      <c r="O11" s="88">
        <f>DATABASE!P244</f>
        <v>0</v>
      </c>
      <c r="P11" s="88" t="str">
        <f>DATABASE!Q244</f>
        <v>AVAILABLE</v>
      </c>
      <c r="Q11" s="78">
        <f>DATABASE!R244</f>
        <v>1147000</v>
      </c>
      <c r="R11" s="78">
        <f>DATABASE!S244</f>
        <v>1220000</v>
      </c>
      <c r="S11" s="78">
        <f>DATABASE!T244</f>
        <v>1290000</v>
      </c>
      <c r="T11" s="78">
        <f>DATABASE!U244</f>
        <v>50000</v>
      </c>
      <c r="U11" s="78">
        <f>DATABASE!V244</f>
        <v>23000</v>
      </c>
      <c r="V11" s="79">
        <f>DATABASE!W244</f>
        <v>1217000</v>
      </c>
      <c r="W11" s="80">
        <f>DATABASE!X244</f>
        <v>0</v>
      </c>
      <c r="X11" s="79">
        <f>DATABASE!Y244</f>
        <v>1290000</v>
      </c>
      <c r="Y11" s="79">
        <f>DATABASE!Z244</f>
        <v>1217000</v>
      </c>
      <c r="Z11" s="79" t="e">
        <f>DATABASE!#REF!</f>
        <v>#REF!</v>
      </c>
      <c r="AA11" s="81">
        <f>DATABASE!AA244</f>
        <v>0</v>
      </c>
      <c r="AB11" s="82">
        <f>DATABASE!AB244</f>
        <v>0</v>
      </c>
    </row>
    <row r="12" spans="1:28">
      <c r="A12" s="71" t="str">
        <f>DATABASE!A245</f>
        <v>Aroeira - HOTEL APARTMENTS</v>
      </c>
      <c r="B12" s="89" t="str">
        <f>DATABASE!B245</f>
        <v>Center</v>
      </c>
      <c r="C12" s="89" t="str">
        <f>DATABASE!C245</f>
        <v>101B</v>
      </c>
      <c r="D12" s="93" t="str">
        <f>DATABASE!E245</f>
        <v>2-BR*</v>
      </c>
      <c r="E12" s="91">
        <f>DATABASE!F245</f>
        <v>98.7</v>
      </c>
      <c r="F12" s="91">
        <f>DATABASE!G245</f>
        <v>0</v>
      </c>
      <c r="G12" s="91" t="str">
        <f>DATABASE!H245</f>
        <v>1</v>
      </c>
      <c r="H12" s="91" t="str">
        <f>DATABASE!I245</f>
        <v/>
      </c>
      <c r="I12" s="93">
        <f>DATABASE!J245</f>
        <v>13.3</v>
      </c>
      <c r="J12" s="93">
        <f>DATABASE!K245</f>
        <v>0</v>
      </c>
      <c r="K12" s="93">
        <f>DATABASE!L245</f>
        <v>0</v>
      </c>
      <c r="L12" s="75">
        <f>DATABASE!M245</f>
        <v>0</v>
      </c>
      <c r="M12" s="93">
        <f>DATABASE!N245</f>
        <v>0</v>
      </c>
      <c r="N12" s="76">
        <f>DATABASE!O245</f>
        <v>85.4</v>
      </c>
      <c r="O12" s="88">
        <f>DATABASE!P245</f>
        <v>0</v>
      </c>
      <c r="P12" s="88" t="str">
        <f>DATABASE!Q245</f>
        <v>AVAILABLE</v>
      </c>
      <c r="Q12" s="78">
        <f>DATABASE!R245</f>
        <v>550000</v>
      </c>
      <c r="R12" s="78">
        <f>DATABASE!S245</f>
        <v>595000</v>
      </c>
      <c r="S12" s="78">
        <f>DATABASE!T245</f>
        <v>595000</v>
      </c>
      <c r="T12" s="78">
        <f>DATABASE!U245</f>
        <v>0</v>
      </c>
      <c r="U12" s="78">
        <f>DATABASE!V245</f>
        <v>45000</v>
      </c>
      <c r="V12" s="79">
        <f>DATABASE!W245</f>
        <v>550000</v>
      </c>
      <c r="W12" s="80">
        <f>DATABASE!X245</f>
        <v>0</v>
      </c>
      <c r="X12" s="79">
        <f>DATABASE!Y245</f>
        <v>0</v>
      </c>
      <c r="Y12" s="79">
        <f>DATABASE!Z245</f>
        <v>-45000</v>
      </c>
      <c r="Z12" s="79" t="e">
        <f>DATABASE!#REF!</f>
        <v>#REF!</v>
      </c>
      <c r="AA12" s="81">
        <f>DATABASE!AA245</f>
        <v>0</v>
      </c>
      <c r="AB12" s="82">
        <f>DATABASE!AB245</f>
        <v>47118</v>
      </c>
    </row>
    <row r="13" spans="1:28">
      <c r="A13" s="71" t="str">
        <f>DATABASE!A246</f>
        <v>Aroeira - HOTEL APARTMENTS</v>
      </c>
      <c r="B13" s="89" t="str">
        <f>DATABASE!B246</f>
        <v>Center</v>
      </c>
      <c r="C13" s="89" t="str">
        <f>DATABASE!C246</f>
        <v>109B</v>
      </c>
      <c r="D13" s="93" t="str">
        <f>DATABASE!E246</f>
        <v>2-BR*</v>
      </c>
      <c r="E13" s="91">
        <f>DATABASE!F246</f>
        <v>98.7</v>
      </c>
      <c r="F13" s="91">
        <f>DATABASE!G246</f>
        <v>0</v>
      </c>
      <c r="G13" s="91" t="str">
        <f>DATABASE!H246</f>
        <v>1</v>
      </c>
      <c r="H13" s="91" t="str">
        <f>DATABASE!I246</f>
        <v/>
      </c>
      <c r="I13" s="93">
        <f>DATABASE!J246</f>
        <v>13.3</v>
      </c>
      <c r="J13" s="93">
        <f>DATABASE!K246</f>
        <v>0</v>
      </c>
      <c r="K13" s="93">
        <f>DATABASE!L246</f>
        <v>0</v>
      </c>
      <c r="L13" s="75">
        <f>DATABASE!M246</f>
        <v>0</v>
      </c>
      <c r="M13" s="93">
        <f>DATABASE!N246</f>
        <v>0</v>
      </c>
      <c r="N13" s="76">
        <f>DATABASE!O246</f>
        <v>85.4</v>
      </c>
      <c r="O13" s="88">
        <f>DATABASE!P246</f>
        <v>0</v>
      </c>
      <c r="P13" s="88" t="str">
        <f>DATABASE!Q246</f>
        <v>AVAILABLE</v>
      </c>
      <c r="Q13" s="78">
        <f>DATABASE!R246</f>
        <v>550000</v>
      </c>
      <c r="R13" s="78">
        <f>DATABASE!S246</f>
        <v>595000</v>
      </c>
      <c r="S13" s="78">
        <f>DATABASE!T246</f>
        <v>595000</v>
      </c>
      <c r="T13" s="78">
        <f>DATABASE!U246</f>
        <v>0</v>
      </c>
      <c r="U13" s="78">
        <f>DATABASE!V246</f>
        <v>45000</v>
      </c>
      <c r="V13" s="79">
        <f>DATABASE!W246</f>
        <v>550000</v>
      </c>
      <c r="W13" s="80">
        <f>DATABASE!X246</f>
        <v>0</v>
      </c>
      <c r="X13" s="79">
        <f>DATABASE!Y246</f>
        <v>0</v>
      </c>
      <c r="Y13" s="79">
        <f>DATABASE!Z246</f>
        <v>-45000</v>
      </c>
      <c r="Z13" s="79" t="e">
        <f>DATABASE!#REF!</f>
        <v>#REF!</v>
      </c>
      <c r="AA13" s="81">
        <f>DATABASE!AA246</f>
        <v>0</v>
      </c>
      <c r="AB13" s="82">
        <f>DATABASE!AB246</f>
        <v>47118</v>
      </c>
    </row>
    <row r="14" spans="1:28">
      <c r="A14" s="71" t="str">
        <f>DATABASE!A247</f>
        <v>THE UNCOMMON</v>
      </c>
      <c r="B14" s="89" t="str">
        <f>DATABASE!B247</f>
        <v>Vilamoura</v>
      </c>
      <c r="C14" s="89" t="str">
        <f>DATABASE!C247</f>
        <v>403</v>
      </c>
      <c r="D14" s="93" t="str">
        <f>DATABASE!E247</f>
        <v>T2</v>
      </c>
      <c r="E14" s="91">
        <f>DATABASE!F247</f>
        <v>129.4</v>
      </c>
      <c r="F14" s="91">
        <f>DATABASE!G247</f>
        <v>0</v>
      </c>
      <c r="G14" s="91" t="str">
        <f>DATABASE!H247</f>
        <v>1</v>
      </c>
      <c r="H14" s="91" t="str">
        <f>DATABASE!I247</f>
        <v/>
      </c>
      <c r="I14" s="93">
        <f>DATABASE!J247</f>
        <v>25.5</v>
      </c>
      <c r="J14" s="93">
        <f>DATABASE!K247</f>
        <v>0</v>
      </c>
      <c r="K14" s="93">
        <f>DATABASE!L247</f>
        <v>0</v>
      </c>
      <c r="L14" s="75">
        <f>DATABASE!M247</f>
        <v>0</v>
      </c>
      <c r="M14" s="93">
        <f>DATABASE!N247</f>
        <v>0</v>
      </c>
      <c r="N14" s="76">
        <f>DATABASE!O247</f>
        <v>103.9</v>
      </c>
      <c r="O14" s="88">
        <f>DATABASE!P247</f>
        <v>0</v>
      </c>
      <c r="P14" s="88" t="str">
        <f>DATABASE!Q247</f>
        <v>AVAILABLE</v>
      </c>
      <c r="Q14" s="78">
        <f>DATABASE!R247</f>
        <v>1067000</v>
      </c>
      <c r="R14" s="78">
        <f>DATABASE!S247</f>
        <v>1140000</v>
      </c>
      <c r="S14" s="78">
        <f>DATABASE!T247</f>
        <v>1210000</v>
      </c>
      <c r="T14" s="78">
        <f>DATABASE!U247</f>
        <v>50000</v>
      </c>
      <c r="U14" s="78">
        <f>DATABASE!V247</f>
        <v>23000</v>
      </c>
      <c r="V14" s="79">
        <f>DATABASE!W247</f>
        <v>1137000</v>
      </c>
      <c r="W14" s="80">
        <f>DATABASE!X247</f>
        <v>0</v>
      </c>
      <c r="X14" s="79">
        <f>DATABASE!Y247</f>
        <v>1210000</v>
      </c>
      <c r="Y14" s="79">
        <f>DATABASE!Z247</f>
        <v>1137000</v>
      </c>
      <c r="Z14" s="79" t="e">
        <f>DATABASE!#REF!</f>
        <v>#REF!</v>
      </c>
      <c r="AA14" s="81">
        <f>DATABASE!AA247</f>
        <v>0</v>
      </c>
      <c r="AB14" s="82">
        <f>DATABASE!AB247</f>
        <v>0</v>
      </c>
    </row>
    <row r="15" spans="1:28">
      <c r="A15" s="71" t="str">
        <f>DATABASE!A248</f>
        <v>THE UNCOMMON</v>
      </c>
      <c r="B15" s="89" t="str">
        <f>DATABASE!B248</f>
        <v>Vilamoura</v>
      </c>
      <c r="C15" s="89" t="str">
        <f>DATABASE!C248</f>
        <v>404</v>
      </c>
      <c r="D15" s="93" t="str">
        <f>DATABASE!E248</f>
        <v>T2</v>
      </c>
      <c r="E15" s="91">
        <f>DATABASE!F248</f>
        <v>130</v>
      </c>
      <c r="F15" s="91">
        <f>DATABASE!G248</f>
        <v>0</v>
      </c>
      <c r="G15" s="91" t="str">
        <f>DATABASE!H248</f>
        <v>1</v>
      </c>
      <c r="H15" s="91" t="str">
        <f>DATABASE!I248</f>
        <v/>
      </c>
      <c r="I15" s="93">
        <f>DATABASE!J248</f>
        <v>25.4</v>
      </c>
      <c r="J15" s="93">
        <f>DATABASE!K248</f>
        <v>0</v>
      </c>
      <c r="K15" s="93">
        <f>DATABASE!L248</f>
        <v>0</v>
      </c>
      <c r="L15" s="75">
        <f>DATABASE!M248</f>
        <v>0</v>
      </c>
      <c r="M15" s="93">
        <f>DATABASE!N248</f>
        <v>0</v>
      </c>
      <c r="N15" s="76">
        <f>DATABASE!O248</f>
        <v>104.6</v>
      </c>
      <c r="O15" s="88">
        <f>DATABASE!P248</f>
        <v>0</v>
      </c>
      <c r="P15" s="88" t="str">
        <f>DATABASE!Q248</f>
        <v>AVAILABLE</v>
      </c>
      <c r="Q15" s="78">
        <f>DATABASE!R248</f>
        <v>977000</v>
      </c>
      <c r="R15" s="78">
        <f>DATABASE!S248</f>
        <v>1050000</v>
      </c>
      <c r="S15" s="78">
        <f>DATABASE!T248</f>
        <v>1120000</v>
      </c>
      <c r="T15" s="78">
        <f>DATABASE!U248</f>
        <v>50000</v>
      </c>
      <c r="U15" s="78">
        <f>DATABASE!V248</f>
        <v>23000</v>
      </c>
      <c r="V15" s="79">
        <f>DATABASE!W248</f>
        <v>1047000</v>
      </c>
      <c r="W15" s="80">
        <f>DATABASE!X248</f>
        <v>0</v>
      </c>
      <c r="X15" s="79">
        <f>DATABASE!Y248</f>
        <v>1120000</v>
      </c>
      <c r="Y15" s="79">
        <f>DATABASE!Z248</f>
        <v>1047000</v>
      </c>
      <c r="Z15" s="79" t="e">
        <f>DATABASE!#REF!</f>
        <v>#REF!</v>
      </c>
      <c r="AA15" s="81">
        <f>DATABASE!AA248</f>
        <v>0</v>
      </c>
      <c r="AB15" s="82">
        <f>DATABASE!AB248</f>
        <v>0</v>
      </c>
    </row>
    <row r="16" spans="1:28">
      <c r="A16" s="71" t="str">
        <f>DATABASE!A249</f>
        <v>THE UNCOMMON</v>
      </c>
      <c r="B16" s="89" t="str">
        <f>DATABASE!B249</f>
        <v>Vilamoura</v>
      </c>
      <c r="C16" s="89" t="str">
        <f>DATABASE!C249</f>
        <v>405</v>
      </c>
      <c r="D16" s="93" t="str">
        <f>DATABASE!E249</f>
        <v>T2</v>
      </c>
      <c r="E16" s="91">
        <f>DATABASE!F249</f>
        <v>130.1</v>
      </c>
      <c r="F16" s="91">
        <f>DATABASE!G249</f>
        <v>0</v>
      </c>
      <c r="G16" s="91" t="str">
        <f>DATABASE!H249</f>
        <v>1</v>
      </c>
      <c r="H16" s="91" t="str">
        <f>DATABASE!I249</f>
        <v/>
      </c>
      <c r="I16" s="93">
        <f>DATABASE!J249</f>
        <v>25.5</v>
      </c>
      <c r="J16" s="93">
        <f>DATABASE!K249</f>
        <v>0</v>
      </c>
      <c r="K16" s="93">
        <f>DATABASE!L249</f>
        <v>0</v>
      </c>
      <c r="L16" s="75">
        <f>DATABASE!M249</f>
        <v>0</v>
      </c>
      <c r="M16" s="93">
        <f>DATABASE!N249</f>
        <v>0</v>
      </c>
      <c r="N16" s="76">
        <f>DATABASE!O249</f>
        <v>104.6</v>
      </c>
      <c r="O16" s="88">
        <f>DATABASE!P249</f>
        <v>0</v>
      </c>
      <c r="P16" s="88" t="str">
        <f>DATABASE!Q249</f>
        <v>AVAILABLE</v>
      </c>
      <c r="Q16" s="78">
        <f>DATABASE!R249</f>
        <v>1057000</v>
      </c>
      <c r="R16" s="78">
        <f>DATABASE!S249</f>
        <v>1130000</v>
      </c>
      <c r="S16" s="78">
        <f>DATABASE!T249</f>
        <v>1200000</v>
      </c>
      <c r="T16" s="78">
        <f>DATABASE!U249</f>
        <v>50000</v>
      </c>
      <c r="U16" s="78">
        <f>DATABASE!V249</f>
        <v>23000</v>
      </c>
      <c r="V16" s="79">
        <f>DATABASE!W249</f>
        <v>1127000</v>
      </c>
      <c r="W16" s="80">
        <f>DATABASE!X249</f>
        <v>0</v>
      </c>
      <c r="X16" s="79">
        <f>DATABASE!Y249</f>
        <v>1200000</v>
      </c>
      <c r="Y16" s="79">
        <f>DATABASE!Z249</f>
        <v>1127000</v>
      </c>
      <c r="Z16" s="79" t="e">
        <f>DATABASE!#REF!</f>
        <v>#REF!</v>
      </c>
      <c r="AA16" s="81">
        <f>DATABASE!AA249</f>
        <v>0</v>
      </c>
      <c r="AB16" s="82">
        <f>DATABASE!AB249</f>
        <v>0</v>
      </c>
    </row>
    <row r="17" spans="1:28">
      <c r="A17" s="71" t="str">
        <f>DATABASE!A250</f>
        <v>THE UNCOMMON</v>
      </c>
      <c r="B17" s="89" t="str">
        <f>DATABASE!B250</f>
        <v>Vilamoura</v>
      </c>
      <c r="C17" s="89" t="str">
        <f>DATABASE!C250</f>
        <v>406</v>
      </c>
      <c r="D17" s="93" t="str">
        <f>DATABASE!E250</f>
        <v>T2</v>
      </c>
      <c r="E17" s="91">
        <f>DATABASE!F250</f>
        <v>129.4</v>
      </c>
      <c r="F17" s="91">
        <f>DATABASE!G250</f>
        <v>0</v>
      </c>
      <c r="G17" s="91" t="str">
        <f>DATABASE!H250</f>
        <v>1</v>
      </c>
      <c r="H17" s="91" t="str">
        <f>DATABASE!I250</f>
        <v/>
      </c>
      <c r="I17" s="93">
        <f>DATABASE!J250</f>
        <v>25.5</v>
      </c>
      <c r="J17" s="93">
        <f>DATABASE!K250</f>
        <v>0</v>
      </c>
      <c r="K17" s="93">
        <f>DATABASE!L250</f>
        <v>0</v>
      </c>
      <c r="L17" s="75">
        <f>DATABASE!M250</f>
        <v>0</v>
      </c>
      <c r="M17" s="93">
        <f>DATABASE!N250</f>
        <v>0</v>
      </c>
      <c r="N17" s="76">
        <f>DATABASE!O250</f>
        <v>103.9</v>
      </c>
      <c r="O17" s="88">
        <f>DATABASE!P250</f>
        <v>0</v>
      </c>
      <c r="P17" s="88" t="str">
        <f>DATABASE!Q250</f>
        <v>AVAILABLE</v>
      </c>
      <c r="Q17" s="78">
        <f>DATABASE!R250</f>
        <v>1147000</v>
      </c>
      <c r="R17" s="78">
        <f>DATABASE!S250</f>
        <v>1220000</v>
      </c>
      <c r="S17" s="78">
        <f>DATABASE!T250</f>
        <v>1290000</v>
      </c>
      <c r="T17" s="78">
        <f>DATABASE!U250</f>
        <v>50000</v>
      </c>
      <c r="U17" s="78">
        <f>DATABASE!V250</f>
        <v>23000</v>
      </c>
      <c r="V17" s="79">
        <f>DATABASE!W250</f>
        <v>1217000</v>
      </c>
      <c r="W17" s="80">
        <f>DATABASE!X250</f>
        <v>0</v>
      </c>
      <c r="X17" s="79">
        <f>DATABASE!Y250</f>
        <v>1290000</v>
      </c>
      <c r="Y17" s="79">
        <f>DATABASE!Z250</f>
        <v>1217000</v>
      </c>
      <c r="Z17" s="79" t="e">
        <f>DATABASE!#REF!</f>
        <v>#REF!</v>
      </c>
      <c r="AA17" s="81">
        <f>DATABASE!AA250</f>
        <v>0</v>
      </c>
      <c r="AB17" s="82">
        <f>DATABASE!AB250</f>
        <v>0</v>
      </c>
    </row>
    <row r="18" spans="1:28">
      <c r="A18" s="71" t="str">
        <f>DATABASE!A251</f>
        <v>THE UNCOMMON</v>
      </c>
      <c r="B18" s="89" t="str">
        <f>DATABASE!B251</f>
        <v>Vilamoura</v>
      </c>
      <c r="C18" s="89" t="str">
        <f>DATABASE!C251</f>
        <v>407</v>
      </c>
      <c r="D18" s="93" t="str">
        <f>DATABASE!E251</f>
        <v>T2</v>
      </c>
      <c r="E18" s="91">
        <f>DATABASE!F251</f>
        <v>129.4</v>
      </c>
      <c r="F18" s="91">
        <f>DATABASE!G251</f>
        <v>0</v>
      </c>
      <c r="G18" s="91" t="str">
        <f>DATABASE!H251</f>
        <v>1</v>
      </c>
      <c r="H18" s="91" t="str">
        <f>DATABASE!I251</f>
        <v/>
      </c>
      <c r="I18" s="93">
        <f>DATABASE!J251</f>
        <v>25.5</v>
      </c>
      <c r="J18" s="93">
        <f>DATABASE!K251</f>
        <v>0</v>
      </c>
      <c r="K18" s="93">
        <f>DATABASE!L251</f>
        <v>0</v>
      </c>
      <c r="L18" s="75">
        <f>DATABASE!M251</f>
        <v>0</v>
      </c>
      <c r="M18" s="93">
        <f>DATABASE!N251</f>
        <v>0</v>
      </c>
      <c r="N18" s="76">
        <f>DATABASE!O251</f>
        <v>103.9</v>
      </c>
      <c r="O18" s="88">
        <f>DATABASE!P251</f>
        <v>0</v>
      </c>
      <c r="P18" s="88" t="str">
        <f>DATABASE!Q251</f>
        <v>AVAILABLE</v>
      </c>
      <c r="Q18" s="78">
        <f>DATABASE!R251</f>
        <v>1227000</v>
      </c>
      <c r="R18" s="78">
        <f>DATABASE!S251</f>
        <v>1300000</v>
      </c>
      <c r="S18" s="78">
        <f>DATABASE!T251</f>
        <v>1370000</v>
      </c>
      <c r="T18" s="78">
        <f>DATABASE!U251</f>
        <v>50000</v>
      </c>
      <c r="U18" s="78">
        <f>DATABASE!V251</f>
        <v>23000</v>
      </c>
      <c r="V18" s="79">
        <f>DATABASE!W251</f>
        <v>1297000</v>
      </c>
      <c r="W18" s="80">
        <f>DATABASE!X251</f>
        <v>0</v>
      </c>
      <c r="X18" s="79">
        <f>DATABASE!Y251</f>
        <v>1370000</v>
      </c>
      <c r="Y18" s="79">
        <f>DATABASE!Z251</f>
        <v>1297000</v>
      </c>
      <c r="Z18" s="79" t="e">
        <f>DATABASE!#REF!</f>
        <v>#REF!</v>
      </c>
      <c r="AA18" s="81">
        <f>DATABASE!AA251</f>
        <v>0</v>
      </c>
      <c r="AB18" s="82">
        <f>DATABASE!AB251</f>
        <v>0</v>
      </c>
    </row>
    <row r="19" spans="1:28">
      <c r="A19" s="71" t="str">
        <f>DATABASE!A252</f>
        <v>THE UNCOMMON</v>
      </c>
      <c r="B19" s="89" t="str">
        <f>DATABASE!B252</f>
        <v>Vilamoura</v>
      </c>
      <c r="C19" s="89" t="str">
        <f>DATABASE!C252</f>
        <v>408</v>
      </c>
      <c r="D19" s="93" t="str">
        <f>DATABASE!E252</f>
        <v>T2</v>
      </c>
      <c r="E19" s="91">
        <f>DATABASE!F252</f>
        <v>129.4</v>
      </c>
      <c r="F19" s="91">
        <f>DATABASE!G252</f>
        <v>0</v>
      </c>
      <c r="G19" s="91" t="str">
        <f>DATABASE!H252</f>
        <v>1</v>
      </c>
      <c r="H19" s="91" t="str">
        <f>DATABASE!I252</f>
        <v/>
      </c>
      <c r="I19" s="93">
        <f>DATABASE!J252</f>
        <v>25.5</v>
      </c>
      <c r="J19" s="93">
        <f>DATABASE!K252</f>
        <v>0</v>
      </c>
      <c r="K19" s="93">
        <f>DATABASE!L252</f>
        <v>0</v>
      </c>
      <c r="L19" s="75">
        <f>DATABASE!M252</f>
        <v>0</v>
      </c>
      <c r="M19" s="93">
        <f>DATABASE!N252</f>
        <v>0</v>
      </c>
      <c r="N19" s="76">
        <f>DATABASE!O252</f>
        <v>103.9</v>
      </c>
      <c r="O19" s="88">
        <f>DATABASE!P252</f>
        <v>0</v>
      </c>
      <c r="P19" s="88" t="str">
        <f>DATABASE!Q252</f>
        <v>AVAILABLE</v>
      </c>
      <c r="Q19" s="78">
        <f>DATABASE!R252</f>
        <v>1287000</v>
      </c>
      <c r="R19" s="78">
        <f>DATABASE!S252</f>
        <v>1360000</v>
      </c>
      <c r="S19" s="78">
        <f>DATABASE!T252</f>
        <v>1430000</v>
      </c>
      <c r="T19" s="78">
        <f>DATABASE!U252</f>
        <v>50000</v>
      </c>
      <c r="U19" s="78">
        <f>DATABASE!V252</f>
        <v>23000</v>
      </c>
      <c r="V19" s="79">
        <f>DATABASE!W252</f>
        <v>1357000</v>
      </c>
      <c r="W19" s="80">
        <f>DATABASE!X252</f>
        <v>0</v>
      </c>
      <c r="X19" s="79">
        <f>DATABASE!Y252</f>
        <v>1430000</v>
      </c>
      <c r="Y19" s="79">
        <f>DATABASE!Z252</f>
        <v>1357000</v>
      </c>
      <c r="Z19" s="79" t="e">
        <f>DATABASE!#REF!</f>
        <v>#REF!</v>
      </c>
      <c r="AA19" s="81">
        <f>DATABASE!AA252</f>
        <v>0</v>
      </c>
      <c r="AB19" s="82">
        <f>DATABASE!AB252</f>
        <v>0</v>
      </c>
    </row>
    <row r="20" spans="1:28">
      <c r="A20" s="71" t="str">
        <f>DATABASE!A253</f>
        <v>Palmares - Plots</v>
      </c>
      <c r="B20" s="89" t="str">
        <f>DATABASE!B253</f>
        <v>Algarve</v>
      </c>
      <c r="C20" s="89" t="str">
        <f>DATABASE!C253</f>
        <v>97</v>
      </c>
      <c r="D20" s="93" t="str">
        <f>DATABASE!E253</f>
        <v>Plot</v>
      </c>
      <c r="E20" s="91">
        <f>DATABASE!F253</f>
        <v>420</v>
      </c>
      <c r="F20" s="91">
        <f>DATABASE!G253</f>
        <v>0</v>
      </c>
      <c r="G20" s="91" t="str">
        <f>DATABASE!H253</f>
        <v/>
      </c>
      <c r="H20" s="91" t="str">
        <f>DATABASE!I253</f>
        <v/>
      </c>
      <c r="I20" s="93">
        <f>DATABASE!J253</f>
        <v>0</v>
      </c>
      <c r="J20" s="93">
        <f>DATABASE!K253</f>
        <v>0</v>
      </c>
      <c r="K20" s="93">
        <f>DATABASE!L253</f>
        <v>0</v>
      </c>
      <c r="L20" s="75">
        <f>DATABASE!M253</f>
        <v>0</v>
      </c>
      <c r="M20" s="93">
        <f>DATABASE!N253</f>
        <v>0</v>
      </c>
      <c r="N20" s="76">
        <f>DATABASE!O253</f>
        <v>420</v>
      </c>
      <c r="O20" s="88">
        <f>DATABASE!P253</f>
        <v>0</v>
      </c>
      <c r="P20" s="88" t="str">
        <f>DATABASE!Q253</f>
        <v>AVAILABLE</v>
      </c>
      <c r="Q20" s="78">
        <f>DATABASE!R253</f>
        <v>610000</v>
      </c>
      <c r="R20" s="78">
        <f>DATABASE!S253</f>
        <v>610000</v>
      </c>
      <c r="S20" s="78">
        <f>DATABASE!T253</f>
        <v>1300000</v>
      </c>
      <c r="T20" s="78">
        <f>DATABASE!U253</f>
        <v>0</v>
      </c>
      <c r="U20" s="78">
        <f>DATABASE!V253</f>
        <v>0</v>
      </c>
      <c r="V20" s="79">
        <f>DATABASE!W253</f>
        <v>1300000</v>
      </c>
      <c r="W20" s="80">
        <f>DATABASE!X253</f>
        <v>0</v>
      </c>
      <c r="X20" s="79">
        <f>DATABASE!Y253</f>
        <v>1300000</v>
      </c>
      <c r="Y20" s="79">
        <f>DATABASE!Z253</f>
        <v>1300000</v>
      </c>
      <c r="Z20" s="79" t="e">
        <f>DATABASE!#REF!</f>
        <v>#REF!</v>
      </c>
      <c r="AA20" s="81">
        <f>DATABASE!AA253</f>
        <v>0</v>
      </c>
      <c r="AB20" s="82">
        <f>DATABASE!AB253</f>
        <v>46843</v>
      </c>
    </row>
    <row r="21" spans="1:28">
      <c r="A21" s="71" t="str">
        <f>DATABASE!A254</f>
        <v>Palmares - Plots</v>
      </c>
      <c r="B21" s="89" t="str">
        <f>DATABASE!B254</f>
        <v>Algarve</v>
      </c>
      <c r="C21" s="89" t="str">
        <f>DATABASE!C254</f>
        <v>98</v>
      </c>
      <c r="D21" s="93" t="str">
        <f>DATABASE!E254</f>
        <v>Plot</v>
      </c>
      <c r="E21" s="91">
        <f>DATABASE!F254</f>
        <v>420</v>
      </c>
      <c r="F21" s="91">
        <f>DATABASE!G254</f>
        <v>0</v>
      </c>
      <c r="G21" s="91" t="str">
        <f>DATABASE!H254</f>
        <v/>
      </c>
      <c r="H21" s="91" t="str">
        <f>DATABASE!I254</f>
        <v/>
      </c>
      <c r="I21" s="93">
        <f>DATABASE!J254</f>
        <v>0</v>
      </c>
      <c r="J21" s="93">
        <f>DATABASE!K254</f>
        <v>0</v>
      </c>
      <c r="K21" s="93">
        <f>DATABASE!L254</f>
        <v>0</v>
      </c>
      <c r="L21" s="75">
        <f>DATABASE!M254</f>
        <v>0</v>
      </c>
      <c r="M21" s="93">
        <f>DATABASE!N254</f>
        <v>0</v>
      </c>
      <c r="N21" s="76">
        <f>DATABASE!O254</f>
        <v>420</v>
      </c>
      <c r="O21" s="88">
        <f>DATABASE!P254</f>
        <v>0</v>
      </c>
      <c r="P21" s="88" t="str">
        <f>DATABASE!Q254</f>
        <v>AVAILABLE</v>
      </c>
      <c r="Q21" s="78">
        <f>DATABASE!R254</f>
        <v>610000</v>
      </c>
      <c r="R21" s="78">
        <f>DATABASE!S254</f>
        <v>610000</v>
      </c>
      <c r="S21" s="78">
        <f>DATABASE!T254</f>
        <v>1300000</v>
      </c>
      <c r="T21" s="78">
        <f>DATABASE!U254</f>
        <v>0</v>
      </c>
      <c r="U21" s="78">
        <f>DATABASE!V254</f>
        <v>0</v>
      </c>
      <c r="V21" s="79">
        <f>DATABASE!W254</f>
        <v>1300000</v>
      </c>
      <c r="W21" s="80">
        <f>DATABASE!X254</f>
        <v>0</v>
      </c>
      <c r="X21" s="79">
        <f>DATABASE!Y254</f>
        <v>1300000</v>
      </c>
      <c r="Y21" s="79">
        <f>DATABASE!Z254</f>
        <v>1300000</v>
      </c>
      <c r="Z21" s="79" t="e">
        <f>DATABASE!#REF!</f>
        <v>#REF!</v>
      </c>
      <c r="AA21" s="81">
        <f>DATABASE!AA254</f>
        <v>0</v>
      </c>
      <c r="AB21" s="82">
        <f>DATABASE!AB254</f>
        <v>46843</v>
      </c>
    </row>
    <row r="22" spans="1:28">
      <c r="A22" s="71" t="str">
        <f>DATABASE!A255</f>
        <v>Aroeira - HOTEL APARTMENTS</v>
      </c>
      <c r="B22" s="89" t="str">
        <f>DATABASE!B255</f>
        <v>Center</v>
      </c>
      <c r="C22" s="89" t="str">
        <f>DATABASE!C255</f>
        <v>111B</v>
      </c>
      <c r="D22" s="93" t="str">
        <f>DATABASE!E255</f>
        <v>2-BR*</v>
      </c>
      <c r="E22" s="91">
        <f>DATABASE!F255</f>
        <v>98.8</v>
      </c>
      <c r="F22" s="91">
        <f>DATABASE!G255</f>
        <v>0</v>
      </c>
      <c r="G22" s="91" t="str">
        <f>DATABASE!H255</f>
        <v>1</v>
      </c>
      <c r="H22" s="91" t="str">
        <f>DATABASE!I255</f>
        <v/>
      </c>
      <c r="I22" s="93">
        <f>DATABASE!J255</f>
        <v>15.2</v>
      </c>
      <c r="J22" s="93">
        <f>DATABASE!K255</f>
        <v>0</v>
      </c>
      <c r="K22" s="93">
        <f>DATABASE!L255</f>
        <v>0</v>
      </c>
      <c r="L22" s="75">
        <f>DATABASE!M255</f>
        <v>0</v>
      </c>
      <c r="M22" s="93">
        <f>DATABASE!N255</f>
        <v>0</v>
      </c>
      <c r="N22" s="76">
        <f>DATABASE!O255</f>
        <v>83.6</v>
      </c>
      <c r="O22" s="88">
        <f>DATABASE!P255</f>
        <v>0</v>
      </c>
      <c r="P22" s="88" t="str">
        <f>DATABASE!Q255</f>
        <v>AVAILABLE</v>
      </c>
      <c r="Q22" s="78">
        <f>DATABASE!R255</f>
        <v>575000</v>
      </c>
      <c r="R22" s="78">
        <f>DATABASE!S255</f>
        <v>620000</v>
      </c>
      <c r="S22" s="78">
        <f>DATABASE!T255</f>
        <v>620000</v>
      </c>
      <c r="T22" s="78">
        <f>DATABASE!U255</f>
        <v>0</v>
      </c>
      <c r="U22" s="78">
        <f>DATABASE!V255</f>
        <v>45000</v>
      </c>
      <c r="V22" s="79">
        <f>DATABASE!W255</f>
        <v>575000</v>
      </c>
      <c r="W22" s="80">
        <f>DATABASE!X255</f>
        <v>0</v>
      </c>
      <c r="X22" s="79">
        <f>DATABASE!Y255</f>
        <v>0</v>
      </c>
      <c r="Y22" s="79">
        <f>DATABASE!Z255</f>
        <v>-45000</v>
      </c>
      <c r="Z22" s="79" t="e">
        <f>DATABASE!#REF!</f>
        <v>#REF!</v>
      </c>
      <c r="AA22" s="81">
        <f>DATABASE!AA255</f>
        <v>0</v>
      </c>
      <c r="AB22" s="82">
        <f>DATABASE!AB255</f>
        <v>47118</v>
      </c>
    </row>
    <row r="23" spans="1:28">
      <c r="A23" s="71" t="str">
        <f>DATABASE!A256</f>
        <v>Aroeira - HOTEL APARTMENTS</v>
      </c>
      <c r="B23" s="89" t="str">
        <f>DATABASE!B256</f>
        <v>Center</v>
      </c>
      <c r="C23" s="89" t="str">
        <f>DATABASE!C256</f>
        <v>112B</v>
      </c>
      <c r="D23" s="93" t="str">
        <f>DATABASE!E256</f>
        <v>2-BR*</v>
      </c>
      <c r="E23" s="91">
        <f>DATABASE!F256</f>
        <v>98.8</v>
      </c>
      <c r="F23" s="91">
        <f>DATABASE!G256</f>
        <v>0</v>
      </c>
      <c r="G23" s="91" t="str">
        <f>DATABASE!H256</f>
        <v>1</v>
      </c>
      <c r="H23" s="91" t="str">
        <f>DATABASE!I256</f>
        <v/>
      </c>
      <c r="I23" s="93">
        <f>DATABASE!J256</f>
        <v>15.2</v>
      </c>
      <c r="J23" s="93">
        <f>DATABASE!K256</f>
        <v>0</v>
      </c>
      <c r="K23" s="93">
        <f>DATABASE!L256</f>
        <v>0</v>
      </c>
      <c r="L23" s="75">
        <f>DATABASE!M256</f>
        <v>0</v>
      </c>
      <c r="M23" s="93">
        <f>DATABASE!N256</f>
        <v>0</v>
      </c>
      <c r="N23" s="76">
        <f>DATABASE!O256</f>
        <v>83.6</v>
      </c>
      <c r="O23" s="88">
        <f>DATABASE!P256</f>
        <v>0</v>
      </c>
      <c r="P23" s="88" t="str">
        <f>DATABASE!Q256</f>
        <v>AVAILABLE</v>
      </c>
      <c r="Q23" s="78">
        <f>DATABASE!R256</f>
        <v>575000</v>
      </c>
      <c r="R23" s="78">
        <f>DATABASE!S256</f>
        <v>620000</v>
      </c>
      <c r="S23" s="78">
        <f>DATABASE!T256</f>
        <v>620000</v>
      </c>
      <c r="T23" s="78">
        <f>DATABASE!U256</f>
        <v>0</v>
      </c>
      <c r="U23" s="78">
        <f>DATABASE!V256</f>
        <v>45000</v>
      </c>
      <c r="V23" s="79">
        <f>DATABASE!W256</f>
        <v>575000</v>
      </c>
      <c r="W23" s="80">
        <f>DATABASE!X256</f>
        <v>0</v>
      </c>
      <c r="X23" s="79">
        <f>DATABASE!Y256</f>
        <v>0</v>
      </c>
      <c r="Y23" s="79">
        <f>DATABASE!Z256</f>
        <v>-45000</v>
      </c>
      <c r="Z23" s="79" t="e">
        <f>DATABASE!#REF!</f>
        <v>#REF!</v>
      </c>
      <c r="AA23" s="81">
        <f>DATABASE!AA256</f>
        <v>0</v>
      </c>
      <c r="AB23" s="82">
        <f>DATABASE!AB256</f>
        <v>47118</v>
      </c>
    </row>
    <row r="24" spans="1:28">
      <c r="A24" s="71" t="str">
        <f>DATABASE!A257</f>
        <v>Aroeira - HOTEL APARTMENTS</v>
      </c>
      <c r="B24" s="89" t="str">
        <f>DATABASE!B257</f>
        <v>Center</v>
      </c>
      <c r="C24" s="89" t="str">
        <f>DATABASE!C257</f>
        <v>113B</v>
      </c>
      <c r="D24" s="93" t="str">
        <f>DATABASE!E257</f>
        <v>2-BR*</v>
      </c>
      <c r="E24" s="91">
        <f>DATABASE!F257</f>
        <v>98.8</v>
      </c>
      <c r="F24" s="91">
        <f>DATABASE!G257</f>
        <v>0</v>
      </c>
      <c r="G24" s="91" t="str">
        <f>DATABASE!H257</f>
        <v>1</v>
      </c>
      <c r="H24" s="91" t="str">
        <f>DATABASE!I257</f>
        <v/>
      </c>
      <c r="I24" s="93">
        <f>DATABASE!J257</f>
        <v>15.2</v>
      </c>
      <c r="J24" s="93">
        <f>DATABASE!K257</f>
        <v>0</v>
      </c>
      <c r="K24" s="93">
        <f>DATABASE!L257</f>
        <v>0</v>
      </c>
      <c r="L24" s="75">
        <f>DATABASE!M257</f>
        <v>0</v>
      </c>
      <c r="M24" s="93">
        <f>DATABASE!N257</f>
        <v>0</v>
      </c>
      <c r="N24" s="76">
        <f>DATABASE!O257</f>
        <v>83.6</v>
      </c>
      <c r="O24" s="88">
        <f>DATABASE!P257</f>
        <v>0</v>
      </c>
      <c r="P24" s="88" t="str">
        <f>DATABASE!Q257</f>
        <v>AVAILABLE</v>
      </c>
      <c r="Q24" s="78">
        <f>DATABASE!R257</f>
        <v>575000</v>
      </c>
      <c r="R24" s="78">
        <f>DATABASE!S257</f>
        <v>620000</v>
      </c>
      <c r="S24" s="78">
        <f>DATABASE!T257</f>
        <v>620000</v>
      </c>
      <c r="T24" s="78">
        <f>DATABASE!U257</f>
        <v>0</v>
      </c>
      <c r="U24" s="78">
        <f>DATABASE!V257</f>
        <v>45000</v>
      </c>
      <c r="V24" s="79">
        <f>DATABASE!W257</f>
        <v>575000</v>
      </c>
      <c r="W24" s="80">
        <f>DATABASE!X257</f>
        <v>0</v>
      </c>
      <c r="X24" s="79">
        <f>DATABASE!Y257</f>
        <v>0</v>
      </c>
      <c r="Y24" s="79">
        <f>DATABASE!Z257</f>
        <v>-45000</v>
      </c>
      <c r="Z24" s="79" t="e">
        <f>DATABASE!#REF!</f>
        <v>#REF!</v>
      </c>
      <c r="AA24" s="81">
        <f>DATABASE!AA257</f>
        <v>0</v>
      </c>
      <c r="AB24" s="82">
        <f>DATABASE!AB257</f>
        <v>47118</v>
      </c>
    </row>
    <row r="25" spans="1:28">
      <c r="A25" s="71" t="str">
        <f>DATABASE!A258</f>
        <v>Aroeira - HOTEL APARTMENTS</v>
      </c>
      <c r="B25" s="89" t="str">
        <f>DATABASE!B258</f>
        <v>Center</v>
      </c>
      <c r="C25" s="89" t="str">
        <f>DATABASE!C258</f>
        <v>125B</v>
      </c>
      <c r="D25" s="93" t="str">
        <f>DATABASE!E258</f>
        <v>2-BR*</v>
      </c>
      <c r="E25" s="91">
        <f>DATABASE!F258</f>
        <v>98.8</v>
      </c>
      <c r="F25" s="91">
        <f>DATABASE!G258</f>
        <v>0</v>
      </c>
      <c r="G25" s="91" t="str">
        <f>DATABASE!H258</f>
        <v>1</v>
      </c>
      <c r="H25" s="91" t="str">
        <f>DATABASE!I258</f>
        <v/>
      </c>
      <c r="I25" s="93">
        <f>DATABASE!J258</f>
        <v>15.2</v>
      </c>
      <c r="J25" s="93">
        <f>DATABASE!K258</f>
        <v>0</v>
      </c>
      <c r="K25" s="93">
        <f>DATABASE!L258</f>
        <v>0</v>
      </c>
      <c r="L25" s="75">
        <f>DATABASE!M258</f>
        <v>0</v>
      </c>
      <c r="M25" s="93">
        <f>DATABASE!N258</f>
        <v>0</v>
      </c>
      <c r="N25" s="76">
        <f>DATABASE!O258</f>
        <v>83.6</v>
      </c>
      <c r="O25" s="88">
        <f>DATABASE!P258</f>
        <v>0</v>
      </c>
      <c r="P25" s="88" t="str">
        <f>DATABASE!Q258</f>
        <v>AVAILABLE</v>
      </c>
      <c r="Q25" s="78">
        <f>DATABASE!R258</f>
        <v>575000</v>
      </c>
      <c r="R25" s="78">
        <f>DATABASE!S258</f>
        <v>620000</v>
      </c>
      <c r="S25" s="78">
        <f>DATABASE!T258</f>
        <v>620000</v>
      </c>
      <c r="T25" s="78">
        <f>DATABASE!U258</f>
        <v>0</v>
      </c>
      <c r="U25" s="78">
        <f>DATABASE!V258</f>
        <v>45000</v>
      </c>
      <c r="V25" s="79">
        <f>DATABASE!W258</f>
        <v>575000</v>
      </c>
      <c r="W25" s="80">
        <f>DATABASE!X258</f>
        <v>0</v>
      </c>
      <c r="X25" s="79">
        <f>DATABASE!Y258</f>
        <v>0</v>
      </c>
      <c r="Y25" s="79">
        <f>DATABASE!Z258</f>
        <v>-45000</v>
      </c>
      <c r="Z25" s="79" t="e">
        <f>DATABASE!#REF!</f>
        <v>#REF!</v>
      </c>
      <c r="AA25" s="81">
        <f>DATABASE!AA258</f>
        <v>0</v>
      </c>
      <c r="AB25" s="82">
        <f>DATABASE!AB258</f>
        <v>47118</v>
      </c>
    </row>
    <row r="26" spans="1:28">
      <c r="A26" s="71" t="str">
        <f>DATABASE!A259</f>
        <v>Aroeira - HOTEL APARTMENTS</v>
      </c>
      <c r="B26" s="89" t="str">
        <f>DATABASE!B259</f>
        <v>Center</v>
      </c>
      <c r="C26" s="89" t="str">
        <f>DATABASE!C259</f>
        <v>126B</v>
      </c>
      <c r="D26" s="93" t="str">
        <f>DATABASE!E259</f>
        <v>2-BR*</v>
      </c>
      <c r="E26" s="91">
        <f>DATABASE!F259</f>
        <v>98.8</v>
      </c>
      <c r="F26" s="91">
        <f>DATABASE!G259</f>
        <v>0</v>
      </c>
      <c r="G26" s="91" t="str">
        <f>DATABASE!H259</f>
        <v>1</v>
      </c>
      <c r="H26" s="91" t="str">
        <f>DATABASE!I259</f>
        <v/>
      </c>
      <c r="I26" s="93">
        <f>DATABASE!J259</f>
        <v>15.2</v>
      </c>
      <c r="J26" s="93">
        <f>DATABASE!K259</f>
        <v>0</v>
      </c>
      <c r="K26" s="93">
        <f>DATABASE!L259</f>
        <v>0</v>
      </c>
      <c r="L26" s="75">
        <f>DATABASE!M259</f>
        <v>0</v>
      </c>
      <c r="M26" s="93">
        <f>DATABASE!N259</f>
        <v>0</v>
      </c>
      <c r="N26" s="76">
        <f>DATABASE!O259</f>
        <v>83.6</v>
      </c>
      <c r="O26" s="88">
        <f>DATABASE!P259</f>
        <v>0</v>
      </c>
      <c r="P26" s="88" t="str">
        <f>DATABASE!Q259</f>
        <v>AVAILABLE</v>
      </c>
      <c r="Q26" s="78">
        <f>DATABASE!R259</f>
        <v>575000</v>
      </c>
      <c r="R26" s="78">
        <f>DATABASE!S259</f>
        <v>620000</v>
      </c>
      <c r="S26" s="78">
        <f>DATABASE!T259</f>
        <v>620000</v>
      </c>
      <c r="T26" s="78">
        <f>DATABASE!U259</f>
        <v>0</v>
      </c>
      <c r="U26" s="78">
        <f>DATABASE!V259</f>
        <v>45000</v>
      </c>
      <c r="V26" s="79">
        <f>DATABASE!W259</f>
        <v>575000</v>
      </c>
      <c r="W26" s="80">
        <f>DATABASE!X259</f>
        <v>0</v>
      </c>
      <c r="X26" s="79">
        <f>DATABASE!Y259</f>
        <v>0</v>
      </c>
      <c r="Y26" s="79">
        <f>DATABASE!Z259</f>
        <v>-45000</v>
      </c>
      <c r="Z26" s="79" t="e">
        <f>DATABASE!#REF!</f>
        <v>#REF!</v>
      </c>
      <c r="AA26" s="81">
        <f>DATABASE!AA259</f>
        <v>0</v>
      </c>
      <c r="AB26" s="82">
        <f>DATABASE!AB259</f>
        <v>47118</v>
      </c>
    </row>
    <row r="27" spans="1:28">
      <c r="A27" s="71" t="str">
        <f>DATABASE!A260</f>
        <v>Aroeira - HOTEL APARTMENTS</v>
      </c>
      <c r="B27" s="89" t="str">
        <f>DATABASE!B260</f>
        <v>Center</v>
      </c>
      <c r="C27" s="89" t="str">
        <f>DATABASE!C260</f>
        <v>127B</v>
      </c>
      <c r="D27" s="93" t="str">
        <f>DATABASE!E260</f>
        <v>2-BR*</v>
      </c>
      <c r="E27" s="91">
        <f>DATABASE!F260</f>
        <v>98.8</v>
      </c>
      <c r="F27" s="91">
        <f>DATABASE!G260</f>
        <v>0</v>
      </c>
      <c r="G27" s="91" t="str">
        <f>DATABASE!H260</f>
        <v>1</v>
      </c>
      <c r="H27" s="91" t="str">
        <f>DATABASE!I260</f>
        <v/>
      </c>
      <c r="I27" s="93">
        <f>DATABASE!J260</f>
        <v>15.2</v>
      </c>
      <c r="J27" s="93">
        <f>DATABASE!K260</f>
        <v>0</v>
      </c>
      <c r="K27" s="93">
        <f>DATABASE!L260</f>
        <v>0</v>
      </c>
      <c r="L27" s="75">
        <f>DATABASE!M260</f>
        <v>0</v>
      </c>
      <c r="M27" s="93">
        <f>DATABASE!N260</f>
        <v>0</v>
      </c>
      <c r="N27" s="76">
        <f>DATABASE!O260</f>
        <v>83.6</v>
      </c>
      <c r="O27" s="88">
        <f>DATABASE!P260</f>
        <v>0</v>
      </c>
      <c r="P27" s="88" t="str">
        <f>DATABASE!Q260</f>
        <v>AVAILABLE</v>
      </c>
      <c r="Q27" s="78">
        <f>DATABASE!R260</f>
        <v>575000</v>
      </c>
      <c r="R27" s="78">
        <f>DATABASE!S260</f>
        <v>620000</v>
      </c>
      <c r="S27" s="78">
        <f>DATABASE!T260</f>
        <v>620000</v>
      </c>
      <c r="T27" s="78">
        <f>DATABASE!U260</f>
        <v>0</v>
      </c>
      <c r="U27" s="78">
        <f>DATABASE!V260</f>
        <v>45000</v>
      </c>
      <c r="V27" s="79">
        <f>DATABASE!W260</f>
        <v>575000</v>
      </c>
      <c r="W27" s="80">
        <f>DATABASE!X260</f>
        <v>0</v>
      </c>
      <c r="X27" s="79">
        <f>DATABASE!Y260</f>
        <v>0</v>
      </c>
      <c r="Y27" s="79">
        <f>DATABASE!Z260</f>
        <v>-45000</v>
      </c>
      <c r="Z27" s="79" t="e">
        <f>DATABASE!#REF!</f>
        <v>#REF!</v>
      </c>
      <c r="AA27" s="81">
        <f>DATABASE!AA260</f>
        <v>0</v>
      </c>
      <c r="AB27" s="82">
        <f>DATABASE!AB260</f>
        <v>47118</v>
      </c>
    </row>
    <row r="28" spans="1:28">
      <c r="A28" s="71" t="str">
        <f>DATABASE!A261</f>
        <v>THE UNCOMMON</v>
      </c>
      <c r="B28" s="89" t="str">
        <f>DATABASE!B261</f>
        <v>Vilamoura</v>
      </c>
      <c r="C28" s="89" t="str">
        <f>DATABASE!C261</f>
        <v>409</v>
      </c>
      <c r="D28" s="93" t="str">
        <f>DATABASE!E261</f>
        <v>T2</v>
      </c>
      <c r="E28" s="91">
        <f>DATABASE!F261</f>
        <v>129.4</v>
      </c>
      <c r="F28" s="91">
        <f>DATABASE!G261</f>
        <v>0</v>
      </c>
      <c r="G28" s="91" t="str">
        <f>DATABASE!H261</f>
        <v>1</v>
      </c>
      <c r="H28" s="91" t="str">
        <f>DATABASE!I261</f>
        <v/>
      </c>
      <c r="I28" s="93">
        <f>DATABASE!J261</f>
        <v>25.5</v>
      </c>
      <c r="J28" s="93">
        <f>DATABASE!K261</f>
        <v>0</v>
      </c>
      <c r="K28" s="93">
        <f>DATABASE!L261</f>
        <v>0</v>
      </c>
      <c r="L28" s="75">
        <f>DATABASE!M261</f>
        <v>0</v>
      </c>
      <c r="M28" s="93">
        <f>DATABASE!N261</f>
        <v>0</v>
      </c>
      <c r="N28" s="76">
        <f>DATABASE!O261</f>
        <v>103.9</v>
      </c>
      <c r="O28" s="88">
        <f>DATABASE!P261</f>
        <v>0</v>
      </c>
      <c r="P28" s="88" t="str">
        <f>DATABASE!Q261</f>
        <v>AVAILABLE</v>
      </c>
      <c r="Q28" s="78">
        <f>DATABASE!R261</f>
        <v>1337000</v>
      </c>
      <c r="R28" s="78">
        <f>DATABASE!S261</f>
        <v>1410000</v>
      </c>
      <c r="S28" s="78">
        <f>DATABASE!T261</f>
        <v>1480000</v>
      </c>
      <c r="T28" s="78">
        <f>DATABASE!U261</f>
        <v>50000</v>
      </c>
      <c r="U28" s="78">
        <f>DATABASE!V261</f>
        <v>23000</v>
      </c>
      <c r="V28" s="79">
        <f>DATABASE!W261</f>
        <v>1407000</v>
      </c>
      <c r="W28" s="80">
        <f>DATABASE!X261</f>
        <v>0</v>
      </c>
      <c r="X28" s="79">
        <f>DATABASE!Y261</f>
        <v>1480000</v>
      </c>
      <c r="Y28" s="79">
        <f>DATABASE!Z261</f>
        <v>1407000</v>
      </c>
      <c r="Z28" s="79" t="e">
        <f>DATABASE!#REF!</f>
        <v>#REF!</v>
      </c>
      <c r="AA28" s="81">
        <f>DATABASE!AA261</f>
        <v>0</v>
      </c>
      <c r="AB28" s="82">
        <f>DATABASE!AB261</f>
        <v>0</v>
      </c>
    </row>
    <row r="29" spans="1:28">
      <c r="A29" s="71" t="str">
        <f>DATABASE!A262</f>
        <v>THE UNCOMMON</v>
      </c>
      <c r="B29" s="89" t="str">
        <f>DATABASE!B262</f>
        <v>Vilamoura</v>
      </c>
      <c r="C29" s="89" t="str">
        <f>DATABASE!C262</f>
        <v>410</v>
      </c>
      <c r="D29" s="93" t="str">
        <f>DATABASE!E262</f>
        <v>T4 Duplex</v>
      </c>
      <c r="E29" s="91">
        <f>DATABASE!F262</f>
        <v>406.3</v>
      </c>
      <c r="F29" s="91">
        <f>DATABASE!G262</f>
        <v>0</v>
      </c>
      <c r="G29" s="91" t="str">
        <f>DATABASE!H262</f>
        <v>1</v>
      </c>
      <c r="H29" s="91" t="str">
        <f>DATABASE!I262</f>
        <v/>
      </c>
      <c r="I29" s="93">
        <f>DATABASE!J262</f>
        <v>154.19999999999999</v>
      </c>
      <c r="J29" s="93">
        <f>DATABASE!K262</f>
        <v>0</v>
      </c>
      <c r="K29" s="93">
        <f>DATABASE!L262</f>
        <v>0</v>
      </c>
      <c r="L29" s="75">
        <f>DATABASE!M262</f>
        <v>0</v>
      </c>
      <c r="M29" s="93">
        <f>DATABASE!N262</f>
        <v>0</v>
      </c>
      <c r="N29" s="76">
        <f>DATABASE!O262</f>
        <v>252.1</v>
      </c>
      <c r="O29" s="88">
        <f>DATABASE!P262</f>
        <v>0</v>
      </c>
      <c r="P29" s="88" t="str">
        <f>DATABASE!Q262</f>
        <v>AVAILABLE</v>
      </c>
      <c r="Q29" s="78">
        <f>DATABASE!R262</f>
        <v>4508000</v>
      </c>
      <c r="R29" s="78">
        <f>DATABASE!S262</f>
        <v>4620000</v>
      </c>
      <c r="S29" s="78">
        <f>DATABASE!T262</f>
        <v>4750000</v>
      </c>
      <c r="T29" s="78">
        <f>DATABASE!U262</f>
        <v>60000</v>
      </c>
      <c r="U29" s="78">
        <f>DATABASE!V262</f>
        <v>52000</v>
      </c>
      <c r="V29" s="79">
        <f>DATABASE!W262</f>
        <v>4638000</v>
      </c>
      <c r="W29" s="80">
        <f>DATABASE!X262</f>
        <v>0</v>
      </c>
      <c r="X29" s="79">
        <f>DATABASE!Y262</f>
        <v>4750000</v>
      </c>
      <c r="Y29" s="79">
        <f>DATABASE!Z262</f>
        <v>4638000</v>
      </c>
      <c r="Z29" s="79" t="e">
        <f>DATABASE!#REF!</f>
        <v>#REF!</v>
      </c>
      <c r="AA29" s="81">
        <f>DATABASE!AA262</f>
        <v>0</v>
      </c>
      <c r="AB29" s="82">
        <f>DATABASE!AB262</f>
        <v>0</v>
      </c>
    </row>
    <row r="30" spans="1:28">
      <c r="A30" s="71" t="str">
        <f>DATABASE!A263</f>
        <v>THE UNCOMMON</v>
      </c>
      <c r="B30" s="89" t="str">
        <f>DATABASE!B263</f>
        <v>Vilamoura</v>
      </c>
      <c r="C30" s="89" t="str">
        <f>DATABASE!C263</f>
        <v>411</v>
      </c>
      <c r="D30" s="93" t="str">
        <f>DATABASE!E263</f>
        <v>T1</v>
      </c>
      <c r="E30" s="91">
        <f>DATABASE!F263</f>
        <v>80.900000000000006</v>
      </c>
      <c r="F30" s="91">
        <f>DATABASE!G263</f>
        <v>0</v>
      </c>
      <c r="G30" s="91" t="str">
        <f>DATABASE!H263</f>
        <v>1</v>
      </c>
      <c r="H30" s="91" t="str">
        <f>DATABASE!I263</f>
        <v/>
      </c>
      <c r="I30" s="93">
        <f>DATABASE!J263</f>
        <v>18</v>
      </c>
      <c r="J30" s="93">
        <f>DATABASE!K263</f>
        <v>0</v>
      </c>
      <c r="K30" s="93">
        <f>DATABASE!L263</f>
        <v>0</v>
      </c>
      <c r="L30" s="75">
        <f>DATABASE!M263</f>
        <v>0</v>
      </c>
      <c r="M30" s="93">
        <f>DATABASE!N263</f>
        <v>0</v>
      </c>
      <c r="N30" s="76">
        <f>DATABASE!O263</f>
        <v>62.9</v>
      </c>
      <c r="O30" s="88">
        <f>DATABASE!P263</f>
        <v>0</v>
      </c>
      <c r="P30" s="88" t="str">
        <f>DATABASE!Q263</f>
        <v>AVAILABLE</v>
      </c>
      <c r="Q30" s="78">
        <f>DATABASE!R263</f>
        <v>685000</v>
      </c>
      <c r="R30" s="78">
        <f>DATABASE!S263</f>
        <v>750000</v>
      </c>
      <c r="S30" s="78">
        <f>DATABASE!T263</f>
        <v>810000</v>
      </c>
      <c r="T30" s="78">
        <f>DATABASE!U263</f>
        <v>50000</v>
      </c>
      <c r="U30" s="78">
        <f>DATABASE!V263</f>
        <v>15000</v>
      </c>
      <c r="V30" s="79">
        <f>DATABASE!W263</f>
        <v>745000</v>
      </c>
      <c r="W30" s="80">
        <f>DATABASE!X263</f>
        <v>0</v>
      </c>
      <c r="X30" s="79">
        <f>DATABASE!Y263</f>
        <v>810000</v>
      </c>
      <c r="Y30" s="79">
        <f>DATABASE!Z263</f>
        <v>745000</v>
      </c>
      <c r="Z30" s="79" t="e">
        <f>DATABASE!#REF!</f>
        <v>#REF!</v>
      </c>
      <c r="AA30" s="81">
        <f>DATABASE!AA263</f>
        <v>0</v>
      </c>
      <c r="AB30" s="82">
        <f>DATABASE!AB263</f>
        <v>0</v>
      </c>
    </row>
    <row r="31" spans="1:28">
      <c r="A31" s="71" t="str">
        <f>DATABASE!A264</f>
        <v>THE UNCOMMON</v>
      </c>
      <c r="B31" s="89" t="str">
        <f>DATABASE!B264</f>
        <v>Vilamoura</v>
      </c>
      <c r="C31" s="89" t="str">
        <f>DATABASE!C264</f>
        <v>412</v>
      </c>
      <c r="D31" s="93" t="str">
        <f>DATABASE!E264</f>
        <v>T1</v>
      </c>
      <c r="E31" s="91">
        <f>DATABASE!F264</f>
        <v>81.099999999999994</v>
      </c>
      <c r="F31" s="91">
        <f>DATABASE!G264</f>
        <v>0</v>
      </c>
      <c r="G31" s="91" t="str">
        <f>DATABASE!H264</f>
        <v>1</v>
      </c>
      <c r="H31" s="91" t="str">
        <f>DATABASE!I264</f>
        <v/>
      </c>
      <c r="I31" s="93">
        <f>DATABASE!J264</f>
        <v>18</v>
      </c>
      <c r="J31" s="93">
        <f>DATABASE!K264</f>
        <v>0</v>
      </c>
      <c r="K31" s="93">
        <f>DATABASE!L264</f>
        <v>0</v>
      </c>
      <c r="L31" s="75">
        <f>DATABASE!M264</f>
        <v>0</v>
      </c>
      <c r="M31" s="93">
        <f>DATABASE!N264</f>
        <v>0</v>
      </c>
      <c r="N31" s="76">
        <f>DATABASE!O264</f>
        <v>63.1</v>
      </c>
      <c r="O31" s="88">
        <f>DATABASE!P264</f>
        <v>0</v>
      </c>
      <c r="P31" s="88" t="str">
        <f>DATABASE!Q264</f>
        <v>AVAILABLE</v>
      </c>
      <c r="Q31" s="78">
        <f>DATABASE!R264</f>
        <v>725000</v>
      </c>
      <c r="R31" s="78">
        <f>DATABASE!S264</f>
        <v>790000</v>
      </c>
      <c r="S31" s="78">
        <f>DATABASE!T264</f>
        <v>850000</v>
      </c>
      <c r="T31" s="78">
        <f>DATABASE!U264</f>
        <v>50000</v>
      </c>
      <c r="U31" s="78">
        <f>DATABASE!V264</f>
        <v>15000</v>
      </c>
      <c r="V31" s="79">
        <f>DATABASE!W264</f>
        <v>785000</v>
      </c>
      <c r="W31" s="80">
        <f>DATABASE!X264</f>
        <v>0</v>
      </c>
      <c r="X31" s="79">
        <f>DATABASE!Y264</f>
        <v>850000</v>
      </c>
      <c r="Y31" s="79">
        <f>DATABASE!Z264</f>
        <v>785000</v>
      </c>
      <c r="Z31" s="79" t="e">
        <f>DATABASE!#REF!</f>
        <v>#REF!</v>
      </c>
      <c r="AA31" s="81">
        <f>DATABASE!AA264</f>
        <v>0</v>
      </c>
      <c r="AB31" s="82">
        <f>DATABASE!AB264</f>
        <v>0</v>
      </c>
    </row>
    <row r="32" spans="1:28">
      <c r="A32" s="71" t="str">
        <f>DATABASE!A265</f>
        <v>THE UNCOMMON</v>
      </c>
      <c r="B32" s="89" t="str">
        <f>DATABASE!B265</f>
        <v>Vilamoura</v>
      </c>
      <c r="C32" s="89" t="str">
        <f>DATABASE!C265</f>
        <v>413</v>
      </c>
      <c r="D32" s="93" t="str">
        <f>DATABASE!E265</f>
        <v>T1</v>
      </c>
      <c r="E32" s="91">
        <f>DATABASE!F265</f>
        <v>81.099999999999994</v>
      </c>
      <c r="F32" s="91">
        <f>DATABASE!G265</f>
        <v>0</v>
      </c>
      <c r="G32" s="91" t="str">
        <f>DATABASE!H265</f>
        <v>1</v>
      </c>
      <c r="H32" s="91" t="str">
        <f>DATABASE!I265</f>
        <v/>
      </c>
      <c r="I32" s="93">
        <f>DATABASE!J265</f>
        <v>18</v>
      </c>
      <c r="J32" s="93">
        <f>DATABASE!K265</f>
        <v>0</v>
      </c>
      <c r="K32" s="93">
        <f>DATABASE!L265</f>
        <v>0</v>
      </c>
      <c r="L32" s="75">
        <f>DATABASE!M265</f>
        <v>0</v>
      </c>
      <c r="M32" s="93">
        <f>DATABASE!N265</f>
        <v>0</v>
      </c>
      <c r="N32" s="76">
        <f>DATABASE!O265</f>
        <v>63.1</v>
      </c>
      <c r="O32" s="88">
        <f>DATABASE!P265</f>
        <v>0</v>
      </c>
      <c r="P32" s="88" t="str">
        <f>DATABASE!Q265</f>
        <v>AVAILABLE</v>
      </c>
      <c r="Q32" s="78">
        <f>DATABASE!R265</f>
        <v>765000</v>
      </c>
      <c r="R32" s="78">
        <f>DATABASE!S265</f>
        <v>830000</v>
      </c>
      <c r="S32" s="78">
        <f>DATABASE!T265</f>
        <v>890000</v>
      </c>
      <c r="T32" s="78">
        <f>DATABASE!U265</f>
        <v>50000</v>
      </c>
      <c r="U32" s="78">
        <f>DATABASE!V265</f>
        <v>15000</v>
      </c>
      <c r="V32" s="79">
        <f>DATABASE!W265</f>
        <v>825000</v>
      </c>
      <c r="W32" s="80">
        <f>DATABASE!X265</f>
        <v>0</v>
      </c>
      <c r="X32" s="79">
        <f>DATABASE!Y265</f>
        <v>890000</v>
      </c>
      <c r="Y32" s="79">
        <f>DATABASE!Z265</f>
        <v>825000</v>
      </c>
      <c r="Z32" s="79" t="e">
        <f>DATABASE!#REF!</f>
        <v>#REF!</v>
      </c>
      <c r="AA32" s="81">
        <f>DATABASE!AA265</f>
        <v>0</v>
      </c>
      <c r="AB32" s="82">
        <f>DATABASE!AB265</f>
        <v>0</v>
      </c>
    </row>
    <row r="33" spans="1:28">
      <c r="A33" s="71" t="str">
        <f>DATABASE!A266</f>
        <v>THE UNCOMMON</v>
      </c>
      <c r="B33" s="89" t="str">
        <f>DATABASE!B266</f>
        <v>Vilamoura</v>
      </c>
      <c r="C33" s="89" t="str">
        <f>DATABASE!C266</f>
        <v>414</v>
      </c>
      <c r="D33" s="93" t="str">
        <f>DATABASE!E266</f>
        <v>T1</v>
      </c>
      <c r="E33" s="91">
        <f>DATABASE!F266</f>
        <v>81.099999999999994</v>
      </c>
      <c r="F33" s="91">
        <f>DATABASE!G266</f>
        <v>0</v>
      </c>
      <c r="G33" s="91" t="str">
        <f>DATABASE!H266</f>
        <v>1</v>
      </c>
      <c r="H33" s="91" t="str">
        <f>DATABASE!I266</f>
        <v/>
      </c>
      <c r="I33" s="93">
        <f>DATABASE!J266</f>
        <v>18</v>
      </c>
      <c r="J33" s="93">
        <f>DATABASE!K266</f>
        <v>0</v>
      </c>
      <c r="K33" s="93">
        <f>DATABASE!L266</f>
        <v>0</v>
      </c>
      <c r="L33" s="75">
        <f>DATABASE!M266</f>
        <v>0</v>
      </c>
      <c r="M33" s="93">
        <f>DATABASE!N266</f>
        <v>0</v>
      </c>
      <c r="N33" s="76">
        <f>DATABASE!O266</f>
        <v>63.1</v>
      </c>
      <c r="O33" s="88">
        <f>DATABASE!P266</f>
        <v>0</v>
      </c>
      <c r="P33" s="88" t="str">
        <f>DATABASE!Q266</f>
        <v>AVAILABLE</v>
      </c>
      <c r="Q33" s="78">
        <f>DATABASE!R266</f>
        <v>805000</v>
      </c>
      <c r="R33" s="78">
        <f>DATABASE!S266</f>
        <v>870000</v>
      </c>
      <c r="S33" s="78">
        <f>DATABASE!T266</f>
        <v>930000</v>
      </c>
      <c r="T33" s="78">
        <f>DATABASE!U266</f>
        <v>50000</v>
      </c>
      <c r="U33" s="78">
        <f>DATABASE!V266</f>
        <v>15000</v>
      </c>
      <c r="V33" s="79">
        <f>DATABASE!W266</f>
        <v>865000</v>
      </c>
      <c r="W33" s="80">
        <f>DATABASE!X266</f>
        <v>0</v>
      </c>
      <c r="X33" s="79">
        <f>DATABASE!Y266</f>
        <v>930000</v>
      </c>
      <c r="Y33" s="79">
        <f>DATABASE!Z266</f>
        <v>865000</v>
      </c>
      <c r="Z33" s="79" t="e">
        <f>DATABASE!#REF!</f>
        <v>#REF!</v>
      </c>
      <c r="AA33" s="81">
        <f>DATABASE!AA266</f>
        <v>0</v>
      </c>
      <c r="AB33" s="82">
        <f>DATABASE!AB266</f>
        <v>0</v>
      </c>
    </row>
    <row r="34" spans="1:28">
      <c r="A34" s="71" t="str">
        <f>DATABASE!A267</f>
        <v>Palmares - Signature Residences</v>
      </c>
      <c r="B34" s="89" t="str">
        <f>DATABASE!B267</f>
        <v>Algarve</v>
      </c>
      <c r="C34" s="89" t="str">
        <f>DATABASE!C267</f>
        <v>7A</v>
      </c>
      <c r="D34" s="93" t="str">
        <f>DATABASE!E267</f>
        <v>T1</v>
      </c>
      <c r="E34" s="91">
        <f>DATABASE!F267</f>
        <v>89.32</v>
      </c>
      <c r="F34" s="91">
        <f>DATABASE!G267</f>
        <v>0</v>
      </c>
      <c r="G34" s="91" t="str">
        <f>DATABASE!H267</f>
        <v/>
      </c>
      <c r="H34" s="91" t="str">
        <f>DATABASE!I267</f>
        <v>7.28</v>
      </c>
      <c r="I34" s="93">
        <f>DATABASE!J267</f>
        <v>0</v>
      </c>
      <c r="J34" s="93">
        <f>DATABASE!K267</f>
        <v>0</v>
      </c>
      <c r="K34" s="93">
        <f>DATABASE!L267</f>
        <v>0</v>
      </c>
      <c r="L34" s="75">
        <f>DATABASE!M267</f>
        <v>19.010000000000002</v>
      </c>
      <c r="M34" s="93">
        <f>DATABASE!N267</f>
        <v>0</v>
      </c>
      <c r="N34" s="76">
        <f>DATABASE!O267</f>
        <v>63.03</v>
      </c>
      <c r="O34" s="88">
        <f>DATABASE!P267</f>
        <v>0</v>
      </c>
      <c r="P34" s="88" t="str">
        <f>DATABASE!Q267</f>
        <v>AVAILABLE</v>
      </c>
      <c r="Q34" s="78">
        <f>DATABASE!R267</f>
        <v>630000</v>
      </c>
      <c r="R34" s="78">
        <f>DATABASE!S267</f>
        <v>630000</v>
      </c>
      <c r="S34" s="78">
        <f>DATABASE!T267</f>
        <v>630000</v>
      </c>
      <c r="T34" s="78">
        <f>DATABASE!U267</f>
        <v>0</v>
      </c>
      <c r="U34" s="78">
        <f>DATABASE!V267</f>
        <v>0</v>
      </c>
      <c r="V34" s="79">
        <f>DATABASE!W267</f>
        <v>630000</v>
      </c>
      <c r="W34" s="80">
        <f>DATABASE!X267</f>
        <v>0</v>
      </c>
      <c r="X34" s="79">
        <f>DATABASE!Y267</f>
        <v>630000</v>
      </c>
      <c r="Y34" s="79">
        <f>DATABASE!Z267</f>
        <v>630000</v>
      </c>
      <c r="Z34" s="79" t="e">
        <f>DATABASE!#REF!</f>
        <v>#REF!</v>
      </c>
      <c r="AA34" s="81">
        <f>DATABASE!AA267</f>
        <v>0</v>
      </c>
      <c r="AB34" s="82">
        <f>DATABASE!AB267</f>
        <v>46843</v>
      </c>
    </row>
    <row r="35" spans="1:28">
      <c r="A35" s="71" t="str">
        <f>DATABASE!A268</f>
        <v>THE UNCOMMON</v>
      </c>
      <c r="B35" s="89" t="str">
        <f>DATABASE!B268</f>
        <v>Vilamoura</v>
      </c>
      <c r="C35" s="89" t="str">
        <f>DATABASE!C268</f>
        <v>415</v>
      </c>
      <c r="D35" s="93" t="str">
        <f>DATABASE!E268</f>
        <v>T1</v>
      </c>
      <c r="E35" s="91">
        <f>DATABASE!F268</f>
        <v>83</v>
      </c>
      <c r="F35" s="91">
        <f>DATABASE!G268</f>
        <v>0</v>
      </c>
      <c r="G35" s="91" t="str">
        <f>DATABASE!H268</f>
        <v>1</v>
      </c>
      <c r="H35" s="91" t="str">
        <f>DATABASE!I268</f>
        <v/>
      </c>
      <c r="I35" s="93">
        <f>DATABASE!J268</f>
        <v>18.7</v>
      </c>
      <c r="J35" s="93">
        <f>DATABASE!K268</f>
        <v>0</v>
      </c>
      <c r="K35" s="93">
        <f>DATABASE!L268</f>
        <v>0</v>
      </c>
      <c r="L35" s="75">
        <f>DATABASE!M268</f>
        <v>0</v>
      </c>
      <c r="M35" s="93">
        <f>DATABASE!N268</f>
        <v>0</v>
      </c>
      <c r="N35" s="76">
        <f>DATABASE!O268</f>
        <v>64.3</v>
      </c>
      <c r="O35" s="88">
        <f>DATABASE!P268</f>
        <v>0</v>
      </c>
      <c r="P35" s="88" t="str">
        <f>DATABASE!Q268</f>
        <v>AVAILABLE</v>
      </c>
      <c r="Q35" s="78">
        <f>DATABASE!R268</f>
        <v>875000</v>
      </c>
      <c r="R35" s="78">
        <f>DATABASE!S268</f>
        <v>940000</v>
      </c>
      <c r="S35" s="78">
        <f>DATABASE!T268</f>
        <v>1000000</v>
      </c>
      <c r="T35" s="78">
        <f>DATABASE!U268</f>
        <v>50000</v>
      </c>
      <c r="U35" s="78">
        <f>DATABASE!V268</f>
        <v>15000</v>
      </c>
      <c r="V35" s="79">
        <f>DATABASE!W268</f>
        <v>935000</v>
      </c>
      <c r="W35" s="80">
        <f>DATABASE!X268</f>
        <v>0</v>
      </c>
      <c r="X35" s="79">
        <f>DATABASE!Y268</f>
        <v>1000000</v>
      </c>
      <c r="Y35" s="79">
        <f>DATABASE!Z268</f>
        <v>935000</v>
      </c>
      <c r="Z35" s="79" t="e">
        <f>DATABASE!#REF!</f>
        <v>#REF!</v>
      </c>
      <c r="AA35" s="81">
        <f>DATABASE!AA268</f>
        <v>0</v>
      </c>
      <c r="AB35" s="82">
        <f>DATABASE!AB268</f>
        <v>0</v>
      </c>
    </row>
    <row r="36" spans="1:28">
      <c r="A36" s="71" t="str">
        <f>DATABASE!A269</f>
        <v>THE UNCOMMON</v>
      </c>
      <c r="B36" s="89" t="str">
        <f>DATABASE!B269</f>
        <v>Vilamoura</v>
      </c>
      <c r="C36" s="89" t="str">
        <f>DATABASE!C269</f>
        <v>416</v>
      </c>
      <c r="D36" s="93" t="str">
        <f>DATABASE!E269</f>
        <v>T4 Duplex</v>
      </c>
      <c r="E36" s="91">
        <f>DATABASE!F269</f>
        <v>396.4</v>
      </c>
      <c r="F36" s="91">
        <f>DATABASE!G269</f>
        <v>0</v>
      </c>
      <c r="G36" s="91" t="str">
        <f>DATABASE!H269</f>
        <v>1</v>
      </c>
      <c r="H36" s="91" t="str">
        <f>DATABASE!I269</f>
        <v/>
      </c>
      <c r="I36" s="93">
        <f>DATABASE!J269</f>
        <v>159.5</v>
      </c>
      <c r="J36" s="93">
        <f>DATABASE!K269</f>
        <v>0</v>
      </c>
      <c r="K36" s="93">
        <f>DATABASE!L269</f>
        <v>0</v>
      </c>
      <c r="L36" s="75">
        <f>DATABASE!M269</f>
        <v>0</v>
      </c>
      <c r="M36" s="93">
        <f>DATABASE!N269</f>
        <v>0</v>
      </c>
      <c r="N36" s="76">
        <f>DATABASE!O269</f>
        <v>236.9</v>
      </c>
      <c r="O36" s="88">
        <f>DATABASE!P269</f>
        <v>0</v>
      </c>
      <c r="P36" s="88" t="str">
        <f>DATABASE!Q269</f>
        <v>AVAILABLE</v>
      </c>
      <c r="Q36" s="78">
        <f>DATABASE!R269</f>
        <v>4388000</v>
      </c>
      <c r="R36" s="78">
        <f>DATABASE!S269</f>
        <v>4500000</v>
      </c>
      <c r="S36" s="78">
        <f>DATABASE!T269</f>
        <v>4630000</v>
      </c>
      <c r="T36" s="78">
        <f>DATABASE!U269</f>
        <v>60000</v>
      </c>
      <c r="U36" s="78">
        <f>DATABASE!V269</f>
        <v>52000</v>
      </c>
      <c r="V36" s="79">
        <f>DATABASE!W269</f>
        <v>4518000</v>
      </c>
      <c r="W36" s="80">
        <f>DATABASE!X269</f>
        <v>0</v>
      </c>
      <c r="X36" s="79">
        <f>DATABASE!Y269</f>
        <v>4630000</v>
      </c>
      <c r="Y36" s="79">
        <f>DATABASE!Z269</f>
        <v>4518000</v>
      </c>
      <c r="Z36" s="79" t="e">
        <f>DATABASE!#REF!</f>
        <v>#REF!</v>
      </c>
      <c r="AA36" s="81">
        <f>DATABASE!AA269</f>
        <v>0</v>
      </c>
      <c r="AB36" s="82">
        <f>DATABASE!AB269</f>
        <v>0</v>
      </c>
    </row>
    <row r="37" spans="1:28">
      <c r="A37" s="71" t="str">
        <f>DATABASE!A270</f>
        <v>ELS</v>
      </c>
      <c r="B37" s="89" t="str">
        <f>DATABASE!B270</f>
        <v>Vilamoura</v>
      </c>
      <c r="C37" s="89" t="str">
        <f>DATABASE!C270</f>
        <v>5</v>
      </c>
      <c r="D37" s="93" t="str">
        <f>DATABASE!E270</f>
        <v>Plot</v>
      </c>
      <c r="E37" s="91">
        <f>DATABASE!F270</f>
        <v>520</v>
      </c>
      <c r="F37" s="91">
        <f>DATABASE!G270</f>
        <v>0</v>
      </c>
      <c r="G37" s="91" t="str">
        <f>DATABASE!H270</f>
        <v/>
      </c>
      <c r="H37" s="91" t="str">
        <f>DATABASE!I270</f>
        <v/>
      </c>
      <c r="I37" s="93">
        <f>DATABASE!J270</f>
        <v>0</v>
      </c>
      <c r="J37" s="93">
        <f>DATABASE!K270</f>
        <v>0</v>
      </c>
      <c r="K37" s="93">
        <f>DATABASE!L270</f>
        <v>0</v>
      </c>
      <c r="L37" s="75">
        <f>DATABASE!M270</f>
        <v>0</v>
      </c>
      <c r="M37" s="93">
        <f>DATABASE!N270</f>
        <v>0</v>
      </c>
      <c r="N37" s="76">
        <f>DATABASE!O270</f>
        <v>520</v>
      </c>
      <c r="O37" s="88">
        <f>DATABASE!P270</f>
        <v>0</v>
      </c>
      <c r="P37" s="88" t="str">
        <f>DATABASE!Q270</f>
        <v>AVAILABLE</v>
      </c>
      <c r="Q37" s="78">
        <f>DATABASE!R270</f>
        <v>1210000</v>
      </c>
      <c r="R37" s="78">
        <f>DATABASE!S270</f>
        <v>1210000</v>
      </c>
      <c r="S37" s="78">
        <f>DATABASE!T270</f>
        <v>2540000</v>
      </c>
      <c r="T37" s="78">
        <f>DATABASE!U270</f>
        <v>0</v>
      </c>
      <c r="U37" s="78">
        <f>DATABASE!V270</f>
        <v>0</v>
      </c>
      <c r="V37" s="79">
        <f>DATABASE!W270</f>
        <v>2540000</v>
      </c>
      <c r="W37" s="80">
        <f>DATABASE!X270</f>
        <v>0</v>
      </c>
      <c r="X37" s="79">
        <f>DATABASE!Y270</f>
        <v>2540000</v>
      </c>
      <c r="Y37" s="79">
        <f>DATABASE!Z270</f>
        <v>2540000</v>
      </c>
      <c r="Z37" s="79" t="e">
        <f>DATABASE!#REF!</f>
        <v>#REF!</v>
      </c>
      <c r="AA37" s="81">
        <f>DATABASE!AA270</f>
        <v>0</v>
      </c>
      <c r="AB37" s="82">
        <f>DATABASE!AB270</f>
        <v>0</v>
      </c>
    </row>
    <row r="38" spans="1:28">
      <c r="A38" s="71" t="str">
        <f>DATABASE!A271</f>
        <v>Aroeira - HOTEL APARTMENTS</v>
      </c>
      <c r="B38" s="89" t="str">
        <f>DATABASE!B271</f>
        <v>Center</v>
      </c>
      <c r="C38" s="89" t="str">
        <f>DATABASE!C271</f>
        <v>115B</v>
      </c>
      <c r="D38" s="93" t="str">
        <f>DATABASE!E271</f>
        <v>2-BR*</v>
      </c>
      <c r="E38" s="91">
        <f>DATABASE!F271</f>
        <v>98.7</v>
      </c>
      <c r="F38" s="91">
        <f>DATABASE!G271</f>
        <v>0</v>
      </c>
      <c r="G38" s="91" t="str">
        <f>DATABASE!H271</f>
        <v>1</v>
      </c>
      <c r="H38" s="91" t="str">
        <f>DATABASE!I271</f>
        <v/>
      </c>
      <c r="I38" s="93">
        <f>DATABASE!J271</f>
        <v>13.3</v>
      </c>
      <c r="J38" s="93">
        <f>DATABASE!K271</f>
        <v>0</v>
      </c>
      <c r="K38" s="93">
        <f>DATABASE!L271</f>
        <v>0</v>
      </c>
      <c r="L38" s="75">
        <f>DATABASE!M271</f>
        <v>0</v>
      </c>
      <c r="M38" s="93">
        <f>DATABASE!N271</f>
        <v>0</v>
      </c>
      <c r="N38" s="76">
        <f>DATABASE!O271</f>
        <v>85.4</v>
      </c>
      <c r="O38" s="88">
        <f>DATABASE!P271</f>
        <v>0</v>
      </c>
      <c r="P38" s="88" t="str">
        <f>DATABASE!Q271</f>
        <v>AVAILABLE</v>
      </c>
      <c r="Q38" s="78">
        <f>DATABASE!R271</f>
        <v>590000</v>
      </c>
      <c r="R38" s="78">
        <f>DATABASE!S271</f>
        <v>635000</v>
      </c>
      <c r="S38" s="78">
        <f>DATABASE!T271</f>
        <v>635000</v>
      </c>
      <c r="T38" s="78">
        <f>DATABASE!U271</f>
        <v>0</v>
      </c>
      <c r="U38" s="78">
        <f>DATABASE!V271</f>
        <v>45000</v>
      </c>
      <c r="V38" s="79">
        <f>DATABASE!W271</f>
        <v>590000</v>
      </c>
      <c r="W38" s="80">
        <f>DATABASE!X271</f>
        <v>0</v>
      </c>
      <c r="X38" s="79">
        <f>DATABASE!Y271</f>
        <v>0</v>
      </c>
      <c r="Y38" s="79">
        <f>DATABASE!Z271</f>
        <v>-45000</v>
      </c>
      <c r="Z38" s="79" t="e">
        <f>DATABASE!#REF!</f>
        <v>#REF!</v>
      </c>
      <c r="AA38" s="81">
        <f>DATABASE!AA271</f>
        <v>0</v>
      </c>
      <c r="AB38" s="82">
        <f>DATABASE!AB271</f>
        <v>47118</v>
      </c>
    </row>
    <row r="39" spans="1:28">
      <c r="A39" s="71" t="str">
        <f>DATABASE!A272</f>
        <v>Aroeira - HOTEL APARTMENTS</v>
      </c>
      <c r="B39" s="89" t="str">
        <f>DATABASE!B272</f>
        <v>Center</v>
      </c>
      <c r="C39" s="89" t="str">
        <f>DATABASE!C272</f>
        <v>123B</v>
      </c>
      <c r="D39" s="93" t="str">
        <f>DATABASE!E272</f>
        <v>2-BR*</v>
      </c>
      <c r="E39" s="91">
        <f>DATABASE!F272</f>
        <v>98.7</v>
      </c>
      <c r="F39" s="91">
        <f>DATABASE!G272</f>
        <v>0</v>
      </c>
      <c r="G39" s="91" t="str">
        <f>DATABASE!H272</f>
        <v>1</v>
      </c>
      <c r="H39" s="91" t="str">
        <f>DATABASE!I272</f>
        <v/>
      </c>
      <c r="I39" s="93">
        <f>DATABASE!J272</f>
        <v>13.3</v>
      </c>
      <c r="J39" s="93">
        <f>DATABASE!K272</f>
        <v>0</v>
      </c>
      <c r="K39" s="93">
        <f>DATABASE!L272</f>
        <v>0</v>
      </c>
      <c r="L39" s="75">
        <f>DATABASE!M272</f>
        <v>0</v>
      </c>
      <c r="M39" s="93">
        <f>DATABASE!N272</f>
        <v>0</v>
      </c>
      <c r="N39" s="76">
        <f>DATABASE!O272</f>
        <v>85.4</v>
      </c>
      <c r="O39" s="88">
        <f>DATABASE!P272</f>
        <v>0</v>
      </c>
      <c r="P39" s="88" t="str">
        <f>DATABASE!Q272</f>
        <v>AVAILABLE</v>
      </c>
      <c r="Q39" s="78">
        <f>DATABASE!R272</f>
        <v>590000</v>
      </c>
      <c r="R39" s="78">
        <f>DATABASE!S272</f>
        <v>635000</v>
      </c>
      <c r="S39" s="78">
        <f>DATABASE!T272</f>
        <v>635000</v>
      </c>
      <c r="T39" s="78">
        <f>DATABASE!U272</f>
        <v>0</v>
      </c>
      <c r="U39" s="78">
        <f>DATABASE!V272</f>
        <v>45000</v>
      </c>
      <c r="V39" s="79">
        <f>DATABASE!W272</f>
        <v>590000</v>
      </c>
      <c r="W39" s="80">
        <f>DATABASE!X272</f>
        <v>0</v>
      </c>
      <c r="X39" s="79">
        <f>DATABASE!Y272</f>
        <v>0</v>
      </c>
      <c r="Y39" s="79">
        <f>DATABASE!Z272</f>
        <v>-45000</v>
      </c>
      <c r="Z39" s="79" t="e">
        <f>DATABASE!#REF!</f>
        <v>#REF!</v>
      </c>
      <c r="AA39" s="81">
        <f>DATABASE!AA272</f>
        <v>0</v>
      </c>
      <c r="AB39" s="82">
        <f>DATABASE!AB272</f>
        <v>47118</v>
      </c>
    </row>
    <row r="40" spans="1:28">
      <c r="A40" s="71" t="str">
        <f>DATABASE!A273</f>
        <v>THE UNCOMMON</v>
      </c>
      <c r="B40" s="89" t="str">
        <f>DATABASE!B273</f>
        <v>Vilamoura</v>
      </c>
      <c r="C40" s="89" t="str">
        <f>DATABASE!C273</f>
        <v>5</v>
      </c>
      <c r="D40" s="93" t="str">
        <f>DATABASE!E273</f>
        <v>T2</v>
      </c>
      <c r="E40" s="91">
        <f>DATABASE!F273</f>
        <v>169.3</v>
      </c>
      <c r="F40" s="91">
        <f>DATABASE!G273</f>
        <v>0</v>
      </c>
      <c r="G40" s="91" t="str">
        <f>DATABASE!H273</f>
        <v>1</v>
      </c>
      <c r="H40" s="91" t="str">
        <f>DATABASE!I273</f>
        <v/>
      </c>
      <c r="I40" s="93">
        <f>DATABASE!J273</f>
        <v>64.7</v>
      </c>
      <c r="J40" s="93">
        <f>DATABASE!K273</f>
        <v>0</v>
      </c>
      <c r="K40" s="93">
        <f>DATABASE!L273</f>
        <v>0</v>
      </c>
      <c r="L40" s="75">
        <f>DATABASE!M273</f>
        <v>0</v>
      </c>
      <c r="M40" s="93">
        <f>DATABASE!N273</f>
        <v>0</v>
      </c>
      <c r="N40" s="76">
        <f>DATABASE!O273</f>
        <v>104.6</v>
      </c>
      <c r="O40" s="88">
        <f>DATABASE!P273</f>
        <v>0</v>
      </c>
      <c r="P40" s="88" t="str">
        <f>DATABASE!Q273</f>
        <v>AVAILABLE</v>
      </c>
      <c r="Q40" s="78">
        <f>DATABASE!R273</f>
        <v>947000</v>
      </c>
      <c r="R40" s="78">
        <f>DATABASE!S273</f>
        <v>1020000</v>
      </c>
      <c r="S40" s="78">
        <f>DATABASE!T273</f>
        <v>1080000</v>
      </c>
      <c r="T40" s="78">
        <f>DATABASE!U273</f>
        <v>50000</v>
      </c>
      <c r="U40" s="78">
        <f>DATABASE!V273</f>
        <v>23000</v>
      </c>
      <c r="V40" s="79">
        <f>DATABASE!W273</f>
        <v>1007000</v>
      </c>
      <c r="W40" s="80">
        <f>DATABASE!X273</f>
        <v>0</v>
      </c>
      <c r="X40" s="79">
        <f>DATABASE!Y273</f>
        <v>1080000</v>
      </c>
      <c r="Y40" s="79">
        <f>DATABASE!Z273</f>
        <v>1007000</v>
      </c>
      <c r="Z40" s="79" t="e">
        <f>DATABASE!#REF!</f>
        <v>#REF!</v>
      </c>
      <c r="AA40" s="81">
        <f>DATABASE!AA273</f>
        <v>0</v>
      </c>
      <c r="AB40" s="82">
        <f>DATABASE!AB273</f>
        <v>0</v>
      </c>
    </row>
    <row r="41" spans="1:28">
      <c r="A41" s="71" t="str">
        <f>DATABASE!A274</f>
        <v>Aroeira - HOTEL APARTMENTS</v>
      </c>
      <c r="B41" s="89" t="str">
        <f>DATABASE!B274</f>
        <v>Center</v>
      </c>
      <c r="C41" s="89" t="str">
        <f>DATABASE!C274</f>
        <v>209B</v>
      </c>
      <c r="D41" s="93" t="str">
        <f>DATABASE!E274</f>
        <v>2-BR*</v>
      </c>
      <c r="E41" s="91">
        <f>DATABASE!F274</f>
        <v>98.7</v>
      </c>
      <c r="F41" s="91">
        <f>DATABASE!G274</f>
        <v>0</v>
      </c>
      <c r="G41" s="91" t="str">
        <f>DATABASE!H274</f>
        <v>1</v>
      </c>
      <c r="H41" s="91" t="str">
        <f>DATABASE!I274</f>
        <v/>
      </c>
      <c r="I41" s="93">
        <f>DATABASE!J274</f>
        <v>13.3</v>
      </c>
      <c r="J41" s="93">
        <f>DATABASE!K274</f>
        <v>0</v>
      </c>
      <c r="K41" s="93">
        <f>DATABASE!L274</f>
        <v>0</v>
      </c>
      <c r="L41" s="75">
        <f>DATABASE!M274</f>
        <v>0</v>
      </c>
      <c r="M41" s="93">
        <f>DATABASE!N274</f>
        <v>0</v>
      </c>
      <c r="N41" s="76">
        <f>DATABASE!O274</f>
        <v>85.4</v>
      </c>
      <c r="O41" s="88">
        <f>DATABASE!P274</f>
        <v>0</v>
      </c>
      <c r="P41" s="88" t="str">
        <f>DATABASE!Q274</f>
        <v>RESERVED</v>
      </c>
      <c r="Q41" s="78">
        <f>DATABASE!R274</f>
        <v>595000</v>
      </c>
      <c r="R41" s="78">
        <f>DATABASE!S274</f>
        <v>640000</v>
      </c>
      <c r="S41" s="78">
        <f>DATABASE!T274</f>
        <v>640000</v>
      </c>
      <c r="T41" s="78">
        <f>DATABASE!U274</f>
        <v>0</v>
      </c>
      <c r="U41" s="78">
        <f>DATABASE!V274</f>
        <v>45000</v>
      </c>
      <c r="V41" s="79">
        <f>DATABASE!W274</f>
        <v>595000</v>
      </c>
      <c r="W41" s="80">
        <f>DATABASE!X274</f>
        <v>0</v>
      </c>
      <c r="X41" s="79">
        <f>DATABASE!Y274</f>
        <v>640000</v>
      </c>
      <c r="Y41" s="79">
        <f>DATABASE!Z274</f>
        <v>595000</v>
      </c>
      <c r="Z41" s="79" t="e">
        <f>DATABASE!#REF!</f>
        <v>#REF!</v>
      </c>
      <c r="AA41" s="81">
        <f>DATABASE!AA274</f>
        <v>46112</v>
      </c>
      <c r="AB41" s="82">
        <f>DATABASE!AB274</f>
        <v>47118</v>
      </c>
    </row>
    <row r="42" spans="1:28">
      <c r="A42" s="71" t="str">
        <f>DATABASE!A275</f>
        <v>Aroeira - HOTEL APARTMENTS</v>
      </c>
      <c r="B42" s="89" t="str">
        <f>DATABASE!B275</f>
        <v>Center</v>
      </c>
      <c r="C42" s="89" t="str">
        <f>DATABASE!C275</f>
        <v>201B</v>
      </c>
      <c r="D42" s="93" t="str">
        <f>DATABASE!E275</f>
        <v>2-BR*</v>
      </c>
      <c r="E42" s="91">
        <f>DATABASE!F275</f>
        <v>98.7</v>
      </c>
      <c r="F42" s="91">
        <f>DATABASE!G275</f>
        <v>0</v>
      </c>
      <c r="G42" s="91" t="str">
        <f>DATABASE!H275</f>
        <v>1</v>
      </c>
      <c r="H42" s="91" t="str">
        <f>DATABASE!I275</f>
        <v/>
      </c>
      <c r="I42" s="93">
        <f>DATABASE!J275</f>
        <v>13.3</v>
      </c>
      <c r="J42" s="93">
        <f>DATABASE!K275</f>
        <v>0</v>
      </c>
      <c r="K42" s="93">
        <f>DATABASE!L275</f>
        <v>0</v>
      </c>
      <c r="L42" s="75">
        <f>DATABASE!M275</f>
        <v>0</v>
      </c>
      <c r="M42" s="93">
        <f>DATABASE!N275</f>
        <v>0</v>
      </c>
      <c r="N42" s="76">
        <f>DATABASE!O275</f>
        <v>85.4</v>
      </c>
      <c r="O42" s="88">
        <f>DATABASE!P275</f>
        <v>0</v>
      </c>
      <c r="P42" s="88" t="str">
        <f>DATABASE!Q275</f>
        <v>AVAILABLE</v>
      </c>
      <c r="Q42" s="78">
        <f>DATABASE!R275</f>
        <v>595000</v>
      </c>
      <c r="R42" s="78">
        <f>DATABASE!S275</f>
        <v>640000</v>
      </c>
      <c r="S42" s="78">
        <f>DATABASE!T275</f>
        <v>640000</v>
      </c>
      <c r="T42" s="78">
        <f>DATABASE!U275</f>
        <v>0</v>
      </c>
      <c r="U42" s="78">
        <f>DATABASE!V275</f>
        <v>45000</v>
      </c>
      <c r="V42" s="79">
        <f>DATABASE!W275</f>
        <v>595000</v>
      </c>
      <c r="W42" s="80">
        <f>DATABASE!X275</f>
        <v>0</v>
      </c>
      <c r="X42" s="79">
        <f>DATABASE!Y275</f>
        <v>0</v>
      </c>
      <c r="Y42" s="79">
        <f>DATABASE!Z275</f>
        <v>-45000</v>
      </c>
      <c r="Z42" s="79" t="e">
        <f>DATABASE!#REF!</f>
        <v>#REF!</v>
      </c>
      <c r="AA42" s="81">
        <f>DATABASE!AA275</f>
        <v>0</v>
      </c>
      <c r="AB42" s="82">
        <f>DATABASE!AB275</f>
        <v>47118</v>
      </c>
    </row>
    <row r="43" spans="1:28">
      <c r="A43" s="71" t="str">
        <f>DATABASE!A276</f>
        <v>Palmares - Signature Apartments</v>
      </c>
      <c r="B43" s="89" t="str">
        <f>DATABASE!B276</f>
        <v>Algarve</v>
      </c>
      <c r="C43" s="89" t="str">
        <f>DATABASE!C276</f>
        <v>801A</v>
      </c>
      <c r="D43" s="93" t="str">
        <f>DATABASE!E276</f>
        <v>T2 (T1+1) Duplex</v>
      </c>
      <c r="E43" s="91">
        <f>DATABASE!F276</f>
        <v>181.7</v>
      </c>
      <c r="F43" s="91">
        <f>DATABASE!G276</f>
        <v>0</v>
      </c>
      <c r="G43" s="91" t="str">
        <f>DATABASE!H276</f>
        <v>71+72</v>
      </c>
      <c r="H43" s="91" t="str">
        <f>DATABASE!I276</f>
        <v/>
      </c>
      <c r="I43" s="93">
        <f>DATABASE!J276</f>
        <v>0</v>
      </c>
      <c r="J43" s="93">
        <f>DATABASE!K276</f>
        <v>0</v>
      </c>
      <c r="K43" s="93">
        <f>DATABASE!L276</f>
        <v>0</v>
      </c>
      <c r="L43" s="75">
        <f>DATABASE!M276</f>
        <v>43.35</v>
      </c>
      <c r="M43" s="93">
        <f>DATABASE!N276</f>
        <v>0</v>
      </c>
      <c r="N43" s="76">
        <f>DATABASE!O276</f>
        <v>138.35</v>
      </c>
      <c r="O43" s="88">
        <f>DATABASE!P276</f>
        <v>0</v>
      </c>
      <c r="P43" s="88" t="str">
        <f>DATABASE!Q276</f>
        <v xml:space="preserve">PSPA </v>
      </c>
      <c r="Q43" s="78">
        <f>DATABASE!R276</f>
        <v>660000</v>
      </c>
      <c r="R43" s="78">
        <f>DATABASE!S276</f>
        <v>660000</v>
      </c>
      <c r="S43" s="78">
        <f>DATABASE!T276</f>
        <v>725000</v>
      </c>
      <c r="T43" s="78">
        <f>DATABASE!U276</f>
        <v>0</v>
      </c>
      <c r="U43" s="78">
        <f>DATABASE!V276</f>
        <v>0</v>
      </c>
      <c r="V43" s="79">
        <f>DATABASE!W276</f>
        <v>725000</v>
      </c>
      <c r="W43" s="80">
        <f>DATABASE!X276</f>
        <v>0</v>
      </c>
      <c r="X43" s="79">
        <f>DATABASE!Y276</f>
        <v>725000</v>
      </c>
      <c r="Y43" s="79">
        <f>DATABASE!Z276</f>
        <v>725000</v>
      </c>
      <c r="Z43" s="79" t="e">
        <f>DATABASE!#REF!</f>
        <v>#REF!</v>
      </c>
      <c r="AA43" s="81" t="e">
        <f>DATABASE!#REF!</f>
        <v>#REF!</v>
      </c>
      <c r="AB43" s="82">
        <f>DATABASE!AB276</f>
        <v>46843</v>
      </c>
    </row>
    <row r="44" spans="1:28">
      <c r="A44" s="71" t="str">
        <f>DATABASE!A277</f>
        <v>Palmares - Signature Apartments</v>
      </c>
      <c r="B44" s="89" t="str">
        <f>DATABASE!B277</f>
        <v>Algarve</v>
      </c>
      <c r="C44" s="89" t="str">
        <f>DATABASE!C277</f>
        <v>802A</v>
      </c>
      <c r="D44" s="93" t="str">
        <f>DATABASE!E277</f>
        <v>T2 (T1+1) Duplex</v>
      </c>
      <c r="E44" s="91">
        <f>DATABASE!F277</f>
        <v>173.95</v>
      </c>
      <c r="F44" s="91">
        <f>DATABASE!G277</f>
        <v>0</v>
      </c>
      <c r="G44" s="91" t="str">
        <f>DATABASE!H277</f>
        <v>69+70</v>
      </c>
      <c r="H44" s="91" t="str">
        <f>DATABASE!I277</f>
        <v/>
      </c>
      <c r="I44" s="93">
        <f>DATABASE!J277</f>
        <v>0</v>
      </c>
      <c r="J44" s="93">
        <f>DATABASE!K277</f>
        <v>0</v>
      </c>
      <c r="K44" s="93">
        <f>DATABASE!L277</f>
        <v>0</v>
      </c>
      <c r="L44" s="75">
        <f>DATABASE!M277</f>
        <v>48.4</v>
      </c>
      <c r="M44" s="93">
        <f>DATABASE!N277</f>
        <v>0</v>
      </c>
      <c r="N44" s="76">
        <f>DATABASE!O277</f>
        <v>125.55</v>
      </c>
      <c r="O44" s="88">
        <f>DATABASE!P277</f>
        <v>0</v>
      </c>
      <c r="P44" s="88" t="str">
        <f>DATABASE!Q277</f>
        <v xml:space="preserve">PSPA </v>
      </c>
      <c r="Q44" s="78">
        <f>DATABASE!R277</f>
        <v>650000</v>
      </c>
      <c r="R44" s="78">
        <f>DATABASE!S277</f>
        <v>650000</v>
      </c>
      <c r="S44" s="78">
        <f>DATABASE!T277</f>
        <v>800000</v>
      </c>
      <c r="T44" s="78">
        <f>DATABASE!U277</f>
        <v>0</v>
      </c>
      <c r="U44" s="78">
        <f>DATABASE!V277</f>
        <v>0</v>
      </c>
      <c r="V44" s="79">
        <f>DATABASE!W277</f>
        <v>800000</v>
      </c>
      <c r="W44" s="80">
        <f>DATABASE!X277</f>
        <v>0</v>
      </c>
      <c r="X44" s="79">
        <f>DATABASE!Y277</f>
        <v>800000</v>
      </c>
      <c r="Y44" s="79">
        <f>DATABASE!Z277</f>
        <v>800000</v>
      </c>
      <c r="Z44" s="79" t="e">
        <f>DATABASE!#REF!</f>
        <v>#REF!</v>
      </c>
      <c r="AA44" s="81" t="e">
        <f>DATABASE!#REF!</f>
        <v>#REF!</v>
      </c>
      <c r="AB44" s="82">
        <f>DATABASE!AB277</f>
        <v>46843</v>
      </c>
    </row>
    <row r="45" spans="1:28">
      <c r="A45" s="71" t="str">
        <f>DATABASE!A278</f>
        <v>THE UNCOMMON</v>
      </c>
      <c r="B45" s="89" t="str">
        <f>DATABASE!B278</f>
        <v>Vilamoura</v>
      </c>
      <c r="C45" s="89" t="str">
        <f>DATABASE!C278</f>
        <v>501</v>
      </c>
      <c r="D45" s="93" t="str">
        <f>DATABASE!E278</f>
        <v>T3</v>
      </c>
      <c r="E45" s="91">
        <f>DATABASE!F278</f>
        <v>230.1</v>
      </c>
      <c r="F45" s="91">
        <f>DATABASE!G278</f>
        <v>0</v>
      </c>
      <c r="G45" s="91" t="str">
        <f>DATABASE!H278</f>
        <v>1</v>
      </c>
      <c r="H45" s="91" t="str">
        <f>DATABASE!I278</f>
        <v/>
      </c>
      <c r="I45" s="93">
        <f>DATABASE!J278</f>
        <v>80.5</v>
      </c>
      <c r="J45" s="93">
        <f>DATABASE!K278</f>
        <v>0</v>
      </c>
      <c r="K45" s="93">
        <f>DATABASE!L278</f>
        <v>0</v>
      </c>
      <c r="L45" s="75">
        <f>DATABASE!M278</f>
        <v>0</v>
      </c>
      <c r="M45" s="93">
        <f>DATABASE!N278</f>
        <v>0</v>
      </c>
      <c r="N45" s="76">
        <f>DATABASE!O278</f>
        <v>149.6</v>
      </c>
      <c r="O45" s="88">
        <f>DATABASE!P278</f>
        <v>0</v>
      </c>
      <c r="P45" s="88" t="str">
        <f>DATABASE!Q278</f>
        <v>AVAILABLE</v>
      </c>
      <c r="Q45" s="78">
        <f>DATABASE!R278</f>
        <v>2410000</v>
      </c>
      <c r="R45" s="78">
        <f>DATABASE!S278</f>
        <v>2490000</v>
      </c>
      <c r="S45" s="78">
        <f>DATABASE!T278</f>
        <v>2580000</v>
      </c>
      <c r="T45" s="78">
        <f>DATABASE!U278</f>
        <v>50000</v>
      </c>
      <c r="U45" s="78">
        <f>DATABASE!V278</f>
        <v>30000</v>
      </c>
      <c r="V45" s="79">
        <f>DATABASE!W278</f>
        <v>2500000</v>
      </c>
      <c r="W45" s="80">
        <f>DATABASE!X278</f>
        <v>0</v>
      </c>
      <c r="X45" s="79">
        <f>DATABASE!Y278</f>
        <v>2580000</v>
      </c>
      <c r="Y45" s="79">
        <f>DATABASE!Z278</f>
        <v>2500000</v>
      </c>
      <c r="Z45" s="79" t="e">
        <f>DATABASE!#REF!</f>
        <v>#REF!</v>
      </c>
      <c r="AA45" s="81">
        <f>DATABASE!AA278</f>
        <v>0</v>
      </c>
      <c r="AB45" s="82">
        <f>DATABASE!AB278</f>
        <v>0</v>
      </c>
    </row>
    <row r="46" spans="1:28">
      <c r="A46" s="71" t="str">
        <f>DATABASE!A279</f>
        <v>Aroeira - HOTEL APARTMENTS</v>
      </c>
      <c r="B46" s="89" t="str">
        <f>DATABASE!B279</f>
        <v>Center</v>
      </c>
      <c r="C46" s="89" t="str">
        <f>DATABASE!C279</f>
        <v>225B</v>
      </c>
      <c r="D46" s="93" t="str">
        <f>DATABASE!E279</f>
        <v>2-BR*</v>
      </c>
      <c r="E46" s="91">
        <f>DATABASE!F279</f>
        <v>98.8</v>
      </c>
      <c r="F46" s="91">
        <f>DATABASE!G279</f>
        <v>0</v>
      </c>
      <c r="G46" s="91" t="str">
        <f>DATABASE!H279</f>
        <v>1</v>
      </c>
      <c r="H46" s="91" t="str">
        <f>DATABASE!I279</f>
        <v/>
      </c>
      <c r="I46" s="93">
        <f>DATABASE!J279</f>
        <v>15.2</v>
      </c>
      <c r="J46" s="93">
        <f>DATABASE!K279</f>
        <v>0</v>
      </c>
      <c r="K46" s="93">
        <f>DATABASE!L279</f>
        <v>0</v>
      </c>
      <c r="L46" s="75">
        <f>DATABASE!M279</f>
        <v>0</v>
      </c>
      <c r="M46" s="93">
        <f>DATABASE!N279</f>
        <v>0</v>
      </c>
      <c r="N46" s="76">
        <f>DATABASE!O279</f>
        <v>83.6</v>
      </c>
      <c r="O46" s="88">
        <f>DATABASE!P279</f>
        <v>0</v>
      </c>
      <c r="P46" s="88" t="str">
        <f>DATABASE!Q279</f>
        <v>RESERVED</v>
      </c>
      <c r="Q46" s="78">
        <f>DATABASE!R279</f>
        <v>600000</v>
      </c>
      <c r="R46" s="78">
        <f>DATABASE!S279</f>
        <v>645000</v>
      </c>
      <c r="S46" s="78">
        <f>DATABASE!T279</f>
        <v>645000</v>
      </c>
      <c r="T46" s="78">
        <f>DATABASE!U279</f>
        <v>0</v>
      </c>
      <c r="U46" s="78">
        <f>DATABASE!V279</f>
        <v>45000</v>
      </c>
      <c r="V46" s="79">
        <f>DATABASE!W279</f>
        <v>600000</v>
      </c>
      <c r="W46" s="80">
        <f>DATABASE!X279</f>
        <v>2.0155038759689901E-2</v>
      </c>
      <c r="X46" s="79">
        <f>DATABASE!Y279</f>
        <v>632000</v>
      </c>
      <c r="Y46" s="79">
        <f>DATABASE!Z279</f>
        <v>587000</v>
      </c>
      <c r="Z46" s="79" t="e">
        <f>DATABASE!#REF!</f>
        <v>#REF!</v>
      </c>
      <c r="AA46" s="81">
        <f>DATABASE!AA279</f>
        <v>46114</v>
      </c>
      <c r="AB46" s="82">
        <f>DATABASE!AB279</f>
        <v>47118</v>
      </c>
    </row>
    <row r="47" spans="1:28">
      <c r="A47" s="71" t="str">
        <f>DATABASE!A280</f>
        <v>Aroeira - HOTEL APARTMENTS</v>
      </c>
      <c r="B47" s="89" t="str">
        <f>DATABASE!B280</f>
        <v>Center</v>
      </c>
      <c r="C47" s="89" t="str">
        <f>DATABASE!C280</f>
        <v>211B</v>
      </c>
      <c r="D47" s="93" t="str">
        <f>DATABASE!E280</f>
        <v>2-BR*</v>
      </c>
      <c r="E47" s="91">
        <f>DATABASE!F280</f>
        <v>98.8</v>
      </c>
      <c r="F47" s="91">
        <f>DATABASE!G280</f>
        <v>0</v>
      </c>
      <c r="G47" s="91" t="str">
        <f>DATABASE!H280</f>
        <v>1</v>
      </c>
      <c r="H47" s="91" t="str">
        <f>DATABASE!I280</f>
        <v/>
      </c>
      <c r="I47" s="93">
        <f>DATABASE!J280</f>
        <v>15.2</v>
      </c>
      <c r="J47" s="93">
        <f>DATABASE!K280</f>
        <v>0</v>
      </c>
      <c r="K47" s="93">
        <f>DATABASE!L280</f>
        <v>0</v>
      </c>
      <c r="L47" s="75">
        <f>DATABASE!M280</f>
        <v>0</v>
      </c>
      <c r="M47" s="93">
        <f>DATABASE!N280</f>
        <v>0</v>
      </c>
      <c r="N47" s="76">
        <f>DATABASE!O280</f>
        <v>83.6</v>
      </c>
      <c r="O47" s="88">
        <f>DATABASE!P280</f>
        <v>0</v>
      </c>
      <c r="P47" s="88" t="str">
        <f>DATABASE!Q280</f>
        <v>AVAILABLE</v>
      </c>
      <c r="Q47" s="78">
        <f>DATABASE!R280</f>
        <v>600000</v>
      </c>
      <c r="R47" s="78">
        <f>DATABASE!S280</f>
        <v>645000</v>
      </c>
      <c r="S47" s="78">
        <f>DATABASE!T280</f>
        <v>645000</v>
      </c>
      <c r="T47" s="78">
        <f>DATABASE!U280</f>
        <v>0</v>
      </c>
      <c r="U47" s="78">
        <f>DATABASE!V280</f>
        <v>45000</v>
      </c>
      <c r="V47" s="79">
        <f>DATABASE!W280</f>
        <v>600000</v>
      </c>
      <c r="W47" s="80">
        <f>DATABASE!X280</f>
        <v>0</v>
      </c>
      <c r="X47" s="79">
        <f>DATABASE!Y280</f>
        <v>0</v>
      </c>
      <c r="Y47" s="79">
        <f>DATABASE!Z280</f>
        <v>-45000</v>
      </c>
      <c r="Z47" s="79" t="e">
        <f>DATABASE!#REF!</f>
        <v>#REF!</v>
      </c>
      <c r="AA47" s="81">
        <f>DATABASE!AA280</f>
        <v>0</v>
      </c>
      <c r="AB47" s="82">
        <f>DATABASE!AB280</f>
        <v>47118</v>
      </c>
    </row>
    <row r="48" spans="1:28">
      <c r="A48" s="71" t="str">
        <f>DATABASE!A281</f>
        <v>Aroeira - HOTEL APARTMENTS</v>
      </c>
      <c r="B48" s="89" t="str">
        <f>DATABASE!B281</f>
        <v>Center</v>
      </c>
      <c r="C48" s="89" t="str">
        <f>DATABASE!C281</f>
        <v>212B</v>
      </c>
      <c r="D48" s="93" t="str">
        <f>DATABASE!E281</f>
        <v>2-BR*</v>
      </c>
      <c r="E48" s="91">
        <f>DATABASE!F281</f>
        <v>98.8</v>
      </c>
      <c r="F48" s="91">
        <f>DATABASE!G281</f>
        <v>0</v>
      </c>
      <c r="G48" s="91" t="str">
        <f>DATABASE!H281</f>
        <v>1</v>
      </c>
      <c r="H48" s="91" t="str">
        <f>DATABASE!I281</f>
        <v/>
      </c>
      <c r="I48" s="93">
        <f>DATABASE!J281</f>
        <v>15.2</v>
      </c>
      <c r="J48" s="93">
        <f>DATABASE!K281</f>
        <v>0</v>
      </c>
      <c r="K48" s="93">
        <f>DATABASE!L281</f>
        <v>0</v>
      </c>
      <c r="L48" s="75">
        <f>DATABASE!M281</f>
        <v>0</v>
      </c>
      <c r="M48" s="93">
        <f>DATABASE!N281</f>
        <v>0</v>
      </c>
      <c r="N48" s="76">
        <f>DATABASE!O281</f>
        <v>83.6</v>
      </c>
      <c r="O48" s="88">
        <f>DATABASE!P281</f>
        <v>0</v>
      </c>
      <c r="P48" s="88" t="str">
        <f>DATABASE!Q281</f>
        <v>AVAILABLE</v>
      </c>
      <c r="Q48" s="78">
        <f>DATABASE!R281</f>
        <v>600000</v>
      </c>
      <c r="R48" s="78">
        <f>DATABASE!S281</f>
        <v>645000</v>
      </c>
      <c r="S48" s="78">
        <f>DATABASE!T281</f>
        <v>645000</v>
      </c>
      <c r="T48" s="78">
        <f>DATABASE!U281</f>
        <v>0</v>
      </c>
      <c r="U48" s="78">
        <f>DATABASE!V281</f>
        <v>45000</v>
      </c>
      <c r="V48" s="79">
        <f>DATABASE!W281</f>
        <v>600000</v>
      </c>
      <c r="W48" s="80">
        <f>DATABASE!X281</f>
        <v>0</v>
      </c>
      <c r="X48" s="79">
        <f>DATABASE!Y281</f>
        <v>0</v>
      </c>
      <c r="Y48" s="79">
        <f>DATABASE!Z281</f>
        <v>-45000</v>
      </c>
      <c r="Z48" s="79" t="e">
        <f>DATABASE!#REF!</f>
        <v>#REF!</v>
      </c>
      <c r="AA48" s="81">
        <f>DATABASE!AA281</f>
        <v>0</v>
      </c>
      <c r="AB48" s="82">
        <f>DATABASE!AB281</f>
        <v>47118</v>
      </c>
    </row>
    <row r="49" spans="1:28">
      <c r="A49" s="71" t="str">
        <f>DATABASE!A282</f>
        <v>Aroeira - HOTEL APARTMENTS</v>
      </c>
      <c r="B49" s="89" t="str">
        <f>DATABASE!B282</f>
        <v>Center</v>
      </c>
      <c r="C49" s="89" t="str">
        <f>DATABASE!C282</f>
        <v>213B</v>
      </c>
      <c r="D49" s="93" t="str">
        <f>DATABASE!E282</f>
        <v>2-BR*</v>
      </c>
      <c r="E49" s="91">
        <f>DATABASE!F282</f>
        <v>98.8</v>
      </c>
      <c r="F49" s="91">
        <f>DATABASE!G282</f>
        <v>0</v>
      </c>
      <c r="G49" s="91" t="str">
        <f>DATABASE!H282</f>
        <v>1</v>
      </c>
      <c r="H49" s="91" t="str">
        <f>DATABASE!I282</f>
        <v/>
      </c>
      <c r="I49" s="93">
        <f>DATABASE!J282</f>
        <v>15.2</v>
      </c>
      <c r="J49" s="93">
        <f>DATABASE!K282</f>
        <v>0</v>
      </c>
      <c r="K49" s="93">
        <f>DATABASE!L282</f>
        <v>0</v>
      </c>
      <c r="L49" s="75">
        <f>DATABASE!M282</f>
        <v>0</v>
      </c>
      <c r="M49" s="93">
        <f>DATABASE!N282</f>
        <v>0</v>
      </c>
      <c r="N49" s="76">
        <f>DATABASE!O282</f>
        <v>83.6</v>
      </c>
      <c r="O49" s="88">
        <f>DATABASE!P282</f>
        <v>0</v>
      </c>
      <c r="P49" s="88" t="str">
        <f>DATABASE!Q282</f>
        <v>AVAILABLE</v>
      </c>
      <c r="Q49" s="78">
        <f>DATABASE!R282</f>
        <v>600000</v>
      </c>
      <c r="R49" s="78">
        <f>DATABASE!S282</f>
        <v>645000</v>
      </c>
      <c r="S49" s="78">
        <f>DATABASE!T282</f>
        <v>645000</v>
      </c>
      <c r="T49" s="78">
        <f>DATABASE!U282</f>
        <v>0</v>
      </c>
      <c r="U49" s="78">
        <f>DATABASE!V282</f>
        <v>45000</v>
      </c>
      <c r="V49" s="79">
        <f>DATABASE!W282</f>
        <v>600000</v>
      </c>
      <c r="W49" s="80">
        <f>DATABASE!X282</f>
        <v>0</v>
      </c>
      <c r="X49" s="79">
        <f>DATABASE!Y282</f>
        <v>0</v>
      </c>
      <c r="Y49" s="79">
        <f>DATABASE!Z282</f>
        <v>-45000</v>
      </c>
      <c r="Z49" s="79" t="e">
        <f>DATABASE!#REF!</f>
        <v>#REF!</v>
      </c>
      <c r="AA49" s="81">
        <f>DATABASE!AA282</f>
        <v>0</v>
      </c>
      <c r="AB49" s="82">
        <f>DATABASE!AB282</f>
        <v>47118</v>
      </c>
    </row>
    <row r="50" spans="1:28">
      <c r="A50" s="71" t="str">
        <f>DATABASE!A283</f>
        <v>Aroeira - HOTEL APARTMENTS</v>
      </c>
      <c r="B50" s="89" t="str">
        <f>DATABASE!B283</f>
        <v>Center</v>
      </c>
      <c r="C50" s="89" t="str">
        <f>DATABASE!C283</f>
        <v>226B</v>
      </c>
      <c r="D50" s="93" t="str">
        <f>DATABASE!E283</f>
        <v>2-BR*</v>
      </c>
      <c r="E50" s="91">
        <f>DATABASE!F283</f>
        <v>98.8</v>
      </c>
      <c r="F50" s="91">
        <f>DATABASE!G283</f>
        <v>0</v>
      </c>
      <c r="G50" s="91" t="str">
        <f>DATABASE!H283</f>
        <v>1</v>
      </c>
      <c r="H50" s="91" t="str">
        <f>DATABASE!I283</f>
        <v/>
      </c>
      <c r="I50" s="93">
        <f>DATABASE!J283</f>
        <v>15.2</v>
      </c>
      <c r="J50" s="93">
        <f>DATABASE!K283</f>
        <v>0</v>
      </c>
      <c r="K50" s="93">
        <f>DATABASE!L283</f>
        <v>0</v>
      </c>
      <c r="L50" s="75">
        <f>DATABASE!M283</f>
        <v>0</v>
      </c>
      <c r="M50" s="93">
        <f>DATABASE!N283</f>
        <v>0</v>
      </c>
      <c r="N50" s="76">
        <f>DATABASE!O283</f>
        <v>83.6</v>
      </c>
      <c r="O50" s="88">
        <f>DATABASE!P283</f>
        <v>0</v>
      </c>
      <c r="P50" s="88" t="str">
        <f>DATABASE!Q283</f>
        <v>AVAILABLE</v>
      </c>
      <c r="Q50" s="78">
        <f>DATABASE!R283</f>
        <v>600000</v>
      </c>
      <c r="R50" s="78">
        <f>DATABASE!S283</f>
        <v>645000</v>
      </c>
      <c r="S50" s="78">
        <f>DATABASE!T283</f>
        <v>645000</v>
      </c>
      <c r="T50" s="78">
        <f>DATABASE!U283</f>
        <v>0</v>
      </c>
      <c r="U50" s="78">
        <f>DATABASE!V283</f>
        <v>45000</v>
      </c>
      <c r="V50" s="79">
        <f>DATABASE!W283</f>
        <v>600000</v>
      </c>
      <c r="W50" s="80">
        <f>DATABASE!X283</f>
        <v>0</v>
      </c>
      <c r="X50" s="79">
        <f>DATABASE!Y283</f>
        <v>0</v>
      </c>
      <c r="Y50" s="79">
        <f>DATABASE!Z283</f>
        <v>-45000</v>
      </c>
      <c r="Z50" s="79" t="e">
        <f>DATABASE!#REF!</f>
        <v>#REF!</v>
      </c>
      <c r="AA50" s="81">
        <f>DATABASE!AA283</f>
        <v>0</v>
      </c>
      <c r="AB50" s="82">
        <f>DATABASE!AB283</f>
        <v>47118</v>
      </c>
    </row>
    <row r="51" spans="1:28">
      <c r="A51" s="71" t="str">
        <f>DATABASE!A284</f>
        <v>Aroeira - HOTEL APARTMENTS</v>
      </c>
      <c r="B51" s="89" t="str">
        <f>DATABASE!B284</f>
        <v>Center</v>
      </c>
      <c r="C51" s="89" t="str">
        <f>DATABASE!C284</f>
        <v>227B</v>
      </c>
      <c r="D51" s="93" t="str">
        <f>DATABASE!E284</f>
        <v>2-BR*</v>
      </c>
      <c r="E51" s="91">
        <f>DATABASE!F284</f>
        <v>98.8</v>
      </c>
      <c r="F51" s="91">
        <f>DATABASE!G284</f>
        <v>0</v>
      </c>
      <c r="G51" s="91" t="str">
        <f>DATABASE!H284</f>
        <v>1</v>
      </c>
      <c r="H51" s="91" t="str">
        <f>DATABASE!I284</f>
        <v/>
      </c>
      <c r="I51" s="93">
        <f>DATABASE!J284</f>
        <v>15.2</v>
      </c>
      <c r="J51" s="93">
        <f>DATABASE!K284</f>
        <v>0</v>
      </c>
      <c r="K51" s="93">
        <f>DATABASE!L284</f>
        <v>0</v>
      </c>
      <c r="L51" s="75">
        <f>DATABASE!M284</f>
        <v>0</v>
      </c>
      <c r="M51" s="93">
        <f>DATABASE!N284</f>
        <v>0</v>
      </c>
      <c r="N51" s="76">
        <f>DATABASE!O284</f>
        <v>83.6</v>
      </c>
      <c r="O51" s="88">
        <f>DATABASE!P284</f>
        <v>0</v>
      </c>
      <c r="P51" s="88" t="str">
        <f>DATABASE!Q284</f>
        <v>AVAILABLE</v>
      </c>
      <c r="Q51" s="78">
        <f>DATABASE!R284</f>
        <v>600000</v>
      </c>
      <c r="R51" s="78">
        <f>DATABASE!S284</f>
        <v>645000</v>
      </c>
      <c r="S51" s="78">
        <f>DATABASE!T284</f>
        <v>645000</v>
      </c>
      <c r="T51" s="78">
        <f>DATABASE!U284</f>
        <v>0</v>
      </c>
      <c r="U51" s="78">
        <f>DATABASE!V284</f>
        <v>45000</v>
      </c>
      <c r="V51" s="79">
        <f>DATABASE!W284</f>
        <v>600000</v>
      </c>
      <c r="W51" s="80">
        <f>DATABASE!X284</f>
        <v>0</v>
      </c>
      <c r="X51" s="79">
        <f>DATABASE!Y284</f>
        <v>0</v>
      </c>
      <c r="Y51" s="79">
        <f>DATABASE!Z284</f>
        <v>-45000</v>
      </c>
      <c r="Z51" s="79" t="e">
        <f>DATABASE!#REF!</f>
        <v>#REF!</v>
      </c>
      <c r="AA51" s="81">
        <f>DATABASE!AA284</f>
        <v>0</v>
      </c>
      <c r="AB51" s="82">
        <f>DATABASE!AB284</f>
        <v>47118</v>
      </c>
    </row>
    <row r="52" spans="1:28">
      <c r="A52" s="71" t="str">
        <f>DATABASE!A285</f>
        <v>Palmares - Signature Apartments</v>
      </c>
      <c r="B52" s="89" t="str">
        <f>DATABASE!B285</f>
        <v>Algarve</v>
      </c>
      <c r="C52" s="89" t="str">
        <f>DATABASE!C285</f>
        <v>803A</v>
      </c>
      <c r="D52" s="93" t="str">
        <f>DATABASE!E285</f>
        <v>T2 (T1+1) Duplex</v>
      </c>
      <c r="E52" s="91">
        <f>DATABASE!F285</f>
        <v>173.95</v>
      </c>
      <c r="F52" s="91">
        <f>DATABASE!G285</f>
        <v>0</v>
      </c>
      <c r="G52" s="91" t="str">
        <f>DATABASE!H285</f>
        <v>67+68</v>
      </c>
      <c r="H52" s="91" t="str">
        <f>DATABASE!I285</f>
        <v/>
      </c>
      <c r="I52" s="93">
        <f>DATABASE!J285</f>
        <v>0</v>
      </c>
      <c r="J52" s="93">
        <f>DATABASE!K285</f>
        <v>0</v>
      </c>
      <c r="K52" s="93">
        <f>DATABASE!L285</f>
        <v>0</v>
      </c>
      <c r="L52" s="75">
        <f>DATABASE!M285</f>
        <v>48.4</v>
      </c>
      <c r="M52" s="93">
        <f>DATABASE!N285</f>
        <v>0</v>
      </c>
      <c r="N52" s="76">
        <f>DATABASE!O285</f>
        <v>125.55</v>
      </c>
      <c r="O52" s="88">
        <f>DATABASE!P285</f>
        <v>0</v>
      </c>
      <c r="P52" s="88" t="str">
        <f>DATABASE!Q285</f>
        <v>AVAILABLE</v>
      </c>
      <c r="Q52" s="78">
        <f>DATABASE!R285</f>
        <v>440000</v>
      </c>
      <c r="R52" s="78">
        <f>DATABASE!S285</f>
        <v>440000</v>
      </c>
      <c r="S52" s="78">
        <f>DATABASE!T285</f>
        <v>1100000</v>
      </c>
      <c r="T52" s="78">
        <f>DATABASE!U285</f>
        <v>0</v>
      </c>
      <c r="U52" s="78">
        <f>DATABASE!V285</f>
        <v>0</v>
      </c>
      <c r="V52" s="79">
        <f>DATABASE!W285</f>
        <v>1100000</v>
      </c>
      <c r="W52" s="80">
        <f>DATABASE!X285</f>
        <v>0</v>
      </c>
      <c r="X52" s="79">
        <f>DATABASE!Y285</f>
        <v>1100000</v>
      </c>
      <c r="Y52" s="79">
        <f>DATABASE!Z285</f>
        <v>1100000</v>
      </c>
      <c r="Z52" s="79" t="e">
        <f>DATABASE!#REF!</f>
        <v>#REF!</v>
      </c>
      <c r="AA52" s="81">
        <f>DATABASE!AA285</f>
        <v>0</v>
      </c>
      <c r="AB52" s="82">
        <f>DATABASE!AB285</f>
        <v>46843</v>
      </c>
    </row>
    <row r="53" spans="1:28">
      <c r="A53" s="71" t="str">
        <f>DATABASE!A286</f>
        <v>Palmares - Signature Apartments</v>
      </c>
      <c r="B53" s="89" t="str">
        <f>DATABASE!B286</f>
        <v>Algarve</v>
      </c>
      <c r="C53" s="89" t="str">
        <f>DATABASE!C286</f>
        <v>804A</v>
      </c>
      <c r="D53" s="93" t="str">
        <f>DATABASE!E286</f>
        <v>T2 (T1+1) Duplex</v>
      </c>
      <c r="E53" s="91">
        <f>DATABASE!F286</f>
        <v>173.95</v>
      </c>
      <c r="F53" s="91">
        <f>DATABASE!G286</f>
        <v>0</v>
      </c>
      <c r="G53" s="91" t="str">
        <f>DATABASE!H286</f>
        <v>65+66</v>
      </c>
      <c r="H53" s="91" t="str">
        <f>DATABASE!I286</f>
        <v/>
      </c>
      <c r="I53" s="93">
        <f>DATABASE!J286</f>
        <v>0</v>
      </c>
      <c r="J53" s="93">
        <f>DATABASE!K286</f>
        <v>0</v>
      </c>
      <c r="K53" s="93">
        <f>DATABASE!L286</f>
        <v>0</v>
      </c>
      <c r="L53" s="75">
        <f>DATABASE!M286</f>
        <v>48.4</v>
      </c>
      <c r="M53" s="93">
        <f>DATABASE!N286</f>
        <v>0</v>
      </c>
      <c r="N53" s="76">
        <f>DATABASE!O286</f>
        <v>125.55</v>
      </c>
      <c r="O53" s="88">
        <f>DATABASE!P286</f>
        <v>0</v>
      </c>
      <c r="P53" s="88" t="str">
        <f>DATABASE!Q286</f>
        <v xml:space="preserve">PSPA </v>
      </c>
      <c r="Q53" s="78">
        <f>DATABASE!R286</f>
        <v>550000</v>
      </c>
      <c r="R53" s="78">
        <f>DATABASE!S286</f>
        <v>550000</v>
      </c>
      <c r="S53" s="78">
        <f>DATABASE!T286</f>
        <v>745000</v>
      </c>
      <c r="T53" s="78">
        <f>DATABASE!U286</f>
        <v>0</v>
      </c>
      <c r="U53" s="78">
        <f>DATABASE!V286</f>
        <v>0</v>
      </c>
      <c r="V53" s="79">
        <f>DATABASE!W286</f>
        <v>745000</v>
      </c>
      <c r="W53" s="80">
        <f>DATABASE!X286</f>
        <v>0</v>
      </c>
      <c r="X53" s="79">
        <f>DATABASE!Y286</f>
        <v>745000</v>
      </c>
      <c r="Y53" s="79">
        <f>DATABASE!Z286</f>
        <v>745000</v>
      </c>
      <c r="Z53" s="79" t="e">
        <f>DATABASE!#REF!</f>
        <v>#REF!</v>
      </c>
      <c r="AA53" s="81" t="e">
        <f>DATABASE!#REF!</f>
        <v>#REF!</v>
      </c>
      <c r="AB53" s="82">
        <f>DATABASE!AB286</f>
        <v>46843</v>
      </c>
    </row>
    <row r="54" spans="1:28">
      <c r="A54" s="71" t="str">
        <f>DATABASE!A287</f>
        <v>Palmares - Signature Apartments</v>
      </c>
      <c r="B54" s="89" t="str">
        <f>DATABASE!B287</f>
        <v>Algarve</v>
      </c>
      <c r="C54" s="89" t="str">
        <f>DATABASE!C287</f>
        <v>805A</v>
      </c>
      <c r="D54" s="93" t="str">
        <f>DATABASE!E287</f>
        <v>T2 (T1+1) Duplex</v>
      </c>
      <c r="E54" s="91">
        <f>DATABASE!F287</f>
        <v>173.95</v>
      </c>
      <c r="F54" s="91">
        <f>DATABASE!G287</f>
        <v>0</v>
      </c>
      <c r="G54" s="91" t="str">
        <f>DATABASE!H287</f>
        <v>63+64</v>
      </c>
      <c r="H54" s="91" t="str">
        <f>DATABASE!I287</f>
        <v/>
      </c>
      <c r="I54" s="93">
        <f>DATABASE!J287</f>
        <v>0</v>
      </c>
      <c r="J54" s="93">
        <f>DATABASE!K287</f>
        <v>0</v>
      </c>
      <c r="K54" s="93">
        <f>DATABASE!L287</f>
        <v>0</v>
      </c>
      <c r="L54" s="75">
        <f>DATABASE!M287</f>
        <v>48.4</v>
      </c>
      <c r="M54" s="93">
        <f>DATABASE!N287</f>
        <v>0</v>
      </c>
      <c r="N54" s="76">
        <f>DATABASE!O287</f>
        <v>125.55</v>
      </c>
      <c r="O54" s="88">
        <f>DATABASE!P287</f>
        <v>0</v>
      </c>
      <c r="P54" s="88" t="str">
        <f>DATABASE!Q287</f>
        <v>AVAILABLE</v>
      </c>
      <c r="Q54" s="78">
        <f>DATABASE!R287</f>
        <v>660000</v>
      </c>
      <c r="R54" s="78">
        <f>DATABASE!S287</f>
        <v>660000</v>
      </c>
      <c r="S54" s="78">
        <f>DATABASE!T287</f>
        <v>1100000</v>
      </c>
      <c r="T54" s="78">
        <f>DATABASE!U287</f>
        <v>0</v>
      </c>
      <c r="U54" s="78">
        <f>DATABASE!V287</f>
        <v>0</v>
      </c>
      <c r="V54" s="79">
        <f>DATABASE!W287</f>
        <v>1100000</v>
      </c>
      <c r="W54" s="80">
        <f>DATABASE!X287</f>
        <v>0</v>
      </c>
      <c r="X54" s="79">
        <f>DATABASE!Y287</f>
        <v>1100000</v>
      </c>
      <c r="Y54" s="79">
        <f>DATABASE!Z287</f>
        <v>1100000</v>
      </c>
      <c r="Z54" s="79" t="e">
        <f>DATABASE!#REF!</f>
        <v>#REF!</v>
      </c>
      <c r="AA54" s="81">
        <f>DATABASE!AA287</f>
        <v>0</v>
      </c>
      <c r="AB54" s="82">
        <f>DATABASE!AB287</f>
        <v>46843</v>
      </c>
    </row>
    <row r="55" spans="1:28">
      <c r="A55" s="71" t="str">
        <f>DATABASE!A288</f>
        <v>THE UNCOMMON</v>
      </c>
      <c r="B55" s="89" t="str">
        <f>DATABASE!B288</f>
        <v>Vilamoura</v>
      </c>
      <c r="C55" s="89" t="str">
        <f>DATABASE!C288</f>
        <v>502</v>
      </c>
      <c r="D55" s="93" t="str">
        <f>DATABASE!E288</f>
        <v>T2</v>
      </c>
      <c r="E55" s="91">
        <f>DATABASE!F288</f>
        <v>161</v>
      </c>
      <c r="F55" s="91">
        <f>DATABASE!G288</f>
        <v>0</v>
      </c>
      <c r="G55" s="91" t="str">
        <f>DATABASE!H288</f>
        <v>1</v>
      </c>
      <c r="H55" s="91" t="str">
        <f>DATABASE!I288</f>
        <v/>
      </c>
      <c r="I55" s="93">
        <f>DATABASE!J288</f>
        <v>57.1</v>
      </c>
      <c r="J55" s="93">
        <f>DATABASE!K288</f>
        <v>0</v>
      </c>
      <c r="K55" s="93">
        <f>DATABASE!L288</f>
        <v>0</v>
      </c>
      <c r="L55" s="75">
        <f>DATABASE!M288</f>
        <v>0</v>
      </c>
      <c r="M55" s="93">
        <f>DATABASE!N288</f>
        <v>0</v>
      </c>
      <c r="N55" s="76">
        <f>DATABASE!O288</f>
        <v>103.9</v>
      </c>
      <c r="O55" s="88">
        <f>DATABASE!P288</f>
        <v>0</v>
      </c>
      <c r="P55" s="88" t="str">
        <f>DATABASE!Q288</f>
        <v xml:space="preserve">PSPA </v>
      </c>
      <c r="Q55" s="78">
        <f>DATABASE!R288</f>
        <v>1267000</v>
      </c>
      <c r="R55" s="78">
        <f>DATABASE!S288</f>
        <v>1340000</v>
      </c>
      <c r="S55" s="78">
        <f>DATABASE!T288</f>
        <v>1440000</v>
      </c>
      <c r="T55" s="78">
        <f>DATABASE!U288</f>
        <v>50000</v>
      </c>
      <c r="U55" s="78">
        <f>DATABASE!V288</f>
        <v>23000</v>
      </c>
      <c r="V55" s="79">
        <f>DATABASE!W288</f>
        <v>1367000</v>
      </c>
      <c r="W55" s="80">
        <f>DATABASE!X288</f>
        <v>0.202569444444444</v>
      </c>
      <c r="X55" s="79">
        <f>DATABASE!Y288</f>
        <v>1148300</v>
      </c>
      <c r="Y55" s="79">
        <f>DATABASE!Z288</f>
        <v>1075300</v>
      </c>
      <c r="Z55" s="79" t="e">
        <f>DATABASE!#REF!</f>
        <v>#REF!</v>
      </c>
      <c r="AA55" s="81">
        <f>DATABASE!AA288</f>
        <v>46057</v>
      </c>
      <c r="AB55" s="82">
        <f>DATABASE!AB288</f>
        <v>0</v>
      </c>
    </row>
    <row r="56" spans="1:28">
      <c r="A56" s="71" t="str">
        <f>DATABASE!A289</f>
        <v>THE UNCOMMON</v>
      </c>
      <c r="B56" s="89" t="str">
        <f>DATABASE!B289</f>
        <v>Vilamoura</v>
      </c>
      <c r="C56" s="89" t="str">
        <f>DATABASE!C289</f>
        <v>503</v>
      </c>
      <c r="D56" s="93" t="str">
        <f>DATABASE!E289</f>
        <v>T2</v>
      </c>
      <c r="E56" s="91">
        <f>DATABASE!F289</f>
        <v>161</v>
      </c>
      <c r="F56" s="91">
        <f>DATABASE!G289</f>
        <v>0</v>
      </c>
      <c r="G56" s="91" t="str">
        <f>DATABASE!H289</f>
        <v/>
      </c>
      <c r="H56" s="91" t="str">
        <f>DATABASE!I289</f>
        <v/>
      </c>
      <c r="I56" s="93">
        <f>DATABASE!J289</f>
        <v>57.1</v>
      </c>
      <c r="J56" s="93">
        <f>DATABASE!K289</f>
        <v>0</v>
      </c>
      <c r="K56" s="93">
        <f>DATABASE!L289</f>
        <v>0</v>
      </c>
      <c r="L56" s="75">
        <f>DATABASE!M289</f>
        <v>0</v>
      </c>
      <c r="M56" s="93">
        <f>DATABASE!N289</f>
        <v>0</v>
      </c>
      <c r="N56" s="76">
        <f>DATABASE!O289</f>
        <v>103.9</v>
      </c>
      <c r="O56" s="88">
        <f>DATABASE!P289</f>
        <v>0</v>
      </c>
      <c r="P56" s="88" t="str">
        <f>DATABASE!Q289</f>
        <v>RESERVED</v>
      </c>
      <c r="Q56" s="78">
        <f>DATABASE!R289</f>
        <v>1177000</v>
      </c>
      <c r="R56" s="78">
        <f>DATABASE!S289</f>
        <v>1250000</v>
      </c>
      <c r="S56" s="78">
        <f>DATABASE!T289</f>
        <v>1350000</v>
      </c>
      <c r="T56" s="78">
        <f>DATABASE!U289</f>
        <v>50000</v>
      </c>
      <c r="U56" s="78">
        <f>DATABASE!V289</f>
        <v>23000</v>
      </c>
      <c r="V56" s="79">
        <f>DATABASE!W289</f>
        <v>1277000</v>
      </c>
      <c r="W56" s="80">
        <f>DATABASE!X289</f>
        <v>0</v>
      </c>
      <c r="X56" s="79">
        <f>DATABASE!Y289</f>
        <v>1350000</v>
      </c>
      <c r="Y56" s="79">
        <f>DATABASE!Z289</f>
        <v>1277000</v>
      </c>
      <c r="Z56" s="79" t="e">
        <f>DATABASE!#REF!</f>
        <v>#REF!</v>
      </c>
      <c r="AA56" s="81">
        <f>DATABASE!AA289</f>
        <v>0</v>
      </c>
      <c r="AB56" s="82">
        <f>DATABASE!AB289</f>
        <v>0</v>
      </c>
    </row>
    <row r="57" spans="1:28">
      <c r="A57" s="71" t="str">
        <f>DATABASE!A290</f>
        <v>THE UNCOMMON</v>
      </c>
      <c r="B57" s="89" t="str">
        <f>DATABASE!B290</f>
        <v>Vilamoura</v>
      </c>
      <c r="C57" s="89" t="str">
        <f>DATABASE!C290</f>
        <v>504</v>
      </c>
      <c r="D57" s="93" t="str">
        <f>DATABASE!E290</f>
        <v>T2</v>
      </c>
      <c r="E57" s="91">
        <f>DATABASE!F290</f>
        <v>161.6</v>
      </c>
      <c r="F57" s="91">
        <f>DATABASE!G290</f>
        <v>0</v>
      </c>
      <c r="G57" s="91" t="str">
        <f>DATABASE!H290</f>
        <v/>
      </c>
      <c r="H57" s="91" t="str">
        <f>DATABASE!I290</f>
        <v/>
      </c>
      <c r="I57" s="93">
        <f>DATABASE!J290</f>
        <v>57</v>
      </c>
      <c r="J57" s="93">
        <f>DATABASE!K290</f>
        <v>0</v>
      </c>
      <c r="K57" s="93">
        <f>DATABASE!L290</f>
        <v>0</v>
      </c>
      <c r="L57" s="75">
        <f>DATABASE!M290</f>
        <v>0</v>
      </c>
      <c r="M57" s="93">
        <f>DATABASE!N290</f>
        <v>0</v>
      </c>
      <c r="N57" s="76">
        <f>DATABASE!O290</f>
        <v>104.6</v>
      </c>
      <c r="O57" s="88">
        <f>DATABASE!P290</f>
        <v>0</v>
      </c>
      <c r="P57" s="88" t="str">
        <f>DATABASE!Q290</f>
        <v>AVAILABLE</v>
      </c>
      <c r="Q57" s="78">
        <f>DATABASE!R290</f>
        <v>1087000</v>
      </c>
      <c r="R57" s="78">
        <f>DATABASE!S290</f>
        <v>1160000</v>
      </c>
      <c r="S57" s="78">
        <f>DATABASE!T290</f>
        <v>1230000</v>
      </c>
      <c r="T57" s="78">
        <f>DATABASE!U290</f>
        <v>50000</v>
      </c>
      <c r="U57" s="78">
        <f>DATABASE!V290</f>
        <v>23000</v>
      </c>
      <c r="V57" s="79">
        <f>DATABASE!W290</f>
        <v>1157000</v>
      </c>
      <c r="W57" s="80">
        <f>DATABASE!X290</f>
        <v>0</v>
      </c>
      <c r="X57" s="79">
        <f>DATABASE!Y290</f>
        <v>1230000</v>
      </c>
      <c r="Y57" s="79">
        <f>DATABASE!Z290</f>
        <v>1157000</v>
      </c>
      <c r="Z57" s="79" t="e">
        <f>DATABASE!#REF!</f>
        <v>#REF!</v>
      </c>
      <c r="AA57" s="81">
        <f>DATABASE!AA290</f>
        <v>0</v>
      </c>
      <c r="AB57" s="82">
        <f>DATABASE!AB290</f>
        <v>0</v>
      </c>
    </row>
    <row r="58" spans="1:28">
      <c r="A58" s="71" t="str">
        <f>DATABASE!A291</f>
        <v>THE UNCOMMON</v>
      </c>
      <c r="B58" s="89" t="str">
        <f>DATABASE!B291</f>
        <v>Vilamoura</v>
      </c>
      <c r="C58" s="89" t="str">
        <f>DATABASE!C291</f>
        <v>505</v>
      </c>
      <c r="D58" s="93" t="str">
        <f>DATABASE!E291</f>
        <v>T2</v>
      </c>
      <c r="E58" s="91">
        <f>DATABASE!F291</f>
        <v>161.69999999999999</v>
      </c>
      <c r="F58" s="91">
        <f>DATABASE!G291</f>
        <v>0</v>
      </c>
      <c r="G58" s="91" t="str">
        <f>DATABASE!H291</f>
        <v/>
      </c>
      <c r="H58" s="91" t="str">
        <f>DATABASE!I291</f>
        <v/>
      </c>
      <c r="I58" s="93">
        <f>DATABASE!J291</f>
        <v>57.1</v>
      </c>
      <c r="J58" s="93">
        <f>DATABASE!K291</f>
        <v>0</v>
      </c>
      <c r="K58" s="93">
        <f>DATABASE!L291</f>
        <v>0</v>
      </c>
      <c r="L58" s="75">
        <f>DATABASE!M291</f>
        <v>0</v>
      </c>
      <c r="M58" s="93">
        <f>DATABASE!N291</f>
        <v>0</v>
      </c>
      <c r="N58" s="76">
        <f>DATABASE!O291</f>
        <v>104.6</v>
      </c>
      <c r="O58" s="88">
        <f>DATABASE!P291</f>
        <v>0</v>
      </c>
      <c r="P58" s="88" t="str">
        <f>DATABASE!Q291</f>
        <v>AVAILABLE</v>
      </c>
      <c r="Q58" s="78">
        <f>DATABASE!R291</f>
        <v>1177000</v>
      </c>
      <c r="R58" s="78">
        <f>DATABASE!S291</f>
        <v>1250000</v>
      </c>
      <c r="S58" s="78">
        <f>DATABASE!T291</f>
        <v>1320000</v>
      </c>
      <c r="T58" s="78">
        <f>DATABASE!U291</f>
        <v>50000</v>
      </c>
      <c r="U58" s="78">
        <f>DATABASE!V291</f>
        <v>23000</v>
      </c>
      <c r="V58" s="79">
        <f>DATABASE!W291</f>
        <v>1247000</v>
      </c>
      <c r="W58" s="80">
        <f>DATABASE!X291</f>
        <v>0</v>
      </c>
      <c r="X58" s="79">
        <f>DATABASE!Y291</f>
        <v>1320000</v>
      </c>
      <c r="Y58" s="79">
        <f>DATABASE!Z291</f>
        <v>1247000</v>
      </c>
      <c r="Z58" s="79" t="e">
        <f>DATABASE!#REF!</f>
        <v>#REF!</v>
      </c>
      <c r="AA58" s="81">
        <f>DATABASE!AA291</f>
        <v>0</v>
      </c>
      <c r="AB58" s="82">
        <f>DATABASE!AB291</f>
        <v>0</v>
      </c>
    </row>
    <row r="59" spans="1:28">
      <c r="A59" s="71" t="str">
        <f>DATABASE!A292</f>
        <v>Palmares - Plots</v>
      </c>
      <c r="B59" s="89" t="str">
        <f>DATABASE!B292</f>
        <v>Algarve</v>
      </c>
      <c r="C59" s="89" t="str">
        <f>DATABASE!C292</f>
        <v>83</v>
      </c>
      <c r="D59" s="93" t="str">
        <f>DATABASE!E292</f>
        <v>Plot</v>
      </c>
      <c r="E59" s="91">
        <f>DATABASE!F292</f>
        <v>4991</v>
      </c>
      <c r="F59" s="91">
        <f>DATABASE!G292</f>
        <v>0</v>
      </c>
      <c r="G59" s="91" t="str">
        <f>DATABASE!H292</f>
        <v/>
      </c>
      <c r="H59" s="91" t="str">
        <f>DATABASE!I292</f>
        <v/>
      </c>
      <c r="I59" s="93">
        <f>DATABASE!J292</f>
        <v>0</v>
      </c>
      <c r="J59" s="93">
        <f>DATABASE!K292</f>
        <v>0</v>
      </c>
      <c r="K59" s="93">
        <f>DATABASE!L292</f>
        <v>0</v>
      </c>
      <c r="L59" s="75">
        <f>DATABASE!M292</f>
        <v>0</v>
      </c>
      <c r="M59" s="93">
        <f>DATABASE!N292</f>
        <v>0</v>
      </c>
      <c r="N59" s="76">
        <f>DATABASE!O292</f>
        <v>420</v>
      </c>
      <c r="O59" s="88">
        <f>DATABASE!P292</f>
        <v>0</v>
      </c>
      <c r="P59" s="88" t="str">
        <f>DATABASE!Q292</f>
        <v>AVAILABLE</v>
      </c>
      <c r="Q59" s="78">
        <f>DATABASE!R292</f>
        <v>660000</v>
      </c>
      <c r="R59" s="78">
        <f>DATABASE!S292</f>
        <v>660000</v>
      </c>
      <c r="S59" s="78">
        <f>DATABASE!T292</f>
        <v>1700000</v>
      </c>
      <c r="T59" s="78">
        <f>DATABASE!U292</f>
        <v>0</v>
      </c>
      <c r="U59" s="78">
        <f>DATABASE!V292</f>
        <v>0</v>
      </c>
      <c r="V59" s="79">
        <f>DATABASE!W292</f>
        <v>1700000</v>
      </c>
      <c r="W59" s="80">
        <f>DATABASE!X292</f>
        <v>0</v>
      </c>
      <c r="X59" s="79">
        <f>DATABASE!Y292</f>
        <v>1700000</v>
      </c>
      <c r="Y59" s="79">
        <f>DATABASE!Z292</f>
        <v>1700000</v>
      </c>
      <c r="Z59" s="79" t="e">
        <f>DATABASE!#REF!</f>
        <v>#REF!</v>
      </c>
      <c r="AA59" s="81">
        <f>DATABASE!AA292</f>
        <v>0</v>
      </c>
      <c r="AB59" s="82">
        <f>DATABASE!AB292</f>
        <v>46843</v>
      </c>
    </row>
    <row r="60" spans="1:28">
      <c r="A60" s="71" t="str">
        <f>DATABASE!A293</f>
        <v>Palmares - Signature Apartments</v>
      </c>
      <c r="B60" s="89" t="str">
        <f>DATABASE!B293</f>
        <v>Algarve</v>
      </c>
      <c r="C60" s="89" t="str">
        <f>DATABASE!C293</f>
        <v>806A</v>
      </c>
      <c r="D60" s="93" t="str">
        <f>DATABASE!E293</f>
        <v>T2 (T1+1) Duplex</v>
      </c>
      <c r="E60" s="91">
        <f>DATABASE!F293</f>
        <v>173.95</v>
      </c>
      <c r="F60" s="91">
        <f>DATABASE!G293</f>
        <v>0</v>
      </c>
      <c r="G60" s="91" t="str">
        <f>DATABASE!H293</f>
        <v>61+62</v>
      </c>
      <c r="H60" s="91" t="str">
        <f>DATABASE!I293</f>
        <v/>
      </c>
      <c r="I60" s="93">
        <f>DATABASE!J293</f>
        <v>0</v>
      </c>
      <c r="J60" s="93">
        <f>DATABASE!K293</f>
        <v>0</v>
      </c>
      <c r="K60" s="93">
        <f>DATABASE!L293</f>
        <v>0</v>
      </c>
      <c r="L60" s="75">
        <f>DATABASE!M293</f>
        <v>48.4</v>
      </c>
      <c r="M60" s="93">
        <f>DATABASE!N293</f>
        <v>0</v>
      </c>
      <c r="N60" s="76">
        <f>DATABASE!O293</f>
        <v>125.55</v>
      </c>
      <c r="O60" s="88">
        <f>DATABASE!P293</f>
        <v>0</v>
      </c>
      <c r="P60" s="88" t="str">
        <f>DATABASE!Q293</f>
        <v xml:space="preserve">PSPA </v>
      </c>
      <c r="Q60" s="78">
        <f>DATABASE!R293</f>
        <v>440000</v>
      </c>
      <c r="R60" s="78">
        <f>DATABASE!S293</f>
        <v>440000</v>
      </c>
      <c r="S60" s="78">
        <f>DATABASE!T293</f>
        <v>770000</v>
      </c>
      <c r="T60" s="78">
        <f>DATABASE!U293</f>
        <v>0</v>
      </c>
      <c r="U60" s="78">
        <f>DATABASE!V293</f>
        <v>0</v>
      </c>
      <c r="V60" s="79">
        <f>DATABASE!W293</f>
        <v>770000</v>
      </c>
      <c r="W60" s="80">
        <f>DATABASE!X293</f>
        <v>0</v>
      </c>
      <c r="X60" s="79">
        <f>DATABASE!Y293</f>
        <v>770000</v>
      </c>
      <c r="Y60" s="79">
        <f>DATABASE!Z293</f>
        <v>770000</v>
      </c>
      <c r="Z60" s="79" t="e">
        <f>DATABASE!#REF!</f>
        <v>#REF!</v>
      </c>
      <c r="AA60" s="81" t="e">
        <f>DATABASE!#REF!</f>
        <v>#REF!</v>
      </c>
      <c r="AB60" s="82">
        <f>DATABASE!AB293</f>
        <v>46843</v>
      </c>
    </row>
    <row r="61" spans="1:28">
      <c r="A61" s="71" t="str">
        <f>DATABASE!A294</f>
        <v>Palmares - Signature Apartments</v>
      </c>
      <c r="B61" s="89" t="str">
        <f>DATABASE!B294</f>
        <v>Algarve</v>
      </c>
      <c r="C61" s="89" t="str">
        <f>DATABASE!C294</f>
        <v>807A</v>
      </c>
      <c r="D61" s="93" t="str">
        <f>DATABASE!E294</f>
        <v>T2 (T1+1) Duplex</v>
      </c>
      <c r="E61" s="91">
        <f>DATABASE!F294</f>
        <v>173.95</v>
      </c>
      <c r="F61" s="91">
        <f>DATABASE!G294</f>
        <v>0</v>
      </c>
      <c r="G61" s="91" t="str">
        <f>DATABASE!H294</f>
        <v>59+60</v>
      </c>
      <c r="H61" s="91" t="str">
        <f>DATABASE!I294</f>
        <v/>
      </c>
      <c r="I61" s="93">
        <f>DATABASE!J294</f>
        <v>0</v>
      </c>
      <c r="J61" s="93">
        <f>DATABASE!K294</f>
        <v>0</v>
      </c>
      <c r="K61" s="93">
        <f>DATABASE!L294</f>
        <v>0</v>
      </c>
      <c r="L61" s="75">
        <f>DATABASE!M294</f>
        <v>48.4</v>
      </c>
      <c r="M61" s="93">
        <f>DATABASE!N294</f>
        <v>0</v>
      </c>
      <c r="N61" s="76">
        <f>DATABASE!O294</f>
        <v>125.55</v>
      </c>
      <c r="O61" s="88">
        <f>DATABASE!P294</f>
        <v>0</v>
      </c>
      <c r="P61" s="88" t="str">
        <f>DATABASE!Q294</f>
        <v xml:space="preserve">PSPA </v>
      </c>
      <c r="Q61" s="78">
        <f>DATABASE!R294</f>
        <v>575000</v>
      </c>
      <c r="R61" s="78">
        <f>DATABASE!S294</f>
        <v>575000</v>
      </c>
      <c r="S61" s="78">
        <f>DATABASE!T294</f>
        <v>900000</v>
      </c>
      <c r="T61" s="78">
        <f>DATABASE!U294</f>
        <v>0</v>
      </c>
      <c r="U61" s="78">
        <f>DATABASE!V294</f>
        <v>0</v>
      </c>
      <c r="V61" s="79">
        <f>DATABASE!W294</f>
        <v>900000</v>
      </c>
      <c r="W61" s="80">
        <f>DATABASE!X294</f>
        <v>0</v>
      </c>
      <c r="X61" s="79">
        <f>DATABASE!Y294</f>
        <v>900000</v>
      </c>
      <c r="Y61" s="79">
        <f>DATABASE!Z294</f>
        <v>900000</v>
      </c>
      <c r="Z61" s="79" t="e">
        <f>DATABASE!#REF!</f>
        <v>#REF!</v>
      </c>
      <c r="AA61" s="81" t="e">
        <f>DATABASE!#REF!</f>
        <v>#REF!</v>
      </c>
      <c r="AB61" s="82">
        <f>DATABASE!AB294</f>
        <v>46843</v>
      </c>
    </row>
    <row r="62" spans="1:28">
      <c r="A62" s="71" t="str">
        <f>DATABASE!A295</f>
        <v>Palmares - Signature Apartments</v>
      </c>
      <c r="B62" s="89" t="str">
        <f>DATABASE!B295</f>
        <v>Algarve</v>
      </c>
      <c r="C62" s="89" t="str">
        <f>DATABASE!C295</f>
        <v>808A</v>
      </c>
      <c r="D62" s="93" t="str">
        <f>DATABASE!E295</f>
        <v>T2 (T1+1) Duplex</v>
      </c>
      <c r="E62" s="91">
        <f>DATABASE!F295</f>
        <v>173.95</v>
      </c>
      <c r="F62" s="91">
        <f>DATABASE!G295</f>
        <v>0</v>
      </c>
      <c r="G62" s="91" t="str">
        <f>DATABASE!H295</f>
        <v>01+58</v>
      </c>
      <c r="H62" s="91" t="str">
        <f>DATABASE!I295</f>
        <v/>
      </c>
      <c r="I62" s="93">
        <f>DATABASE!J295</f>
        <v>0</v>
      </c>
      <c r="J62" s="93">
        <f>DATABASE!K295</f>
        <v>0</v>
      </c>
      <c r="K62" s="93">
        <f>DATABASE!L295</f>
        <v>0</v>
      </c>
      <c r="L62" s="75">
        <f>DATABASE!M295</f>
        <v>48.4</v>
      </c>
      <c r="M62" s="93">
        <f>DATABASE!N295</f>
        <v>0</v>
      </c>
      <c r="N62" s="76">
        <f>DATABASE!O295</f>
        <v>125.55</v>
      </c>
      <c r="O62" s="88">
        <f>DATABASE!P295</f>
        <v>0</v>
      </c>
      <c r="P62" s="88" t="str">
        <f>DATABASE!Q295</f>
        <v xml:space="preserve">PSPA </v>
      </c>
      <c r="Q62" s="78">
        <f>DATABASE!R295</f>
        <v>460000</v>
      </c>
      <c r="R62" s="78">
        <f>DATABASE!S295</f>
        <v>460000</v>
      </c>
      <c r="S62" s="78">
        <f>DATABASE!T295</f>
        <v>820000</v>
      </c>
      <c r="T62" s="78">
        <f>DATABASE!U295</f>
        <v>0</v>
      </c>
      <c r="U62" s="78">
        <f>DATABASE!V295</f>
        <v>0</v>
      </c>
      <c r="V62" s="79">
        <f>DATABASE!W295</f>
        <v>820000</v>
      </c>
      <c r="W62" s="80">
        <f>DATABASE!X295</f>
        <v>0</v>
      </c>
      <c r="X62" s="79">
        <f>DATABASE!Y295</f>
        <v>820000</v>
      </c>
      <c r="Y62" s="79">
        <f>DATABASE!Z295</f>
        <v>820000</v>
      </c>
      <c r="Z62" s="79" t="e">
        <f>DATABASE!#REF!</f>
        <v>#REF!</v>
      </c>
      <c r="AA62" s="81" t="e">
        <f>DATABASE!#REF!</f>
        <v>#REF!</v>
      </c>
      <c r="AB62" s="82">
        <f>DATABASE!AB295</f>
        <v>46843</v>
      </c>
    </row>
    <row r="63" spans="1:28">
      <c r="A63" s="94" t="str">
        <f>DATABASE!A296</f>
        <v>Palmares - Signature Apartments</v>
      </c>
      <c r="B63" s="95" t="str">
        <f>DATABASE!B296</f>
        <v>Algarve</v>
      </c>
      <c r="C63" s="95" t="str">
        <f>DATABASE!C296</f>
        <v>809A</v>
      </c>
      <c r="D63" s="96" t="str">
        <f>DATABASE!E296</f>
        <v>T2 (T1+1) Duplex</v>
      </c>
      <c r="E63" s="97">
        <f>DATABASE!F296</f>
        <v>171.55</v>
      </c>
      <c r="F63" s="97">
        <f>DATABASE!G296</f>
        <v>0</v>
      </c>
      <c r="G63" s="97" t="str">
        <f>DATABASE!H296</f>
        <v>02+03</v>
      </c>
      <c r="H63" s="97" t="str">
        <f>DATABASE!I296</f>
        <v/>
      </c>
      <c r="I63" s="96">
        <f>DATABASE!J296</f>
        <v>0</v>
      </c>
      <c r="J63" s="96">
        <f>DATABASE!K296</f>
        <v>0</v>
      </c>
      <c r="K63" s="96">
        <f>DATABASE!L296</f>
        <v>0</v>
      </c>
      <c r="L63" s="98">
        <f>DATABASE!M296</f>
        <v>46</v>
      </c>
      <c r="M63" s="96">
        <f>DATABASE!N296</f>
        <v>0</v>
      </c>
      <c r="N63" s="99">
        <f>DATABASE!O296</f>
        <v>125.55</v>
      </c>
      <c r="O63" s="100">
        <f>DATABASE!P296</f>
        <v>0</v>
      </c>
      <c r="P63" s="100" t="str">
        <f>DATABASE!Q296</f>
        <v>AVAILABLE</v>
      </c>
      <c r="Q63" s="101">
        <f>DATABASE!R296</f>
        <v>550000</v>
      </c>
      <c r="R63" s="101">
        <f>DATABASE!S296</f>
        <v>550000</v>
      </c>
      <c r="S63" s="101">
        <f>DATABASE!T296</f>
        <v>1200000</v>
      </c>
      <c r="T63" s="101">
        <f>DATABASE!U296</f>
        <v>0</v>
      </c>
      <c r="U63" s="101">
        <f>DATABASE!V296</f>
        <v>0</v>
      </c>
      <c r="V63" s="102">
        <f>DATABASE!W296</f>
        <v>1200000</v>
      </c>
      <c r="W63" s="103">
        <f>DATABASE!X296</f>
        <v>0</v>
      </c>
      <c r="X63" s="102">
        <f>DATABASE!Y296</f>
        <v>1200000</v>
      </c>
      <c r="Y63" s="102">
        <f>DATABASE!Z296</f>
        <v>1200000</v>
      </c>
      <c r="Z63" s="102" t="e">
        <f>DATABASE!#REF!</f>
        <v>#REF!</v>
      </c>
      <c r="AA63" s="104">
        <f>DATABASE!AA296</f>
        <v>0</v>
      </c>
      <c r="AB63" s="105">
        <f>DATABASE!AB296</f>
        <v>46843</v>
      </c>
    </row>
  </sheetData>
  <phoneticPr fontId="1" type="noConversion"/>
  <conditionalFormatting sqref="A1">
    <cfRule type="containsText" dxfId="50" priority="1" operator="containsText" text="Center">
      <formula>NOT(ISERROR(SEARCH("Center",A1)))</formula>
    </cfRule>
    <cfRule type="containsText" dxfId="49" priority="2" operator="containsText" text="North">
      <formula>NOT(ISERROR(SEARCH("North",A1)))</formula>
    </cfRule>
    <cfRule type="containsText" dxfId="48" priority="3" operator="containsText" text="Algarve">
      <formula>NOT(ISERROR(SEARCH("Algarve",A1)))</formula>
    </cfRule>
    <cfRule type="containsText" dxfId="47" priority="4" operator="containsText" text="Vilamoura">
      <formula>NOT(ISERROR(SEARCH("Vilamoura",A1)))</formula>
    </cfRule>
  </conditionalFormatting>
  <pageMargins left="0.7" right="0.7" top="0.75" bottom="0.75" header="0.3" footer="0.3"/>
  <pageSetup paperSize="8" scale="86"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C8BB-0F87-4F40-8673-AEC62F7AB59E}">
  <sheetPr>
    <tabColor rgb="FFC2B59E"/>
    <pageSetUpPr fitToPage="1"/>
  </sheetPr>
  <dimension ref="A1:AB104"/>
  <sheetViews>
    <sheetView showGridLines="0" zoomScale="60" zoomScaleNormal="60" zoomScaleSheetLayoutView="70" workbookViewId="0">
      <selection activeCell="B25" sqref="B25"/>
    </sheetView>
  </sheetViews>
  <sheetFormatPr defaultColWidth="8.7109375" defaultRowHeight="15"/>
  <cols>
    <col min="1" max="1" width="27.140625" customWidth="1"/>
    <col min="2" max="2" width="19.7109375" bestFit="1" customWidth="1"/>
    <col min="3" max="3" width="22.28515625" bestFit="1" customWidth="1"/>
    <col min="4" max="4" width="15" bestFit="1" customWidth="1"/>
    <col min="5" max="5" width="21.7109375" bestFit="1" customWidth="1"/>
    <col min="6" max="6" width="12" customWidth="1"/>
    <col min="7" max="7" width="16.28515625" customWidth="1"/>
    <col min="8" max="8" width="13.140625" customWidth="1"/>
    <col min="9" max="9" width="25.42578125" customWidth="1"/>
    <col min="10" max="10" width="27.7109375" customWidth="1"/>
    <col min="11" max="11" width="18.28515625" customWidth="1"/>
    <col min="12" max="12" width="73.7109375" customWidth="1"/>
    <col min="13" max="13" width="16.7109375" customWidth="1"/>
    <col min="14" max="14" width="16.7109375" bestFit="1" customWidth="1"/>
    <col min="15" max="15" width="17.42578125" bestFit="1" customWidth="1"/>
    <col min="16" max="16" width="20.7109375" bestFit="1" customWidth="1"/>
    <col min="20" max="20" width="12.42578125" bestFit="1" customWidth="1"/>
  </cols>
  <sheetData>
    <row r="1" spans="1:28" ht="18" customHeight="1">
      <c r="A1" s="58" t="s">
        <v>335</v>
      </c>
      <c r="B1" s="59" t="s">
        <v>687</v>
      </c>
      <c r="C1" s="59" t="s">
        <v>770</v>
      </c>
      <c r="D1" s="59" t="s">
        <v>93</v>
      </c>
      <c r="E1" s="59" t="s">
        <v>766</v>
      </c>
      <c r="F1" s="60" t="s">
        <v>678</v>
      </c>
      <c r="G1" s="60" t="s">
        <v>679</v>
      </c>
      <c r="H1" s="60" t="s">
        <v>680</v>
      </c>
      <c r="I1" s="60" t="s">
        <v>681</v>
      </c>
      <c r="J1" s="60" t="s">
        <v>682</v>
      </c>
      <c r="K1" s="60" t="s">
        <v>785</v>
      </c>
      <c r="L1" s="60" t="s">
        <v>683</v>
      </c>
      <c r="M1" s="59" t="s">
        <v>684</v>
      </c>
      <c r="N1" s="59" t="s">
        <v>94</v>
      </c>
      <c r="O1" s="59" t="s">
        <v>95</v>
      </c>
      <c r="P1" s="59" t="s">
        <v>627</v>
      </c>
      <c r="Q1" s="61" t="s">
        <v>331</v>
      </c>
      <c r="R1" s="61" t="s">
        <v>332</v>
      </c>
      <c r="S1" s="61" t="s">
        <v>333</v>
      </c>
      <c r="T1" s="61" t="s">
        <v>685</v>
      </c>
      <c r="U1" s="61" t="s">
        <v>97</v>
      </c>
      <c r="V1" s="59" t="s">
        <v>330</v>
      </c>
      <c r="W1" s="62" t="s">
        <v>767</v>
      </c>
      <c r="X1" s="61" t="s">
        <v>334</v>
      </c>
      <c r="Y1" s="59" t="s">
        <v>98</v>
      </c>
      <c r="Z1" s="59" t="s">
        <v>771</v>
      </c>
      <c r="AA1" s="63" t="s">
        <v>768</v>
      </c>
      <c r="AB1" s="64" t="s">
        <v>7</v>
      </c>
    </row>
    <row r="2" spans="1:28" ht="6" customHeight="1">
      <c r="A2" s="106" t="str">
        <f>DATABASE!A337</f>
        <v>Rivus</v>
      </c>
      <c r="B2" s="53" t="str">
        <f>DATABASE!B337</f>
        <v>Vilamoura</v>
      </c>
      <c r="C2" s="53" t="str">
        <f>DATABASE!C337</f>
        <v>A</v>
      </c>
      <c r="D2" s="73" t="str">
        <f>DATABASE!E337</f>
        <v>T2</v>
      </c>
      <c r="E2" s="73">
        <f>DATABASE!F337</f>
        <v>0</v>
      </c>
      <c r="F2" s="74">
        <f>DATABASE!G337</f>
        <v>0</v>
      </c>
      <c r="G2" s="72" t="str">
        <f>DATABASE!H337</f>
        <v/>
      </c>
      <c r="H2" s="73" t="str">
        <f>DATABASE!I337</f>
        <v/>
      </c>
      <c r="I2" s="73">
        <f>DATABASE!J337</f>
        <v>0</v>
      </c>
      <c r="J2" s="73">
        <f>DATABASE!K337</f>
        <v>163</v>
      </c>
      <c r="K2" s="72">
        <f>DATABASE!L337</f>
        <v>0</v>
      </c>
      <c r="L2" s="72">
        <f>DATABASE!M337</f>
        <v>0</v>
      </c>
      <c r="M2" s="72">
        <f>DATABASE!N337</f>
        <v>0</v>
      </c>
      <c r="N2" s="107">
        <f>DATABASE!O337</f>
        <v>111</v>
      </c>
      <c r="O2" s="76">
        <f>DATABASE!P337</f>
        <v>0</v>
      </c>
      <c r="P2" s="77" t="str">
        <f>DATABASE!Q337</f>
        <v>AVAILABLE</v>
      </c>
      <c r="Q2" s="78">
        <f>DATABASE!R337</f>
        <v>840000</v>
      </c>
      <c r="R2" s="78">
        <f>DATABASE!S337</f>
        <v>840000</v>
      </c>
      <c r="S2" s="78">
        <f>DATABASE!T337</f>
        <v>840000</v>
      </c>
      <c r="T2" s="78">
        <f>DATABASE!U337</f>
        <v>0</v>
      </c>
      <c r="U2" s="79">
        <f>DATABASE!V337</f>
        <v>0</v>
      </c>
      <c r="V2" s="79">
        <f>DATABASE!W337</f>
        <v>840000</v>
      </c>
      <c r="W2" s="80">
        <f>DATABASE!X337</f>
        <v>0</v>
      </c>
      <c r="X2" s="79">
        <f>DATABASE!Y337</f>
        <v>820000</v>
      </c>
      <c r="Y2" s="79">
        <f>DATABASE!Z337</f>
        <v>820000</v>
      </c>
      <c r="Z2" s="79" t="e">
        <f>DATABASE!#REF!</f>
        <v>#REF!</v>
      </c>
      <c r="AA2" s="81">
        <f>DATABASE!AA337</f>
        <v>45630</v>
      </c>
      <c r="AB2" s="82">
        <f>DATABASE!AB337</f>
        <v>0</v>
      </c>
    </row>
    <row r="3" spans="1:28" ht="40.15" customHeight="1">
      <c r="A3" s="108" t="str">
        <f>DATABASE!A338</f>
        <v>SPRINGS</v>
      </c>
      <c r="B3" s="83" t="str">
        <f>DATABASE!B338</f>
        <v>Vilamoura</v>
      </c>
      <c r="C3" s="83" t="str">
        <f>DATABASE!C338</f>
        <v>A</v>
      </c>
      <c r="D3" s="85" t="str">
        <f>DATABASE!E338</f>
        <v>V3</v>
      </c>
      <c r="E3" s="85">
        <f>DATABASE!F338</f>
        <v>323.58999999999997</v>
      </c>
      <c r="F3" s="85">
        <f>DATABASE!G338</f>
        <v>165.79</v>
      </c>
      <c r="G3" s="85" t="str">
        <f>DATABASE!H338</f>
        <v/>
      </c>
      <c r="H3" s="86" t="str">
        <f>DATABASE!I338</f>
        <v/>
      </c>
      <c r="I3" s="84">
        <f>DATABASE!J338</f>
        <v>0</v>
      </c>
      <c r="J3" s="84">
        <f>DATABASE!K338</f>
        <v>0</v>
      </c>
      <c r="K3" s="84">
        <f>DATABASE!L338</f>
        <v>0</v>
      </c>
      <c r="L3" s="84">
        <f>DATABASE!M338</f>
        <v>0</v>
      </c>
      <c r="M3" s="84">
        <f>DATABASE!N338</f>
        <v>0</v>
      </c>
      <c r="N3" s="109">
        <f>DATABASE!O338</f>
        <v>157.80000000000001</v>
      </c>
      <c r="O3" s="87">
        <f>DATABASE!P338</f>
        <v>0</v>
      </c>
      <c r="P3" s="88" t="str">
        <f>DATABASE!Q338</f>
        <v xml:space="preserve">PSPA </v>
      </c>
      <c r="Q3" s="78">
        <f>DATABASE!R338</f>
        <v>1852100</v>
      </c>
      <c r="R3" s="78">
        <f>DATABASE!S338</f>
        <v>1941050</v>
      </c>
      <c r="S3" s="78">
        <f>DATABASE!T338</f>
        <v>2000000</v>
      </c>
      <c r="T3" s="78">
        <f>DATABASE!U338</f>
        <v>24600</v>
      </c>
      <c r="U3" s="79">
        <f>DATABASE!V338</f>
        <v>64350</v>
      </c>
      <c r="V3" s="79">
        <f>DATABASE!W338</f>
        <v>1911050</v>
      </c>
      <c r="W3" s="80">
        <f>DATABASE!X338</f>
        <v>1.9356499999999999E-2</v>
      </c>
      <c r="X3" s="79">
        <f>DATABASE!Y338</f>
        <v>1961287</v>
      </c>
      <c r="Y3" s="79">
        <f>DATABASE!Z338</f>
        <v>1872337</v>
      </c>
      <c r="Z3" s="79" t="e">
        <f>DATABASE!#REF!</f>
        <v>#REF!</v>
      </c>
      <c r="AA3" s="81" t="e">
        <f>DATABASE!#REF!</f>
        <v>#REF!</v>
      </c>
      <c r="AB3" s="82">
        <f>DATABASE!AB338</f>
        <v>0</v>
      </c>
    </row>
    <row r="4" spans="1:28" ht="6" customHeight="1">
      <c r="A4" s="71" t="str">
        <f>DATABASE!A339</f>
        <v>THE NINE</v>
      </c>
      <c r="B4" s="89" t="str">
        <f>DATABASE!B339</f>
        <v>Vilamoura</v>
      </c>
      <c r="C4" s="89" t="str">
        <f>DATABASE!C339</f>
        <v>A</v>
      </c>
      <c r="D4" s="91" t="str">
        <f>DATABASE!E339</f>
        <v>T3</v>
      </c>
      <c r="E4" s="91">
        <f>DATABASE!F339</f>
        <v>158</v>
      </c>
      <c r="F4" s="91">
        <f>DATABASE!G339</f>
        <v>0</v>
      </c>
      <c r="G4" s="91" t="str">
        <f>DATABASE!H339</f>
        <v/>
      </c>
      <c r="H4" s="92" t="str">
        <f>DATABASE!I339</f>
        <v/>
      </c>
      <c r="I4" s="90">
        <f>DATABASE!J339</f>
        <v>0</v>
      </c>
      <c r="J4" s="90">
        <f>DATABASE!K339</f>
        <v>0</v>
      </c>
      <c r="K4" s="90">
        <f>DATABASE!L339</f>
        <v>0</v>
      </c>
      <c r="L4" s="90">
        <f>DATABASE!M339</f>
        <v>0</v>
      </c>
      <c r="M4" s="90">
        <f>DATABASE!N339</f>
        <v>0</v>
      </c>
      <c r="N4" s="110">
        <f>DATABASE!O339</f>
        <v>158</v>
      </c>
      <c r="O4" s="88">
        <f>DATABASE!P339</f>
        <v>0</v>
      </c>
      <c r="P4" s="88" t="str">
        <f>DATABASE!Q339</f>
        <v xml:space="preserve">DEED </v>
      </c>
      <c r="Q4" s="78">
        <f>DATABASE!R339</f>
        <v>830000</v>
      </c>
      <c r="R4" s="78">
        <f>DATABASE!S339</f>
        <v>830000</v>
      </c>
      <c r="S4" s="78">
        <f>DATABASE!T339</f>
        <v>850000</v>
      </c>
      <c r="T4" s="78">
        <f>DATABASE!U339</f>
        <v>0</v>
      </c>
      <c r="U4" s="79">
        <f>DATABASE!V339</f>
        <v>0</v>
      </c>
      <c r="V4" s="79">
        <f>DATABASE!W339</f>
        <v>850000</v>
      </c>
      <c r="W4" s="80">
        <f>DATABASE!X339</f>
        <v>0</v>
      </c>
      <c r="X4" s="79">
        <f>DATABASE!Y339</f>
        <v>850000</v>
      </c>
      <c r="Y4" s="79">
        <f>DATABASE!Z339</f>
        <v>850000</v>
      </c>
      <c r="Z4" s="79" t="e">
        <f>DATABASE!#REF!</f>
        <v>#REF!</v>
      </c>
      <c r="AA4" s="81">
        <f>DATABASE!AA339</f>
        <v>45898</v>
      </c>
      <c r="AB4" s="82">
        <f>DATABASE!AB339</f>
        <v>0</v>
      </c>
    </row>
    <row r="5" spans="1:28" ht="19.899999999999999" customHeight="1">
      <c r="A5" s="71" t="str">
        <f>DATABASE!A340</f>
        <v>VM PARQUE</v>
      </c>
      <c r="B5" s="89" t="str">
        <f>DATABASE!B340</f>
        <v>Vilamoura</v>
      </c>
      <c r="C5" s="89" t="str">
        <f>DATABASE!C340</f>
        <v>A</v>
      </c>
      <c r="D5" s="91" t="str">
        <f>DATABASE!E340</f>
        <v>V2</v>
      </c>
      <c r="E5" s="91">
        <f>DATABASE!F340</f>
        <v>165.44130000000001</v>
      </c>
      <c r="F5" s="91">
        <f>DATABASE!G340</f>
        <v>0</v>
      </c>
      <c r="G5" s="91" t="str">
        <f>DATABASE!H340</f>
        <v/>
      </c>
      <c r="H5" s="91" t="str">
        <f>DATABASE!I340</f>
        <v/>
      </c>
      <c r="I5" s="93">
        <f>DATABASE!J340</f>
        <v>0</v>
      </c>
      <c r="J5" s="93">
        <f>DATABASE!K340</f>
        <v>0</v>
      </c>
      <c r="K5" s="93">
        <f>DATABASE!L340</f>
        <v>0</v>
      </c>
      <c r="L5" s="93">
        <f>DATABASE!M340</f>
        <v>0</v>
      </c>
      <c r="M5" s="93">
        <f>DATABASE!N340</f>
        <v>0</v>
      </c>
      <c r="N5" s="111">
        <f>DATABASE!O340</f>
        <v>165.44130000000001</v>
      </c>
      <c r="O5" s="88">
        <f>DATABASE!P340</f>
        <v>0</v>
      </c>
      <c r="P5" s="88" t="str">
        <f>DATABASE!Q340</f>
        <v xml:space="preserve">DEED </v>
      </c>
      <c r="Q5" s="78">
        <f>DATABASE!R340</f>
        <v>1054782</v>
      </c>
      <c r="R5" s="78">
        <f>DATABASE!S340</f>
        <v>1054782</v>
      </c>
      <c r="S5" s="78">
        <f>DATABASE!T340</f>
        <v>1200000</v>
      </c>
      <c r="T5" s="78">
        <f>DATABASE!U340</f>
        <v>0</v>
      </c>
      <c r="U5" s="79">
        <f>DATABASE!V340</f>
        <v>0</v>
      </c>
      <c r="V5" s="79">
        <f>DATABASE!W340</f>
        <v>1200000</v>
      </c>
      <c r="W5" s="80">
        <f>DATABASE!X340</f>
        <v>0</v>
      </c>
      <c r="X5" s="79">
        <f>DATABASE!Y340</f>
        <v>1200000</v>
      </c>
      <c r="Y5" s="79">
        <f>DATABASE!Z340</f>
        <v>1200000</v>
      </c>
      <c r="Z5" s="79" t="e">
        <f>DATABASE!#REF!</f>
        <v>#REF!</v>
      </c>
      <c r="AA5" s="81">
        <f>DATABASE!AA340</f>
        <v>45590</v>
      </c>
      <c r="AB5" s="82">
        <f>DATABASE!AB340</f>
        <v>0</v>
      </c>
    </row>
    <row r="6" spans="1:28" ht="7.9" customHeight="1">
      <c r="A6" s="71" t="str">
        <f>DATABASE!A341</f>
        <v>Aroeira - APARTMENTS</v>
      </c>
      <c r="B6" s="89" t="str">
        <f>DATABASE!B341</f>
        <v>Center</v>
      </c>
      <c r="C6" s="89" t="str">
        <f>DATABASE!C341</f>
        <v>216B</v>
      </c>
      <c r="D6" s="91" t="str">
        <f>DATABASE!E341</f>
        <v>2-BR</v>
      </c>
      <c r="E6" s="91">
        <f>DATABASE!F341</f>
        <v>115.22</v>
      </c>
      <c r="F6" s="91">
        <f>DATABASE!G341</f>
        <v>0</v>
      </c>
      <c r="G6" s="91" t="str">
        <f>DATABASE!H341</f>
        <v>1</v>
      </c>
      <c r="H6" s="91" t="str">
        <f>DATABASE!I341</f>
        <v/>
      </c>
      <c r="I6" s="93">
        <f>DATABASE!J341</f>
        <v>23.35</v>
      </c>
      <c r="J6" s="93">
        <f>DATABASE!K341</f>
        <v>0</v>
      </c>
      <c r="K6" s="93">
        <f>DATABASE!L341</f>
        <v>0</v>
      </c>
      <c r="L6" s="93">
        <f>DATABASE!M341</f>
        <v>0</v>
      </c>
      <c r="M6" s="93">
        <f>DATABASE!N341</f>
        <v>0</v>
      </c>
      <c r="N6" s="111">
        <f>DATABASE!O341</f>
        <v>91.87</v>
      </c>
      <c r="O6" s="88">
        <f>DATABASE!P341</f>
        <v>0</v>
      </c>
      <c r="P6" s="88" t="str">
        <f>DATABASE!Q341</f>
        <v>RESERVED</v>
      </c>
      <c r="Q6" s="78">
        <f>DATABASE!R341</f>
        <v>650000</v>
      </c>
      <c r="R6" s="78">
        <f>DATABASE!S341</f>
        <v>695000</v>
      </c>
      <c r="S6" s="78">
        <f>DATABASE!T341</f>
        <v>695000</v>
      </c>
      <c r="T6" s="78">
        <f>DATABASE!U341</f>
        <v>0</v>
      </c>
      <c r="U6" s="79">
        <f>DATABASE!V341</f>
        <v>45000</v>
      </c>
      <c r="V6" s="79">
        <f>DATABASE!W341</f>
        <v>650000</v>
      </c>
      <c r="W6" s="80">
        <f>DATABASE!X341</f>
        <v>0.02</v>
      </c>
      <c r="X6" s="79">
        <f>DATABASE!Y341</f>
        <v>681100</v>
      </c>
      <c r="Y6" s="79">
        <f>DATABASE!Z341</f>
        <v>636100</v>
      </c>
      <c r="Z6" s="79" t="e">
        <f>DATABASE!#REF!</f>
        <v>#REF!</v>
      </c>
      <c r="AA6" s="81">
        <f>DATABASE!AA341</f>
        <v>46093</v>
      </c>
      <c r="AB6" s="82">
        <f>DATABASE!AB341</f>
        <v>47118</v>
      </c>
    </row>
    <row r="7" spans="1:28" ht="16.149999999999999" customHeight="1">
      <c r="A7" s="71" t="str">
        <f>DATABASE!A342</f>
        <v>Aroeira - APARTMENTS</v>
      </c>
      <c r="B7" s="89" t="str">
        <f>DATABASE!B342</f>
        <v>Center</v>
      </c>
      <c r="C7" s="89" t="str">
        <f>DATABASE!C342</f>
        <v>219B</v>
      </c>
      <c r="D7" s="91" t="str">
        <f>DATABASE!E342</f>
        <v>2-BR</v>
      </c>
      <c r="E7" s="91">
        <f>DATABASE!F342</f>
        <v>115.3</v>
      </c>
      <c r="F7" s="91">
        <f>DATABASE!G342</f>
        <v>0</v>
      </c>
      <c r="G7" s="91" t="str">
        <f>DATABASE!H342</f>
        <v>1</v>
      </c>
      <c r="H7" s="91" t="str">
        <f>DATABASE!I342</f>
        <v/>
      </c>
      <c r="I7" s="93">
        <f>DATABASE!J342</f>
        <v>23.42</v>
      </c>
      <c r="J7" s="93">
        <f>DATABASE!K342</f>
        <v>0</v>
      </c>
      <c r="K7" s="93">
        <f>DATABASE!L342</f>
        <v>0</v>
      </c>
      <c r="L7" s="93">
        <f>DATABASE!M342</f>
        <v>0</v>
      </c>
      <c r="M7" s="93">
        <f>DATABASE!N342</f>
        <v>0</v>
      </c>
      <c r="N7" s="111">
        <f>DATABASE!O342</f>
        <v>91.88</v>
      </c>
      <c r="O7" s="88">
        <f>DATABASE!P342</f>
        <v>0</v>
      </c>
      <c r="P7" s="88" t="str">
        <f>DATABASE!Q342</f>
        <v>AVAILABLE</v>
      </c>
      <c r="Q7" s="78">
        <f>DATABASE!R342</f>
        <v>650000</v>
      </c>
      <c r="R7" s="78">
        <f>DATABASE!S342</f>
        <v>695000</v>
      </c>
      <c r="S7" s="78">
        <f>DATABASE!T342</f>
        <v>695000</v>
      </c>
      <c r="T7" s="78">
        <f>DATABASE!U342</f>
        <v>0</v>
      </c>
      <c r="U7" s="79">
        <f>DATABASE!V342</f>
        <v>45000</v>
      </c>
      <c r="V7" s="79">
        <f>DATABASE!W342</f>
        <v>650000</v>
      </c>
      <c r="W7" s="80">
        <f>DATABASE!X342</f>
        <v>0</v>
      </c>
      <c r="X7" s="79">
        <f>DATABASE!Y342</f>
        <v>0</v>
      </c>
      <c r="Y7" s="79">
        <f>DATABASE!Z342</f>
        <v>-45000</v>
      </c>
      <c r="Z7" s="79" t="e">
        <f>DATABASE!#REF!</f>
        <v>#REF!</v>
      </c>
      <c r="AA7" s="81">
        <f>DATABASE!AA342</f>
        <v>45687</v>
      </c>
      <c r="AB7" s="82">
        <f>DATABASE!AB342</f>
        <v>47118</v>
      </c>
    </row>
    <row r="8" spans="1:28" ht="30" customHeight="1">
      <c r="A8" s="71" t="str">
        <f>DATABASE!A343</f>
        <v>Aroeira - APARTMENTS</v>
      </c>
      <c r="B8" s="89" t="str">
        <f>DATABASE!B343</f>
        <v>Center</v>
      </c>
      <c r="C8" s="89" t="str">
        <f>DATABASE!C343</f>
        <v>212B</v>
      </c>
      <c r="D8" s="91" t="str">
        <f>DATABASE!E343</f>
        <v>2-BR</v>
      </c>
      <c r="E8" s="91">
        <f>DATABASE!F343</f>
        <v>115.24</v>
      </c>
      <c r="F8" s="91">
        <f>DATABASE!G343</f>
        <v>0</v>
      </c>
      <c r="G8" s="91" t="str">
        <f>DATABASE!H343</f>
        <v>1</v>
      </c>
      <c r="H8" s="91" t="str">
        <f>DATABASE!I343</f>
        <v/>
      </c>
      <c r="I8" s="93">
        <f>DATABASE!J343</f>
        <v>23.36</v>
      </c>
      <c r="J8" s="93">
        <f>DATABASE!K343</f>
        <v>0</v>
      </c>
      <c r="K8" s="93">
        <f>DATABASE!L343</f>
        <v>0</v>
      </c>
      <c r="L8" s="93">
        <f>DATABASE!M343</f>
        <v>0</v>
      </c>
      <c r="M8" s="93">
        <f>DATABASE!N343</f>
        <v>0</v>
      </c>
      <c r="N8" s="111">
        <f>DATABASE!O343</f>
        <v>91.88</v>
      </c>
      <c r="O8" s="88">
        <f>DATABASE!P343</f>
        <v>0</v>
      </c>
      <c r="P8" s="88" t="str">
        <f>DATABASE!Q343</f>
        <v>NOT FOR SALE</v>
      </c>
      <c r="Q8" s="78">
        <f>DATABASE!R343</f>
        <v>650000</v>
      </c>
      <c r="R8" s="78">
        <f>DATABASE!S343</f>
        <v>695000</v>
      </c>
      <c r="S8" s="78">
        <f>DATABASE!T343</f>
        <v>770000</v>
      </c>
      <c r="T8" s="78">
        <f>DATABASE!U343</f>
        <v>0</v>
      </c>
      <c r="U8" s="79">
        <f>DATABASE!V343</f>
        <v>45000</v>
      </c>
      <c r="V8" s="79">
        <f>DATABASE!W343</f>
        <v>725000</v>
      </c>
      <c r="W8" s="80">
        <f>DATABASE!X343</f>
        <v>0</v>
      </c>
      <c r="X8" s="79">
        <f>DATABASE!Y343</f>
        <v>0</v>
      </c>
      <c r="Y8" s="79">
        <f>DATABASE!Z343</f>
        <v>-45000</v>
      </c>
      <c r="Z8" s="79" t="e">
        <f>DATABASE!#REF!</f>
        <v>#REF!</v>
      </c>
      <c r="AA8" s="81">
        <f>DATABASE!AA343</f>
        <v>46149</v>
      </c>
      <c r="AB8" s="82">
        <f>DATABASE!AB343</f>
        <v>47118</v>
      </c>
    </row>
    <row r="9" spans="1:28" ht="7.9" customHeight="1">
      <c r="A9" s="71" t="str">
        <f>DATABASE!A344</f>
        <v>Aroeira - APARTMENTS</v>
      </c>
      <c r="B9" s="89" t="str">
        <f>DATABASE!B344</f>
        <v>Center</v>
      </c>
      <c r="C9" s="89" t="str">
        <f>DATABASE!C344</f>
        <v>214B</v>
      </c>
      <c r="D9" s="91" t="str">
        <f>DATABASE!E344</f>
        <v>2-BR</v>
      </c>
      <c r="E9" s="91">
        <f>DATABASE!F344</f>
        <v>115.24</v>
      </c>
      <c r="F9" s="91">
        <f>DATABASE!G344</f>
        <v>0</v>
      </c>
      <c r="G9" s="91" t="str">
        <f>DATABASE!H344</f>
        <v>1</v>
      </c>
      <c r="H9" s="91" t="str">
        <f>DATABASE!I344</f>
        <v/>
      </c>
      <c r="I9" s="93">
        <f>DATABASE!J344</f>
        <v>23.32</v>
      </c>
      <c r="J9" s="93">
        <f>DATABASE!K344</f>
        <v>0</v>
      </c>
      <c r="K9" s="93">
        <f>DATABASE!L344</f>
        <v>0</v>
      </c>
      <c r="L9" s="93">
        <f>DATABASE!M344</f>
        <v>0</v>
      </c>
      <c r="M9" s="93">
        <f>DATABASE!N344</f>
        <v>0</v>
      </c>
      <c r="N9" s="111">
        <f>DATABASE!O344</f>
        <v>91.92</v>
      </c>
      <c r="O9" s="88">
        <f>DATABASE!P344</f>
        <v>0</v>
      </c>
      <c r="P9" s="88" t="str">
        <f>DATABASE!Q344</f>
        <v>NOT FOR SALE</v>
      </c>
      <c r="Q9" s="78">
        <f>DATABASE!R344</f>
        <v>650000</v>
      </c>
      <c r="R9" s="78">
        <f>DATABASE!S344</f>
        <v>695000</v>
      </c>
      <c r="S9" s="78">
        <f>DATABASE!T344</f>
        <v>770000</v>
      </c>
      <c r="T9" s="78">
        <f>DATABASE!U344</f>
        <v>0</v>
      </c>
      <c r="U9" s="79">
        <f>DATABASE!V344</f>
        <v>45000</v>
      </c>
      <c r="V9" s="79">
        <f>DATABASE!W344</f>
        <v>725000</v>
      </c>
      <c r="W9" s="80">
        <f>DATABASE!X344</f>
        <v>0</v>
      </c>
      <c r="X9" s="79">
        <f>DATABASE!Y344</f>
        <v>0</v>
      </c>
      <c r="Y9" s="79">
        <f>DATABASE!Z344</f>
        <v>-45000</v>
      </c>
      <c r="Z9" s="79" t="e">
        <f>DATABASE!#REF!</f>
        <v>#REF!</v>
      </c>
      <c r="AA9" s="81">
        <f>DATABASE!AA344</f>
        <v>45988</v>
      </c>
      <c r="AB9" s="82">
        <f>DATABASE!AB344</f>
        <v>47118</v>
      </c>
    </row>
    <row r="10" spans="1:28" ht="18" customHeight="1">
      <c r="A10" s="71" t="str">
        <f>DATABASE!A345</f>
        <v>Aroeira - HOTEL APARTMENTS</v>
      </c>
      <c r="B10" s="89" t="str">
        <f>DATABASE!B345</f>
        <v>Center</v>
      </c>
      <c r="C10" s="89" t="str">
        <f>DATABASE!C345</f>
        <v>315B</v>
      </c>
      <c r="D10" s="91" t="str">
        <f>DATABASE!E345</f>
        <v>2-BR*</v>
      </c>
      <c r="E10" s="91">
        <f>DATABASE!F345</f>
        <v>98.7</v>
      </c>
      <c r="F10" s="91">
        <f>DATABASE!G345</f>
        <v>0</v>
      </c>
      <c r="G10" s="91" t="str">
        <f>DATABASE!H345</f>
        <v>1</v>
      </c>
      <c r="H10" s="91" t="str">
        <f>DATABASE!I345</f>
        <v/>
      </c>
      <c r="I10" s="93">
        <f>DATABASE!J345</f>
        <v>13.3</v>
      </c>
      <c r="J10" s="93">
        <f>DATABASE!K345</f>
        <v>0</v>
      </c>
      <c r="K10" s="93">
        <f>DATABASE!L345</f>
        <v>0</v>
      </c>
      <c r="L10" s="93">
        <f>DATABASE!M345</f>
        <v>0</v>
      </c>
      <c r="M10" s="93">
        <f>DATABASE!N345</f>
        <v>0</v>
      </c>
      <c r="N10" s="111">
        <f>DATABASE!O345</f>
        <v>85.4</v>
      </c>
      <c r="O10" s="88">
        <f>DATABASE!P345</f>
        <v>0</v>
      </c>
      <c r="P10" s="88" t="str">
        <f>DATABASE!Q345</f>
        <v>AVAILABLE</v>
      </c>
      <c r="Q10" s="78">
        <f>DATABASE!R345</f>
        <v>650000</v>
      </c>
      <c r="R10" s="78">
        <f>DATABASE!S345</f>
        <v>695000</v>
      </c>
      <c r="S10" s="78">
        <f>DATABASE!T345</f>
        <v>695000</v>
      </c>
      <c r="T10" s="78">
        <f>DATABASE!U345</f>
        <v>0</v>
      </c>
      <c r="U10" s="79">
        <f>DATABASE!V345</f>
        <v>45000</v>
      </c>
      <c r="V10" s="79">
        <f>DATABASE!W345</f>
        <v>650000</v>
      </c>
      <c r="W10" s="80">
        <f>DATABASE!X345</f>
        <v>0</v>
      </c>
      <c r="X10" s="79">
        <f>DATABASE!Y345</f>
        <v>0</v>
      </c>
      <c r="Y10" s="79">
        <f>DATABASE!Z345</f>
        <v>-45000</v>
      </c>
      <c r="Z10" s="79" t="e">
        <f>DATABASE!#REF!</f>
        <v>#REF!</v>
      </c>
      <c r="AA10" s="81">
        <f>DATABASE!AA345</f>
        <v>45936</v>
      </c>
      <c r="AB10" s="82">
        <f>DATABASE!AB345</f>
        <v>47118</v>
      </c>
    </row>
    <row r="11" spans="1:28" ht="22.15" customHeight="1">
      <c r="A11" s="71" t="str">
        <f>DATABASE!A346</f>
        <v>Aroeira - HOTEL APARTMENTS</v>
      </c>
      <c r="B11" s="89" t="str">
        <f>DATABASE!B346</f>
        <v>Center</v>
      </c>
      <c r="C11" s="89" t="str">
        <f>DATABASE!C346</f>
        <v>323B</v>
      </c>
      <c r="D11" s="91" t="str">
        <f>DATABASE!E346</f>
        <v>2-BR*</v>
      </c>
      <c r="E11" s="91">
        <f>DATABASE!F346</f>
        <v>98.7</v>
      </c>
      <c r="F11" s="91">
        <f>DATABASE!G346</f>
        <v>0</v>
      </c>
      <c r="G11" s="91" t="str">
        <f>DATABASE!H346</f>
        <v>1</v>
      </c>
      <c r="H11" s="91" t="str">
        <f>DATABASE!I346</f>
        <v/>
      </c>
      <c r="I11" s="93">
        <f>DATABASE!J346</f>
        <v>13.3</v>
      </c>
      <c r="J11" s="93">
        <f>DATABASE!K346</f>
        <v>0</v>
      </c>
      <c r="K11" s="93">
        <f>DATABASE!L346</f>
        <v>0</v>
      </c>
      <c r="L11" s="93">
        <f>DATABASE!M346</f>
        <v>0</v>
      </c>
      <c r="M11" s="93">
        <f>DATABASE!N346</f>
        <v>0</v>
      </c>
      <c r="N11" s="111">
        <f>DATABASE!O346</f>
        <v>85.4</v>
      </c>
      <c r="O11" s="88">
        <f>DATABASE!P346</f>
        <v>0</v>
      </c>
      <c r="P11" s="88" t="str">
        <f>DATABASE!Q346</f>
        <v>AVAILABLE</v>
      </c>
      <c r="Q11" s="78">
        <f>DATABASE!R346</f>
        <v>650000</v>
      </c>
      <c r="R11" s="78">
        <f>DATABASE!S346</f>
        <v>695000</v>
      </c>
      <c r="S11" s="78">
        <f>DATABASE!T346</f>
        <v>695000</v>
      </c>
      <c r="T11" s="78">
        <f>DATABASE!U346</f>
        <v>0</v>
      </c>
      <c r="U11" s="79">
        <f>DATABASE!V346</f>
        <v>45000</v>
      </c>
      <c r="V11" s="79">
        <f>DATABASE!W346</f>
        <v>650000</v>
      </c>
      <c r="W11" s="80">
        <f>DATABASE!X346</f>
        <v>0</v>
      </c>
      <c r="X11" s="79">
        <f>DATABASE!Y346</f>
        <v>0</v>
      </c>
      <c r="Y11" s="79">
        <f>DATABASE!Z346</f>
        <v>-45000</v>
      </c>
      <c r="Z11" s="79" t="e">
        <f>DATABASE!#REF!</f>
        <v>#REF!</v>
      </c>
      <c r="AA11" s="81">
        <f>DATABASE!AA346</f>
        <v>45985</v>
      </c>
      <c r="AB11" s="82">
        <f>DATABASE!AB346</f>
        <v>47118</v>
      </c>
    </row>
    <row r="12" spans="1:28" ht="18" customHeight="1">
      <c r="A12" s="71" t="str">
        <f>DATABASE!A347</f>
        <v>ZESTIA</v>
      </c>
      <c r="B12" s="89" t="str">
        <f>DATABASE!B347</f>
        <v>Vilamoura</v>
      </c>
      <c r="C12" s="89" t="str">
        <f>DATABASE!C347</f>
        <v>A</v>
      </c>
      <c r="D12" s="91" t="str">
        <f>DATABASE!E347</f>
        <v>T2</v>
      </c>
      <c r="E12" s="91">
        <f>DATABASE!F347</f>
        <v>118.78</v>
      </c>
      <c r="F12" s="91">
        <f>DATABASE!G347</f>
        <v>0</v>
      </c>
      <c r="G12" s="91" t="str">
        <f>DATABASE!H347</f>
        <v/>
      </c>
      <c r="H12" s="91" t="str">
        <f>DATABASE!I347</f>
        <v/>
      </c>
      <c r="I12" s="93">
        <f>DATABASE!J347</f>
        <v>28.9</v>
      </c>
      <c r="J12" s="93">
        <f>DATABASE!K347</f>
        <v>0</v>
      </c>
      <c r="K12" s="93">
        <f>DATABASE!L347</f>
        <v>0</v>
      </c>
      <c r="L12" s="93">
        <f>DATABASE!M347</f>
        <v>0</v>
      </c>
      <c r="M12" s="93">
        <f>DATABASE!N347</f>
        <v>0</v>
      </c>
      <c r="N12" s="111">
        <f>DATABASE!O347</f>
        <v>89.88</v>
      </c>
      <c r="O12" s="88">
        <f>DATABASE!P347</f>
        <v>0</v>
      </c>
      <c r="P12" s="88" t="str">
        <f>DATABASE!Q347</f>
        <v>AVAILABLE</v>
      </c>
      <c r="Q12" s="78">
        <f>DATABASE!R347</f>
        <v>676586.24</v>
      </c>
      <c r="R12" s="78">
        <f>DATABASE!S347</f>
        <v>741186.24</v>
      </c>
      <c r="S12" s="78">
        <f>DATABASE!T347</f>
        <v>790000</v>
      </c>
      <c r="T12" s="78">
        <f>DATABASE!U347</f>
        <v>24600</v>
      </c>
      <c r="U12" s="79">
        <f>DATABASE!V347</f>
        <v>40000</v>
      </c>
      <c r="V12" s="79">
        <f>DATABASE!W347</f>
        <v>725400</v>
      </c>
      <c r="W12" s="80">
        <f>DATABASE!X347</f>
        <v>0</v>
      </c>
      <c r="X12" s="79">
        <f>DATABASE!Y347</f>
        <v>790000</v>
      </c>
      <c r="Y12" s="79">
        <f>DATABASE!Z347</f>
        <v>725400</v>
      </c>
      <c r="Z12" s="79" t="e">
        <f>DATABASE!#REF!</f>
        <v>#REF!</v>
      </c>
      <c r="AA12" s="81">
        <f>DATABASE!AA347</f>
        <v>46090</v>
      </c>
      <c r="AB12" s="82">
        <f>DATABASE!AB347</f>
        <v>0</v>
      </c>
    </row>
    <row r="13" spans="1:28" ht="18" customHeight="1">
      <c r="A13" s="71" t="str">
        <f>DATABASE!A348</f>
        <v>BOTÂNICA</v>
      </c>
      <c r="B13" s="89" t="str">
        <f>DATABASE!B348</f>
        <v>Vilamoura</v>
      </c>
      <c r="C13" s="89" t="str">
        <f>DATABASE!C348</f>
        <v>AA</v>
      </c>
      <c r="D13" s="91" t="str">
        <f>DATABASE!E348</f>
        <v>T2</v>
      </c>
      <c r="E13" s="91">
        <f>DATABASE!F348</f>
        <v>151.47999999999999</v>
      </c>
      <c r="F13" s="91">
        <f>DATABASE!G348</f>
        <v>0</v>
      </c>
      <c r="G13" s="91" t="str">
        <f>DATABASE!H348</f>
        <v>2</v>
      </c>
      <c r="H13" s="91" t="str">
        <f>DATABASE!I348</f>
        <v/>
      </c>
      <c r="I13" s="93">
        <f>DATABASE!J348</f>
        <v>27.61</v>
      </c>
      <c r="J13" s="93">
        <f>DATABASE!K348</f>
        <v>0</v>
      </c>
      <c r="K13" s="93">
        <f>DATABASE!L348</f>
        <v>0</v>
      </c>
      <c r="L13" s="93">
        <f>DATABASE!M348</f>
        <v>0</v>
      </c>
      <c r="M13" s="93">
        <f>DATABASE!N348</f>
        <v>0</v>
      </c>
      <c r="N13" s="111">
        <f>DATABASE!O348</f>
        <v>123.87</v>
      </c>
      <c r="O13" s="88">
        <f>DATABASE!P348</f>
        <v>0</v>
      </c>
      <c r="P13" s="88" t="str">
        <f>DATABASE!Q348</f>
        <v>RESERVED</v>
      </c>
      <c r="Q13" s="78">
        <f>DATABASE!R348</f>
        <v>1064095.956</v>
      </c>
      <c r="R13" s="78">
        <f>DATABASE!S348</f>
        <v>1064095.956</v>
      </c>
      <c r="S13" s="78">
        <f>DATABASE!T348</f>
        <v>1070000</v>
      </c>
      <c r="T13" s="78">
        <f>DATABASE!U348</f>
        <v>0</v>
      </c>
      <c r="U13" s="79">
        <f>DATABASE!V348</f>
        <v>0</v>
      </c>
      <c r="V13" s="79">
        <f>DATABASE!W348</f>
        <v>1070000</v>
      </c>
      <c r="W13" s="80">
        <f>DATABASE!X348</f>
        <v>0.08</v>
      </c>
      <c r="X13" s="79">
        <f>DATABASE!Y348</f>
        <v>984400</v>
      </c>
      <c r="Y13" s="79">
        <f>DATABASE!Z348</f>
        <v>984400</v>
      </c>
      <c r="Z13" s="79" t="e">
        <f>DATABASE!#REF!</f>
        <v>#REF!</v>
      </c>
      <c r="AA13" s="81">
        <f>DATABASE!AA348</f>
        <v>46013</v>
      </c>
      <c r="AB13" s="82">
        <f>DATABASE!AB348</f>
        <v>0</v>
      </c>
    </row>
    <row r="14" spans="1:28" ht="18" customHeight="1">
      <c r="A14" s="71" t="str">
        <f>DATABASE!A349</f>
        <v>Palmares - Signature Apartments</v>
      </c>
      <c r="B14" s="89" t="str">
        <f>DATABASE!B349</f>
        <v>Algarve</v>
      </c>
      <c r="C14" s="89" t="str">
        <f>DATABASE!C349</f>
        <v>818B (ACESS.)</v>
      </c>
      <c r="D14" s="91" t="str">
        <f>DATABASE!E349</f>
        <v>T1</v>
      </c>
      <c r="E14" s="91">
        <f>DATABASE!F349</f>
        <v>117.1</v>
      </c>
      <c r="F14" s="91">
        <f>DATABASE!G349</f>
        <v>0</v>
      </c>
      <c r="G14" s="91" t="str">
        <f>DATABASE!H349</f>
        <v>87+88</v>
      </c>
      <c r="H14" s="91" t="str">
        <f>DATABASE!I349</f>
        <v/>
      </c>
      <c r="I14" s="93">
        <f>DATABASE!J349</f>
        <v>0</v>
      </c>
      <c r="J14" s="93">
        <f>DATABASE!K349</f>
        <v>0</v>
      </c>
      <c r="K14" s="93">
        <f>DATABASE!L349</f>
        <v>0</v>
      </c>
      <c r="L14" s="93">
        <f>DATABASE!M349</f>
        <v>48.05</v>
      </c>
      <c r="M14" s="93">
        <f>DATABASE!N349</f>
        <v>0</v>
      </c>
      <c r="N14" s="111">
        <f>DATABASE!O349</f>
        <v>69.05</v>
      </c>
      <c r="O14" s="88">
        <f>DATABASE!P349</f>
        <v>0</v>
      </c>
      <c r="P14" s="88" t="str">
        <f>DATABASE!Q349</f>
        <v xml:space="preserve">PSPA </v>
      </c>
      <c r="Q14" s="78">
        <f>DATABASE!R349</f>
        <v>440000</v>
      </c>
      <c r="R14" s="78">
        <f>DATABASE!S349</f>
        <v>440000</v>
      </c>
      <c r="S14" s="78">
        <f>DATABASE!T349</f>
        <v>450000</v>
      </c>
      <c r="T14" s="78">
        <f>DATABASE!U349</f>
        <v>0</v>
      </c>
      <c r="U14" s="79">
        <f>DATABASE!V349</f>
        <v>0</v>
      </c>
      <c r="V14" s="79">
        <f>DATABASE!W349</f>
        <v>450000</v>
      </c>
      <c r="W14" s="80">
        <f>DATABASE!X349</f>
        <v>0</v>
      </c>
      <c r="X14" s="79">
        <f>DATABASE!Y349</f>
        <v>450000</v>
      </c>
      <c r="Y14" s="79">
        <f>DATABASE!Z349</f>
        <v>450000</v>
      </c>
      <c r="Z14" s="79" t="e">
        <f>DATABASE!#REF!</f>
        <v>#REF!</v>
      </c>
      <c r="AA14" s="81" t="e">
        <f>DATABASE!#REF!</f>
        <v>#REF!</v>
      </c>
      <c r="AB14" s="82">
        <f>DATABASE!AB349</f>
        <v>46843</v>
      </c>
    </row>
    <row r="15" spans="1:28" ht="19.899999999999999" customHeight="1">
      <c r="A15" s="71" t="str">
        <f>DATABASE!A350</f>
        <v>NOBILUS</v>
      </c>
      <c r="B15" s="89" t="str">
        <f>DATABASE!B350</f>
        <v>Vilamoura</v>
      </c>
      <c r="C15" s="89" t="str">
        <f>DATABASE!C350</f>
        <v>AA</v>
      </c>
      <c r="D15" s="91" t="str">
        <f>DATABASE!E350</f>
        <v>T2</v>
      </c>
      <c r="E15" s="91">
        <f>DATABASE!F350</f>
        <v>106.14</v>
      </c>
      <c r="F15" s="91">
        <f>DATABASE!G350</f>
        <v>0</v>
      </c>
      <c r="G15" s="91" t="str">
        <f>DATABASE!H350</f>
        <v>50</v>
      </c>
      <c r="H15" s="91" t="str">
        <f>DATABASE!I350</f>
        <v/>
      </c>
      <c r="I15" s="93">
        <f>DATABASE!J350</f>
        <v>0</v>
      </c>
      <c r="J15" s="93">
        <f>DATABASE!K350</f>
        <v>0</v>
      </c>
      <c r="K15" s="93">
        <f>DATABASE!L350</f>
        <v>0</v>
      </c>
      <c r="L15" s="93">
        <f>DATABASE!M350</f>
        <v>0</v>
      </c>
      <c r="M15" s="93">
        <f>DATABASE!N350</f>
        <v>0</v>
      </c>
      <c r="N15" s="111">
        <f>DATABASE!O350</f>
        <v>106.14</v>
      </c>
      <c r="O15" s="88">
        <f>DATABASE!P350</f>
        <v>0</v>
      </c>
      <c r="P15" s="88" t="str">
        <f>DATABASE!Q350</f>
        <v>AVAILABLE</v>
      </c>
      <c r="Q15" s="78">
        <f>DATABASE!R350</f>
        <v>710000</v>
      </c>
      <c r="R15" s="78">
        <f>DATABASE!S350</f>
        <v>710000</v>
      </c>
      <c r="S15" s="78">
        <f>DATABASE!T350</f>
        <v>710000</v>
      </c>
      <c r="T15" s="78">
        <f>DATABASE!U350</f>
        <v>0</v>
      </c>
      <c r="U15" s="79">
        <f>DATABASE!V350</f>
        <v>0</v>
      </c>
      <c r="V15" s="79">
        <f>DATABASE!W350</f>
        <v>710000</v>
      </c>
      <c r="W15" s="80">
        <f>DATABASE!X350</f>
        <v>0</v>
      </c>
      <c r="X15" s="79">
        <f>DATABASE!Y350</f>
        <v>710000</v>
      </c>
      <c r="Y15" s="79">
        <f>DATABASE!Z350</f>
        <v>710000</v>
      </c>
      <c r="Z15" s="79" t="e">
        <f>DATABASE!#REF!</f>
        <v>#REF!</v>
      </c>
      <c r="AA15" s="81">
        <f>DATABASE!AA350</f>
        <v>0</v>
      </c>
      <c r="AB15" s="82">
        <f>DATABASE!AB350</f>
        <v>0</v>
      </c>
    </row>
    <row r="16" spans="1:28" ht="19.899999999999999" customHeight="1">
      <c r="A16" s="71" t="str">
        <f>DATABASE!A351</f>
        <v>Rivus</v>
      </c>
      <c r="B16" s="89" t="str">
        <f>DATABASE!B351</f>
        <v>Vilamoura</v>
      </c>
      <c r="C16" s="89" t="str">
        <f>DATABASE!C351</f>
        <v>AA</v>
      </c>
      <c r="D16" s="91" t="str">
        <f>DATABASE!E351</f>
        <v>T2</v>
      </c>
      <c r="E16" s="91">
        <f>DATABASE!F351</f>
        <v>0</v>
      </c>
      <c r="F16" s="91">
        <f>DATABASE!G351</f>
        <v>0</v>
      </c>
      <c r="G16" s="91" t="str">
        <f>DATABASE!H351</f>
        <v/>
      </c>
      <c r="H16" s="91" t="str">
        <f>DATABASE!I351</f>
        <v/>
      </c>
      <c r="I16" s="93">
        <f>DATABASE!J351</f>
        <v>0</v>
      </c>
      <c r="J16" s="93">
        <f>DATABASE!K351</f>
        <v>0</v>
      </c>
      <c r="K16" s="93">
        <f>DATABASE!L351</f>
        <v>0</v>
      </c>
      <c r="L16" s="93">
        <f>DATABASE!M351</f>
        <v>21</v>
      </c>
      <c r="M16" s="93">
        <f>DATABASE!N351</f>
        <v>0</v>
      </c>
      <c r="N16" s="111">
        <f>DATABASE!O351</f>
        <v>108</v>
      </c>
      <c r="O16" s="88">
        <f>DATABASE!P351</f>
        <v>0</v>
      </c>
      <c r="P16" s="88" t="str">
        <f>DATABASE!Q351</f>
        <v>AVAILABLE</v>
      </c>
      <c r="Q16" s="78">
        <f>DATABASE!R351</f>
        <v>840000</v>
      </c>
      <c r="R16" s="78">
        <f>DATABASE!S351</f>
        <v>840000</v>
      </c>
      <c r="S16" s="78">
        <f>DATABASE!T351</f>
        <v>840000</v>
      </c>
      <c r="T16" s="78">
        <f>DATABASE!U351</f>
        <v>0</v>
      </c>
      <c r="U16" s="79">
        <f>DATABASE!V351</f>
        <v>0</v>
      </c>
      <c r="V16" s="79">
        <f>DATABASE!W351</f>
        <v>840000</v>
      </c>
      <c r="W16" s="80">
        <f>DATABASE!X351</f>
        <v>0</v>
      </c>
      <c r="X16" s="79">
        <f>DATABASE!Y351</f>
        <v>820000</v>
      </c>
      <c r="Y16" s="79">
        <f>DATABASE!Z351</f>
        <v>820000</v>
      </c>
      <c r="Z16" s="79" t="e">
        <f>DATABASE!#REF!</f>
        <v>#REF!</v>
      </c>
      <c r="AA16" s="81">
        <f>DATABASE!AA351</f>
        <v>0</v>
      </c>
      <c r="AB16" s="82">
        <f>DATABASE!AB351</f>
        <v>0</v>
      </c>
    </row>
    <row r="17" spans="1:28" ht="18" customHeight="1">
      <c r="A17" s="71" t="str">
        <f>DATABASE!A352</f>
        <v>SPRINGS</v>
      </c>
      <c r="B17" s="89" t="str">
        <f>DATABASE!B352</f>
        <v>Vilamoura</v>
      </c>
      <c r="C17" s="89" t="str">
        <f>DATABASE!C352</f>
        <v>AA</v>
      </c>
      <c r="D17" s="91" t="str">
        <f>DATABASE!E352</f>
        <v>V4 Duplex</v>
      </c>
      <c r="E17" s="91">
        <f>DATABASE!F352</f>
        <v>404.86</v>
      </c>
      <c r="F17" s="91">
        <f>DATABASE!G352</f>
        <v>163.77000000000001</v>
      </c>
      <c r="G17" s="91" t="str">
        <f>DATABASE!H352</f>
        <v/>
      </c>
      <c r="H17" s="91" t="str">
        <f>DATABASE!I352</f>
        <v/>
      </c>
      <c r="I17" s="93">
        <f>DATABASE!J352</f>
        <v>19.649999999999999</v>
      </c>
      <c r="J17" s="93">
        <f>DATABASE!K352</f>
        <v>0</v>
      </c>
      <c r="K17" s="93">
        <f>DATABASE!L352</f>
        <v>0</v>
      </c>
      <c r="L17" s="93">
        <f>DATABASE!M352</f>
        <v>0</v>
      </c>
      <c r="M17" s="93">
        <f>DATABASE!N352</f>
        <v>0</v>
      </c>
      <c r="N17" s="111">
        <f>DATABASE!O352</f>
        <v>221.44</v>
      </c>
      <c r="O17" s="88">
        <f>DATABASE!P352</f>
        <v>0</v>
      </c>
      <c r="P17" s="88" t="str">
        <f>DATABASE!Q352</f>
        <v>AVAILABLE</v>
      </c>
      <c r="Q17" s="78">
        <f>DATABASE!R352</f>
        <v>2614600</v>
      </c>
      <c r="R17" s="78">
        <f>DATABASE!S352</f>
        <v>2722300</v>
      </c>
      <c r="S17" s="78">
        <f>DATABASE!T352</f>
        <v>2830000</v>
      </c>
      <c r="T17" s="78">
        <f>DATABASE!U352</f>
        <v>24600</v>
      </c>
      <c r="U17" s="79">
        <f>DATABASE!V352</f>
        <v>83100</v>
      </c>
      <c r="V17" s="79">
        <f>DATABASE!W352</f>
        <v>2722300</v>
      </c>
      <c r="W17" s="80">
        <f>DATABASE!X352</f>
        <v>0</v>
      </c>
      <c r="X17" s="79">
        <f>DATABASE!Y352</f>
        <v>2830000</v>
      </c>
      <c r="Y17" s="79">
        <f>DATABASE!Z352</f>
        <v>2722300</v>
      </c>
      <c r="Z17" s="79" t="e">
        <f>DATABASE!#REF!</f>
        <v>#REF!</v>
      </c>
      <c r="AA17" s="81">
        <f>DATABASE!AA352</f>
        <v>0</v>
      </c>
      <c r="AB17" s="82">
        <f>DATABASE!AB352</f>
        <v>0</v>
      </c>
    </row>
    <row r="18" spans="1:28" ht="18" customHeight="1">
      <c r="A18" s="71" t="str">
        <f>DATABASE!A353</f>
        <v>TERRACOTA</v>
      </c>
      <c r="B18" s="89" t="str">
        <f>DATABASE!B353</f>
        <v>Vilamoura</v>
      </c>
      <c r="C18" s="89" t="str">
        <f>DATABASE!C353</f>
        <v>AA</v>
      </c>
      <c r="D18" s="91" t="str">
        <f>DATABASE!E353</f>
        <v>T3</v>
      </c>
      <c r="E18" s="91">
        <f>DATABASE!F353</f>
        <v>130.91999999999999</v>
      </c>
      <c r="F18" s="91">
        <f>DATABASE!G353</f>
        <v>0</v>
      </c>
      <c r="G18" s="91" t="str">
        <f>DATABASE!H353</f>
        <v/>
      </c>
      <c r="H18" s="91" t="str">
        <f>DATABASE!I353</f>
        <v/>
      </c>
      <c r="I18" s="93">
        <f>DATABASE!J353</f>
        <v>0</v>
      </c>
      <c r="J18" s="93">
        <f>DATABASE!K353</f>
        <v>0</v>
      </c>
      <c r="K18" s="93">
        <f>DATABASE!L353</f>
        <v>0</v>
      </c>
      <c r="L18" s="93">
        <f>DATABASE!M353</f>
        <v>0</v>
      </c>
      <c r="M18" s="93">
        <f>DATABASE!N353</f>
        <v>0</v>
      </c>
      <c r="N18" s="111">
        <f>DATABASE!O353</f>
        <v>130.91999999999999</v>
      </c>
      <c r="O18" s="88">
        <f>DATABASE!P353</f>
        <v>0</v>
      </c>
      <c r="P18" s="88" t="str">
        <f>DATABASE!Q353</f>
        <v xml:space="preserve">PSPA </v>
      </c>
      <c r="Q18" s="78">
        <f>DATABASE!R353</f>
        <v>660000</v>
      </c>
      <c r="R18" s="78">
        <f>DATABASE!S353</f>
        <v>660000</v>
      </c>
      <c r="S18" s="78">
        <f>DATABASE!T353</f>
        <v>660000</v>
      </c>
      <c r="T18" s="78">
        <f>DATABASE!U353</f>
        <v>0</v>
      </c>
      <c r="U18" s="79">
        <f>DATABASE!V353</f>
        <v>0</v>
      </c>
      <c r="V18" s="79">
        <f>DATABASE!W353</f>
        <v>660000</v>
      </c>
      <c r="W18" s="80">
        <f>DATABASE!X353</f>
        <v>0</v>
      </c>
      <c r="X18" s="79">
        <f>DATABASE!Y353</f>
        <v>660000</v>
      </c>
      <c r="Y18" s="79">
        <f>DATABASE!Z353</f>
        <v>660000</v>
      </c>
      <c r="Z18" s="79" t="e">
        <f>DATABASE!#REF!</f>
        <v>#REF!</v>
      </c>
      <c r="AA18" s="81" t="e">
        <f>DATABASE!#REF!</f>
        <v>#REF!</v>
      </c>
      <c r="AB18" s="82">
        <f>DATABASE!AB353</f>
        <v>0</v>
      </c>
    </row>
    <row r="19" spans="1:28" ht="18" customHeight="1">
      <c r="A19" s="71" t="str">
        <f>DATABASE!A354</f>
        <v>THE NINE</v>
      </c>
      <c r="B19" s="89" t="str">
        <f>DATABASE!B354</f>
        <v>Vilamoura</v>
      </c>
      <c r="C19" s="89" t="str">
        <f>DATABASE!C354</f>
        <v>AA</v>
      </c>
      <c r="D19" s="91" t="str">
        <f>DATABASE!E354</f>
        <v>T2</v>
      </c>
      <c r="E19" s="91">
        <f>DATABASE!F354</f>
        <v>117</v>
      </c>
      <c r="F19" s="91">
        <f>DATABASE!G354</f>
        <v>0</v>
      </c>
      <c r="G19" s="91" t="str">
        <f>DATABASE!H354</f>
        <v/>
      </c>
      <c r="H19" s="91" t="str">
        <f>DATABASE!I354</f>
        <v/>
      </c>
      <c r="I19" s="93">
        <f>DATABASE!J354</f>
        <v>0</v>
      </c>
      <c r="J19" s="93">
        <f>DATABASE!K354</f>
        <v>0</v>
      </c>
      <c r="K19" s="93">
        <f>DATABASE!L354</f>
        <v>0</v>
      </c>
      <c r="L19" s="93">
        <f>DATABASE!M354</f>
        <v>0</v>
      </c>
      <c r="M19" s="93">
        <f>DATABASE!N354</f>
        <v>0</v>
      </c>
      <c r="N19" s="111">
        <f>DATABASE!O354</f>
        <v>117</v>
      </c>
      <c r="O19" s="88">
        <f>DATABASE!P354</f>
        <v>0</v>
      </c>
      <c r="P19" s="88" t="str">
        <f>DATABASE!Q354</f>
        <v xml:space="preserve">DEED </v>
      </c>
      <c r="Q19" s="78">
        <f>DATABASE!R354</f>
        <v>490000</v>
      </c>
      <c r="R19" s="78">
        <f>DATABASE!S354</f>
        <v>490000</v>
      </c>
      <c r="S19" s="78">
        <f>DATABASE!T354</f>
        <v>490000</v>
      </c>
      <c r="T19" s="78">
        <f>DATABASE!U354</f>
        <v>0</v>
      </c>
      <c r="U19" s="79">
        <f>DATABASE!V354</f>
        <v>0</v>
      </c>
      <c r="V19" s="79">
        <f>DATABASE!W354</f>
        <v>490000</v>
      </c>
      <c r="W19" s="80">
        <f>DATABASE!X354</f>
        <v>0</v>
      </c>
      <c r="X19" s="79">
        <f>DATABASE!Y354</f>
        <v>490000</v>
      </c>
      <c r="Y19" s="79">
        <f>DATABASE!Z354</f>
        <v>490000</v>
      </c>
      <c r="Z19" s="79" t="e">
        <f>DATABASE!#REF!</f>
        <v>#REF!</v>
      </c>
      <c r="AA19" s="81">
        <f>DATABASE!AA354</f>
        <v>46125</v>
      </c>
      <c r="AB19" s="82">
        <f>DATABASE!AB354</f>
        <v>0</v>
      </c>
    </row>
    <row r="20" spans="1:28" ht="18" customHeight="1">
      <c r="A20" s="71" t="str">
        <f>DATABASE!A355</f>
        <v>Aroeira - APARTMENTS</v>
      </c>
      <c r="B20" s="89" t="str">
        <f>DATABASE!B355</f>
        <v>Center</v>
      </c>
      <c r="C20" s="89" t="str">
        <f>DATABASE!C355</f>
        <v>211B</v>
      </c>
      <c r="D20" s="91" t="str">
        <f>DATABASE!E355</f>
        <v>2-BR</v>
      </c>
      <c r="E20" s="91">
        <f>DATABASE!F355</f>
        <v>116.52</v>
      </c>
      <c r="F20" s="91">
        <f>DATABASE!G355</f>
        <v>0</v>
      </c>
      <c r="G20" s="91" t="str">
        <f>DATABASE!H355</f>
        <v>1</v>
      </c>
      <c r="H20" s="91" t="str">
        <f>DATABASE!I355</f>
        <v/>
      </c>
      <c r="I20" s="93">
        <f>DATABASE!J355</f>
        <v>23.67</v>
      </c>
      <c r="J20" s="93">
        <f>DATABASE!K355</f>
        <v>0</v>
      </c>
      <c r="K20" s="93">
        <f>DATABASE!L355</f>
        <v>0</v>
      </c>
      <c r="L20" s="93">
        <f>DATABASE!M355</f>
        <v>0</v>
      </c>
      <c r="M20" s="93">
        <f>DATABASE!N355</f>
        <v>0</v>
      </c>
      <c r="N20" s="111">
        <f>DATABASE!O355</f>
        <v>92.85</v>
      </c>
      <c r="O20" s="88">
        <f>DATABASE!P355</f>
        <v>0</v>
      </c>
      <c r="P20" s="88" t="str">
        <f>DATABASE!Q355</f>
        <v>NOT FOR SALE</v>
      </c>
      <c r="Q20" s="78">
        <f>DATABASE!R355</f>
        <v>660000</v>
      </c>
      <c r="R20" s="78">
        <f>DATABASE!S355</f>
        <v>705000</v>
      </c>
      <c r="S20" s="78">
        <f>DATABASE!T355</f>
        <v>780000</v>
      </c>
      <c r="T20" s="78">
        <f>DATABASE!U355</f>
        <v>0</v>
      </c>
      <c r="U20" s="79">
        <f>DATABASE!V355</f>
        <v>45000</v>
      </c>
      <c r="V20" s="79">
        <f>DATABASE!W355</f>
        <v>735000</v>
      </c>
      <c r="W20" s="80">
        <f>DATABASE!X355</f>
        <v>0</v>
      </c>
      <c r="X20" s="79">
        <f>DATABASE!Y355</f>
        <v>0</v>
      </c>
      <c r="Y20" s="79">
        <f>DATABASE!Z355</f>
        <v>-45000</v>
      </c>
      <c r="Z20" s="79" t="e">
        <f>DATABASE!#REF!</f>
        <v>#REF!</v>
      </c>
      <c r="AA20" s="81">
        <f>DATABASE!AA355</f>
        <v>0</v>
      </c>
      <c r="AB20" s="82">
        <f>DATABASE!AB355</f>
        <v>47118</v>
      </c>
    </row>
    <row r="21" spans="1:28" ht="7.9" customHeight="1">
      <c r="A21" s="71" t="str">
        <f>DATABASE!A356</f>
        <v>Aroeira - APARTMENTS</v>
      </c>
      <c r="B21" s="89" t="str">
        <f>DATABASE!B356</f>
        <v>Center</v>
      </c>
      <c r="C21" s="89" t="str">
        <f>DATABASE!C356</f>
        <v>218B</v>
      </c>
      <c r="D21" s="91" t="str">
        <f>DATABASE!E356</f>
        <v>2-BR</v>
      </c>
      <c r="E21" s="91">
        <f>DATABASE!F356</f>
        <v>116.58</v>
      </c>
      <c r="F21" s="91">
        <f>DATABASE!G356</f>
        <v>0</v>
      </c>
      <c r="G21" s="91" t="str">
        <f>DATABASE!H356</f>
        <v>1</v>
      </c>
      <c r="H21" s="91" t="str">
        <f>DATABASE!I356</f>
        <v/>
      </c>
      <c r="I21" s="93">
        <f>DATABASE!J356</f>
        <v>23.68</v>
      </c>
      <c r="J21" s="93">
        <f>DATABASE!K356</f>
        <v>0</v>
      </c>
      <c r="K21" s="93">
        <f>DATABASE!L356</f>
        <v>0</v>
      </c>
      <c r="L21" s="93">
        <f>DATABASE!M356</f>
        <v>0</v>
      </c>
      <c r="M21" s="93">
        <f>DATABASE!N356</f>
        <v>0</v>
      </c>
      <c r="N21" s="111">
        <f>DATABASE!O356</f>
        <v>92.9</v>
      </c>
      <c r="O21" s="88">
        <f>DATABASE!P356</f>
        <v>0</v>
      </c>
      <c r="P21" s="88" t="str">
        <f>DATABASE!Q356</f>
        <v>NOT FOR SALE</v>
      </c>
      <c r="Q21" s="78">
        <f>DATABASE!R356</f>
        <v>660000</v>
      </c>
      <c r="R21" s="78">
        <f>DATABASE!S356</f>
        <v>705000</v>
      </c>
      <c r="S21" s="78">
        <f>DATABASE!T356</f>
        <v>780000</v>
      </c>
      <c r="T21" s="78">
        <f>DATABASE!U356</f>
        <v>0</v>
      </c>
      <c r="U21" s="79">
        <f>DATABASE!V356</f>
        <v>45000</v>
      </c>
      <c r="V21" s="79">
        <f>DATABASE!W356</f>
        <v>735000</v>
      </c>
      <c r="W21" s="80">
        <f>DATABASE!X356</f>
        <v>0</v>
      </c>
      <c r="X21" s="79">
        <f>DATABASE!Y356</f>
        <v>0</v>
      </c>
      <c r="Y21" s="79">
        <f>DATABASE!Z356</f>
        <v>-45000</v>
      </c>
      <c r="Z21" s="79" t="e">
        <f>DATABASE!#REF!</f>
        <v>#REF!</v>
      </c>
      <c r="AA21" s="81">
        <f>DATABASE!AA356</f>
        <v>0</v>
      </c>
      <c r="AB21" s="82">
        <f>DATABASE!AB356</f>
        <v>47118</v>
      </c>
    </row>
    <row r="22" spans="1:28" ht="25.9" customHeight="1">
      <c r="A22" s="71" t="str">
        <f>DATABASE!A357</f>
        <v>Aroeira - APARTMENTS</v>
      </c>
      <c r="B22" s="89" t="str">
        <f>DATABASE!B357</f>
        <v>Center</v>
      </c>
      <c r="C22" s="89" t="str">
        <f>DATABASE!C357</f>
        <v>220B</v>
      </c>
      <c r="D22" s="91" t="str">
        <f>DATABASE!E357</f>
        <v>2-BR</v>
      </c>
      <c r="E22" s="91">
        <f>DATABASE!F357</f>
        <v>116.58</v>
      </c>
      <c r="F22" s="91">
        <f>DATABASE!G357</f>
        <v>0</v>
      </c>
      <c r="G22" s="91" t="str">
        <f>DATABASE!H357</f>
        <v>1</v>
      </c>
      <c r="H22" s="91" t="str">
        <f>DATABASE!I357</f>
        <v/>
      </c>
      <c r="I22" s="93">
        <f>DATABASE!J357</f>
        <v>23.68</v>
      </c>
      <c r="J22" s="93">
        <f>DATABASE!K357</f>
        <v>0</v>
      </c>
      <c r="K22" s="93">
        <f>DATABASE!L357</f>
        <v>0</v>
      </c>
      <c r="L22" s="93">
        <f>DATABASE!M357</f>
        <v>0</v>
      </c>
      <c r="M22" s="93">
        <f>DATABASE!N357</f>
        <v>0</v>
      </c>
      <c r="N22" s="111">
        <f>DATABASE!O357</f>
        <v>92.9</v>
      </c>
      <c r="O22" s="88">
        <f>DATABASE!P357</f>
        <v>0</v>
      </c>
      <c r="P22" s="88" t="str">
        <f>DATABASE!Q357</f>
        <v>NOT FOR SALE</v>
      </c>
      <c r="Q22" s="78">
        <f>DATABASE!R357</f>
        <v>660000</v>
      </c>
      <c r="R22" s="78">
        <f>DATABASE!S357</f>
        <v>705000</v>
      </c>
      <c r="S22" s="78">
        <f>DATABASE!T357</f>
        <v>705000</v>
      </c>
      <c r="T22" s="78">
        <f>DATABASE!U357</f>
        <v>0</v>
      </c>
      <c r="U22" s="79">
        <f>DATABASE!V357</f>
        <v>45000</v>
      </c>
      <c r="V22" s="79">
        <f>DATABASE!W357</f>
        <v>660000</v>
      </c>
      <c r="W22" s="80">
        <f>DATABASE!X357</f>
        <v>0</v>
      </c>
      <c r="X22" s="79">
        <f>DATABASE!Y357</f>
        <v>0</v>
      </c>
      <c r="Y22" s="79">
        <f>DATABASE!Z357</f>
        <v>-45000</v>
      </c>
      <c r="Z22" s="79" t="e">
        <f>DATABASE!#REF!</f>
        <v>#REF!</v>
      </c>
      <c r="AA22" s="81">
        <f>DATABASE!AA357</f>
        <v>0</v>
      </c>
      <c r="AB22" s="82">
        <f>DATABASE!AB357</f>
        <v>47118</v>
      </c>
    </row>
    <row r="23" spans="1:28" ht="22.15" customHeight="1">
      <c r="A23" s="71" t="str">
        <f>DATABASE!A358</f>
        <v>VM PARQUE</v>
      </c>
      <c r="B23" s="89" t="str">
        <f>DATABASE!B358</f>
        <v>Vilamoura</v>
      </c>
      <c r="C23" s="89" t="str">
        <f>DATABASE!C358</f>
        <v>AA</v>
      </c>
      <c r="D23" s="91" t="str">
        <f>DATABASE!E358</f>
        <v>V2</v>
      </c>
      <c r="E23" s="91">
        <f>DATABASE!F358</f>
        <v>158.05609999999999</v>
      </c>
      <c r="F23" s="91">
        <f>DATABASE!G358</f>
        <v>0</v>
      </c>
      <c r="G23" s="91" t="str">
        <f>DATABASE!H358</f>
        <v/>
      </c>
      <c r="H23" s="91" t="str">
        <f>DATABASE!I358</f>
        <v/>
      </c>
      <c r="I23" s="93">
        <f>DATABASE!J358</f>
        <v>0</v>
      </c>
      <c r="J23" s="93">
        <f>DATABASE!K358</f>
        <v>0</v>
      </c>
      <c r="K23" s="93">
        <f>DATABASE!L358</f>
        <v>0</v>
      </c>
      <c r="L23" s="93">
        <f>DATABASE!M358</f>
        <v>0</v>
      </c>
      <c r="M23" s="93">
        <f>DATABASE!N358</f>
        <v>0</v>
      </c>
      <c r="N23" s="111">
        <f>DATABASE!O358</f>
        <v>158.05609999999999</v>
      </c>
      <c r="O23" s="88">
        <f>DATABASE!P358</f>
        <v>0</v>
      </c>
      <c r="P23" s="88" t="str">
        <f>DATABASE!Q358</f>
        <v xml:space="preserve">DEED </v>
      </c>
      <c r="Q23" s="78">
        <f>DATABASE!R358</f>
        <v>956900</v>
      </c>
      <c r="R23" s="78">
        <f>DATABASE!S358</f>
        <v>956900</v>
      </c>
      <c r="S23" s="78">
        <f>DATABASE!T358</f>
        <v>991999.99818600004</v>
      </c>
      <c r="T23" s="78">
        <f>DATABASE!U358</f>
        <v>0</v>
      </c>
      <c r="U23" s="79">
        <f>DATABASE!V358</f>
        <v>0</v>
      </c>
      <c r="V23" s="79">
        <f>DATABASE!W358</f>
        <v>991999.99818600004</v>
      </c>
      <c r="W23" s="80">
        <f>DATABASE!X358</f>
        <v>-1.82862902597947E-9</v>
      </c>
      <c r="X23" s="79">
        <f>DATABASE!Y358</f>
        <v>992000</v>
      </c>
      <c r="Y23" s="79">
        <f>DATABASE!Z358</f>
        <v>992000</v>
      </c>
      <c r="Z23" s="79" t="e">
        <f>DATABASE!#REF!</f>
        <v>#REF!</v>
      </c>
      <c r="AA23" s="81">
        <f>DATABASE!AA358</f>
        <v>0</v>
      </c>
      <c r="AB23" s="82">
        <f>DATABASE!AB358</f>
        <v>0</v>
      </c>
    </row>
    <row r="24" spans="1:28" ht="16.149999999999999" customHeight="1">
      <c r="A24" s="94" t="str">
        <f>DATABASE!A359</f>
        <v>ZESTIA</v>
      </c>
      <c r="B24" s="95" t="str">
        <f>DATABASE!B359</f>
        <v>Vilamoura</v>
      </c>
      <c r="C24" s="95" t="str">
        <f>DATABASE!C359</f>
        <v>AA</v>
      </c>
      <c r="D24" s="97" t="str">
        <f>DATABASE!E359</f>
        <v>T1</v>
      </c>
      <c r="E24" s="97">
        <f>DATABASE!F359</f>
        <v>89.44</v>
      </c>
      <c r="F24" s="97">
        <f>DATABASE!G359</f>
        <v>0</v>
      </c>
      <c r="G24" s="97" t="str">
        <f>DATABASE!H359</f>
        <v/>
      </c>
      <c r="H24" s="97" t="str">
        <f>DATABASE!I359</f>
        <v/>
      </c>
      <c r="I24" s="96">
        <f>DATABASE!J359</f>
        <v>26.52</v>
      </c>
      <c r="J24" s="96">
        <f>DATABASE!K359</f>
        <v>0</v>
      </c>
      <c r="K24" s="96">
        <f>DATABASE!L359</f>
        <v>0</v>
      </c>
      <c r="L24" s="96">
        <f>DATABASE!M359</f>
        <v>0</v>
      </c>
      <c r="M24" s="96">
        <f>DATABASE!N359</f>
        <v>0</v>
      </c>
      <c r="N24" s="112">
        <f>DATABASE!O359</f>
        <v>62.92</v>
      </c>
      <c r="O24" s="100">
        <f>DATABASE!P359</f>
        <v>0</v>
      </c>
      <c r="P24" s="100" t="str">
        <f>DATABASE!Q359</f>
        <v>AVAILABLE</v>
      </c>
      <c r="Q24" s="101">
        <f>DATABASE!R359</f>
        <v>541064.86640000006</v>
      </c>
      <c r="R24" s="101">
        <f>DATABASE!S359</f>
        <v>595664.86640000006</v>
      </c>
      <c r="S24" s="101">
        <f>DATABASE!T359</f>
        <v>650000</v>
      </c>
      <c r="T24" s="101">
        <f>DATABASE!U359</f>
        <v>24600</v>
      </c>
      <c r="U24" s="102">
        <f>DATABASE!V359</f>
        <v>30000</v>
      </c>
      <c r="V24" s="102">
        <f>DATABASE!W359</f>
        <v>595400</v>
      </c>
      <c r="W24" s="103">
        <f>DATABASE!X359</f>
        <v>0</v>
      </c>
      <c r="X24" s="102">
        <f>DATABASE!Y359</f>
        <v>650000</v>
      </c>
      <c r="Y24" s="102">
        <f>DATABASE!Z359</f>
        <v>595400</v>
      </c>
      <c r="Z24" s="102" t="e">
        <f>DATABASE!#REF!</f>
        <v>#REF!</v>
      </c>
      <c r="AA24" s="104">
        <f>DATABASE!AA359</f>
        <v>0</v>
      </c>
      <c r="AB24" s="105">
        <f>DATABASE!AB359</f>
        <v>0</v>
      </c>
    </row>
    <row r="25" spans="1:28" ht="87" customHeight="1"/>
    <row r="26" spans="1:28" s="1" customFormat="1" ht="13.5"/>
    <row r="50" spans="1:9">
      <c r="A50" s="15"/>
      <c r="B50" s="15"/>
      <c r="C50" s="15"/>
      <c r="D50" s="25"/>
      <c r="E50" s="16"/>
      <c r="F50" s="16"/>
      <c r="G50" s="16"/>
      <c r="H50" s="15"/>
      <c r="I50" s="19"/>
    </row>
    <row r="51" spans="1:9">
      <c r="A51" s="15"/>
      <c r="B51" s="15"/>
      <c r="C51" s="15"/>
      <c r="D51" s="25"/>
      <c r="E51" s="16"/>
      <c r="F51" s="16"/>
      <c r="G51" s="16"/>
      <c r="H51" s="15"/>
      <c r="I51" s="19"/>
    </row>
    <row r="52" spans="1:9">
      <c r="A52" s="15"/>
      <c r="B52" s="15"/>
      <c r="C52" s="15"/>
      <c r="D52" s="25"/>
      <c r="E52" s="16"/>
      <c r="F52" s="16"/>
      <c r="G52" s="16"/>
      <c r="H52" s="15"/>
      <c r="I52" s="19"/>
    </row>
    <row r="53" spans="1:9">
      <c r="A53" s="15"/>
      <c r="B53" s="15"/>
      <c r="C53" s="15"/>
      <c r="D53" s="25"/>
      <c r="E53" s="16"/>
      <c r="F53" s="16"/>
      <c r="G53" s="16"/>
      <c r="H53" s="15"/>
      <c r="I53" s="19"/>
    </row>
    <row r="54" spans="1:9">
      <c r="A54" s="15"/>
      <c r="B54" s="15"/>
      <c r="C54" s="15"/>
      <c r="D54" s="25"/>
      <c r="E54" s="16"/>
      <c r="F54" s="16"/>
      <c r="G54" s="16"/>
      <c r="H54" s="15"/>
      <c r="I54" s="19"/>
    </row>
    <row r="55" spans="1:9">
      <c r="A55" s="15"/>
      <c r="B55" s="15"/>
      <c r="C55" s="15"/>
      <c r="D55" s="25"/>
      <c r="E55" s="16"/>
      <c r="F55" s="16"/>
      <c r="G55" s="16"/>
      <c r="H55" s="15"/>
      <c r="I55" s="19"/>
    </row>
    <row r="56" spans="1:9">
      <c r="A56" s="15"/>
      <c r="B56" s="15"/>
      <c r="C56" s="15"/>
      <c r="D56" s="25"/>
      <c r="E56" s="16"/>
      <c r="F56" s="16"/>
      <c r="G56" s="16"/>
      <c r="H56" s="15"/>
      <c r="I56" s="19"/>
    </row>
    <row r="57" spans="1:9">
      <c r="A57" s="15"/>
      <c r="B57" s="15"/>
      <c r="C57" s="15"/>
      <c r="D57" s="25"/>
      <c r="E57" s="16"/>
      <c r="F57" s="16"/>
      <c r="G57" s="16"/>
      <c r="H57" s="15"/>
      <c r="I57" s="19"/>
    </row>
    <row r="58" spans="1:9">
      <c r="A58" s="15"/>
      <c r="B58" s="15"/>
      <c r="C58" s="15"/>
      <c r="D58" s="25"/>
      <c r="E58" s="16"/>
      <c r="F58" s="16"/>
      <c r="G58" s="16"/>
      <c r="H58" s="15"/>
      <c r="I58" s="19"/>
    </row>
    <row r="59" spans="1:9">
      <c r="A59" s="15"/>
      <c r="B59" s="15"/>
      <c r="C59" s="15"/>
      <c r="D59" s="25"/>
      <c r="E59" s="16"/>
      <c r="F59" s="16"/>
      <c r="G59" s="16"/>
      <c r="H59" s="15"/>
      <c r="I59" s="19"/>
    </row>
    <row r="60" spans="1:9">
      <c r="A60" s="15"/>
      <c r="B60" s="15"/>
      <c r="C60" s="15"/>
      <c r="D60" s="25"/>
      <c r="E60" s="16"/>
      <c r="F60" s="16"/>
      <c r="G60" s="16"/>
      <c r="H60" s="15"/>
      <c r="I60" s="19"/>
    </row>
    <row r="61" spans="1:9">
      <c r="A61" s="15"/>
      <c r="B61" s="15"/>
      <c r="C61" s="15"/>
      <c r="D61" s="25"/>
      <c r="E61" s="16"/>
      <c r="F61" s="16"/>
      <c r="G61" s="16"/>
      <c r="H61" s="15"/>
      <c r="I61" s="19"/>
    </row>
    <row r="62" spans="1:9">
      <c r="A62" s="15"/>
      <c r="B62" s="15"/>
      <c r="C62" s="15"/>
      <c r="D62" s="25"/>
      <c r="E62" s="16"/>
      <c r="F62" s="16"/>
      <c r="G62" s="16"/>
      <c r="H62" s="15"/>
      <c r="I62" s="19"/>
    </row>
    <row r="63" spans="1:9">
      <c r="A63" s="15"/>
      <c r="B63" s="15"/>
      <c r="C63" s="15"/>
      <c r="D63" s="25"/>
      <c r="E63" s="16"/>
      <c r="F63" s="16"/>
      <c r="G63" s="16"/>
      <c r="H63" s="15"/>
      <c r="I63" s="19"/>
    </row>
    <row r="64" spans="1:9">
      <c r="A64" s="15"/>
      <c r="B64" s="15"/>
      <c r="C64" s="15"/>
      <c r="D64" s="25"/>
      <c r="E64" s="16"/>
      <c r="F64" s="16"/>
      <c r="G64" s="16"/>
      <c r="H64" s="15"/>
      <c r="I64" s="19"/>
    </row>
    <row r="65" spans="1:9">
      <c r="A65" s="15"/>
      <c r="B65" s="15"/>
      <c r="C65" s="15"/>
      <c r="D65" s="25"/>
      <c r="E65" s="16"/>
      <c r="F65" s="16"/>
      <c r="G65" s="16"/>
      <c r="H65" s="15"/>
      <c r="I65" s="19"/>
    </row>
    <row r="66" spans="1:9">
      <c r="A66" s="15"/>
      <c r="B66" s="15"/>
      <c r="C66" s="15"/>
      <c r="D66" s="25"/>
      <c r="E66" s="16"/>
      <c r="F66" s="16"/>
      <c r="G66" s="16"/>
      <c r="H66" s="15"/>
      <c r="I66" s="19"/>
    </row>
    <row r="67" spans="1:9">
      <c r="A67" s="15"/>
      <c r="B67" s="15"/>
      <c r="C67" s="15"/>
      <c r="D67" s="25"/>
      <c r="E67" s="16"/>
      <c r="F67" s="16"/>
      <c r="G67" s="16"/>
      <c r="H67" s="15"/>
      <c r="I67" s="19"/>
    </row>
    <row r="68" spans="1:9">
      <c r="A68" s="15"/>
      <c r="B68" s="15"/>
      <c r="C68" s="15"/>
      <c r="D68" s="25"/>
      <c r="E68" s="16"/>
      <c r="F68" s="16"/>
      <c r="G68" s="16"/>
      <c r="H68" s="15"/>
      <c r="I68" s="19"/>
    </row>
    <row r="69" spans="1:9">
      <c r="A69" s="15"/>
      <c r="B69" s="15"/>
      <c r="C69" s="15"/>
      <c r="D69" s="25"/>
      <c r="E69" s="16"/>
      <c r="F69" s="16"/>
      <c r="G69" s="16"/>
      <c r="H69" s="15"/>
      <c r="I69" s="19"/>
    </row>
    <row r="70" spans="1:9">
      <c r="A70" s="15"/>
      <c r="B70" s="15"/>
      <c r="C70" s="15"/>
      <c r="D70" s="25"/>
      <c r="E70" s="16"/>
      <c r="F70" s="16"/>
      <c r="G70" s="16"/>
      <c r="H70" s="15"/>
      <c r="I70" s="19"/>
    </row>
    <row r="71" spans="1:9">
      <c r="A71" s="15"/>
      <c r="B71" s="15"/>
      <c r="C71" s="15"/>
      <c r="D71" s="25"/>
      <c r="E71" s="16"/>
      <c r="F71" s="16"/>
      <c r="G71" s="16"/>
      <c r="H71" s="15"/>
      <c r="I71" s="19"/>
    </row>
    <row r="72" spans="1:9">
      <c r="A72" s="15"/>
      <c r="B72" s="15"/>
      <c r="C72" s="15"/>
      <c r="D72" s="25"/>
      <c r="E72" s="16"/>
      <c r="F72" s="16"/>
      <c r="G72" s="16"/>
      <c r="H72" s="15"/>
      <c r="I72" s="19"/>
    </row>
    <row r="73" spans="1:9">
      <c r="A73" s="15"/>
      <c r="B73" s="15"/>
      <c r="C73" s="15"/>
      <c r="D73" s="25"/>
      <c r="E73" s="16"/>
      <c r="F73" s="16"/>
      <c r="G73" s="16"/>
      <c r="H73" s="15"/>
      <c r="I73" s="19"/>
    </row>
    <row r="74" spans="1:9">
      <c r="A74" s="15"/>
      <c r="B74" s="15"/>
      <c r="C74" s="15"/>
      <c r="D74" s="25"/>
      <c r="E74" s="16"/>
      <c r="F74" s="16"/>
      <c r="G74" s="16"/>
      <c r="H74" s="15"/>
      <c r="I74" s="19"/>
    </row>
    <row r="75" spans="1:9">
      <c r="A75" s="15"/>
      <c r="B75" s="15"/>
      <c r="C75" s="15"/>
      <c r="D75" s="25"/>
      <c r="E75" s="16"/>
      <c r="F75" s="16"/>
      <c r="G75" s="16"/>
      <c r="H75" s="15"/>
      <c r="I75" s="19"/>
    </row>
    <row r="76" spans="1:9">
      <c r="A76" s="15"/>
      <c r="B76" s="15"/>
      <c r="C76" s="15"/>
      <c r="D76" s="25"/>
      <c r="E76" s="16"/>
      <c r="F76" s="16"/>
      <c r="G76" s="16"/>
      <c r="H76" s="15"/>
      <c r="I76" s="19"/>
    </row>
    <row r="77" spans="1:9">
      <c r="A77" s="15"/>
      <c r="B77" s="15"/>
      <c r="C77" s="15"/>
      <c r="D77" s="25"/>
      <c r="E77" s="16"/>
      <c r="F77" s="16"/>
      <c r="G77" s="16"/>
      <c r="H77" s="15"/>
      <c r="I77" s="19"/>
    </row>
    <row r="78" spans="1:9">
      <c r="A78" s="15"/>
      <c r="B78" s="15"/>
      <c r="C78" s="15"/>
      <c r="D78" s="25"/>
      <c r="E78" s="16"/>
      <c r="F78" s="16"/>
      <c r="G78" s="16"/>
      <c r="H78" s="15"/>
      <c r="I78" s="19"/>
    </row>
    <row r="79" spans="1:9">
      <c r="A79" s="15"/>
      <c r="B79" s="15"/>
      <c r="C79" s="15"/>
      <c r="D79" s="25"/>
      <c r="E79" s="16"/>
      <c r="F79" s="16"/>
      <c r="G79" s="16"/>
      <c r="H79" s="15"/>
      <c r="I79" s="19"/>
    </row>
    <row r="80" spans="1:9">
      <c r="A80" s="15"/>
      <c r="B80" s="15"/>
      <c r="C80" s="15"/>
      <c r="D80" s="25"/>
      <c r="E80" s="16"/>
      <c r="F80" s="16"/>
      <c r="G80" s="16"/>
      <c r="H80" s="15"/>
      <c r="I80" s="19"/>
    </row>
    <row r="81" spans="1:9">
      <c r="A81" s="15"/>
      <c r="B81" s="15"/>
      <c r="C81" s="15"/>
      <c r="D81" s="25"/>
      <c r="E81" s="16"/>
      <c r="F81" s="16"/>
      <c r="G81" s="16"/>
      <c r="H81" s="15"/>
      <c r="I81" s="19"/>
    </row>
    <row r="82" spans="1:9">
      <c r="A82" s="15"/>
      <c r="B82" s="15"/>
      <c r="C82" s="15"/>
      <c r="D82" s="25"/>
      <c r="E82" s="16"/>
      <c r="F82" s="16"/>
      <c r="G82" s="16"/>
      <c r="H82" s="15"/>
      <c r="I82" s="19"/>
    </row>
    <row r="83" spans="1:9">
      <c r="A83" s="15"/>
      <c r="B83" s="15"/>
      <c r="C83" s="15"/>
      <c r="D83" s="25"/>
      <c r="E83" s="16"/>
      <c r="F83" s="16"/>
      <c r="G83" s="16"/>
      <c r="H83" s="15"/>
      <c r="I83" s="19"/>
    </row>
    <row r="84" spans="1:9">
      <c r="A84" s="15"/>
      <c r="B84" s="15"/>
      <c r="C84" s="15"/>
      <c r="D84" s="25"/>
      <c r="E84" s="16"/>
      <c r="F84" s="16"/>
      <c r="G84" s="16"/>
      <c r="H84" s="15"/>
      <c r="I84" s="19"/>
    </row>
    <row r="85" spans="1:9">
      <c r="A85" s="15"/>
      <c r="B85" s="15"/>
      <c r="C85" s="15"/>
      <c r="D85" s="25"/>
      <c r="E85" s="16"/>
      <c r="F85" s="16"/>
      <c r="G85" s="16"/>
      <c r="H85" s="15"/>
      <c r="I85" s="19"/>
    </row>
    <row r="86" spans="1:9">
      <c r="A86" s="15"/>
      <c r="B86" s="15"/>
      <c r="C86" s="15"/>
      <c r="D86" s="25"/>
      <c r="E86" s="16"/>
      <c r="F86" s="16"/>
      <c r="G86" s="16"/>
      <c r="H86" s="15"/>
      <c r="I86" s="19"/>
    </row>
    <row r="87" spans="1:9">
      <c r="A87" s="15"/>
      <c r="B87" s="15"/>
      <c r="C87" s="15"/>
      <c r="D87" s="25"/>
      <c r="E87" s="16"/>
      <c r="F87" s="16"/>
      <c r="G87" s="16"/>
      <c r="H87" s="15"/>
      <c r="I87" s="19"/>
    </row>
    <row r="88" spans="1:9">
      <c r="A88" s="15"/>
      <c r="B88" s="15"/>
      <c r="C88" s="15"/>
      <c r="D88" s="25"/>
      <c r="E88" s="16"/>
      <c r="F88" s="16"/>
      <c r="G88" s="16"/>
      <c r="H88" s="15"/>
      <c r="I88" s="19"/>
    </row>
    <row r="89" spans="1:9">
      <c r="A89" s="15"/>
      <c r="B89" s="15"/>
      <c r="C89" s="15"/>
      <c r="D89" s="25"/>
      <c r="E89" s="16"/>
      <c r="F89" s="16"/>
      <c r="G89" s="16"/>
      <c r="H89" s="15"/>
      <c r="I89" s="19"/>
    </row>
    <row r="90" spans="1:9">
      <c r="A90" s="15"/>
      <c r="B90" s="15"/>
      <c r="C90" s="15"/>
      <c r="D90" s="25"/>
      <c r="E90" s="16"/>
      <c r="F90" s="16"/>
      <c r="G90" s="16"/>
      <c r="H90" s="15"/>
      <c r="I90" s="19"/>
    </row>
    <row r="91" spans="1:9">
      <c r="A91" s="15"/>
      <c r="B91" s="15"/>
      <c r="C91" s="15"/>
      <c r="D91" s="25"/>
      <c r="E91" s="16"/>
      <c r="F91" s="16"/>
      <c r="G91" s="16"/>
      <c r="H91" s="15"/>
      <c r="I91" s="19"/>
    </row>
    <row r="92" spans="1:9">
      <c r="A92" s="15"/>
      <c r="B92" s="15"/>
      <c r="C92" s="15"/>
      <c r="D92" s="25"/>
      <c r="E92" s="16"/>
      <c r="F92" s="16"/>
      <c r="G92" s="16"/>
      <c r="H92" s="15"/>
      <c r="I92" s="19"/>
    </row>
    <row r="93" spans="1:9">
      <c r="A93" s="15"/>
      <c r="B93" s="15"/>
      <c r="C93" s="15"/>
      <c r="D93" s="25"/>
      <c r="E93" s="16"/>
      <c r="F93" s="16"/>
      <c r="G93" s="16"/>
      <c r="H93" s="15"/>
      <c r="I93" s="19"/>
    </row>
    <row r="94" spans="1:9">
      <c r="A94" s="15"/>
      <c r="B94" s="15"/>
      <c r="C94" s="15"/>
      <c r="D94" s="25"/>
      <c r="E94" s="16"/>
      <c r="F94" s="16"/>
      <c r="G94" s="16"/>
      <c r="H94" s="15"/>
      <c r="I94" s="19"/>
    </row>
    <row r="95" spans="1:9">
      <c r="A95" s="15"/>
      <c r="B95" s="15"/>
      <c r="C95" s="15"/>
      <c r="D95" s="25"/>
      <c r="E95" s="16"/>
      <c r="F95" s="16"/>
      <c r="G95" s="16"/>
      <c r="H95" s="15"/>
      <c r="I95" s="19"/>
    </row>
    <row r="96" spans="1:9">
      <c r="A96" s="15"/>
      <c r="B96" s="15"/>
      <c r="C96" s="15"/>
      <c r="D96" s="25"/>
      <c r="E96" s="16"/>
      <c r="F96" s="16"/>
      <c r="G96" s="16"/>
      <c r="H96" s="15"/>
      <c r="I96" s="19"/>
    </row>
    <row r="97" spans="1:9">
      <c r="A97" s="15"/>
      <c r="B97" s="15"/>
      <c r="C97" s="15"/>
      <c r="D97" s="25"/>
      <c r="E97" s="16"/>
      <c r="F97" s="16"/>
      <c r="G97" s="16"/>
      <c r="H97" s="15"/>
      <c r="I97" s="19"/>
    </row>
    <row r="98" spans="1:9">
      <c r="A98" s="15"/>
      <c r="B98" s="15"/>
      <c r="C98" s="15"/>
      <c r="D98" s="25"/>
      <c r="E98" s="16"/>
      <c r="F98" s="16"/>
      <c r="G98" s="16"/>
      <c r="H98" s="15"/>
      <c r="I98" s="19"/>
    </row>
    <row r="99" spans="1:9">
      <c r="A99" s="15"/>
      <c r="B99" s="15"/>
      <c r="C99" s="15"/>
      <c r="D99" s="25"/>
      <c r="E99" s="16"/>
      <c r="F99" s="16"/>
      <c r="G99" s="16"/>
      <c r="H99" s="15"/>
      <c r="I99" s="19"/>
    </row>
    <row r="100" spans="1:9">
      <c r="A100" s="15"/>
      <c r="B100" s="15"/>
      <c r="C100" s="15"/>
      <c r="D100" s="25"/>
      <c r="E100" s="16"/>
      <c r="F100" s="16"/>
      <c r="G100" s="16"/>
      <c r="H100" s="15"/>
      <c r="I100" s="19"/>
    </row>
    <row r="101" spans="1:9">
      <c r="A101" s="15"/>
      <c r="B101" s="15"/>
      <c r="C101" s="15"/>
      <c r="D101" s="25"/>
      <c r="E101" s="16"/>
      <c r="F101" s="16"/>
      <c r="G101" s="16"/>
      <c r="H101" s="15"/>
      <c r="I101" s="19"/>
    </row>
    <row r="102" spans="1:9">
      <c r="A102" s="15"/>
      <c r="B102" s="15"/>
      <c r="C102" s="15"/>
      <c r="D102" s="25"/>
      <c r="E102" s="16"/>
      <c r="F102" s="16"/>
      <c r="G102" s="16"/>
      <c r="H102" s="15"/>
      <c r="I102" s="19"/>
    </row>
    <row r="103" spans="1:9">
      <c r="A103" s="15"/>
      <c r="B103" s="15"/>
      <c r="C103" s="15"/>
      <c r="D103" s="25"/>
      <c r="E103" s="16"/>
      <c r="F103" s="16"/>
      <c r="G103" s="16"/>
      <c r="H103" s="15"/>
      <c r="I103" s="19"/>
    </row>
    <row r="104" spans="1:9">
      <c r="A104" s="15"/>
      <c r="B104" s="15"/>
      <c r="C104" s="15"/>
      <c r="D104" s="25"/>
      <c r="E104" s="16"/>
      <c r="F104" s="16"/>
      <c r="G104" s="16"/>
      <c r="H104" s="15"/>
      <c r="I104" s="19"/>
    </row>
  </sheetData>
  <conditionalFormatting sqref="A1">
    <cfRule type="containsText" dxfId="46" priority="1" operator="containsText" text="Center">
      <formula>NOT(ISERROR(SEARCH("Center",A1)))</formula>
    </cfRule>
    <cfRule type="containsText" dxfId="45" priority="2" operator="containsText" text="North">
      <formula>NOT(ISERROR(SEARCH("North",A1)))</formula>
    </cfRule>
    <cfRule type="containsText" dxfId="44" priority="3" operator="containsText" text="Algarve">
      <formula>NOT(ISERROR(SEARCH("Algarve",A1)))</formula>
    </cfRule>
    <cfRule type="containsText" dxfId="43" priority="4" operator="containsText" text="Vilamoura">
      <formula>NOT(ISERROR(SEARCH("Vilamoura",A1)))</formula>
    </cfRule>
  </conditionalFormatting>
  <pageMargins left="0.7" right="0.7" top="0.75" bottom="0.75" header="0.3" footer="0.3"/>
  <pageSetup paperSize="8" scale="51"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C9CFC-112C-4376-BE00-51F1AC571165}">
  <sheetPr>
    <tabColor rgb="FFC2B59E"/>
    <pageSetUpPr fitToPage="1"/>
  </sheetPr>
  <dimension ref="A1:AB56"/>
  <sheetViews>
    <sheetView showGridLines="0" zoomScaleNormal="40" zoomScaleSheetLayoutView="70" workbookViewId="0"/>
  </sheetViews>
  <sheetFormatPr defaultColWidth="8.7109375" defaultRowHeight="15" outlineLevelCol="2"/>
  <cols>
    <col min="1" max="1" width="27.140625" customWidth="1"/>
    <col min="2" max="2" width="19.7109375" bestFit="1" customWidth="1"/>
    <col min="3" max="3" width="22.28515625" bestFit="1" customWidth="1"/>
    <col min="4" max="4" width="14.7109375" bestFit="1" customWidth="1"/>
    <col min="5" max="5" width="21.7109375" customWidth="1" outlineLevel="2"/>
    <col min="6" max="6" width="12" customWidth="1" outlineLevel="2"/>
    <col min="7" max="7" width="16.28515625" customWidth="1" outlineLevel="2"/>
    <col min="8" max="8" width="13.140625" customWidth="1" outlineLevel="2"/>
    <col min="9" max="9" width="25.42578125" customWidth="1" outlineLevel="2"/>
    <col min="10" max="10" width="27.7109375" style="4" customWidth="1" outlineLevel="2"/>
    <col min="11" max="11" width="18.28515625" customWidth="1" outlineLevel="1"/>
    <col min="12" max="12" width="21.7109375" customWidth="1" outlineLevel="1"/>
    <col min="13" max="13" width="20.7109375" customWidth="1"/>
    <col min="14" max="14" width="30.42578125" customWidth="1"/>
    <col min="15" max="15" width="34.7109375" customWidth="1" outlineLevel="1"/>
    <col min="16" max="16" width="31.140625" customWidth="1" outlineLevel="1"/>
    <col min="17" max="18" width="20.28515625" customWidth="1" outlineLevel="1"/>
    <col min="19" max="19" width="20.28515625" customWidth="1"/>
    <col min="20" max="20" width="20.28515625" customWidth="1" outlineLevel="1"/>
    <col min="21" max="22" width="20.28515625" customWidth="1"/>
  </cols>
  <sheetData>
    <row r="1" spans="1:28" s="1" customFormat="1" ht="40.5">
      <c r="A1" s="58" t="s">
        <v>335</v>
      </c>
      <c r="B1" s="59" t="s">
        <v>687</v>
      </c>
      <c r="C1" s="59" t="s">
        <v>770</v>
      </c>
      <c r="D1" s="59" t="s">
        <v>93</v>
      </c>
      <c r="E1" s="59" t="s">
        <v>766</v>
      </c>
      <c r="F1" s="60" t="s">
        <v>678</v>
      </c>
      <c r="G1" s="60" t="s">
        <v>679</v>
      </c>
      <c r="H1" s="60" t="s">
        <v>680</v>
      </c>
      <c r="I1" s="60" t="s">
        <v>681</v>
      </c>
      <c r="J1" s="60" t="s">
        <v>682</v>
      </c>
      <c r="K1" s="60" t="s">
        <v>785</v>
      </c>
      <c r="L1" s="60" t="s">
        <v>683</v>
      </c>
      <c r="M1" s="59" t="s">
        <v>684</v>
      </c>
      <c r="N1" s="59" t="s">
        <v>94</v>
      </c>
      <c r="O1" s="59" t="s">
        <v>95</v>
      </c>
      <c r="P1" s="59" t="s">
        <v>627</v>
      </c>
      <c r="Q1" s="61" t="s">
        <v>331</v>
      </c>
      <c r="R1" s="61" t="s">
        <v>332</v>
      </c>
      <c r="S1" s="61" t="s">
        <v>333</v>
      </c>
      <c r="T1" s="61" t="s">
        <v>685</v>
      </c>
      <c r="U1" s="61" t="s">
        <v>97</v>
      </c>
      <c r="V1" s="59" t="s">
        <v>330</v>
      </c>
      <c r="W1" s="62" t="s">
        <v>767</v>
      </c>
      <c r="X1" s="61" t="s">
        <v>334</v>
      </c>
      <c r="Y1" s="59" t="s">
        <v>98</v>
      </c>
      <c r="Z1" s="59" t="s">
        <v>771</v>
      </c>
      <c r="AA1" s="63" t="s">
        <v>768</v>
      </c>
      <c r="AB1" s="64" t="s">
        <v>7</v>
      </c>
    </row>
    <row r="2" spans="1:28">
      <c r="A2" s="106" t="str">
        <f>DATABASE!A438</f>
        <v>Aroeira - APARTMENTS</v>
      </c>
      <c r="B2" s="53" t="str">
        <f>DATABASE!B438</f>
        <v>Center</v>
      </c>
      <c r="C2" s="53" t="str">
        <f>DATABASE!C438</f>
        <v>101B</v>
      </c>
      <c r="D2" s="73" t="str">
        <f>DATABASE!E438</f>
        <v>2-BR</v>
      </c>
      <c r="E2" s="73">
        <f>DATABASE!F438</f>
        <v>177.33</v>
      </c>
      <c r="F2" s="74">
        <f>DATABASE!G438</f>
        <v>0</v>
      </c>
      <c r="G2" s="72" t="str">
        <f>DATABASE!H438</f>
        <v>1</v>
      </c>
      <c r="H2" s="73" t="str">
        <f>DATABASE!I438</f>
        <v/>
      </c>
      <c r="I2" s="73">
        <f>DATABASE!J438</f>
        <v>23.39</v>
      </c>
      <c r="J2" s="73">
        <f>DATABASE!K438</f>
        <v>62.81</v>
      </c>
      <c r="K2" s="72">
        <f>DATABASE!L438</f>
        <v>0</v>
      </c>
      <c r="L2" s="72">
        <f>DATABASE!M438</f>
        <v>0</v>
      </c>
      <c r="M2" s="72">
        <f>DATABASE!N438</f>
        <v>0</v>
      </c>
      <c r="N2" s="107">
        <f>DATABASE!O438</f>
        <v>91.13</v>
      </c>
      <c r="O2" s="76">
        <f>DATABASE!P438</f>
        <v>0</v>
      </c>
      <c r="P2" s="77" t="str">
        <f>DATABASE!Q438</f>
        <v>NOT FOR SALE</v>
      </c>
      <c r="Q2" s="78">
        <f>DATABASE!R438</f>
        <v>730000</v>
      </c>
      <c r="R2" s="78">
        <f>DATABASE!S438</f>
        <v>775000</v>
      </c>
      <c r="S2" s="78">
        <f>DATABASE!T438</f>
        <v>825000</v>
      </c>
      <c r="T2" s="78">
        <f>DATABASE!U438</f>
        <v>0</v>
      </c>
      <c r="U2" s="79">
        <f>DATABASE!V438</f>
        <v>45000</v>
      </c>
      <c r="V2" s="79">
        <f>DATABASE!W438</f>
        <v>780000</v>
      </c>
      <c r="W2" s="80">
        <f>DATABASE!X438</f>
        <v>0</v>
      </c>
      <c r="X2" s="79">
        <f>DATABASE!Y438</f>
        <v>0</v>
      </c>
      <c r="Y2" s="79">
        <f>DATABASE!Z438</f>
        <v>-45000</v>
      </c>
      <c r="Z2" s="79" t="e">
        <f>DATABASE!#REF!</f>
        <v>#REF!</v>
      </c>
      <c r="AA2" s="81">
        <f>DATABASE!AA438</f>
        <v>0</v>
      </c>
      <c r="AB2" s="82">
        <f>DATABASE!AB438</f>
        <v>47118</v>
      </c>
    </row>
    <row r="3" spans="1:28">
      <c r="A3" s="108" t="str">
        <f>DATABASE!A439</f>
        <v>ZESTIA</v>
      </c>
      <c r="B3" s="83" t="str">
        <f>DATABASE!B439</f>
        <v>Vilamoura</v>
      </c>
      <c r="C3" s="83" t="str">
        <f>DATABASE!C439</f>
        <v>AH</v>
      </c>
      <c r="D3" s="85" t="str">
        <f>DATABASE!E439</f>
        <v>T2 LO</v>
      </c>
      <c r="E3" s="85">
        <f>DATABASE!F439</f>
        <v>117.29</v>
      </c>
      <c r="F3" s="85">
        <f>DATABASE!G439</f>
        <v>0</v>
      </c>
      <c r="G3" s="85" t="str">
        <f>DATABASE!H439</f>
        <v/>
      </c>
      <c r="H3" s="86" t="str">
        <f>DATABASE!I439</f>
        <v/>
      </c>
      <c r="I3" s="84">
        <f>DATABASE!J439</f>
        <v>28.46</v>
      </c>
      <c r="J3" s="86">
        <f>DATABASE!K439</f>
        <v>0</v>
      </c>
      <c r="K3" s="84">
        <f>DATABASE!L439</f>
        <v>0</v>
      </c>
      <c r="L3" s="72">
        <f>DATABASE!M439</f>
        <v>0</v>
      </c>
      <c r="M3" s="84">
        <f>DATABASE!N439</f>
        <v>0</v>
      </c>
      <c r="N3" s="109">
        <f>DATABASE!O439</f>
        <v>88.83</v>
      </c>
      <c r="O3" s="87">
        <f>DATABASE!P439</f>
        <v>0</v>
      </c>
      <c r="P3" s="88" t="str">
        <f>DATABASE!Q439</f>
        <v>AVAILABLE</v>
      </c>
      <c r="Q3" s="78">
        <f>DATABASE!R439</f>
        <v>701271.14520000003</v>
      </c>
      <c r="R3" s="78">
        <f>DATABASE!S439</f>
        <v>765871.14520000003</v>
      </c>
      <c r="S3" s="78">
        <f>DATABASE!T439</f>
        <v>830000</v>
      </c>
      <c r="T3" s="78">
        <f>DATABASE!U439</f>
        <v>24600</v>
      </c>
      <c r="U3" s="79">
        <f>DATABASE!V439</f>
        <v>40000</v>
      </c>
      <c r="V3" s="79">
        <f>DATABASE!W439</f>
        <v>765400</v>
      </c>
      <c r="W3" s="80">
        <f>DATABASE!X439</f>
        <v>0</v>
      </c>
      <c r="X3" s="79">
        <f>DATABASE!Y439</f>
        <v>830000</v>
      </c>
      <c r="Y3" s="79">
        <f>DATABASE!Z439</f>
        <v>765400</v>
      </c>
      <c r="Z3" s="79" t="e">
        <f>DATABASE!#REF!</f>
        <v>#REF!</v>
      </c>
      <c r="AA3" s="81">
        <f>DATABASE!AA439</f>
        <v>0</v>
      </c>
      <c r="AB3" s="82">
        <f>DATABASE!AB439</f>
        <v>0</v>
      </c>
    </row>
    <row r="4" spans="1:28">
      <c r="A4" s="71" t="str">
        <f>DATABASE!A440</f>
        <v>BOTÂNICA</v>
      </c>
      <c r="B4" s="89" t="str">
        <f>DATABASE!B440</f>
        <v>Vilamoura</v>
      </c>
      <c r="C4" s="89" t="str">
        <f>DATABASE!C440</f>
        <v>AI</v>
      </c>
      <c r="D4" s="91" t="str">
        <f>DATABASE!E440</f>
        <v>T2</v>
      </c>
      <c r="E4" s="91">
        <f>DATABASE!F440</f>
        <v>151.24</v>
      </c>
      <c r="F4" s="91">
        <f>DATABASE!G440</f>
        <v>0</v>
      </c>
      <c r="G4" s="91" t="str">
        <f>DATABASE!H440</f>
        <v>3</v>
      </c>
      <c r="H4" s="92" t="str">
        <f>DATABASE!I440</f>
        <v/>
      </c>
      <c r="I4" s="90">
        <f>DATABASE!J440</f>
        <v>27.6</v>
      </c>
      <c r="J4" s="92">
        <f>DATABASE!K440</f>
        <v>0</v>
      </c>
      <c r="K4" s="90">
        <f>DATABASE!L440</f>
        <v>0</v>
      </c>
      <c r="L4" s="72">
        <f>DATABASE!M440</f>
        <v>0</v>
      </c>
      <c r="M4" s="90">
        <f>DATABASE!N440</f>
        <v>0</v>
      </c>
      <c r="N4" s="110">
        <f>DATABASE!O440</f>
        <v>123.64</v>
      </c>
      <c r="O4" s="88">
        <f>DATABASE!P440</f>
        <v>0</v>
      </c>
      <c r="P4" s="88" t="str">
        <f>DATABASE!Q440</f>
        <v>AVAILABLE</v>
      </c>
      <c r="Q4" s="78">
        <f>DATABASE!R440</f>
        <v>949032.48</v>
      </c>
      <c r="R4" s="78">
        <f>DATABASE!S440</f>
        <v>949032.48</v>
      </c>
      <c r="S4" s="78">
        <f>DATABASE!T440</f>
        <v>950000</v>
      </c>
      <c r="T4" s="78">
        <f>DATABASE!U440</f>
        <v>0</v>
      </c>
      <c r="U4" s="79">
        <f>DATABASE!V440</f>
        <v>0</v>
      </c>
      <c r="V4" s="79">
        <f>DATABASE!W440</f>
        <v>950000</v>
      </c>
      <c r="W4" s="80">
        <f>DATABASE!X440</f>
        <v>0</v>
      </c>
      <c r="X4" s="79">
        <f>DATABASE!Y440</f>
        <v>950000</v>
      </c>
      <c r="Y4" s="79">
        <f>DATABASE!Z440</f>
        <v>950000</v>
      </c>
      <c r="Z4" s="79" t="e">
        <f>DATABASE!#REF!</f>
        <v>#REF!</v>
      </c>
      <c r="AA4" s="81">
        <f>DATABASE!AA440</f>
        <v>0</v>
      </c>
      <c r="AB4" s="82">
        <f>DATABASE!AB440</f>
        <v>0</v>
      </c>
    </row>
    <row r="5" spans="1:28">
      <c r="A5" s="71" t="str">
        <f>DATABASE!A441</f>
        <v>NOBILUS</v>
      </c>
      <c r="B5" s="89" t="str">
        <f>DATABASE!B441</f>
        <v>Vilamoura</v>
      </c>
      <c r="C5" s="89" t="str">
        <f>DATABASE!C441</f>
        <v>AI</v>
      </c>
      <c r="D5" s="91" t="str">
        <f>DATABASE!E441</f>
        <v>T4</v>
      </c>
      <c r="E5" s="91">
        <f>DATABASE!F441</f>
        <v>191.33</v>
      </c>
      <c r="F5" s="91">
        <f>DATABASE!G441</f>
        <v>4.45</v>
      </c>
      <c r="G5" s="91" t="str">
        <f>DATABASE!H441</f>
        <v>57-58</v>
      </c>
      <c r="H5" s="91" t="str">
        <f>DATABASE!I441</f>
        <v>Yes</v>
      </c>
      <c r="I5" s="93">
        <f>DATABASE!J441</f>
        <v>7.92</v>
      </c>
      <c r="J5" s="91">
        <f>DATABASE!K441</f>
        <v>0</v>
      </c>
      <c r="K5" s="93">
        <f>DATABASE!L441</f>
        <v>0</v>
      </c>
      <c r="L5" s="72">
        <f>DATABASE!M441</f>
        <v>0</v>
      </c>
      <c r="M5" s="93">
        <f>DATABASE!N441</f>
        <v>0</v>
      </c>
      <c r="N5" s="111">
        <f>DATABASE!O441</f>
        <v>191.33</v>
      </c>
      <c r="O5" s="88">
        <f>DATABASE!P441</f>
        <v>0</v>
      </c>
      <c r="P5" s="88" t="str">
        <f>DATABASE!Q441</f>
        <v>AVAILABLE</v>
      </c>
      <c r="Q5" s="78">
        <f>DATABASE!R441</f>
        <v>1540000</v>
      </c>
      <c r="R5" s="78">
        <f>DATABASE!S441</f>
        <v>1540000</v>
      </c>
      <c r="S5" s="78">
        <f>DATABASE!T441</f>
        <v>1540000</v>
      </c>
      <c r="T5" s="78">
        <f>DATABASE!U441</f>
        <v>0</v>
      </c>
      <c r="U5" s="79">
        <f>DATABASE!V441</f>
        <v>0</v>
      </c>
      <c r="V5" s="79">
        <f>DATABASE!W441</f>
        <v>1540000</v>
      </c>
      <c r="W5" s="80">
        <f>DATABASE!X441</f>
        <v>0</v>
      </c>
      <c r="X5" s="79">
        <f>DATABASE!Y441</f>
        <v>1540000</v>
      </c>
      <c r="Y5" s="79">
        <f>DATABASE!Z441</f>
        <v>1540000</v>
      </c>
      <c r="Z5" s="79" t="e">
        <f>DATABASE!#REF!</f>
        <v>#REF!</v>
      </c>
      <c r="AA5" s="81">
        <f>DATABASE!AA441</f>
        <v>0</v>
      </c>
      <c r="AB5" s="82">
        <f>DATABASE!AB441</f>
        <v>0</v>
      </c>
    </row>
    <row r="6" spans="1:28">
      <c r="A6" s="71" t="str">
        <f>DATABASE!A442</f>
        <v>Aroeira - APARTMENTS</v>
      </c>
      <c r="B6" s="89" t="str">
        <f>DATABASE!B442</f>
        <v>Center</v>
      </c>
      <c r="C6" s="89" t="str">
        <f>DATABASE!C442</f>
        <v>112B</v>
      </c>
      <c r="D6" s="91" t="str">
        <f>DATABASE!E442</f>
        <v>2-BR</v>
      </c>
      <c r="E6" s="91">
        <f>DATABASE!F442</f>
        <v>200.36</v>
      </c>
      <c r="F6" s="91">
        <f>DATABASE!G442</f>
        <v>0</v>
      </c>
      <c r="G6" s="91" t="str">
        <f>DATABASE!H442</f>
        <v>1</v>
      </c>
      <c r="H6" s="91" t="str">
        <f>DATABASE!I442</f>
        <v/>
      </c>
      <c r="I6" s="93">
        <f>DATABASE!J442</f>
        <v>3.87</v>
      </c>
      <c r="J6" s="91">
        <f>DATABASE!K442</f>
        <v>84.03</v>
      </c>
      <c r="K6" s="93">
        <f>DATABASE!L442</f>
        <v>0</v>
      </c>
      <c r="L6" s="72">
        <f>DATABASE!M442</f>
        <v>0</v>
      </c>
      <c r="M6" s="93">
        <f>DATABASE!N442</f>
        <v>0</v>
      </c>
      <c r="N6" s="111">
        <f>DATABASE!O442</f>
        <v>112.46</v>
      </c>
      <c r="O6" s="88">
        <f>DATABASE!P442</f>
        <v>0</v>
      </c>
      <c r="P6" s="88" t="str">
        <f>DATABASE!Q442</f>
        <v xml:space="preserve">PSPA </v>
      </c>
      <c r="Q6" s="78">
        <f>DATABASE!R442</f>
        <v>795000</v>
      </c>
      <c r="R6" s="78">
        <f>DATABASE!S442</f>
        <v>840000</v>
      </c>
      <c r="S6" s="78">
        <f>DATABASE!T442</f>
        <v>840000</v>
      </c>
      <c r="T6" s="78">
        <f>DATABASE!U442</f>
        <v>0</v>
      </c>
      <c r="U6" s="79">
        <f>DATABASE!V442</f>
        <v>45000</v>
      </c>
      <c r="V6" s="79">
        <f>DATABASE!W442</f>
        <v>795000</v>
      </c>
      <c r="W6" s="80">
        <f>DATABASE!X442</f>
        <v>0</v>
      </c>
      <c r="X6" s="79">
        <f>DATABASE!Y442</f>
        <v>840000</v>
      </c>
      <c r="Y6" s="79">
        <f>DATABASE!Z442</f>
        <v>795000</v>
      </c>
      <c r="Z6" s="79" t="e">
        <f>DATABASE!#REF!</f>
        <v>#REF!</v>
      </c>
      <c r="AA6" s="81" t="e">
        <f>DATABASE!#REF!</f>
        <v>#REF!</v>
      </c>
      <c r="AB6" s="82">
        <f>DATABASE!AB442</f>
        <v>47118</v>
      </c>
    </row>
    <row r="7" spans="1:28">
      <c r="A7" s="71" t="str">
        <f>DATABASE!A443</f>
        <v>Aroeira - APARTMENTS</v>
      </c>
      <c r="B7" s="89" t="str">
        <f>DATABASE!B443</f>
        <v>Center</v>
      </c>
      <c r="C7" s="89" t="str">
        <f>DATABASE!C443</f>
        <v>105B</v>
      </c>
      <c r="D7" s="91" t="str">
        <f>DATABASE!E443</f>
        <v>2-BR</v>
      </c>
      <c r="E7" s="91">
        <f>DATABASE!F443</f>
        <v>190.14</v>
      </c>
      <c r="F7" s="91">
        <f>DATABASE!G443</f>
        <v>0</v>
      </c>
      <c r="G7" s="91" t="str">
        <f>DATABASE!H443</f>
        <v>1</v>
      </c>
      <c r="H7" s="91" t="str">
        <f>DATABASE!I443</f>
        <v/>
      </c>
      <c r="I7" s="93">
        <f>DATABASE!J443</f>
        <v>23.08</v>
      </c>
      <c r="J7" s="91">
        <f>DATABASE!K443</f>
        <v>76.91</v>
      </c>
      <c r="K7" s="93">
        <f>DATABASE!L443</f>
        <v>0</v>
      </c>
      <c r="L7" s="72">
        <f>DATABASE!M443</f>
        <v>0</v>
      </c>
      <c r="M7" s="93">
        <f>DATABASE!N443</f>
        <v>0</v>
      </c>
      <c r="N7" s="111">
        <f>DATABASE!O443</f>
        <v>90.15</v>
      </c>
      <c r="O7" s="88">
        <f>DATABASE!P443</f>
        <v>0</v>
      </c>
      <c r="P7" s="88" t="str">
        <f>DATABASE!Q443</f>
        <v>RESERVED</v>
      </c>
      <c r="Q7" s="78">
        <f>DATABASE!R443</f>
        <v>735000</v>
      </c>
      <c r="R7" s="78">
        <f>DATABASE!S443</f>
        <v>780000</v>
      </c>
      <c r="S7" s="78">
        <f>DATABASE!T443</f>
        <v>840000</v>
      </c>
      <c r="T7" s="78">
        <f>DATABASE!U443</f>
        <v>0</v>
      </c>
      <c r="U7" s="79">
        <f>DATABASE!V443</f>
        <v>45000</v>
      </c>
      <c r="V7" s="79">
        <f>DATABASE!W443</f>
        <v>795000</v>
      </c>
      <c r="W7" s="80">
        <f>DATABASE!X443</f>
        <v>0</v>
      </c>
      <c r="X7" s="79">
        <f>DATABASE!Y443</f>
        <v>840000</v>
      </c>
      <c r="Y7" s="79">
        <f>DATABASE!Z443</f>
        <v>795000</v>
      </c>
      <c r="Z7" s="79" t="e">
        <f>DATABASE!#REF!</f>
        <v>#REF!</v>
      </c>
      <c r="AA7" s="81">
        <f>DATABASE!AA443</f>
        <v>46029</v>
      </c>
      <c r="AB7" s="82">
        <f>DATABASE!AB443</f>
        <v>47118</v>
      </c>
    </row>
    <row r="8" spans="1:28">
      <c r="A8" s="71" t="str">
        <f>DATABASE!A444</f>
        <v>Rivus</v>
      </c>
      <c r="B8" s="89" t="str">
        <f>DATABASE!B444</f>
        <v>Vilamoura</v>
      </c>
      <c r="C8" s="89" t="str">
        <f>DATABASE!C444</f>
        <v>AI</v>
      </c>
      <c r="D8" s="91" t="str">
        <f>DATABASE!E444</f>
        <v>T2</v>
      </c>
      <c r="E8" s="91">
        <f>DATABASE!F444</f>
        <v>0</v>
      </c>
      <c r="F8" s="91">
        <f>DATABASE!G444</f>
        <v>0</v>
      </c>
      <c r="G8" s="91" t="str">
        <f>DATABASE!H444</f>
        <v/>
      </c>
      <c r="H8" s="91" t="str">
        <f>DATABASE!I444</f>
        <v/>
      </c>
      <c r="I8" s="93">
        <f>DATABASE!J444</f>
        <v>0</v>
      </c>
      <c r="J8" s="91">
        <f>DATABASE!K444</f>
        <v>0</v>
      </c>
      <c r="K8" s="93">
        <f>DATABASE!L444</f>
        <v>0</v>
      </c>
      <c r="L8" s="72">
        <f>DATABASE!M444</f>
        <v>18</v>
      </c>
      <c r="M8" s="93">
        <f>DATABASE!N444</f>
        <v>0</v>
      </c>
      <c r="N8" s="111">
        <f>DATABASE!O444</f>
        <v>105</v>
      </c>
      <c r="O8" s="88">
        <f>DATABASE!P444</f>
        <v>0</v>
      </c>
      <c r="P8" s="88" t="str">
        <f>DATABASE!Q444</f>
        <v>RESERVED</v>
      </c>
      <c r="Q8" s="78">
        <f>DATABASE!R444</f>
        <v>750000</v>
      </c>
      <c r="R8" s="78">
        <f>DATABASE!S444</f>
        <v>750000</v>
      </c>
      <c r="S8" s="78">
        <f>DATABASE!T444</f>
        <v>750000</v>
      </c>
      <c r="T8" s="78">
        <f>DATABASE!U444</f>
        <v>0</v>
      </c>
      <c r="U8" s="79">
        <f>DATABASE!V444</f>
        <v>0</v>
      </c>
      <c r="V8" s="79">
        <f>DATABASE!W444</f>
        <v>750000</v>
      </c>
      <c r="W8" s="80">
        <f>DATABASE!X444</f>
        <v>2.5000000000000001E-2</v>
      </c>
      <c r="X8" s="79">
        <f>DATABASE!Y444</f>
        <v>731250</v>
      </c>
      <c r="Y8" s="79">
        <f>DATABASE!Z444</f>
        <v>731250</v>
      </c>
      <c r="Z8" s="79" t="e">
        <f>DATABASE!#REF!</f>
        <v>#REF!</v>
      </c>
      <c r="AA8" s="81">
        <f>DATABASE!AA444</f>
        <v>46114</v>
      </c>
      <c r="AB8" s="82">
        <f>DATABASE!AB444</f>
        <v>0</v>
      </c>
    </row>
    <row r="9" spans="1:28">
      <c r="A9" s="71" t="str">
        <f>DATABASE!A445</f>
        <v>SPRINGS</v>
      </c>
      <c r="B9" s="89" t="str">
        <f>DATABASE!B445</f>
        <v>Vilamoura</v>
      </c>
      <c r="C9" s="89" t="str">
        <f>DATABASE!C445</f>
        <v>AI</v>
      </c>
      <c r="D9" s="91" t="str">
        <f>DATABASE!E445</f>
        <v>V2 Duplex</v>
      </c>
      <c r="E9" s="91">
        <f>DATABASE!F445</f>
        <v>330.51</v>
      </c>
      <c r="F9" s="91">
        <f>DATABASE!G445</f>
        <v>169.3</v>
      </c>
      <c r="G9" s="91" t="str">
        <f>DATABASE!H445</f>
        <v/>
      </c>
      <c r="H9" s="91" t="str">
        <f>DATABASE!I445</f>
        <v/>
      </c>
      <c r="I9" s="93">
        <f>DATABASE!J445</f>
        <v>25.77</v>
      </c>
      <c r="J9" s="91">
        <f>DATABASE!K445</f>
        <v>0</v>
      </c>
      <c r="K9" s="93">
        <f>DATABASE!L445</f>
        <v>0</v>
      </c>
      <c r="L9" s="72">
        <f>DATABASE!M445</f>
        <v>0</v>
      </c>
      <c r="M9" s="93">
        <f>DATABASE!N445</f>
        <v>0</v>
      </c>
      <c r="N9" s="111">
        <f>DATABASE!O445</f>
        <v>135.44</v>
      </c>
      <c r="O9" s="88">
        <f>DATABASE!P445</f>
        <v>0</v>
      </c>
      <c r="P9" s="88" t="str">
        <f>DATABASE!Q445</f>
        <v>AVAILABLE</v>
      </c>
      <c r="Q9" s="78">
        <f>DATABASE!R445</f>
        <v>1587700</v>
      </c>
      <c r="R9" s="78">
        <f>DATABASE!S445</f>
        <v>1658850</v>
      </c>
      <c r="S9" s="78">
        <f>DATABASE!T445</f>
        <v>1730000</v>
      </c>
      <c r="T9" s="78">
        <f>DATABASE!U445</f>
        <v>24600</v>
      </c>
      <c r="U9" s="79">
        <f>DATABASE!V445</f>
        <v>46550</v>
      </c>
      <c r="V9" s="79">
        <f>DATABASE!W445</f>
        <v>1658850</v>
      </c>
      <c r="W9" s="80">
        <f>DATABASE!X445</f>
        <v>0</v>
      </c>
      <c r="X9" s="79">
        <f>DATABASE!Y445</f>
        <v>1730000</v>
      </c>
      <c r="Y9" s="79">
        <f>DATABASE!Z445</f>
        <v>1658850</v>
      </c>
      <c r="Z9" s="79" t="e">
        <f>DATABASE!#REF!</f>
        <v>#REF!</v>
      </c>
      <c r="AA9" s="81">
        <f>DATABASE!AA445</f>
        <v>0</v>
      </c>
      <c r="AB9" s="82">
        <f>DATABASE!AB445</f>
        <v>0</v>
      </c>
    </row>
    <row r="10" spans="1:28">
      <c r="A10" s="71" t="str">
        <f>DATABASE!A446</f>
        <v>TERRACOTA</v>
      </c>
      <c r="B10" s="89" t="str">
        <f>DATABASE!B446</f>
        <v>Vilamoura</v>
      </c>
      <c r="C10" s="89" t="str">
        <f>DATABASE!C446</f>
        <v>AI</v>
      </c>
      <c r="D10" s="91" t="str">
        <f>DATABASE!E446</f>
        <v>T2</v>
      </c>
      <c r="E10" s="91">
        <f>DATABASE!F446</f>
        <v>104.7</v>
      </c>
      <c r="F10" s="91">
        <f>DATABASE!G446</f>
        <v>0</v>
      </c>
      <c r="G10" s="91" t="str">
        <f>DATABASE!H446</f>
        <v/>
      </c>
      <c r="H10" s="91" t="str">
        <f>DATABASE!I446</f>
        <v/>
      </c>
      <c r="I10" s="93">
        <f>DATABASE!J446</f>
        <v>0</v>
      </c>
      <c r="J10" s="91">
        <f>DATABASE!K446</f>
        <v>0</v>
      </c>
      <c r="K10" s="93">
        <f>DATABASE!L446</f>
        <v>0</v>
      </c>
      <c r="L10" s="72">
        <f>DATABASE!M446</f>
        <v>0</v>
      </c>
      <c r="M10" s="93">
        <f>DATABASE!N446</f>
        <v>0</v>
      </c>
      <c r="N10" s="111">
        <f>DATABASE!O446</f>
        <v>104.7</v>
      </c>
      <c r="O10" s="88">
        <f>DATABASE!P446</f>
        <v>0</v>
      </c>
      <c r="P10" s="88" t="str">
        <f>DATABASE!Q446</f>
        <v xml:space="preserve">PSPA </v>
      </c>
      <c r="Q10" s="78">
        <f>DATABASE!R446</f>
        <v>550000</v>
      </c>
      <c r="R10" s="78">
        <f>DATABASE!S446</f>
        <v>550000</v>
      </c>
      <c r="S10" s="78">
        <f>DATABASE!T446</f>
        <v>550000</v>
      </c>
      <c r="T10" s="78">
        <f>DATABASE!U446</f>
        <v>0</v>
      </c>
      <c r="U10" s="79">
        <f>DATABASE!V446</f>
        <v>0</v>
      </c>
      <c r="V10" s="79">
        <f>DATABASE!W446</f>
        <v>550000</v>
      </c>
      <c r="W10" s="80">
        <f>DATABASE!X446</f>
        <v>0</v>
      </c>
      <c r="X10" s="79">
        <f>DATABASE!Y446</f>
        <v>550000</v>
      </c>
      <c r="Y10" s="79">
        <f>DATABASE!Z446</f>
        <v>550000</v>
      </c>
      <c r="Z10" s="79" t="e">
        <f>DATABASE!#REF!</f>
        <v>#REF!</v>
      </c>
      <c r="AA10" s="81" t="e">
        <f>DATABASE!#REF!</f>
        <v>#REF!</v>
      </c>
      <c r="AB10" s="82">
        <f>DATABASE!AB446</f>
        <v>0</v>
      </c>
    </row>
    <row r="11" spans="1:28">
      <c r="A11" s="71" t="str">
        <f>DATABASE!A447</f>
        <v>THE NINE</v>
      </c>
      <c r="B11" s="89" t="str">
        <f>DATABASE!B447</f>
        <v>Vilamoura</v>
      </c>
      <c r="C11" s="89" t="str">
        <f>DATABASE!C447</f>
        <v>AI</v>
      </c>
      <c r="D11" s="91" t="str">
        <f>DATABASE!E447</f>
        <v>T2</v>
      </c>
      <c r="E11" s="91">
        <f>DATABASE!F447</f>
        <v>119</v>
      </c>
      <c r="F11" s="91">
        <f>DATABASE!G447</f>
        <v>0</v>
      </c>
      <c r="G11" s="91" t="str">
        <f>DATABASE!H447</f>
        <v/>
      </c>
      <c r="H11" s="91" t="str">
        <f>DATABASE!I447</f>
        <v/>
      </c>
      <c r="I11" s="93">
        <f>DATABASE!J447</f>
        <v>0</v>
      </c>
      <c r="J11" s="91">
        <f>DATABASE!K447</f>
        <v>0</v>
      </c>
      <c r="K11" s="93">
        <f>DATABASE!L447</f>
        <v>0</v>
      </c>
      <c r="L11" s="72">
        <f>DATABASE!M447</f>
        <v>0</v>
      </c>
      <c r="M11" s="93">
        <f>DATABASE!N447</f>
        <v>0</v>
      </c>
      <c r="N11" s="111">
        <f>DATABASE!O447</f>
        <v>119</v>
      </c>
      <c r="O11" s="88">
        <f>DATABASE!P447</f>
        <v>0</v>
      </c>
      <c r="P11" s="88" t="str">
        <f>DATABASE!Q447</f>
        <v xml:space="preserve">DEED </v>
      </c>
      <c r="Q11" s="78">
        <f>DATABASE!R447</f>
        <v>590000</v>
      </c>
      <c r="R11" s="78">
        <f>DATABASE!S447</f>
        <v>590000</v>
      </c>
      <c r="S11" s="78">
        <f>DATABASE!T447</f>
        <v>640000</v>
      </c>
      <c r="T11" s="78">
        <f>DATABASE!U447</f>
        <v>0</v>
      </c>
      <c r="U11" s="79">
        <f>DATABASE!V447</f>
        <v>0</v>
      </c>
      <c r="V11" s="79">
        <f>DATABASE!W447</f>
        <v>640000</v>
      </c>
      <c r="W11" s="80">
        <f>DATABASE!X447</f>
        <v>0</v>
      </c>
      <c r="X11" s="79">
        <f>DATABASE!Y447</f>
        <v>640000</v>
      </c>
      <c r="Y11" s="79">
        <f>DATABASE!Z447</f>
        <v>640000</v>
      </c>
      <c r="Z11" s="79" t="e">
        <f>DATABASE!#REF!</f>
        <v>#REF!</v>
      </c>
      <c r="AA11" s="81">
        <f>DATABASE!AA447</f>
        <v>45923</v>
      </c>
      <c r="AB11" s="82">
        <f>DATABASE!AB447</f>
        <v>0</v>
      </c>
    </row>
    <row r="12" spans="1:28">
      <c r="A12" s="71" t="str">
        <f>DATABASE!A448</f>
        <v>VM PARQUE</v>
      </c>
      <c r="B12" s="89" t="str">
        <f>DATABASE!B448</f>
        <v>Vilamoura</v>
      </c>
      <c r="C12" s="89" t="str">
        <f>DATABASE!C448</f>
        <v>AI</v>
      </c>
      <c r="D12" s="91" t="str">
        <f>DATABASE!E448</f>
        <v>V3</v>
      </c>
      <c r="E12" s="91">
        <f>DATABASE!F448</f>
        <v>188.36330000000001</v>
      </c>
      <c r="F12" s="91">
        <f>DATABASE!G448</f>
        <v>0</v>
      </c>
      <c r="G12" s="91" t="str">
        <f>DATABASE!H448</f>
        <v/>
      </c>
      <c r="H12" s="91" t="str">
        <f>DATABASE!I448</f>
        <v/>
      </c>
      <c r="I12" s="93">
        <f>DATABASE!J448</f>
        <v>0</v>
      </c>
      <c r="J12" s="91">
        <f>DATABASE!K448</f>
        <v>0</v>
      </c>
      <c r="K12" s="93">
        <f>DATABASE!L448</f>
        <v>0</v>
      </c>
      <c r="L12" s="72">
        <f>DATABASE!M448</f>
        <v>0</v>
      </c>
      <c r="M12" s="93">
        <f>DATABASE!N448</f>
        <v>0</v>
      </c>
      <c r="N12" s="111">
        <f>DATABASE!O448</f>
        <v>188.36330000000001</v>
      </c>
      <c r="O12" s="88">
        <f>DATABASE!P448</f>
        <v>0</v>
      </c>
      <c r="P12" s="88" t="str">
        <f>DATABASE!Q448</f>
        <v xml:space="preserve">DEED </v>
      </c>
      <c r="Q12" s="78">
        <f>DATABASE!R448</f>
        <v>1174632</v>
      </c>
      <c r="R12" s="78">
        <f>DATABASE!S448</f>
        <v>1174632</v>
      </c>
      <c r="S12" s="78">
        <f>DATABASE!T448</f>
        <v>1220000</v>
      </c>
      <c r="T12" s="78">
        <f>DATABASE!U448</f>
        <v>0</v>
      </c>
      <c r="U12" s="79">
        <f>DATABASE!V448</f>
        <v>0</v>
      </c>
      <c r="V12" s="79">
        <f>DATABASE!W448</f>
        <v>1220000</v>
      </c>
      <c r="W12" s="80">
        <f>DATABASE!X448</f>
        <v>0</v>
      </c>
      <c r="X12" s="79">
        <f>DATABASE!Y448</f>
        <v>1220000</v>
      </c>
      <c r="Y12" s="79">
        <f>DATABASE!Z448</f>
        <v>1220000</v>
      </c>
      <c r="Z12" s="79" t="e">
        <f>DATABASE!#REF!</f>
        <v>#REF!</v>
      </c>
      <c r="AA12" s="81">
        <f>DATABASE!AA448</f>
        <v>44659</v>
      </c>
      <c r="AB12" s="82">
        <f>DATABASE!AB448</f>
        <v>0</v>
      </c>
    </row>
    <row r="13" spans="1:28">
      <c r="A13" s="71" t="str">
        <f>DATABASE!A449</f>
        <v>Aroeira - HOTEL APARTMENTS</v>
      </c>
      <c r="B13" s="89" t="str">
        <f>DATABASE!B449</f>
        <v>Center</v>
      </c>
      <c r="C13" s="89" t="str">
        <f>DATABASE!C449</f>
        <v>116A</v>
      </c>
      <c r="D13" s="91" t="str">
        <f>DATABASE!E449</f>
        <v>1-BR</v>
      </c>
      <c r="E13" s="91">
        <f>DATABASE!F449</f>
        <v>65</v>
      </c>
      <c r="F13" s="91">
        <f>DATABASE!G449</f>
        <v>0</v>
      </c>
      <c r="G13" s="91" t="str">
        <f>DATABASE!H449</f>
        <v>1</v>
      </c>
      <c r="H13" s="91" t="str">
        <f>DATABASE!I449</f>
        <v/>
      </c>
      <c r="I13" s="93">
        <f>DATABASE!J449</f>
        <v>8.6999999999999993</v>
      </c>
      <c r="J13" s="91">
        <f>DATABASE!K449</f>
        <v>0</v>
      </c>
      <c r="K13" s="93">
        <f>DATABASE!L449</f>
        <v>0</v>
      </c>
      <c r="L13" s="72">
        <f>DATABASE!M449</f>
        <v>0</v>
      </c>
      <c r="M13" s="93">
        <f>DATABASE!N449</f>
        <v>0</v>
      </c>
      <c r="N13" s="111">
        <f>DATABASE!O449</f>
        <v>56.3</v>
      </c>
      <c r="O13" s="88">
        <f>DATABASE!P449</f>
        <v>0</v>
      </c>
      <c r="P13" s="88" t="str">
        <f>DATABASE!Q449</f>
        <v xml:space="preserve">PSPA </v>
      </c>
      <c r="Q13" s="78">
        <f>DATABASE!R449</f>
        <v>395000</v>
      </c>
      <c r="R13" s="78">
        <f>DATABASE!S449</f>
        <v>430000</v>
      </c>
      <c r="S13" s="78">
        <f>DATABASE!T449</f>
        <v>430000</v>
      </c>
      <c r="T13" s="78">
        <f>DATABASE!U449</f>
        <v>0</v>
      </c>
      <c r="U13" s="79">
        <f>DATABASE!V449</f>
        <v>35000</v>
      </c>
      <c r="V13" s="79">
        <f>DATABASE!W449</f>
        <v>395000</v>
      </c>
      <c r="W13" s="80">
        <f>DATABASE!X449</f>
        <v>0</v>
      </c>
      <c r="X13" s="79">
        <f>DATABASE!Y449</f>
        <v>430000</v>
      </c>
      <c r="Y13" s="79">
        <f>DATABASE!Z449</f>
        <v>395000</v>
      </c>
      <c r="Z13" s="79" t="e">
        <f>DATABASE!#REF!</f>
        <v>#REF!</v>
      </c>
      <c r="AA13" s="81" t="e">
        <f>DATABASE!#REF!</f>
        <v>#REF!</v>
      </c>
      <c r="AB13" s="82">
        <f>DATABASE!AB449</f>
        <v>47118</v>
      </c>
    </row>
    <row r="14" spans="1:28">
      <c r="A14" s="71" t="str">
        <f>DATABASE!A450</f>
        <v>Aroeira - APARTMENTS</v>
      </c>
      <c r="B14" s="89" t="str">
        <f>DATABASE!B450</f>
        <v>Center</v>
      </c>
      <c r="C14" s="89" t="str">
        <f>DATABASE!C450</f>
        <v>107B</v>
      </c>
      <c r="D14" s="91" t="str">
        <f>DATABASE!E450</f>
        <v>2-BR</v>
      </c>
      <c r="E14" s="91">
        <f>DATABASE!F450</f>
        <v>206.08</v>
      </c>
      <c r="F14" s="91">
        <f>DATABASE!G450</f>
        <v>0</v>
      </c>
      <c r="G14" s="91" t="str">
        <f>DATABASE!H450</f>
        <v>1</v>
      </c>
      <c r="H14" s="91" t="str">
        <f>DATABASE!I450</f>
        <v/>
      </c>
      <c r="I14" s="93">
        <f>DATABASE!J450</f>
        <v>23.05</v>
      </c>
      <c r="J14" s="91">
        <f>DATABASE!K450</f>
        <v>92.93</v>
      </c>
      <c r="K14" s="93">
        <f>DATABASE!L450</f>
        <v>0</v>
      </c>
      <c r="L14" s="72">
        <f>DATABASE!M450</f>
        <v>0</v>
      </c>
      <c r="M14" s="93">
        <f>DATABASE!N450</f>
        <v>0</v>
      </c>
      <c r="N14" s="111">
        <f>DATABASE!O450</f>
        <v>90.1</v>
      </c>
      <c r="O14" s="88">
        <f>DATABASE!P450</f>
        <v>0</v>
      </c>
      <c r="P14" s="88" t="str">
        <f>DATABASE!Q450</f>
        <v>NOT FOR SALE</v>
      </c>
      <c r="Q14" s="78">
        <f>DATABASE!R450</f>
        <v>745000</v>
      </c>
      <c r="R14" s="78">
        <f>DATABASE!S450</f>
        <v>790000</v>
      </c>
      <c r="S14" s="78">
        <f>DATABASE!T450</f>
        <v>850000</v>
      </c>
      <c r="T14" s="78">
        <f>DATABASE!U450</f>
        <v>0</v>
      </c>
      <c r="U14" s="79">
        <f>DATABASE!V450</f>
        <v>45000</v>
      </c>
      <c r="V14" s="79">
        <f>DATABASE!W450</f>
        <v>805000</v>
      </c>
      <c r="W14" s="80">
        <f>DATABASE!X450</f>
        <v>0</v>
      </c>
      <c r="X14" s="79">
        <f>DATABASE!Y450</f>
        <v>0</v>
      </c>
      <c r="Y14" s="79">
        <f>DATABASE!Z450</f>
        <v>-45000</v>
      </c>
      <c r="Z14" s="79" t="e">
        <f>DATABASE!#REF!</f>
        <v>#REF!</v>
      </c>
      <c r="AA14" s="81">
        <f>DATABASE!AA450</f>
        <v>0</v>
      </c>
      <c r="AB14" s="82">
        <f>DATABASE!AB450</f>
        <v>47118</v>
      </c>
    </row>
    <row r="15" spans="1:28">
      <c r="A15" s="71" t="str">
        <f>DATABASE!A451</f>
        <v>Aroeira - APARTMENTS</v>
      </c>
      <c r="B15" s="89" t="str">
        <f>DATABASE!B451</f>
        <v>Center</v>
      </c>
      <c r="C15" s="89" t="str">
        <f>DATABASE!C451</f>
        <v>108B</v>
      </c>
      <c r="D15" s="91" t="str">
        <f>DATABASE!E451</f>
        <v>2-BR</v>
      </c>
      <c r="E15" s="91">
        <f>DATABASE!F451</f>
        <v>206.23</v>
      </c>
      <c r="F15" s="91">
        <f>DATABASE!G451</f>
        <v>0</v>
      </c>
      <c r="G15" s="91" t="str">
        <f>DATABASE!H451</f>
        <v>1</v>
      </c>
      <c r="H15" s="91" t="str">
        <f>DATABASE!I451</f>
        <v/>
      </c>
      <c r="I15" s="93">
        <f>DATABASE!J451</f>
        <v>23.07</v>
      </c>
      <c r="J15" s="91">
        <f>DATABASE!K451</f>
        <v>93.07</v>
      </c>
      <c r="K15" s="93">
        <f>DATABASE!L451</f>
        <v>0</v>
      </c>
      <c r="L15" s="72">
        <f>DATABASE!M451</f>
        <v>0</v>
      </c>
      <c r="M15" s="93">
        <f>DATABASE!N451</f>
        <v>0</v>
      </c>
      <c r="N15" s="111">
        <f>DATABASE!O451</f>
        <v>90.09</v>
      </c>
      <c r="O15" s="88">
        <f>DATABASE!P451</f>
        <v>0</v>
      </c>
      <c r="P15" s="88" t="str">
        <f>DATABASE!Q451</f>
        <v>NOT FOR SALE</v>
      </c>
      <c r="Q15" s="78">
        <f>DATABASE!R451</f>
        <v>745000</v>
      </c>
      <c r="R15" s="78">
        <f>DATABASE!S451</f>
        <v>790000</v>
      </c>
      <c r="S15" s="78">
        <f>DATABASE!T451</f>
        <v>850000</v>
      </c>
      <c r="T15" s="78">
        <f>DATABASE!U451</f>
        <v>0</v>
      </c>
      <c r="U15" s="79">
        <f>DATABASE!V451</f>
        <v>45000</v>
      </c>
      <c r="V15" s="79">
        <f>DATABASE!W451</f>
        <v>805000</v>
      </c>
      <c r="W15" s="80">
        <f>DATABASE!X451</f>
        <v>0</v>
      </c>
      <c r="X15" s="79">
        <f>DATABASE!Y451</f>
        <v>0</v>
      </c>
      <c r="Y15" s="79">
        <f>DATABASE!Z451</f>
        <v>-45000</v>
      </c>
      <c r="Z15" s="79" t="e">
        <f>DATABASE!#REF!</f>
        <v>#REF!</v>
      </c>
      <c r="AA15" s="81">
        <f>DATABASE!AA451</f>
        <v>0</v>
      </c>
      <c r="AB15" s="82">
        <f>DATABASE!AB451</f>
        <v>47118</v>
      </c>
    </row>
    <row r="16" spans="1:28">
      <c r="A16" s="71" t="str">
        <f>DATABASE!A452</f>
        <v>ZESTIA</v>
      </c>
      <c r="B16" s="89" t="str">
        <f>DATABASE!B452</f>
        <v>Vilamoura</v>
      </c>
      <c r="C16" s="89" t="str">
        <f>DATABASE!C452</f>
        <v>AI</v>
      </c>
      <c r="D16" s="91" t="str">
        <f>DATABASE!E452</f>
        <v>T1</v>
      </c>
      <c r="E16" s="91">
        <f>DATABASE!F452</f>
        <v>96.42</v>
      </c>
      <c r="F16" s="91">
        <f>DATABASE!G452</f>
        <v>0</v>
      </c>
      <c r="G16" s="91" t="str">
        <f>DATABASE!H452</f>
        <v/>
      </c>
      <c r="H16" s="91" t="str">
        <f>DATABASE!I452</f>
        <v/>
      </c>
      <c r="I16" s="93">
        <f>DATABASE!J452</f>
        <v>28.56</v>
      </c>
      <c r="J16" s="91">
        <f>DATABASE!K452</f>
        <v>0</v>
      </c>
      <c r="K16" s="93">
        <f>DATABASE!L452</f>
        <v>0</v>
      </c>
      <c r="L16" s="72">
        <f>DATABASE!M452</f>
        <v>0</v>
      </c>
      <c r="M16" s="93">
        <f>DATABASE!N452</f>
        <v>0</v>
      </c>
      <c r="N16" s="111">
        <f>DATABASE!O452</f>
        <v>67.86</v>
      </c>
      <c r="O16" s="88">
        <f>DATABASE!P452</f>
        <v>0</v>
      </c>
      <c r="P16" s="88" t="str">
        <f>DATABASE!Q452</f>
        <v>AVAILABLE</v>
      </c>
      <c r="Q16" s="78">
        <f>DATABASE!R452</f>
        <v>580548.89060000004</v>
      </c>
      <c r="R16" s="78">
        <f>DATABASE!S452</f>
        <v>635148.89060000004</v>
      </c>
      <c r="S16" s="78">
        <f>DATABASE!T452</f>
        <v>690000</v>
      </c>
      <c r="T16" s="78">
        <f>DATABASE!U452</f>
        <v>24600</v>
      </c>
      <c r="U16" s="79">
        <f>DATABASE!V452</f>
        <v>30000</v>
      </c>
      <c r="V16" s="79">
        <f>DATABASE!W452</f>
        <v>635400</v>
      </c>
      <c r="W16" s="80">
        <f>DATABASE!X452</f>
        <v>0</v>
      </c>
      <c r="X16" s="79">
        <f>DATABASE!Y452</f>
        <v>690000</v>
      </c>
      <c r="Y16" s="79">
        <f>DATABASE!Z452</f>
        <v>635400</v>
      </c>
      <c r="Z16" s="79" t="e">
        <f>DATABASE!#REF!</f>
        <v>#REF!</v>
      </c>
      <c r="AA16" s="81">
        <f>DATABASE!AA452</f>
        <v>0</v>
      </c>
      <c r="AB16" s="82">
        <f>DATABASE!AB452</f>
        <v>0</v>
      </c>
    </row>
    <row r="17" spans="1:28">
      <c r="A17" s="71" t="str">
        <f>DATABASE!A453</f>
        <v>BOTÂNICA</v>
      </c>
      <c r="B17" s="89" t="str">
        <f>DATABASE!B453</f>
        <v>Vilamoura</v>
      </c>
      <c r="C17" s="89" t="str">
        <f>DATABASE!C453</f>
        <v>AJ</v>
      </c>
      <c r="D17" s="91" t="str">
        <f>DATABASE!E453</f>
        <v>T2</v>
      </c>
      <c r="E17" s="91">
        <f>DATABASE!F453</f>
        <v>151.25</v>
      </c>
      <c r="F17" s="91">
        <f>DATABASE!G453</f>
        <v>0</v>
      </c>
      <c r="G17" s="91" t="str">
        <f>DATABASE!H453</f>
        <v>2</v>
      </c>
      <c r="H17" s="91" t="str">
        <f>DATABASE!I453</f>
        <v/>
      </c>
      <c r="I17" s="93">
        <f>DATABASE!J453</f>
        <v>27.61</v>
      </c>
      <c r="J17" s="91">
        <f>DATABASE!K453</f>
        <v>0</v>
      </c>
      <c r="K17" s="93">
        <f>DATABASE!L453</f>
        <v>0</v>
      </c>
      <c r="L17" s="72">
        <f>DATABASE!M453</f>
        <v>0</v>
      </c>
      <c r="M17" s="93">
        <f>DATABASE!N453</f>
        <v>0</v>
      </c>
      <c r="N17" s="111">
        <f>DATABASE!O453</f>
        <v>123.64</v>
      </c>
      <c r="O17" s="88">
        <f>DATABASE!P453</f>
        <v>0</v>
      </c>
      <c r="P17" s="88" t="str">
        <f>DATABASE!Q453</f>
        <v>AVAILABLE</v>
      </c>
      <c r="Q17" s="78">
        <f>DATABASE!R453</f>
        <v>949054.06200000003</v>
      </c>
      <c r="R17" s="78">
        <f>DATABASE!S453</f>
        <v>949054.06200000003</v>
      </c>
      <c r="S17" s="78">
        <f>DATABASE!T453</f>
        <v>995000</v>
      </c>
      <c r="T17" s="78">
        <f>DATABASE!U453</f>
        <v>0</v>
      </c>
      <c r="U17" s="79">
        <f>DATABASE!V453</f>
        <v>0</v>
      </c>
      <c r="V17" s="79">
        <f>DATABASE!W453</f>
        <v>995000</v>
      </c>
      <c r="W17" s="80">
        <f>DATABASE!X453</f>
        <v>0</v>
      </c>
      <c r="X17" s="79">
        <f>DATABASE!Y453</f>
        <v>978500</v>
      </c>
      <c r="Y17" s="79">
        <f>DATABASE!Z453</f>
        <v>978500</v>
      </c>
      <c r="Z17" s="79" t="e">
        <f>DATABASE!#REF!</f>
        <v>#REF!</v>
      </c>
      <c r="AA17" s="81">
        <f>DATABASE!AA453</f>
        <v>0</v>
      </c>
      <c r="AB17" s="82">
        <f>DATABASE!AB453</f>
        <v>0</v>
      </c>
    </row>
    <row r="18" spans="1:28">
      <c r="A18" s="71" t="str">
        <f>DATABASE!A454</f>
        <v>Palmares - Plots</v>
      </c>
      <c r="B18" s="89" t="str">
        <f>DATABASE!B454</f>
        <v>Algarve</v>
      </c>
      <c r="C18" s="89" t="str">
        <f>DATABASE!C454</f>
        <v>10</v>
      </c>
      <c r="D18" s="91" t="str">
        <f>DATABASE!E454</f>
        <v>Plot</v>
      </c>
      <c r="E18" s="91">
        <f>DATABASE!F454</f>
        <v>2605</v>
      </c>
      <c r="F18" s="91">
        <f>DATABASE!G454</f>
        <v>0</v>
      </c>
      <c r="G18" s="91" t="str">
        <f>DATABASE!H454</f>
        <v/>
      </c>
      <c r="H18" s="91" t="str">
        <f>DATABASE!I454</f>
        <v/>
      </c>
      <c r="I18" s="93">
        <f>DATABASE!J454</f>
        <v>0</v>
      </c>
      <c r="J18" s="91">
        <f>DATABASE!K454</f>
        <v>0</v>
      </c>
      <c r="K18" s="93">
        <f>DATABASE!L454</f>
        <v>0</v>
      </c>
      <c r="L18" s="72">
        <f>DATABASE!M454</f>
        <v>0</v>
      </c>
      <c r="M18" s="93">
        <f>DATABASE!N454</f>
        <v>0</v>
      </c>
      <c r="N18" s="111">
        <f>DATABASE!O454</f>
        <v>420</v>
      </c>
      <c r="O18" s="88">
        <f>DATABASE!P454</f>
        <v>0</v>
      </c>
      <c r="P18" s="88" t="str">
        <f>DATABASE!Q454</f>
        <v>AVAILABLE</v>
      </c>
      <c r="Q18" s="78">
        <f>DATABASE!R454</f>
        <v>790000</v>
      </c>
      <c r="R18" s="78">
        <f>DATABASE!S454</f>
        <v>790000</v>
      </c>
      <c r="S18" s="78">
        <f>DATABASE!T454</f>
        <v>1950000</v>
      </c>
      <c r="T18" s="78">
        <f>DATABASE!U454</f>
        <v>0</v>
      </c>
      <c r="U18" s="79">
        <f>DATABASE!V454</f>
        <v>0</v>
      </c>
      <c r="V18" s="79">
        <f>DATABASE!W454</f>
        <v>1950000</v>
      </c>
      <c r="W18" s="80">
        <f>DATABASE!X454</f>
        <v>0</v>
      </c>
      <c r="X18" s="79">
        <f>DATABASE!Y454</f>
        <v>1950000</v>
      </c>
      <c r="Y18" s="79">
        <f>DATABASE!Z454</f>
        <v>1950000</v>
      </c>
      <c r="Z18" s="79" t="e">
        <f>DATABASE!#REF!</f>
        <v>#REF!</v>
      </c>
      <c r="AA18" s="81">
        <f>DATABASE!AA454</f>
        <v>0</v>
      </c>
      <c r="AB18" s="82">
        <f>DATABASE!AB454</f>
        <v>46843</v>
      </c>
    </row>
    <row r="19" spans="1:28">
      <c r="A19" s="71" t="str">
        <f>DATABASE!A455</f>
        <v>Palmares - Plots</v>
      </c>
      <c r="B19" s="89" t="str">
        <f>DATABASE!B455</f>
        <v>Algarve</v>
      </c>
      <c r="C19" s="89" t="str">
        <f>DATABASE!C455</f>
        <v>14</v>
      </c>
      <c r="D19" s="91" t="str">
        <f>DATABASE!E455</f>
        <v>Plot</v>
      </c>
      <c r="E19" s="91">
        <f>DATABASE!F455</f>
        <v>2899</v>
      </c>
      <c r="F19" s="91">
        <f>DATABASE!G455</f>
        <v>0</v>
      </c>
      <c r="G19" s="91" t="str">
        <f>DATABASE!H455</f>
        <v/>
      </c>
      <c r="H19" s="91" t="str">
        <f>DATABASE!I455</f>
        <v/>
      </c>
      <c r="I19" s="93">
        <f>DATABASE!J455</f>
        <v>0</v>
      </c>
      <c r="J19" s="91">
        <f>DATABASE!K455</f>
        <v>0</v>
      </c>
      <c r="K19" s="93">
        <f>DATABASE!L455</f>
        <v>0</v>
      </c>
      <c r="L19" s="72">
        <f>DATABASE!M455</f>
        <v>0</v>
      </c>
      <c r="M19" s="93">
        <f>DATABASE!N455</f>
        <v>0</v>
      </c>
      <c r="N19" s="111">
        <f>DATABASE!O455</f>
        <v>340</v>
      </c>
      <c r="O19" s="88">
        <f>DATABASE!P455</f>
        <v>0</v>
      </c>
      <c r="P19" s="88" t="str">
        <f>DATABASE!Q455</f>
        <v>AVAILABLE</v>
      </c>
      <c r="Q19" s="78">
        <f>DATABASE!R455</f>
        <v>790000</v>
      </c>
      <c r="R19" s="78">
        <f>DATABASE!S455</f>
        <v>790000</v>
      </c>
      <c r="S19" s="78">
        <f>DATABASE!T455</f>
        <v>1100000</v>
      </c>
      <c r="T19" s="78">
        <f>DATABASE!U455</f>
        <v>0</v>
      </c>
      <c r="U19" s="79">
        <f>DATABASE!V455</f>
        <v>0</v>
      </c>
      <c r="V19" s="79">
        <f>DATABASE!W455</f>
        <v>1100000</v>
      </c>
      <c r="W19" s="80">
        <f>DATABASE!X455</f>
        <v>0</v>
      </c>
      <c r="X19" s="79">
        <f>DATABASE!Y455</f>
        <v>1100000</v>
      </c>
      <c r="Y19" s="79">
        <f>DATABASE!Z455</f>
        <v>1100000</v>
      </c>
      <c r="Z19" s="79" t="e">
        <f>DATABASE!#REF!</f>
        <v>#REF!</v>
      </c>
      <c r="AA19" s="81">
        <f>DATABASE!AA455</f>
        <v>0</v>
      </c>
      <c r="AB19" s="82">
        <f>DATABASE!AB455</f>
        <v>46843</v>
      </c>
    </row>
    <row r="20" spans="1:28">
      <c r="A20" s="71" t="str">
        <f>DATABASE!A456</f>
        <v>NOBILUS</v>
      </c>
      <c r="B20" s="89" t="str">
        <f>DATABASE!B456</f>
        <v>Vilamoura</v>
      </c>
      <c r="C20" s="89" t="str">
        <f>DATABASE!C456</f>
        <v>AJ</v>
      </c>
      <c r="D20" s="91" t="str">
        <f>DATABASE!E456</f>
        <v>T4</v>
      </c>
      <c r="E20" s="91">
        <f>DATABASE!F456</f>
        <v>191.33</v>
      </c>
      <c r="F20" s="91">
        <f>DATABASE!G456</f>
        <v>4.4800000000000004</v>
      </c>
      <c r="G20" s="91" t="str">
        <f>DATABASE!H456</f>
        <v/>
      </c>
      <c r="H20" s="91" t="str">
        <f>DATABASE!I456</f>
        <v>Yes</v>
      </c>
      <c r="I20" s="93">
        <f>DATABASE!J456</f>
        <v>7.19</v>
      </c>
      <c r="J20" s="91">
        <f>DATABASE!K456</f>
        <v>0</v>
      </c>
      <c r="K20" s="93">
        <f>DATABASE!L456</f>
        <v>0</v>
      </c>
      <c r="L20" s="72">
        <f>DATABASE!M456</f>
        <v>0</v>
      </c>
      <c r="M20" s="93">
        <f>DATABASE!N456</f>
        <v>0</v>
      </c>
      <c r="N20" s="111">
        <f>DATABASE!O456</f>
        <v>191.33</v>
      </c>
      <c r="O20" s="88">
        <f>DATABASE!P456</f>
        <v>0</v>
      </c>
      <c r="P20" s="88" t="str">
        <f>DATABASE!Q456</f>
        <v>AVAILABLE</v>
      </c>
      <c r="Q20" s="78">
        <f>DATABASE!R456</f>
        <v>1530000</v>
      </c>
      <c r="R20" s="78">
        <f>DATABASE!S456</f>
        <v>1530000</v>
      </c>
      <c r="S20" s="78">
        <f>DATABASE!T456</f>
        <v>1530000</v>
      </c>
      <c r="T20" s="78">
        <f>DATABASE!U456</f>
        <v>0</v>
      </c>
      <c r="U20" s="79">
        <f>DATABASE!V456</f>
        <v>0</v>
      </c>
      <c r="V20" s="79">
        <f>DATABASE!W456</f>
        <v>1530000</v>
      </c>
      <c r="W20" s="80">
        <f>DATABASE!X456</f>
        <v>0</v>
      </c>
      <c r="X20" s="79">
        <f>DATABASE!Y456</f>
        <v>1530000</v>
      </c>
      <c r="Y20" s="79">
        <f>DATABASE!Z456</f>
        <v>1530000</v>
      </c>
      <c r="Z20" s="79" t="e">
        <f>DATABASE!#REF!</f>
        <v>#REF!</v>
      </c>
      <c r="AA20" s="81">
        <f>DATABASE!AA456</f>
        <v>0</v>
      </c>
      <c r="AB20" s="82">
        <f>DATABASE!AB456</f>
        <v>0</v>
      </c>
    </row>
    <row r="21" spans="1:28">
      <c r="A21" s="71" t="str">
        <f>DATABASE!A457</f>
        <v>Rivus</v>
      </c>
      <c r="B21" s="89" t="str">
        <f>DATABASE!B457</f>
        <v>Vilamoura</v>
      </c>
      <c r="C21" s="89" t="str">
        <f>DATABASE!C457</f>
        <v>AJ</v>
      </c>
      <c r="D21" s="91" t="str">
        <f>DATABASE!E457</f>
        <v>T3</v>
      </c>
      <c r="E21" s="91">
        <f>DATABASE!F457</f>
        <v>0</v>
      </c>
      <c r="F21" s="91">
        <f>DATABASE!G457</f>
        <v>0</v>
      </c>
      <c r="G21" s="91" t="str">
        <f>DATABASE!H457</f>
        <v/>
      </c>
      <c r="H21" s="91" t="str">
        <f>DATABASE!I457</f>
        <v>Yes</v>
      </c>
      <c r="I21" s="93">
        <f>DATABASE!J457</f>
        <v>0</v>
      </c>
      <c r="J21" s="91">
        <f>DATABASE!K457</f>
        <v>0</v>
      </c>
      <c r="K21" s="93">
        <f>DATABASE!L457</f>
        <v>0</v>
      </c>
      <c r="L21" s="72">
        <f>DATABASE!M457</f>
        <v>172</v>
      </c>
      <c r="M21" s="93">
        <f>DATABASE!N457</f>
        <v>0</v>
      </c>
      <c r="N21" s="111">
        <f>DATABASE!O457</f>
        <v>135</v>
      </c>
      <c r="O21" s="88">
        <f>DATABASE!P457</f>
        <v>0</v>
      </c>
      <c r="P21" s="88" t="str">
        <f>DATABASE!Q457</f>
        <v xml:space="preserve">PSPA </v>
      </c>
      <c r="Q21" s="78">
        <f>DATABASE!R457</f>
        <v>1150000</v>
      </c>
      <c r="R21" s="78">
        <f>DATABASE!S457</f>
        <v>1150000</v>
      </c>
      <c r="S21" s="78">
        <f>DATABASE!T457</f>
        <v>1150000</v>
      </c>
      <c r="T21" s="78">
        <f>DATABASE!U457</f>
        <v>0</v>
      </c>
      <c r="U21" s="79">
        <f>DATABASE!V457</f>
        <v>0</v>
      </c>
      <c r="V21" s="79">
        <f>DATABASE!W457</f>
        <v>1150000</v>
      </c>
      <c r="W21" s="80">
        <f>DATABASE!X457</f>
        <v>0</v>
      </c>
      <c r="X21" s="79">
        <f>DATABASE!Y457</f>
        <v>1150000</v>
      </c>
      <c r="Y21" s="79">
        <f>DATABASE!Z457</f>
        <v>1150000</v>
      </c>
      <c r="Z21" s="79" t="e">
        <f>DATABASE!#REF!</f>
        <v>#REF!</v>
      </c>
      <c r="AA21" s="81" t="e">
        <f>DATABASE!#REF!</f>
        <v>#REF!</v>
      </c>
      <c r="AB21" s="82">
        <f>DATABASE!AB457</f>
        <v>0</v>
      </c>
    </row>
    <row r="22" spans="1:28">
      <c r="A22" s="71" t="str">
        <f>DATABASE!A458</f>
        <v>SPRINGS</v>
      </c>
      <c r="B22" s="89" t="str">
        <f>DATABASE!B458</f>
        <v>Vilamoura</v>
      </c>
      <c r="C22" s="89" t="str">
        <f>DATABASE!C458</f>
        <v>AJ</v>
      </c>
      <c r="D22" s="91" t="str">
        <f>DATABASE!E458</f>
        <v>V2 Duplex</v>
      </c>
      <c r="E22" s="91">
        <f>DATABASE!F458</f>
        <v>330.51</v>
      </c>
      <c r="F22" s="91">
        <f>DATABASE!G458</f>
        <v>169.3</v>
      </c>
      <c r="G22" s="91" t="str">
        <f>DATABASE!H458</f>
        <v/>
      </c>
      <c r="H22" s="91" t="str">
        <f>DATABASE!I458</f>
        <v/>
      </c>
      <c r="I22" s="93">
        <f>DATABASE!J458</f>
        <v>25.77</v>
      </c>
      <c r="J22" s="91">
        <f>DATABASE!K458</f>
        <v>0</v>
      </c>
      <c r="K22" s="93">
        <f>DATABASE!L458</f>
        <v>0</v>
      </c>
      <c r="L22" s="72">
        <f>DATABASE!M458</f>
        <v>0</v>
      </c>
      <c r="M22" s="93">
        <f>DATABASE!N458</f>
        <v>0</v>
      </c>
      <c r="N22" s="111">
        <f>DATABASE!O458</f>
        <v>135.44</v>
      </c>
      <c r="O22" s="88">
        <f>DATABASE!P458</f>
        <v>0</v>
      </c>
      <c r="P22" s="88" t="str">
        <f>DATABASE!Q458</f>
        <v>AVAILABLE</v>
      </c>
      <c r="Q22" s="78">
        <f>DATABASE!R458</f>
        <v>1637700</v>
      </c>
      <c r="R22" s="78">
        <f>DATABASE!S458</f>
        <v>1708850</v>
      </c>
      <c r="S22" s="78">
        <f>DATABASE!T458</f>
        <v>1780000</v>
      </c>
      <c r="T22" s="78">
        <f>DATABASE!U458</f>
        <v>24600</v>
      </c>
      <c r="U22" s="79">
        <f>DATABASE!V458</f>
        <v>46550</v>
      </c>
      <c r="V22" s="79">
        <f>DATABASE!W458</f>
        <v>1708850</v>
      </c>
      <c r="W22" s="80">
        <f>DATABASE!X458</f>
        <v>0</v>
      </c>
      <c r="X22" s="79">
        <f>DATABASE!Y458</f>
        <v>1780000</v>
      </c>
      <c r="Y22" s="79">
        <f>DATABASE!Z458</f>
        <v>1708850</v>
      </c>
      <c r="Z22" s="79" t="e">
        <f>DATABASE!#REF!</f>
        <v>#REF!</v>
      </c>
      <c r="AA22" s="81">
        <f>DATABASE!AA458</f>
        <v>0</v>
      </c>
      <c r="AB22" s="82">
        <f>DATABASE!AB458</f>
        <v>0</v>
      </c>
    </row>
    <row r="23" spans="1:28">
      <c r="A23" s="71" t="str">
        <f>DATABASE!A459</f>
        <v>TERRACOTA</v>
      </c>
      <c r="B23" s="89" t="str">
        <f>DATABASE!B459</f>
        <v>Vilamoura</v>
      </c>
      <c r="C23" s="89" t="str">
        <f>DATABASE!C459</f>
        <v>AJ</v>
      </c>
      <c r="D23" s="91" t="str">
        <f>DATABASE!E459</f>
        <v>T2</v>
      </c>
      <c r="E23" s="91">
        <f>DATABASE!F459</f>
        <v>104.7</v>
      </c>
      <c r="F23" s="91">
        <f>DATABASE!G459</f>
        <v>0</v>
      </c>
      <c r="G23" s="91" t="str">
        <f>DATABASE!H459</f>
        <v/>
      </c>
      <c r="H23" s="91" t="str">
        <f>DATABASE!I459</f>
        <v/>
      </c>
      <c r="I23" s="93">
        <f>DATABASE!J459</f>
        <v>0</v>
      </c>
      <c r="J23" s="91">
        <f>DATABASE!K459</f>
        <v>0</v>
      </c>
      <c r="K23" s="93">
        <f>DATABASE!L459</f>
        <v>0</v>
      </c>
      <c r="L23" s="72">
        <f>DATABASE!M459</f>
        <v>0</v>
      </c>
      <c r="M23" s="93">
        <f>DATABASE!N459</f>
        <v>0</v>
      </c>
      <c r="N23" s="111">
        <f>DATABASE!O459</f>
        <v>104.7</v>
      </c>
      <c r="O23" s="88">
        <f>DATABASE!P459</f>
        <v>0</v>
      </c>
      <c r="P23" s="88" t="str">
        <f>DATABASE!Q459</f>
        <v xml:space="preserve">PSPA </v>
      </c>
      <c r="Q23" s="78">
        <f>DATABASE!R459</f>
        <v>550000</v>
      </c>
      <c r="R23" s="78">
        <f>DATABASE!S459</f>
        <v>550000</v>
      </c>
      <c r="S23" s="78">
        <f>DATABASE!T459</f>
        <v>550000</v>
      </c>
      <c r="T23" s="78">
        <f>DATABASE!U459</f>
        <v>0</v>
      </c>
      <c r="U23" s="79">
        <f>DATABASE!V459</f>
        <v>0</v>
      </c>
      <c r="V23" s="79">
        <f>DATABASE!W459</f>
        <v>550000</v>
      </c>
      <c r="W23" s="80">
        <f>DATABASE!X459</f>
        <v>0</v>
      </c>
      <c r="X23" s="79">
        <f>DATABASE!Y459</f>
        <v>550000</v>
      </c>
      <c r="Y23" s="79">
        <f>DATABASE!Z459</f>
        <v>550000</v>
      </c>
      <c r="Z23" s="79" t="e">
        <f>DATABASE!#REF!</f>
        <v>#REF!</v>
      </c>
      <c r="AA23" s="81" t="e">
        <f>DATABASE!#REF!</f>
        <v>#REF!</v>
      </c>
      <c r="AB23" s="82">
        <f>DATABASE!AB459</f>
        <v>0</v>
      </c>
    </row>
    <row r="24" spans="1:28">
      <c r="A24" s="71" t="str">
        <f>DATABASE!A460</f>
        <v>Aroeira - HOTEL APARTMENTS</v>
      </c>
      <c r="B24" s="89" t="str">
        <f>DATABASE!B460</f>
        <v>Center</v>
      </c>
      <c r="C24" s="89" t="str">
        <f>DATABASE!C460</f>
        <v>119A</v>
      </c>
      <c r="D24" s="91" t="str">
        <f>DATABASE!E460</f>
        <v>1-BR</v>
      </c>
      <c r="E24" s="91">
        <f>DATABASE!F460</f>
        <v>65</v>
      </c>
      <c r="F24" s="91">
        <f>DATABASE!G460</f>
        <v>0</v>
      </c>
      <c r="G24" s="91" t="str">
        <f>DATABASE!H460</f>
        <v>1</v>
      </c>
      <c r="H24" s="91" t="str">
        <f>DATABASE!I460</f>
        <v/>
      </c>
      <c r="I24" s="93">
        <f>DATABASE!J460</f>
        <v>8.6999999999999993</v>
      </c>
      <c r="J24" s="91">
        <f>DATABASE!K460</f>
        <v>0</v>
      </c>
      <c r="K24" s="93">
        <f>DATABASE!L460</f>
        <v>0</v>
      </c>
      <c r="L24" s="72">
        <f>DATABASE!M460</f>
        <v>0</v>
      </c>
      <c r="M24" s="93">
        <f>DATABASE!N460</f>
        <v>0</v>
      </c>
      <c r="N24" s="111">
        <f>DATABASE!O460</f>
        <v>56.3</v>
      </c>
      <c r="O24" s="88">
        <f>DATABASE!P460</f>
        <v>0</v>
      </c>
      <c r="P24" s="88" t="str">
        <f>DATABASE!Q460</f>
        <v xml:space="preserve">PSPA </v>
      </c>
      <c r="Q24" s="78">
        <f>DATABASE!R460</f>
        <v>395000</v>
      </c>
      <c r="R24" s="78">
        <f>DATABASE!S460</f>
        <v>430000</v>
      </c>
      <c r="S24" s="78">
        <f>DATABASE!T460</f>
        <v>430000</v>
      </c>
      <c r="T24" s="78">
        <f>DATABASE!U460</f>
        <v>0</v>
      </c>
      <c r="U24" s="79">
        <f>DATABASE!V460</f>
        <v>35000</v>
      </c>
      <c r="V24" s="79">
        <f>DATABASE!W460</f>
        <v>395000</v>
      </c>
      <c r="W24" s="80">
        <f>DATABASE!X460</f>
        <v>0</v>
      </c>
      <c r="X24" s="79">
        <f>DATABASE!Y460</f>
        <v>430000</v>
      </c>
      <c r="Y24" s="79">
        <f>DATABASE!Z460</f>
        <v>395000</v>
      </c>
      <c r="Z24" s="79" t="e">
        <f>DATABASE!#REF!</f>
        <v>#REF!</v>
      </c>
      <c r="AA24" s="81" t="e">
        <f>DATABASE!#REF!</f>
        <v>#REF!</v>
      </c>
      <c r="AB24" s="82">
        <f>DATABASE!AB460</f>
        <v>47118</v>
      </c>
    </row>
    <row r="25" spans="1:28">
      <c r="A25" s="71" t="str">
        <f>DATABASE!A461</f>
        <v>Aroeira - APARTMENTS</v>
      </c>
      <c r="B25" s="89" t="str">
        <f>DATABASE!B461</f>
        <v>Center</v>
      </c>
      <c r="C25" s="89" t="str">
        <f>DATABASE!C461</f>
        <v>120B</v>
      </c>
      <c r="D25" s="91" t="str">
        <f>DATABASE!E461</f>
        <v>2-BR</v>
      </c>
      <c r="E25" s="91">
        <f>DATABASE!F461</f>
        <v>262.92</v>
      </c>
      <c r="F25" s="91">
        <f>DATABASE!G461</f>
        <v>0</v>
      </c>
      <c r="G25" s="91" t="str">
        <f>DATABASE!H461</f>
        <v>1</v>
      </c>
      <c r="H25" s="91" t="str">
        <f>DATABASE!I461</f>
        <v/>
      </c>
      <c r="I25" s="93">
        <f>DATABASE!J461</f>
        <v>3.87</v>
      </c>
      <c r="J25" s="91">
        <f>DATABASE!K461</f>
        <v>145.22</v>
      </c>
      <c r="K25" s="93">
        <f>DATABASE!L461</f>
        <v>0</v>
      </c>
      <c r="L25" s="72">
        <f>DATABASE!M461</f>
        <v>0</v>
      </c>
      <c r="M25" s="93">
        <f>DATABASE!N461</f>
        <v>0</v>
      </c>
      <c r="N25" s="111">
        <f>DATABASE!O461</f>
        <v>113.83</v>
      </c>
      <c r="O25" s="88">
        <f>DATABASE!P461</f>
        <v>0</v>
      </c>
      <c r="P25" s="113" t="str">
        <f>DATABASE!Q461</f>
        <v xml:space="preserve">PSPA </v>
      </c>
      <c r="Q25" s="79">
        <f>DATABASE!R461</f>
        <v>850000</v>
      </c>
      <c r="R25" s="79">
        <f>DATABASE!S461</f>
        <v>895000</v>
      </c>
      <c r="S25" s="79">
        <f>DATABASE!T461</f>
        <v>940000</v>
      </c>
      <c r="T25" s="79">
        <f>DATABASE!U461</f>
        <v>0</v>
      </c>
      <c r="U25" s="79">
        <f>DATABASE!V461</f>
        <v>45000</v>
      </c>
      <c r="V25" s="79">
        <f>DATABASE!W461</f>
        <v>895000</v>
      </c>
      <c r="W25" s="80">
        <f>DATABASE!X461</f>
        <v>0</v>
      </c>
      <c r="X25" s="79">
        <f>DATABASE!Y461</f>
        <v>940000</v>
      </c>
      <c r="Y25" s="79">
        <f>DATABASE!Z461</f>
        <v>895000</v>
      </c>
      <c r="Z25" s="79" t="e">
        <f>DATABASE!#REF!</f>
        <v>#REF!</v>
      </c>
      <c r="AA25" s="81" t="e">
        <f>DATABASE!#REF!</f>
        <v>#REF!</v>
      </c>
      <c r="AB25" s="82">
        <f>DATABASE!AB461</f>
        <v>47118</v>
      </c>
    </row>
    <row r="26" spans="1:28">
      <c r="A26" s="71" t="str">
        <f>DATABASE!A462</f>
        <v>THE NINE</v>
      </c>
      <c r="B26" s="89" t="str">
        <f>DATABASE!B462</f>
        <v>Vilamoura</v>
      </c>
      <c r="C26" s="89" t="str">
        <f>DATABASE!C462</f>
        <v>AJ</v>
      </c>
      <c r="D26" s="91" t="str">
        <f>DATABASE!E462</f>
        <v>T2</v>
      </c>
      <c r="E26" s="91">
        <f>DATABASE!F462</f>
        <v>119</v>
      </c>
      <c r="F26" s="91">
        <f>DATABASE!G462</f>
        <v>0</v>
      </c>
      <c r="G26" s="91" t="str">
        <f>DATABASE!H462</f>
        <v/>
      </c>
      <c r="H26" s="91" t="str">
        <f>DATABASE!I462</f>
        <v/>
      </c>
      <c r="I26" s="93">
        <f>DATABASE!J462</f>
        <v>0</v>
      </c>
      <c r="J26" s="91">
        <f>DATABASE!K462</f>
        <v>0</v>
      </c>
      <c r="K26" s="93">
        <f>DATABASE!L462</f>
        <v>0</v>
      </c>
      <c r="L26" s="72">
        <f>DATABASE!M462</f>
        <v>0</v>
      </c>
      <c r="M26" s="93">
        <f>DATABASE!N462</f>
        <v>0</v>
      </c>
      <c r="N26" s="111">
        <f>DATABASE!O462</f>
        <v>119</v>
      </c>
      <c r="O26" s="88">
        <f>DATABASE!P462</f>
        <v>0</v>
      </c>
      <c r="P26" s="113" t="str">
        <f>DATABASE!Q462</f>
        <v xml:space="preserve">DEED </v>
      </c>
      <c r="Q26" s="79">
        <f>DATABASE!R462</f>
        <v>590000</v>
      </c>
      <c r="R26" s="79">
        <f>DATABASE!S462</f>
        <v>590000</v>
      </c>
      <c r="S26" s="79">
        <f>DATABASE!T462</f>
        <v>640000</v>
      </c>
      <c r="T26" s="79">
        <f>DATABASE!U462</f>
        <v>0</v>
      </c>
      <c r="U26" s="79">
        <f>DATABASE!V462</f>
        <v>0</v>
      </c>
      <c r="V26" s="79">
        <f>DATABASE!W462</f>
        <v>640000</v>
      </c>
      <c r="W26" s="80">
        <f>DATABASE!X462</f>
        <v>0</v>
      </c>
      <c r="X26" s="79">
        <f>DATABASE!Y462</f>
        <v>640000</v>
      </c>
      <c r="Y26" s="79">
        <f>DATABASE!Z462</f>
        <v>640000</v>
      </c>
      <c r="Z26" s="79" t="e">
        <f>DATABASE!#REF!</f>
        <v>#REF!</v>
      </c>
      <c r="AA26" s="81">
        <f>DATABASE!AA462</f>
        <v>45923</v>
      </c>
      <c r="AB26" s="82">
        <f>DATABASE!AB462</f>
        <v>0</v>
      </c>
    </row>
    <row r="27" spans="1:28">
      <c r="A27" s="71" t="str">
        <f>DATABASE!A463</f>
        <v>Palmares - Signature Apartments</v>
      </c>
      <c r="B27" s="89" t="str">
        <f>DATABASE!B463</f>
        <v>Algarve</v>
      </c>
      <c r="C27" s="89" t="str">
        <f>DATABASE!C463</f>
        <v>826B</v>
      </c>
      <c r="D27" s="91" t="str">
        <f>DATABASE!E463</f>
        <v>T2</v>
      </c>
      <c r="E27" s="91">
        <f>DATABASE!F463</f>
        <v>158.30000000000001</v>
      </c>
      <c r="F27" s="91">
        <f>DATABASE!G463</f>
        <v>0</v>
      </c>
      <c r="G27" s="91" t="str">
        <f>DATABASE!H463</f>
        <v>30+31</v>
      </c>
      <c r="H27" s="91" t="str">
        <f>DATABASE!I463</f>
        <v/>
      </c>
      <c r="I27" s="93">
        <f>DATABASE!J463</f>
        <v>0</v>
      </c>
      <c r="J27" s="91">
        <f>DATABASE!K463</f>
        <v>0</v>
      </c>
      <c r="K27" s="93">
        <f>DATABASE!L463</f>
        <v>0</v>
      </c>
      <c r="L27" s="72">
        <f>DATABASE!M463</f>
        <v>36.799999999999997</v>
      </c>
      <c r="M27" s="93">
        <f>DATABASE!N463</f>
        <v>0</v>
      </c>
      <c r="N27" s="111">
        <f>DATABASE!O463</f>
        <v>121.5</v>
      </c>
      <c r="O27" s="88">
        <f>DATABASE!P463</f>
        <v>0</v>
      </c>
      <c r="P27" s="113" t="str">
        <f>DATABASE!Q463</f>
        <v xml:space="preserve">PSPA </v>
      </c>
      <c r="Q27" s="79">
        <f>DATABASE!R463</f>
        <v>660000</v>
      </c>
      <c r="R27" s="79">
        <f>DATABASE!S463</f>
        <v>660000</v>
      </c>
      <c r="S27" s="79">
        <f>DATABASE!T463</f>
        <v>1000000</v>
      </c>
      <c r="T27" s="79">
        <f>DATABASE!U463</f>
        <v>0</v>
      </c>
      <c r="U27" s="79">
        <f>DATABASE!V463</f>
        <v>0</v>
      </c>
      <c r="V27" s="79">
        <f>DATABASE!W463</f>
        <v>1000000</v>
      </c>
      <c r="W27" s="80">
        <f>DATABASE!X463</f>
        <v>0</v>
      </c>
      <c r="X27" s="79">
        <f>DATABASE!Y463</f>
        <v>1000000</v>
      </c>
      <c r="Y27" s="79">
        <f>DATABASE!Z463</f>
        <v>1000000</v>
      </c>
      <c r="Z27" s="79" t="e">
        <f>DATABASE!#REF!</f>
        <v>#REF!</v>
      </c>
      <c r="AA27" s="81" t="e">
        <f>DATABASE!#REF!</f>
        <v>#REF!</v>
      </c>
      <c r="AB27" s="82">
        <f>DATABASE!AB463</f>
        <v>46843</v>
      </c>
    </row>
    <row r="28" spans="1:28">
      <c r="A28" s="71" t="str">
        <f>DATABASE!A464</f>
        <v>VM PARQUE</v>
      </c>
      <c r="B28" s="89" t="str">
        <f>DATABASE!B464</f>
        <v>Vilamoura</v>
      </c>
      <c r="C28" s="89" t="str">
        <f>DATABASE!C464</f>
        <v>AJ</v>
      </c>
      <c r="D28" s="91" t="str">
        <f>DATABASE!E464</f>
        <v>V3</v>
      </c>
      <c r="E28" s="91">
        <f>DATABASE!F464</f>
        <v>189.03110000000001</v>
      </c>
      <c r="F28" s="91">
        <f>DATABASE!G464</f>
        <v>0</v>
      </c>
      <c r="G28" s="91" t="str">
        <f>DATABASE!H464</f>
        <v/>
      </c>
      <c r="H28" s="91" t="str">
        <f>DATABASE!I464</f>
        <v/>
      </c>
      <c r="I28" s="93">
        <f>DATABASE!J464</f>
        <v>0</v>
      </c>
      <c r="J28" s="91">
        <f>DATABASE!K464</f>
        <v>0</v>
      </c>
      <c r="K28" s="93">
        <f>DATABASE!L464</f>
        <v>0</v>
      </c>
      <c r="L28" s="72">
        <f>DATABASE!M464</f>
        <v>0</v>
      </c>
      <c r="M28" s="93">
        <f>DATABASE!N464</f>
        <v>0</v>
      </c>
      <c r="N28" s="111">
        <f>DATABASE!O464</f>
        <v>189.03110000000001</v>
      </c>
      <c r="O28" s="88">
        <f>DATABASE!P464</f>
        <v>0</v>
      </c>
      <c r="P28" s="113" t="str">
        <f>DATABASE!Q464</f>
        <v xml:space="preserve">DEED </v>
      </c>
      <c r="Q28" s="79">
        <f>DATABASE!R464</f>
        <v>1181568</v>
      </c>
      <c r="R28" s="79">
        <f>DATABASE!S464</f>
        <v>1181568</v>
      </c>
      <c r="S28" s="79">
        <f>DATABASE!T464</f>
        <v>1185000</v>
      </c>
      <c r="T28" s="79">
        <f>DATABASE!U464</f>
        <v>0</v>
      </c>
      <c r="U28" s="79">
        <f>DATABASE!V464</f>
        <v>0</v>
      </c>
      <c r="V28" s="79">
        <f>DATABASE!W464</f>
        <v>1185000</v>
      </c>
      <c r="W28" s="80">
        <f>DATABASE!X464</f>
        <v>0</v>
      </c>
      <c r="X28" s="79">
        <f>DATABASE!Y464</f>
        <v>1185000</v>
      </c>
      <c r="Y28" s="79">
        <f>DATABASE!Z464</f>
        <v>1185000</v>
      </c>
      <c r="Z28" s="79" t="e">
        <f>DATABASE!#REF!</f>
        <v>#REF!</v>
      </c>
      <c r="AA28" s="81">
        <f>DATABASE!AA464</f>
        <v>44659</v>
      </c>
      <c r="AB28" s="82">
        <f>DATABASE!AB464</f>
        <v>0</v>
      </c>
    </row>
    <row r="29" spans="1:28">
      <c r="A29" s="71" t="str">
        <f>DATABASE!A465</f>
        <v>VP - TOWNHOUSES</v>
      </c>
      <c r="B29" s="89" t="str">
        <f>DATABASE!B465</f>
        <v>North</v>
      </c>
      <c r="C29" s="89" t="str">
        <f>DATABASE!C465</f>
        <v>1B</v>
      </c>
      <c r="D29" s="91" t="str">
        <f>DATABASE!E465</f>
        <v>V3</v>
      </c>
      <c r="E29" s="91">
        <f>DATABASE!F465</f>
        <v>324.74</v>
      </c>
      <c r="F29" s="91">
        <f>DATABASE!G465</f>
        <v>0</v>
      </c>
      <c r="G29" s="91" t="str">
        <f>DATABASE!H465</f>
        <v>2</v>
      </c>
      <c r="H29" s="91" t="str">
        <f>DATABASE!I465</f>
        <v>Yes</v>
      </c>
      <c r="I29" s="93">
        <f>DATABASE!J465</f>
        <v>0</v>
      </c>
      <c r="J29" s="91">
        <f>DATABASE!K465</f>
        <v>111.46</v>
      </c>
      <c r="K29" s="93">
        <f>DATABASE!L465</f>
        <v>46.1</v>
      </c>
      <c r="L29" s="72">
        <f>DATABASE!M465</f>
        <v>0</v>
      </c>
      <c r="M29" s="93">
        <f>DATABASE!N465</f>
        <v>0</v>
      </c>
      <c r="N29" s="111">
        <f>DATABASE!O465</f>
        <v>167.18</v>
      </c>
      <c r="O29" s="88">
        <f>DATABASE!P465</f>
        <v>0</v>
      </c>
      <c r="P29" s="113" t="str">
        <f>DATABASE!Q465</f>
        <v>AVAILABLE</v>
      </c>
      <c r="Q29" s="79">
        <f>DATABASE!R465</f>
        <v>800000</v>
      </c>
      <c r="R29" s="79">
        <f>DATABASE!S465</f>
        <v>800000</v>
      </c>
      <c r="S29" s="79">
        <f>DATABASE!T465</f>
        <v>820000</v>
      </c>
      <c r="T29" s="79">
        <f>DATABASE!U465</f>
        <v>0</v>
      </c>
      <c r="U29" s="79">
        <f>DATABASE!V465</f>
        <v>0</v>
      </c>
      <c r="V29" s="79">
        <f>DATABASE!W465</f>
        <v>820000</v>
      </c>
      <c r="W29" s="80">
        <f>DATABASE!X465</f>
        <v>0</v>
      </c>
      <c r="X29" s="79">
        <f>DATABASE!Y465</f>
        <v>0</v>
      </c>
      <c r="Y29" s="79">
        <f>DATABASE!Z465</f>
        <v>0</v>
      </c>
      <c r="Z29" s="79" t="e">
        <f>DATABASE!#REF!</f>
        <v>#REF!</v>
      </c>
      <c r="AA29" s="81">
        <f>DATABASE!AA465</f>
        <v>0</v>
      </c>
      <c r="AB29" s="82">
        <f>DATABASE!AB465</f>
        <v>47208</v>
      </c>
    </row>
    <row r="30" spans="1:28">
      <c r="A30" s="71" t="str">
        <f>DATABASE!A466</f>
        <v>ZESTIA</v>
      </c>
      <c r="B30" s="89" t="str">
        <f>DATABASE!B466</f>
        <v>Vilamoura</v>
      </c>
      <c r="C30" s="89" t="str">
        <f>DATABASE!C466</f>
        <v>AJ</v>
      </c>
      <c r="D30" s="91" t="str">
        <f>DATABASE!E466</f>
        <v>T2</v>
      </c>
      <c r="E30" s="91">
        <f>DATABASE!F466</f>
        <v>119.05</v>
      </c>
      <c r="F30" s="91">
        <f>DATABASE!G466</f>
        <v>0</v>
      </c>
      <c r="G30" s="91" t="str">
        <f>DATABASE!H466</f>
        <v/>
      </c>
      <c r="H30" s="91" t="str">
        <f>DATABASE!I466</f>
        <v/>
      </c>
      <c r="I30" s="93">
        <f>DATABASE!J466</f>
        <v>28.99</v>
      </c>
      <c r="J30" s="91">
        <f>DATABASE!K466</f>
        <v>0</v>
      </c>
      <c r="K30" s="93">
        <f>DATABASE!L466</f>
        <v>0</v>
      </c>
      <c r="L30" s="72">
        <f>DATABASE!M466</f>
        <v>0</v>
      </c>
      <c r="M30" s="93">
        <f>DATABASE!N466</f>
        <v>0</v>
      </c>
      <c r="N30" s="111">
        <f>DATABASE!O466</f>
        <v>90.06</v>
      </c>
      <c r="O30" s="88">
        <f>DATABASE!P466</f>
        <v>0</v>
      </c>
      <c r="P30" s="113" t="str">
        <f>DATABASE!Q466</f>
        <v>AVAILABLE</v>
      </c>
      <c r="Q30" s="79">
        <f>DATABASE!R466</f>
        <v>711800.14639999997</v>
      </c>
      <c r="R30" s="79">
        <f>DATABASE!S466</f>
        <v>776400.14639999997</v>
      </c>
      <c r="S30" s="79">
        <f>DATABASE!T466</f>
        <v>850000</v>
      </c>
      <c r="T30" s="79">
        <f>DATABASE!U466</f>
        <v>24600</v>
      </c>
      <c r="U30" s="79">
        <f>DATABASE!V466</f>
        <v>40000</v>
      </c>
      <c r="V30" s="79">
        <f>DATABASE!W466</f>
        <v>785400</v>
      </c>
      <c r="W30" s="80">
        <f>DATABASE!X466</f>
        <v>0</v>
      </c>
      <c r="X30" s="79">
        <f>DATABASE!Y466</f>
        <v>850000</v>
      </c>
      <c r="Y30" s="79">
        <f>DATABASE!Z466</f>
        <v>785400</v>
      </c>
      <c r="Z30" s="79" t="e">
        <f>DATABASE!#REF!</f>
        <v>#REF!</v>
      </c>
      <c r="AA30" s="81">
        <f>DATABASE!AA466</f>
        <v>0</v>
      </c>
      <c r="AB30" s="82">
        <f>DATABASE!AB466</f>
        <v>0</v>
      </c>
    </row>
    <row r="31" spans="1:28">
      <c r="A31" s="71" t="str">
        <f>DATABASE!A467</f>
        <v>BOTÂNICA</v>
      </c>
      <c r="B31" s="89" t="str">
        <f>DATABASE!B467</f>
        <v>Vilamoura</v>
      </c>
      <c r="C31" s="89" t="str">
        <f>DATABASE!C467</f>
        <v>AK</v>
      </c>
      <c r="D31" s="91" t="str">
        <f>DATABASE!E467</f>
        <v>T2</v>
      </c>
      <c r="E31" s="91">
        <f>DATABASE!F467</f>
        <v>151.5</v>
      </c>
      <c r="F31" s="91">
        <f>DATABASE!G467</f>
        <v>0</v>
      </c>
      <c r="G31" s="91" t="str">
        <f>DATABASE!H467</f>
        <v>2</v>
      </c>
      <c r="H31" s="91" t="str">
        <f>DATABASE!I467</f>
        <v/>
      </c>
      <c r="I31" s="93">
        <f>DATABASE!J467</f>
        <v>27.61</v>
      </c>
      <c r="J31" s="91">
        <f>DATABASE!K467</f>
        <v>0</v>
      </c>
      <c r="K31" s="93">
        <f>DATABASE!L467</f>
        <v>0</v>
      </c>
      <c r="L31" s="72">
        <f>DATABASE!M467</f>
        <v>0</v>
      </c>
      <c r="M31" s="93">
        <f>DATABASE!N467</f>
        <v>0</v>
      </c>
      <c r="N31" s="111">
        <f>DATABASE!O467</f>
        <v>123.89</v>
      </c>
      <c r="O31" s="88">
        <f>DATABASE!P467</f>
        <v>0</v>
      </c>
      <c r="P31" s="113" t="str">
        <f>DATABASE!Q467</f>
        <v>RESERVED</v>
      </c>
      <c r="Q31" s="79">
        <f>DATABASE!R467</f>
        <v>950852.56200000003</v>
      </c>
      <c r="R31" s="79">
        <f>DATABASE!S467</f>
        <v>950852.56200000003</v>
      </c>
      <c r="S31" s="79">
        <f>DATABASE!T467</f>
        <v>960000</v>
      </c>
      <c r="T31" s="79">
        <f>DATABASE!U467</f>
        <v>0</v>
      </c>
      <c r="U31" s="79">
        <f>DATABASE!V467</f>
        <v>0</v>
      </c>
      <c r="V31" s="79">
        <f>DATABASE!W467</f>
        <v>960000</v>
      </c>
      <c r="W31" s="80">
        <f>DATABASE!X467</f>
        <v>0.08</v>
      </c>
      <c r="X31" s="79">
        <f>DATABASE!Y467</f>
        <v>883200</v>
      </c>
      <c r="Y31" s="79">
        <f>DATABASE!Z467</f>
        <v>883200</v>
      </c>
      <c r="Z31" s="79" t="e">
        <f>DATABASE!#REF!</f>
        <v>#REF!</v>
      </c>
      <c r="AA31" s="81">
        <f>DATABASE!AA467</f>
        <v>0</v>
      </c>
      <c r="AB31" s="82">
        <f>DATABASE!AB467</f>
        <v>0</v>
      </c>
    </row>
    <row r="32" spans="1:28">
      <c r="A32" s="71" t="str">
        <f>DATABASE!A468</f>
        <v>NOBILUS</v>
      </c>
      <c r="B32" s="89" t="str">
        <f>DATABASE!B468</f>
        <v>Vilamoura</v>
      </c>
      <c r="C32" s="89" t="str">
        <f>DATABASE!C468</f>
        <v>AK</v>
      </c>
      <c r="D32" s="91" t="str">
        <f>DATABASE!E468</f>
        <v>T2</v>
      </c>
      <c r="E32" s="91">
        <f>DATABASE!F468</f>
        <v>111.82</v>
      </c>
      <c r="F32" s="91">
        <f>DATABASE!G468</f>
        <v>3.99</v>
      </c>
      <c r="G32" s="91" t="str">
        <f>DATABASE!H468</f>
        <v/>
      </c>
      <c r="H32" s="91" t="str">
        <f>DATABASE!I468</f>
        <v/>
      </c>
      <c r="I32" s="93">
        <f>DATABASE!J468</f>
        <v>0</v>
      </c>
      <c r="J32" s="91">
        <f>DATABASE!K468</f>
        <v>0</v>
      </c>
      <c r="K32" s="93">
        <f>DATABASE!L468</f>
        <v>0</v>
      </c>
      <c r="L32" s="72">
        <f>DATABASE!M468</f>
        <v>0</v>
      </c>
      <c r="M32" s="93">
        <f>DATABASE!N468</f>
        <v>0</v>
      </c>
      <c r="N32" s="111">
        <f>DATABASE!O468</f>
        <v>111.82</v>
      </c>
      <c r="O32" s="88">
        <f>DATABASE!P468</f>
        <v>0</v>
      </c>
      <c r="P32" s="113" t="str">
        <f>DATABASE!Q468</f>
        <v xml:space="preserve">PSPA </v>
      </c>
      <c r="Q32" s="79">
        <f>DATABASE!R468</f>
        <v>720000</v>
      </c>
      <c r="R32" s="79">
        <f>DATABASE!S468</f>
        <v>720000</v>
      </c>
      <c r="S32" s="79">
        <f>DATABASE!T468</f>
        <v>650000</v>
      </c>
      <c r="T32" s="79">
        <f>DATABASE!U468</f>
        <v>0</v>
      </c>
      <c r="U32" s="79">
        <f>DATABASE!V468</f>
        <v>0</v>
      </c>
      <c r="V32" s="79">
        <f>DATABASE!W468</f>
        <v>650000</v>
      </c>
      <c r="W32" s="80">
        <f>DATABASE!X468</f>
        <v>-5.2307692307692402E-2</v>
      </c>
      <c r="X32" s="79">
        <f>DATABASE!Y468</f>
        <v>684000</v>
      </c>
      <c r="Y32" s="79">
        <f>DATABASE!Z468</f>
        <v>684000</v>
      </c>
      <c r="Z32" s="79" t="e">
        <f>DATABASE!#REF!</f>
        <v>#REF!</v>
      </c>
      <c r="AA32" s="81">
        <f>DATABASE!AA468</f>
        <v>45898</v>
      </c>
      <c r="AB32" s="82">
        <f>DATABASE!AB468</f>
        <v>0</v>
      </c>
    </row>
    <row r="33" spans="1:28">
      <c r="A33" s="71" t="str">
        <f>DATABASE!A469</f>
        <v>Rivus</v>
      </c>
      <c r="B33" s="89" t="str">
        <f>DATABASE!B469</f>
        <v>Vilamoura</v>
      </c>
      <c r="C33" s="89" t="str">
        <f>DATABASE!C469</f>
        <v>AK</v>
      </c>
      <c r="D33" s="91" t="str">
        <f>DATABASE!E469</f>
        <v>T2</v>
      </c>
      <c r="E33" s="91">
        <f>DATABASE!F469</f>
        <v>0</v>
      </c>
      <c r="F33" s="91">
        <f>DATABASE!G469</f>
        <v>0</v>
      </c>
      <c r="G33" s="91" t="str">
        <f>DATABASE!H469</f>
        <v/>
      </c>
      <c r="H33" s="91" t="str">
        <f>DATABASE!I469</f>
        <v>Yes</v>
      </c>
      <c r="I33" s="93">
        <f>DATABASE!J469</f>
        <v>0</v>
      </c>
      <c r="J33" s="91">
        <f>DATABASE!K469</f>
        <v>0</v>
      </c>
      <c r="K33" s="93">
        <f>DATABASE!L469</f>
        <v>0</v>
      </c>
      <c r="L33" s="72">
        <f>DATABASE!M469</f>
        <v>109</v>
      </c>
      <c r="M33" s="93">
        <f>DATABASE!N469</f>
        <v>0</v>
      </c>
      <c r="N33" s="111">
        <f>DATABASE!O469</f>
        <v>109</v>
      </c>
      <c r="O33" s="88">
        <f>DATABASE!P469</f>
        <v>0</v>
      </c>
      <c r="P33" s="113" t="str">
        <f>DATABASE!Q469</f>
        <v>RESERVED</v>
      </c>
      <c r="Q33" s="79">
        <f>DATABASE!R469</f>
        <v>950000</v>
      </c>
      <c r="R33" s="79">
        <f>DATABASE!S469</f>
        <v>950000</v>
      </c>
      <c r="S33" s="79">
        <f>DATABASE!T469</f>
        <v>950000</v>
      </c>
      <c r="T33" s="79">
        <f>DATABASE!U469</f>
        <v>0</v>
      </c>
      <c r="U33" s="79">
        <f>DATABASE!V469</f>
        <v>0</v>
      </c>
      <c r="V33" s="79">
        <f>DATABASE!W469</f>
        <v>950000</v>
      </c>
      <c r="W33" s="80">
        <f>DATABASE!X469</f>
        <v>0</v>
      </c>
      <c r="X33" s="79">
        <f>DATABASE!Y469</f>
        <v>950000</v>
      </c>
      <c r="Y33" s="79">
        <f>DATABASE!Z469</f>
        <v>950000</v>
      </c>
      <c r="Z33" s="79" t="e">
        <f>DATABASE!#REF!</f>
        <v>#REF!</v>
      </c>
      <c r="AA33" s="81">
        <f>DATABASE!AA469</f>
        <v>46132</v>
      </c>
      <c r="AB33" s="82">
        <f>DATABASE!AB469</f>
        <v>0</v>
      </c>
    </row>
    <row r="34" spans="1:28">
      <c r="A34" s="71" t="str">
        <f>DATABASE!A470</f>
        <v>SPRINGS</v>
      </c>
      <c r="B34" s="89" t="str">
        <f>DATABASE!B470</f>
        <v>Vilamoura</v>
      </c>
      <c r="C34" s="89" t="str">
        <f>DATABASE!C470</f>
        <v>AK</v>
      </c>
      <c r="D34" s="91" t="str">
        <f>DATABASE!E470</f>
        <v>V3 Duplex</v>
      </c>
      <c r="E34" s="91">
        <f>DATABASE!F470</f>
        <v>469.43</v>
      </c>
      <c r="F34" s="91">
        <f>DATABASE!G470</f>
        <v>273.51</v>
      </c>
      <c r="G34" s="91" t="str">
        <f>DATABASE!H470</f>
        <v/>
      </c>
      <c r="H34" s="91" t="str">
        <f>DATABASE!I470</f>
        <v/>
      </c>
      <c r="I34" s="93">
        <f>DATABASE!J470</f>
        <v>32.840000000000003</v>
      </c>
      <c r="J34" s="91">
        <f>DATABASE!K470</f>
        <v>0</v>
      </c>
      <c r="K34" s="93">
        <f>DATABASE!L470</f>
        <v>0</v>
      </c>
      <c r="L34" s="72">
        <f>DATABASE!M470</f>
        <v>0</v>
      </c>
      <c r="M34" s="93">
        <f>DATABASE!N470</f>
        <v>0</v>
      </c>
      <c r="N34" s="111">
        <f>DATABASE!O470</f>
        <v>163.08000000000001</v>
      </c>
      <c r="O34" s="88">
        <f>DATABASE!P470</f>
        <v>0</v>
      </c>
      <c r="P34" s="113" t="str">
        <f>DATABASE!Q470</f>
        <v>AVAILABLE</v>
      </c>
      <c r="Q34" s="79">
        <f>DATABASE!R470</f>
        <v>1838200</v>
      </c>
      <c r="R34" s="79">
        <f>DATABASE!S470</f>
        <v>1924100</v>
      </c>
      <c r="S34" s="79">
        <f>DATABASE!T470</f>
        <v>2010000</v>
      </c>
      <c r="T34" s="79">
        <f>DATABASE!U470</f>
        <v>24600</v>
      </c>
      <c r="U34" s="79">
        <f>DATABASE!V470</f>
        <v>61300</v>
      </c>
      <c r="V34" s="79">
        <f>DATABASE!W470</f>
        <v>1924100</v>
      </c>
      <c r="W34" s="80">
        <f>DATABASE!X470</f>
        <v>0</v>
      </c>
      <c r="X34" s="79">
        <f>DATABASE!Y470</f>
        <v>2010000</v>
      </c>
      <c r="Y34" s="79">
        <f>DATABASE!Z470</f>
        <v>1924100</v>
      </c>
      <c r="Z34" s="79" t="e">
        <f>DATABASE!#REF!</f>
        <v>#REF!</v>
      </c>
      <c r="AA34" s="81">
        <f>DATABASE!AA470</f>
        <v>0</v>
      </c>
      <c r="AB34" s="82">
        <f>DATABASE!AB470</f>
        <v>0</v>
      </c>
    </row>
    <row r="35" spans="1:28">
      <c r="A35" s="71" t="str">
        <f>DATABASE!A471</f>
        <v>TERRACOTA</v>
      </c>
      <c r="B35" s="89" t="str">
        <f>DATABASE!B471</f>
        <v>Vilamoura</v>
      </c>
      <c r="C35" s="89" t="str">
        <f>DATABASE!C471</f>
        <v>AK</v>
      </c>
      <c r="D35" s="91" t="str">
        <f>DATABASE!E471</f>
        <v>T2</v>
      </c>
      <c r="E35" s="91">
        <f>DATABASE!F471</f>
        <v>104.7</v>
      </c>
      <c r="F35" s="91">
        <f>DATABASE!G471</f>
        <v>0</v>
      </c>
      <c r="G35" s="91" t="str">
        <f>DATABASE!H471</f>
        <v/>
      </c>
      <c r="H35" s="91" t="str">
        <f>DATABASE!I471</f>
        <v/>
      </c>
      <c r="I35" s="93">
        <f>DATABASE!J471</f>
        <v>0</v>
      </c>
      <c r="J35" s="91">
        <f>DATABASE!K471</f>
        <v>0</v>
      </c>
      <c r="K35" s="93">
        <f>DATABASE!L471</f>
        <v>0</v>
      </c>
      <c r="L35" s="72">
        <f>DATABASE!M471</f>
        <v>0</v>
      </c>
      <c r="M35" s="93">
        <f>DATABASE!N471</f>
        <v>0</v>
      </c>
      <c r="N35" s="111">
        <f>DATABASE!O471</f>
        <v>104.7</v>
      </c>
      <c r="O35" s="88">
        <f>DATABASE!P471</f>
        <v>0</v>
      </c>
      <c r="P35" s="113" t="str">
        <f>DATABASE!Q471</f>
        <v xml:space="preserve">PSPA </v>
      </c>
      <c r="Q35" s="79">
        <f>DATABASE!R471</f>
        <v>550000</v>
      </c>
      <c r="R35" s="79">
        <f>DATABASE!S471</f>
        <v>550000</v>
      </c>
      <c r="S35" s="79">
        <f>DATABASE!T471</f>
        <v>550000</v>
      </c>
      <c r="T35" s="79">
        <f>DATABASE!U471</f>
        <v>0</v>
      </c>
      <c r="U35" s="79">
        <f>DATABASE!V471</f>
        <v>0</v>
      </c>
      <c r="V35" s="79">
        <f>DATABASE!W471</f>
        <v>550000</v>
      </c>
      <c r="W35" s="80">
        <f>DATABASE!X471</f>
        <v>0</v>
      </c>
      <c r="X35" s="79">
        <f>DATABASE!Y471</f>
        <v>550000</v>
      </c>
      <c r="Y35" s="79">
        <f>DATABASE!Z471</f>
        <v>550000</v>
      </c>
      <c r="Z35" s="79" t="e">
        <f>DATABASE!#REF!</f>
        <v>#REF!</v>
      </c>
      <c r="AA35" s="81" t="e">
        <f>DATABASE!#REF!</f>
        <v>#REF!</v>
      </c>
      <c r="AB35" s="82">
        <f>DATABASE!AB471</f>
        <v>0</v>
      </c>
    </row>
    <row r="36" spans="1:28">
      <c r="A36" s="71" t="str">
        <f>DATABASE!A472</f>
        <v>THE NINE</v>
      </c>
      <c r="B36" s="89" t="str">
        <f>DATABASE!B472</f>
        <v>Vilamoura</v>
      </c>
      <c r="C36" s="89" t="str">
        <f>DATABASE!C472</f>
        <v>AK</v>
      </c>
      <c r="D36" s="91" t="str">
        <f>DATABASE!E472</f>
        <v>T2</v>
      </c>
      <c r="E36" s="91">
        <f>DATABASE!F472</f>
        <v>119</v>
      </c>
      <c r="F36" s="91">
        <f>DATABASE!G472</f>
        <v>0</v>
      </c>
      <c r="G36" s="91" t="str">
        <f>DATABASE!H472</f>
        <v/>
      </c>
      <c r="H36" s="91" t="str">
        <f>DATABASE!I472</f>
        <v/>
      </c>
      <c r="I36" s="93">
        <f>DATABASE!J472</f>
        <v>0</v>
      </c>
      <c r="J36" s="91">
        <f>DATABASE!K472</f>
        <v>0</v>
      </c>
      <c r="K36" s="93">
        <f>DATABASE!L472</f>
        <v>0</v>
      </c>
      <c r="L36" s="72">
        <f>DATABASE!M472</f>
        <v>0</v>
      </c>
      <c r="M36" s="93">
        <f>DATABASE!N472</f>
        <v>0</v>
      </c>
      <c r="N36" s="111">
        <f>DATABASE!O472</f>
        <v>119</v>
      </c>
      <c r="O36" s="88">
        <f>DATABASE!P472</f>
        <v>0</v>
      </c>
      <c r="P36" s="113" t="str">
        <f>DATABASE!Q472</f>
        <v xml:space="preserve">DEED </v>
      </c>
      <c r="Q36" s="79">
        <f>DATABASE!R472</f>
        <v>590000</v>
      </c>
      <c r="R36" s="79">
        <f>DATABASE!S472</f>
        <v>590000</v>
      </c>
      <c r="S36" s="79">
        <f>DATABASE!T472</f>
        <v>640000</v>
      </c>
      <c r="T36" s="79">
        <f>DATABASE!U472</f>
        <v>0</v>
      </c>
      <c r="U36" s="79">
        <f>DATABASE!V472</f>
        <v>0</v>
      </c>
      <c r="V36" s="79">
        <f>DATABASE!W472</f>
        <v>640000</v>
      </c>
      <c r="W36" s="80">
        <f>DATABASE!X472</f>
        <v>0.1928125</v>
      </c>
      <c r="X36" s="79">
        <f>DATABASE!Y472</f>
        <v>516600</v>
      </c>
      <c r="Y36" s="79">
        <f>DATABASE!Z472</f>
        <v>516600</v>
      </c>
      <c r="Z36" s="79" t="e">
        <f>DATABASE!#REF!</f>
        <v>#REF!</v>
      </c>
      <c r="AA36" s="81">
        <f>DATABASE!AA472</f>
        <v>45918</v>
      </c>
      <c r="AB36" s="82">
        <f>DATABASE!AB472</f>
        <v>0</v>
      </c>
    </row>
    <row r="37" spans="1:28">
      <c r="A37" s="71" t="str">
        <f>DATABASE!A473</f>
        <v>VM PARQUE</v>
      </c>
      <c r="B37" s="89" t="str">
        <f>DATABASE!B473</f>
        <v>Vilamoura</v>
      </c>
      <c r="C37" s="89" t="str">
        <f>DATABASE!C473</f>
        <v>AK</v>
      </c>
      <c r="D37" s="91" t="str">
        <f>DATABASE!E473</f>
        <v>V3</v>
      </c>
      <c r="E37" s="91">
        <f>DATABASE!F473</f>
        <v>188.2499</v>
      </c>
      <c r="F37" s="91">
        <f>DATABASE!G473</f>
        <v>0</v>
      </c>
      <c r="G37" s="91" t="str">
        <f>DATABASE!H473</f>
        <v/>
      </c>
      <c r="H37" s="91" t="str">
        <f>DATABASE!I473</f>
        <v/>
      </c>
      <c r="I37" s="93">
        <f>DATABASE!J473</f>
        <v>0</v>
      </c>
      <c r="J37" s="91">
        <f>DATABASE!K473</f>
        <v>0</v>
      </c>
      <c r="K37" s="93">
        <f>DATABASE!L473</f>
        <v>0</v>
      </c>
      <c r="L37" s="72">
        <f>DATABASE!M473</f>
        <v>0</v>
      </c>
      <c r="M37" s="93">
        <f>DATABASE!N473</f>
        <v>0</v>
      </c>
      <c r="N37" s="111">
        <f>DATABASE!O473</f>
        <v>188.2499</v>
      </c>
      <c r="O37" s="88">
        <f>DATABASE!P473</f>
        <v>0</v>
      </c>
      <c r="P37" s="113" t="str">
        <f>DATABASE!Q473</f>
        <v xml:space="preserve">DEED </v>
      </c>
      <c r="Q37" s="79">
        <f>DATABASE!R473</f>
        <v>1072170</v>
      </c>
      <c r="R37" s="79">
        <f>DATABASE!S473</f>
        <v>1072170</v>
      </c>
      <c r="S37" s="79">
        <f>DATABASE!T473</f>
        <v>1072170</v>
      </c>
      <c r="T37" s="79">
        <f>DATABASE!U473</f>
        <v>0</v>
      </c>
      <c r="U37" s="79">
        <f>DATABASE!V473</f>
        <v>0</v>
      </c>
      <c r="V37" s="79">
        <f>DATABASE!W473</f>
        <v>1072170</v>
      </c>
      <c r="W37" s="80">
        <f>DATABASE!X473</f>
        <v>0</v>
      </c>
      <c r="X37" s="79">
        <f>DATABASE!Y473</f>
        <v>1072170</v>
      </c>
      <c r="Y37" s="79">
        <f>DATABASE!Z473</f>
        <v>1072170</v>
      </c>
      <c r="Z37" s="79" t="e">
        <f>DATABASE!#REF!</f>
        <v>#REF!</v>
      </c>
      <c r="AA37" s="81">
        <f>DATABASE!AA473</f>
        <v>44663</v>
      </c>
      <c r="AB37" s="82">
        <f>DATABASE!AB473</f>
        <v>0</v>
      </c>
    </row>
    <row r="38" spans="1:28">
      <c r="A38" s="71" t="str">
        <f>DATABASE!A474</f>
        <v>ZESTIA</v>
      </c>
      <c r="B38" s="89" t="str">
        <f>DATABASE!B474</f>
        <v>Vilamoura</v>
      </c>
      <c r="C38" s="89" t="str">
        <f>DATABASE!C474</f>
        <v>AK</v>
      </c>
      <c r="D38" s="91" t="str">
        <f>DATABASE!E474</f>
        <v>T2 LO</v>
      </c>
      <c r="E38" s="91">
        <f>DATABASE!F474</f>
        <v>127.12</v>
      </c>
      <c r="F38" s="91">
        <f>DATABASE!G474</f>
        <v>0</v>
      </c>
      <c r="G38" s="91" t="str">
        <f>DATABASE!H474</f>
        <v/>
      </c>
      <c r="H38" s="91" t="str">
        <f>DATABASE!I474</f>
        <v/>
      </c>
      <c r="I38" s="93">
        <f>DATABASE!J474</f>
        <v>37.6</v>
      </c>
      <c r="J38" s="91">
        <f>DATABASE!K474</f>
        <v>0</v>
      </c>
      <c r="K38" s="93">
        <f>DATABASE!L474</f>
        <v>0</v>
      </c>
      <c r="L38" s="72">
        <f>DATABASE!M474</f>
        <v>0</v>
      </c>
      <c r="M38" s="93">
        <f>DATABASE!N474</f>
        <v>0</v>
      </c>
      <c r="N38" s="111">
        <f>DATABASE!O474</f>
        <v>89.52</v>
      </c>
      <c r="O38" s="88">
        <f>DATABASE!P474</f>
        <v>0</v>
      </c>
      <c r="P38" s="113" t="str">
        <f>DATABASE!Q474</f>
        <v>AVAILABLE</v>
      </c>
      <c r="Q38" s="79">
        <f>DATABASE!R474</f>
        <v>724474.77760000003</v>
      </c>
      <c r="R38" s="79">
        <f>DATABASE!S474</f>
        <v>789074.77760000003</v>
      </c>
      <c r="S38" s="79">
        <f>DATABASE!T474</f>
        <v>860000</v>
      </c>
      <c r="T38" s="79">
        <f>DATABASE!U474</f>
        <v>24600</v>
      </c>
      <c r="U38" s="79">
        <f>DATABASE!V474</f>
        <v>40000</v>
      </c>
      <c r="V38" s="79">
        <f>DATABASE!W474</f>
        <v>795400</v>
      </c>
      <c r="W38" s="80">
        <f>DATABASE!X474</f>
        <v>0</v>
      </c>
      <c r="X38" s="79">
        <f>DATABASE!Y474</f>
        <v>860000</v>
      </c>
      <c r="Y38" s="79">
        <f>DATABASE!Z474</f>
        <v>795400</v>
      </c>
      <c r="Z38" s="79" t="e">
        <f>DATABASE!#REF!</f>
        <v>#REF!</v>
      </c>
      <c r="AA38" s="81">
        <f>DATABASE!AA474</f>
        <v>0</v>
      </c>
      <c r="AB38" s="82">
        <f>DATABASE!AB474</f>
        <v>0</v>
      </c>
    </row>
    <row r="39" spans="1:28">
      <c r="A39" s="71" t="str">
        <f>DATABASE!A475</f>
        <v>BOTÂNICA</v>
      </c>
      <c r="B39" s="89" t="str">
        <f>DATABASE!B475</f>
        <v>Vilamoura</v>
      </c>
      <c r="C39" s="89" t="str">
        <f>DATABASE!C475</f>
        <v>AL</v>
      </c>
      <c r="D39" s="91" t="str">
        <f>DATABASE!E475</f>
        <v>T3</v>
      </c>
      <c r="E39" s="91">
        <f>DATABASE!F475</f>
        <v>224.06</v>
      </c>
      <c r="F39" s="91">
        <f>DATABASE!G475</f>
        <v>0</v>
      </c>
      <c r="G39" s="91" t="str">
        <f>DATABASE!H475</f>
        <v>3</v>
      </c>
      <c r="H39" s="91" t="str">
        <f>DATABASE!I475</f>
        <v/>
      </c>
      <c r="I39" s="93">
        <f>DATABASE!J475</f>
        <v>55.65</v>
      </c>
      <c r="J39" s="91">
        <f>DATABASE!K475</f>
        <v>0</v>
      </c>
      <c r="K39" s="93">
        <f>DATABASE!L475</f>
        <v>0</v>
      </c>
      <c r="L39" s="72">
        <f>DATABASE!M475</f>
        <v>0</v>
      </c>
      <c r="M39" s="93">
        <f>DATABASE!N475</f>
        <v>0</v>
      </c>
      <c r="N39" s="111">
        <f>DATABASE!O475</f>
        <v>168.41</v>
      </c>
      <c r="O39" s="88">
        <f>DATABASE!P475</f>
        <v>0</v>
      </c>
      <c r="P39" s="113" t="str">
        <f>DATABASE!Q475</f>
        <v>AVAILABLE</v>
      </c>
      <c r="Q39" s="79">
        <f>DATABASE!R475</f>
        <v>1562843.1</v>
      </c>
      <c r="R39" s="79">
        <f>DATABASE!S475</f>
        <v>1562843.1</v>
      </c>
      <c r="S39" s="79">
        <f>DATABASE!T475</f>
        <v>1575000</v>
      </c>
      <c r="T39" s="79">
        <f>DATABASE!U475</f>
        <v>0</v>
      </c>
      <c r="U39" s="79">
        <f>DATABASE!V475</f>
        <v>0</v>
      </c>
      <c r="V39" s="79">
        <f>DATABASE!W475</f>
        <v>1575000</v>
      </c>
      <c r="W39" s="80">
        <f>DATABASE!X475</f>
        <v>0</v>
      </c>
      <c r="X39" s="79">
        <f>DATABASE!Y475</f>
        <v>1570000</v>
      </c>
      <c r="Y39" s="79">
        <f>DATABASE!Z475</f>
        <v>1570000</v>
      </c>
      <c r="Z39" s="79" t="e">
        <f>DATABASE!#REF!</f>
        <v>#REF!</v>
      </c>
      <c r="AA39" s="81">
        <f>DATABASE!AA475</f>
        <v>0</v>
      </c>
      <c r="AB39" s="82">
        <f>DATABASE!AB475</f>
        <v>0</v>
      </c>
    </row>
    <row r="40" spans="1:28">
      <c r="A40" s="71" t="str">
        <f>DATABASE!A476</f>
        <v>Palmares - Plots</v>
      </c>
      <c r="B40" s="89" t="str">
        <f>DATABASE!B476</f>
        <v>Algarve</v>
      </c>
      <c r="C40" s="89" t="str">
        <f>DATABASE!C476</f>
        <v>24</v>
      </c>
      <c r="D40" s="91" t="str">
        <f>DATABASE!E476</f>
        <v>Plot</v>
      </c>
      <c r="E40" s="91">
        <f>DATABASE!F476</f>
        <v>3322</v>
      </c>
      <c r="F40" s="91">
        <f>DATABASE!G476</f>
        <v>0</v>
      </c>
      <c r="G40" s="91" t="str">
        <f>DATABASE!H476</f>
        <v/>
      </c>
      <c r="H40" s="91" t="str">
        <f>DATABASE!I476</f>
        <v/>
      </c>
      <c r="I40" s="93">
        <f>DATABASE!J476</f>
        <v>0</v>
      </c>
      <c r="J40" s="91">
        <f>DATABASE!K476</f>
        <v>0</v>
      </c>
      <c r="K40" s="93">
        <f>DATABASE!L476</f>
        <v>0</v>
      </c>
      <c r="L40" s="72">
        <f>DATABASE!M476</f>
        <v>0</v>
      </c>
      <c r="M40" s="93">
        <f>DATABASE!N476</f>
        <v>0</v>
      </c>
      <c r="N40" s="111">
        <f>DATABASE!O476</f>
        <v>420</v>
      </c>
      <c r="O40" s="88">
        <f>DATABASE!P476</f>
        <v>0</v>
      </c>
      <c r="P40" s="113" t="str">
        <f>DATABASE!Q476</f>
        <v>AVAILABLE</v>
      </c>
      <c r="Q40" s="79">
        <f>DATABASE!R476</f>
        <v>810000</v>
      </c>
      <c r="R40" s="79">
        <f>DATABASE!S476</f>
        <v>810000</v>
      </c>
      <c r="S40" s="79">
        <f>DATABASE!T476</f>
        <v>1700000</v>
      </c>
      <c r="T40" s="79">
        <f>DATABASE!U476</f>
        <v>0</v>
      </c>
      <c r="U40" s="79">
        <f>DATABASE!V476</f>
        <v>0</v>
      </c>
      <c r="V40" s="79">
        <f>DATABASE!W476</f>
        <v>1700000</v>
      </c>
      <c r="W40" s="80">
        <f>DATABASE!X476</f>
        <v>0</v>
      </c>
      <c r="X40" s="79">
        <f>DATABASE!Y476</f>
        <v>1700000</v>
      </c>
      <c r="Y40" s="79">
        <f>DATABASE!Z476</f>
        <v>1700000</v>
      </c>
      <c r="Z40" s="79" t="e">
        <f>DATABASE!#REF!</f>
        <v>#REF!</v>
      </c>
      <c r="AA40" s="81">
        <f>DATABASE!AA476</f>
        <v>0</v>
      </c>
      <c r="AB40" s="82">
        <f>DATABASE!AB476</f>
        <v>46843</v>
      </c>
    </row>
    <row r="41" spans="1:28">
      <c r="A41" s="71" t="str">
        <f>DATABASE!A477</f>
        <v>Palmares - Plots</v>
      </c>
      <c r="B41" s="89" t="str">
        <f>DATABASE!B477</f>
        <v>Algarve</v>
      </c>
      <c r="C41" s="89" t="str">
        <f>DATABASE!C477</f>
        <v>25</v>
      </c>
      <c r="D41" s="91" t="str">
        <f>DATABASE!E477</f>
        <v>Plot</v>
      </c>
      <c r="E41" s="91">
        <f>DATABASE!F477</f>
        <v>3311</v>
      </c>
      <c r="F41" s="91">
        <f>DATABASE!G477</f>
        <v>0</v>
      </c>
      <c r="G41" s="91" t="str">
        <f>DATABASE!H477</f>
        <v/>
      </c>
      <c r="H41" s="91" t="str">
        <f>DATABASE!I477</f>
        <v/>
      </c>
      <c r="I41" s="93">
        <f>DATABASE!J477</f>
        <v>0</v>
      </c>
      <c r="J41" s="91">
        <f>DATABASE!K477</f>
        <v>0</v>
      </c>
      <c r="K41" s="93">
        <f>DATABASE!L477</f>
        <v>0</v>
      </c>
      <c r="L41" s="72">
        <f>DATABASE!M477</f>
        <v>0</v>
      </c>
      <c r="M41" s="93">
        <f>DATABASE!N477</f>
        <v>0</v>
      </c>
      <c r="N41" s="111">
        <f>DATABASE!O477</f>
        <v>420</v>
      </c>
      <c r="O41" s="88">
        <f>DATABASE!P477</f>
        <v>0</v>
      </c>
      <c r="P41" s="113" t="str">
        <f>DATABASE!Q477</f>
        <v>AVAILABLE</v>
      </c>
      <c r="Q41" s="79">
        <f>DATABASE!R477</f>
        <v>810000</v>
      </c>
      <c r="R41" s="79">
        <f>DATABASE!S477</f>
        <v>810000</v>
      </c>
      <c r="S41" s="79">
        <f>DATABASE!T477</f>
        <v>1650000</v>
      </c>
      <c r="T41" s="79">
        <f>DATABASE!U477</f>
        <v>0</v>
      </c>
      <c r="U41" s="79">
        <f>DATABASE!V477</f>
        <v>0</v>
      </c>
      <c r="V41" s="79">
        <f>DATABASE!W477</f>
        <v>1650000</v>
      </c>
      <c r="W41" s="80">
        <f>DATABASE!X477</f>
        <v>0</v>
      </c>
      <c r="X41" s="79">
        <f>DATABASE!Y477</f>
        <v>1650000</v>
      </c>
      <c r="Y41" s="79">
        <f>DATABASE!Z477</f>
        <v>1650000</v>
      </c>
      <c r="Z41" s="79" t="e">
        <f>DATABASE!#REF!</f>
        <v>#REF!</v>
      </c>
      <c r="AA41" s="81">
        <f>DATABASE!AA477</f>
        <v>0</v>
      </c>
      <c r="AB41" s="82">
        <f>DATABASE!AB477</f>
        <v>46843</v>
      </c>
    </row>
    <row r="42" spans="1:28">
      <c r="A42" s="71" t="str">
        <f>DATABASE!A478</f>
        <v>VP - TOWNHOUSES</v>
      </c>
      <c r="B42" s="89" t="str">
        <f>DATABASE!B478</f>
        <v>North</v>
      </c>
      <c r="C42" s="89" t="str">
        <f>DATABASE!C478</f>
        <v>13A</v>
      </c>
      <c r="D42" s="91" t="str">
        <f>DATABASE!E478</f>
        <v>V3</v>
      </c>
      <c r="E42" s="91">
        <f>DATABASE!F478</f>
        <v>311.70999999999998</v>
      </c>
      <c r="F42" s="91">
        <f>DATABASE!G478</f>
        <v>0</v>
      </c>
      <c r="G42" s="91" t="str">
        <f>DATABASE!H478</f>
        <v>2</v>
      </c>
      <c r="H42" s="91" t="str">
        <f>DATABASE!I478</f>
        <v>Yes</v>
      </c>
      <c r="I42" s="93">
        <f>DATABASE!J478</f>
        <v>0</v>
      </c>
      <c r="J42" s="91">
        <f>DATABASE!K478</f>
        <v>98.43</v>
      </c>
      <c r="K42" s="93">
        <f>DATABASE!L478</f>
        <v>46.1</v>
      </c>
      <c r="L42" s="72">
        <f>DATABASE!M478</f>
        <v>0</v>
      </c>
      <c r="M42" s="93">
        <f>DATABASE!N478</f>
        <v>0</v>
      </c>
      <c r="N42" s="111">
        <f>DATABASE!O478</f>
        <v>167.18</v>
      </c>
      <c r="O42" s="88">
        <f>DATABASE!P478</f>
        <v>0</v>
      </c>
      <c r="P42" s="113" t="str">
        <f>DATABASE!Q478</f>
        <v>RESERVED</v>
      </c>
      <c r="Q42" s="79">
        <f>DATABASE!R478</f>
        <v>810000</v>
      </c>
      <c r="R42" s="79">
        <f>DATABASE!S478</f>
        <v>810000</v>
      </c>
      <c r="S42" s="79">
        <f>DATABASE!T478</f>
        <v>860000</v>
      </c>
      <c r="T42" s="79">
        <f>DATABASE!U478</f>
        <v>0</v>
      </c>
      <c r="U42" s="79">
        <f>DATABASE!V478</f>
        <v>0</v>
      </c>
      <c r="V42" s="79">
        <f>DATABASE!W478</f>
        <v>860000</v>
      </c>
      <c r="W42" s="80">
        <f>DATABASE!X478</f>
        <v>0</v>
      </c>
      <c r="X42" s="79">
        <f>DATABASE!Y478</f>
        <v>840000</v>
      </c>
      <c r="Y42" s="79">
        <f>DATABASE!Z478</f>
        <v>840000</v>
      </c>
      <c r="Z42" s="79" t="e">
        <f>DATABASE!#REF!</f>
        <v>#REF!</v>
      </c>
      <c r="AA42" s="81">
        <f>DATABASE!AA478</f>
        <v>46171</v>
      </c>
      <c r="AB42" s="82">
        <f>DATABASE!AB478</f>
        <v>47208</v>
      </c>
    </row>
    <row r="43" spans="1:28">
      <c r="A43" s="71" t="str">
        <f>DATABASE!A479</f>
        <v>NOBILUS</v>
      </c>
      <c r="B43" s="89" t="str">
        <f>DATABASE!B479</f>
        <v>Vilamoura</v>
      </c>
      <c r="C43" s="89" t="str">
        <f>DATABASE!C479</f>
        <v>AL</v>
      </c>
      <c r="D43" s="91" t="str">
        <f>DATABASE!E479</f>
        <v>T2</v>
      </c>
      <c r="E43" s="91">
        <f>DATABASE!F479</f>
        <v>109.17</v>
      </c>
      <c r="F43" s="91">
        <f>DATABASE!G479</f>
        <v>3.99</v>
      </c>
      <c r="G43" s="91" t="str">
        <f>DATABASE!H479</f>
        <v/>
      </c>
      <c r="H43" s="91" t="str">
        <f>DATABASE!I479</f>
        <v/>
      </c>
      <c r="I43" s="93">
        <f>DATABASE!J479</f>
        <v>0</v>
      </c>
      <c r="J43" s="91">
        <f>DATABASE!K479</f>
        <v>0</v>
      </c>
      <c r="K43" s="93">
        <f>DATABASE!L479</f>
        <v>0</v>
      </c>
      <c r="L43" s="72">
        <f>DATABASE!M479</f>
        <v>0</v>
      </c>
      <c r="M43" s="93">
        <f>DATABASE!N479</f>
        <v>0</v>
      </c>
      <c r="N43" s="111">
        <f>DATABASE!O479</f>
        <v>109.17</v>
      </c>
      <c r="O43" s="88">
        <f>DATABASE!P479</f>
        <v>0</v>
      </c>
      <c r="P43" s="113" t="str">
        <f>DATABASE!Q479</f>
        <v xml:space="preserve">PSPA </v>
      </c>
      <c r="Q43" s="79">
        <f>DATABASE!R479</f>
        <v>720000</v>
      </c>
      <c r="R43" s="79">
        <f>DATABASE!S479</f>
        <v>720000</v>
      </c>
      <c r="S43" s="79">
        <f>DATABASE!T479</f>
        <v>684000</v>
      </c>
      <c r="T43" s="79">
        <f>DATABASE!U479</f>
        <v>0</v>
      </c>
      <c r="U43" s="79">
        <f>DATABASE!V479</f>
        <v>0</v>
      </c>
      <c r="V43" s="79">
        <f>DATABASE!W479</f>
        <v>684000</v>
      </c>
      <c r="W43" s="80">
        <f>DATABASE!X479</f>
        <v>0</v>
      </c>
      <c r="X43" s="79">
        <f>DATABASE!Y479</f>
        <v>684000</v>
      </c>
      <c r="Y43" s="79">
        <f>DATABASE!Z479</f>
        <v>684000</v>
      </c>
      <c r="Z43" s="79" t="e">
        <f>DATABASE!#REF!</f>
        <v>#REF!</v>
      </c>
      <c r="AA43" s="81">
        <f>DATABASE!AA479</f>
        <v>45955</v>
      </c>
      <c r="AB43" s="82">
        <f>DATABASE!AB479</f>
        <v>0</v>
      </c>
    </row>
    <row r="44" spans="1:28">
      <c r="A44" s="71" t="str">
        <f>DATABASE!A480</f>
        <v>Rivus</v>
      </c>
      <c r="B44" s="89" t="str">
        <f>DATABASE!B480</f>
        <v>Vilamoura</v>
      </c>
      <c r="C44" s="89" t="str">
        <f>DATABASE!C480</f>
        <v>AL</v>
      </c>
      <c r="D44" s="91" t="str">
        <f>DATABASE!E480</f>
        <v>T4</v>
      </c>
      <c r="E44" s="91">
        <f>DATABASE!F480</f>
        <v>0</v>
      </c>
      <c r="F44" s="91">
        <f>DATABASE!G480</f>
        <v>0</v>
      </c>
      <c r="G44" s="91" t="str">
        <f>DATABASE!H480</f>
        <v/>
      </c>
      <c r="H44" s="91" t="str">
        <f>DATABASE!I480</f>
        <v>Yes</v>
      </c>
      <c r="I44" s="93">
        <f>DATABASE!J480</f>
        <v>0</v>
      </c>
      <c r="J44" s="91">
        <f>DATABASE!K480</f>
        <v>0</v>
      </c>
      <c r="K44" s="93">
        <f>DATABASE!L480</f>
        <v>0</v>
      </c>
      <c r="L44" s="72">
        <f>DATABASE!M480</f>
        <v>152</v>
      </c>
      <c r="M44" s="93">
        <f>DATABASE!N480</f>
        <v>0</v>
      </c>
      <c r="N44" s="111">
        <f>DATABASE!O480</f>
        <v>233</v>
      </c>
      <c r="O44" s="88">
        <f>DATABASE!P480</f>
        <v>0</v>
      </c>
      <c r="P44" s="113" t="str">
        <f>DATABASE!Q480</f>
        <v>AVAILABLE</v>
      </c>
      <c r="Q44" s="79">
        <f>DATABASE!R480</f>
        <v>1760000</v>
      </c>
      <c r="R44" s="79">
        <f>DATABASE!S480</f>
        <v>1760000</v>
      </c>
      <c r="S44" s="79">
        <f>DATABASE!T480</f>
        <v>1760000</v>
      </c>
      <c r="T44" s="79">
        <f>DATABASE!U480</f>
        <v>0</v>
      </c>
      <c r="U44" s="79">
        <f>DATABASE!V480</f>
        <v>0</v>
      </c>
      <c r="V44" s="79">
        <f>DATABASE!W480</f>
        <v>1760000</v>
      </c>
      <c r="W44" s="80">
        <f>DATABASE!X480</f>
        <v>0</v>
      </c>
      <c r="X44" s="79">
        <f>DATABASE!Y480</f>
        <v>1710000</v>
      </c>
      <c r="Y44" s="79">
        <f>DATABASE!Z480</f>
        <v>1710000</v>
      </c>
      <c r="Z44" s="79" t="e">
        <f>DATABASE!#REF!</f>
        <v>#REF!</v>
      </c>
      <c r="AA44" s="81">
        <f>DATABASE!AA480</f>
        <v>0</v>
      </c>
      <c r="AB44" s="82">
        <f>DATABASE!AB480</f>
        <v>0</v>
      </c>
    </row>
    <row r="45" spans="1:28">
      <c r="A45" s="71" t="str">
        <f>DATABASE!A481</f>
        <v>SPRINGS</v>
      </c>
      <c r="B45" s="89" t="str">
        <f>DATABASE!B481</f>
        <v>Vilamoura</v>
      </c>
      <c r="C45" s="89" t="str">
        <f>DATABASE!C481</f>
        <v>AL</v>
      </c>
      <c r="D45" s="91" t="str">
        <f>DATABASE!E481</f>
        <v>V3 Duplex</v>
      </c>
      <c r="E45" s="91">
        <f>DATABASE!F481</f>
        <v>508.42</v>
      </c>
      <c r="F45" s="91">
        <f>DATABASE!G481</f>
        <v>313.45999999999998</v>
      </c>
      <c r="G45" s="91" t="str">
        <f>DATABASE!H481</f>
        <v/>
      </c>
      <c r="H45" s="91" t="str">
        <f>DATABASE!I481</f>
        <v/>
      </c>
      <c r="I45" s="93">
        <f>DATABASE!J481</f>
        <v>32.840000000000003</v>
      </c>
      <c r="J45" s="91">
        <f>DATABASE!K481</f>
        <v>0</v>
      </c>
      <c r="K45" s="93">
        <f>DATABASE!L481</f>
        <v>0</v>
      </c>
      <c r="L45" s="72">
        <f>DATABASE!M481</f>
        <v>0</v>
      </c>
      <c r="M45" s="93">
        <f>DATABASE!N481</f>
        <v>0</v>
      </c>
      <c r="N45" s="111">
        <f>DATABASE!O481</f>
        <v>162.12</v>
      </c>
      <c r="O45" s="88">
        <f>DATABASE!P481</f>
        <v>0</v>
      </c>
      <c r="P45" s="113" t="str">
        <f>DATABASE!Q481</f>
        <v>AVAILABLE</v>
      </c>
      <c r="Q45" s="79">
        <f>DATABASE!R481</f>
        <v>1858200</v>
      </c>
      <c r="R45" s="79">
        <f>DATABASE!S481</f>
        <v>1944100</v>
      </c>
      <c r="S45" s="79">
        <f>DATABASE!T481</f>
        <v>2030000</v>
      </c>
      <c r="T45" s="79">
        <f>DATABASE!U481</f>
        <v>24600</v>
      </c>
      <c r="U45" s="79">
        <f>DATABASE!V481</f>
        <v>61300</v>
      </c>
      <c r="V45" s="79">
        <f>DATABASE!W481</f>
        <v>1944100</v>
      </c>
      <c r="W45" s="80">
        <f>DATABASE!X481</f>
        <v>0</v>
      </c>
      <c r="X45" s="79">
        <f>DATABASE!Y481</f>
        <v>2030000</v>
      </c>
      <c r="Y45" s="79">
        <f>DATABASE!Z481</f>
        <v>1944100</v>
      </c>
      <c r="Z45" s="79" t="e">
        <f>DATABASE!#REF!</f>
        <v>#REF!</v>
      </c>
      <c r="AA45" s="81">
        <f>DATABASE!AA481</f>
        <v>0</v>
      </c>
      <c r="AB45" s="82">
        <f>DATABASE!AB481</f>
        <v>0</v>
      </c>
    </row>
    <row r="46" spans="1:28">
      <c r="A46" s="71" t="str">
        <f>DATABASE!A482</f>
        <v>TERRACOTA</v>
      </c>
      <c r="B46" s="89" t="str">
        <f>DATABASE!B482</f>
        <v>Vilamoura</v>
      </c>
      <c r="C46" s="89" t="str">
        <f>DATABASE!C482</f>
        <v>AL</v>
      </c>
      <c r="D46" s="91" t="str">
        <f>DATABASE!E482</f>
        <v>T2</v>
      </c>
      <c r="E46" s="91">
        <f>DATABASE!F482</f>
        <v>104.7</v>
      </c>
      <c r="F46" s="91">
        <f>DATABASE!G482</f>
        <v>0</v>
      </c>
      <c r="G46" s="91" t="str">
        <f>DATABASE!H482</f>
        <v/>
      </c>
      <c r="H46" s="91" t="str">
        <f>DATABASE!I482</f>
        <v/>
      </c>
      <c r="I46" s="93">
        <f>DATABASE!J482</f>
        <v>0</v>
      </c>
      <c r="J46" s="91">
        <f>DATABASE!K482</f>
        <v>0</v>
      </c>
      <c r="K46" s="93">
        <f>DATABASE!L482</f>
        <v>0</v>
      </c>
      <c r="L46" s="72">
        <f>DATABASE!M482</f>
        <v>0</v>
      </c>
      <c r="M46" s="93">
        <f>DATABASE!N482</f>
        <v>0</v>
      </c>
      <c r="N46" s="111">
        <f>DATABASE!O482</f>
        <v>104.7</v>
      </c>
      <c r="O46" s="88">
        <f>DATABASE!P482</f>
        <v>0</v>
      </c>
      <c r="P46" s="113" t="str">
        <f>DATABASE!Q482</f>
        <v xml:space="preserve">PSPA </v>
      </c>
      <c r="Q46" s="79">
        <f>DATABASE!R482</f>
        <v>540000</v>
      </c>
      <c r="R46" s="79">
        <f>DATABASE!S482</f>
        <v>540000</v>
      </c>
      <c r="S46" s="79">
        <f>DATABASE!T482</f>
        <v>540000</v>
      </c>
      <c r="T46" s="79">
        <f>DATABASE!U482</f>
        <v>0</v>
      </c>
      <c r="U46" s="79">
        <f>DATABASE!V482</f>
        <v>0</v>
      </c>
      <c r="V46" s="79">
        <f>DATABASE!W482</f>
        <v>540000</v>
      </c>
      <c r="W46" s="80">
        <f>DATABASE!X482</f>
        <v>0</v>
      </c>
      <c r="X46" s="79">
        <f>DATABASE!Y482</f>
        <v>540000</v>
      </c>
      <c r="Y46" s="79">
        <f>DATABASE!Z482</f>
        <v>540000</v>
      </c>
      <c r="Z46" s="79" t="e">
        <f>DATABASE!#REF!</f>
        <v>#REF!</v>
      </c>
      <c r="AA46" s="81" t="e">
        <f>DATABASE!#REF!</f>
        <v>#REF!</v>
      </c>
      <c r="AB46" s="82">
        <f>DATABASE!AB482</f>
        <v>0</v>
      </c>
    </row>
    <row r="47" spans="1:28">
      <c r="A47" s="71" t="str">
        <f>DATABASE!A483</f>
        <v>Palmares - Plots</v>
      </c>
      <c r="B47" s="89" t="str">
        <f>DATABASE!B483</f>
        <v>Algarve</v>
      </c>
      <c r="C47" s="89" t="str">
        <f>DATABASE!C483</f>
        <v>11</v>
      </c>
      <c r="D47" s="91" t="str">
        <f>DATABASE!E483</f>
        <v>Plot</v>
      </c>
      <c r="E47" s="91">
        <f>DATABASE!F483</f>
        <v>2821</v>
      </c>
      <c r="F47" s="91">
        <f>DATABASE!G483</f>
        <v>0</v>
      </c>
      <c r="G47" s="91" t="str">
        <f>DATABASE!H483</f>
        <v/>
      </c>
      <c r="H47" s="91" t="str">
        <f>DATABASE!I483</f>
        <v/>
      </c>
      <c r="I47" s="93">
        <f>DATABASE!J483</f>
        <v>0</v>
      </c>
      <c r="J47" s="91">
        <f>DATABASE!K483</f>
        <v>0</v>
      </c>
      <c r="K47" s="93">
        <f>DATABASE!L483</f>
        <v>0</v>
      </c>
      <c r="L47" s="72">
        <f>DATABASE!M483</f>
        <v>0</v>
      </c>
      <c r="M47" s="93">
        <f>DATABASE!N483</f>
        <v>0</v>
      </c>
      <c r="N47" s="111">
        <f>DATABASE!O483</f>
        <v>420</v>
      </c>
      <c r="O47" s="88">
        <f>DATABASE!P483</f>
        <v>0</v>
      </c>
      <c r="P47" s="113" t="str">
        <f>DATABASE!Q483</f>
        <v>AVAILABLE</v>
      </c>
      <c r="Q47" s="79">
        <f>DATABASE!R483</f>
        <v>820000</v>
      </c>
      <c r="R47" s="79">
        <f>DATABASE!S483</f>
        <v>820000</v>
      </c>
      <c r="S47" s="79">
        <f>DATABASE!T483</f>
        <v>1950000</v>
      </c>
      <c r="T47" s="79">
        <f>DATABASE!U483</f>
        <v>0</v>
      </c>
      <c r="U47" s="79">
        <f>DATABASE!V483</f>
        <v>0</v>
      </c>
      <c r="V47" s="79">
        <f>DATABASE!W483</f>
        <v>1950000</v>
      </c>
      <c r="W47" s="80">
        <f>DATABASE!X483</f>
        <v>0</v>
      </c>
      <c r="X47" s="79">
        <f>DATABASE!Y483</f>
        <v>1950000</v>
      </c>
      <c r="Y47" s="79">
        <f>DATABASE!Z483</f>
        <v>1950000</v>
      </c>
      <c r="Z47" s="79" t="e">
        <f>DATABASE!#REF!</f>
        <v>#REF!</v>
      </c>
      <c r="AA47" s="81">
        <f>DATABASE!AA483</f>
        <v>0</v>
      </c>
      <c r="AB47" s="82">
        <f>DATABASE!AB483</f>
        <v>46843</v>
      </c>
    </row>
    <row r="48" spans="1:28">
      <c r="A48" s="71" t="str">
        <f>DATABASE!A484</f>
        <v>Palmares - Signature Apartments</v>
      </c>
      <c r="B48" s="89" t="str">
        <f>DATABASE!B484</f>
        <v>Algarve</v>
      </c>
      <c r="C48" s="89" t="str">
        <f>DATABASE!C484</f>
        <v>827B</v>
      </c>
      <c r="D48" s="91" t="str">
        <f>DATABASE!E484</f>
        <v>T2</v>
      </c>
      <c r="E48" s="91">
        <f>DATABASE!F484</f>
        <v>158.30000000000001</v>
      </c>
      <c r="F48" s="91">
        <f>DATABASE!G484</f>
        <v>0</v>
      </c>
      <c r="G48" s="91" t="str">
        <f>DATABASE!H484</f>
        <v>40+41</v>
      </c>
      <c r="H48" s="91" t="str">
        <f>DATABASE!I484</f>
        <v/>
      </c>
      <c r="I48" s="93">
        <f>DATABASE!J484</f>
        <v>0</v>
      </c>
      <c r="J48" s="91">
        <f>DATABASE!K484</f>
        <v>0</v>
      </c>
      <c r="K48" s="93">
        <f>DATABASE!L484</f>
        <v>0</v>
      </c>
      <c r="L48" s="72">
        <f>DATABASE!M484</f>
        <v>36.799999999999997</v>
      </c>
      <c r="M48" s="93">
        <f>DATABASE!N484</f>
        <v>0</v>
      </c>
      <c r="N48" s="111">
        <f>DATABASE!O484</f>
        <v>121.5</v>
      </c>
      <c r="O48" s="88">
        <f>DATABASE!P484</f>
        <v>0</v>
      </c>
      <c r="P48" s="113" t="str">
        <f>DATABASE!Q484</f>
        <v xml:space="preserve">PSPA </v>
      </c>
      <c r="Q48" s="79">
        <f>DATABASE!R484</f>
        <v>550000</v>
      </c>
      <c r="R48" s="79">
        <f>DATABASE!S484</f>
        <v>550000</v>
      </c>
      <c r="S48" s="79">
        <f>DATABASE!T484</f>
        <v>840000</v>
      </c>
      <c r="T48" s="79">
        <f>DATABASE!U484</f>
        <v>0</v>
      </c>
      <c r="U48" s="79">
        <f>DATABASE!V484</f>
        <v>0</v>
      </c>
      <c r="V48" s="79">
        <f>DATABASE!W484</f>
        <v>840000</v>
      </c>
      <c r="W48" s="80">
        <f>DATABASE!X484</f>
        <v>0</v>
      </c>
      <c r="X48" s="79">
        <f>DATABASE!Y484</f>
        <v>840000</v>
      </c>
      <c r="Y48" s="79">
        <f>DATABASE!Z484</f>
        <v>840000</v>
      </c>
      <c r="Z48" s="79" t="e">
        <f>DATABASE!#REF!</f>
        <v>#REF!</v>
      </c>
      <c r="AA48" s="81" t="e">
        <f>DATABASE!#REF!</f>
        <v>#REF!</v>
      </c>
      <c r="AB48" s="82">
        <f>DATABASE!AB484</f>
        <v>46843</v>
      </c>
    </row>
    <row r="49" spans="1:28">
      <c r="A49" s="71" t="str">
        <f>DATABASE!A485</f>
        <v>VP - TOWNHOUSES</v>
      </c>
      <c r="B49" s="89" t="str">
        <f>DATABASE!B485</f>
        <v>North</v>
      </c>
      <c r="C49" s="89" t="str">
        <f>DATABASE!C485</f>
        <v>4A</v>
      </c>
      <c r="D49" s="91" t="str">
        <f>DATABASE!E485</f>
        <v>V3</v>
      </c>
      <c r="E49" s="91">
        <f>DATABASE!F485</f>
        <v>209.64</v>
      </c>
      <c r="F49" s="91">
        <f>DATABASE!G485</f>
        <v>0</v>
      </c>
      <c r="G49" s="91" t="str">
        <f>DATABASE!H485</f>
        <v>2</v>
      </c>
      <c r="H49" s="91" t="str">
        <f>DATABASE!I485</f>
        <v>No</v>
      </c>
      <c r="I49" s="93">
        <f>DATABASE!J485</f>
        <v>0</v>
      </c>
      <c r="J49" s="91">
        <f>DATABASE!K485</f>
        <v>3.66</v>
      </c>
      <c r="K49" s="93">
        <f>DATABASE!L485</f>
        <v>44.52</v>
      </c>
      <c r="L49" s="72">
        <f>DATABASE!M485</f>
        <v>0</v>
      </c>
      <c r="M49" s="93">
        <f>DATABASE!N485</f>
        <v>0</v>
      </c>
      <c r="N49" s="111">
        <f>DATABASE!O485</f>
        <v>161.46</v>
      </c>
      <c r="O49" s="88">
        <f>DATABASE!P485</f>
        <v>0</v>
      </c>
      <c r="P49" s="113" t="str">
        <f>DATABASE!Q485</f>
        <v>AVAILABLE</v>
      </c>
      <c r="Q49" s="79">
        <f>DATABASE!R485</f>
        <v>820000</v>
      </c>
      <c r="R49" s="79">
        <f>DATABASE!S485</f>
        <v>820000</v>
      </c>
      <c r="S49" s="79">
        <f>DATABASE!T485</f>
        <v>870000</v>
      </c>
      <c r="T49" s="79">
        <f>DATABASE!U485</f>
        <v>0</v>
      </c>
      <c r="U49" s="79">
        <f>DATABASE!V485</f>
        <v>0</v>
      </c>
      <c r="V49" s="79">
        <f>DATABASE!W485</f>
        <v>870000</v>
      </c>
      <c r="W49" s="80">
        <f>DATABASE!X485</f>
        <v>0</v>
      </c>
      <c r="X49" s="79">
        <f>DATABASE!Y485</f>
        <v>0</v>
      </c>
      <c r="Y49" s="79">
        <f>DATABASE!Z485</f>
        <v>0</v>
      </c>
      <c r="Z49" s="79" t="e">
        <f>DATABASE!#REF!</f>
        <v>#REF!</v>
      </c>
      <c r="AA49" s="81">
        <f>DATABASE!AA485</f>
        <v>0</v>
      </c>
      <c r="AB49" s="82">
        <f>DATABASE!AB485</f>
        <v>47208</v>
      </c>
    </row>
    <row r="50" spans="1:28">
      <c r="A50" s="71" t="str">
        <f>DATABASE!A486</f>
        <v>VP - TOWNHOUSES</v>
      </c>
      <c r="B50" s="89" t="str">
        <f>DATABASE!B486</f>
        <v>North</v>
      </c>
      <c r="C50" s="89" t="str">
        <f>DATABASE!C486</f>
        <v>1A</v>
      </c>
      <c r="D50" s="91" t="str">
        <f>DATABASE!E486</f>
        <v>V3</v>
      </c>
      <c r="E50" s="91">
        <f>DATABASE!F486</f>
        <v>213.28</v>
      </c>
      <c r="F50" s="91">
        <f>DATABASE!G486</f>
        <v>0</v>
      </c>
      <c r="G50" s="91" t="str">
        <f>DATABASE!H486</f>
        <v>2</v>
      </c>
      <c r="H50" s="91" t="str">
        <f>DATABASE!I486</f>
        <v>No</v>
      </c>
      <c r="I50" s="93">
        <f>DATABASE!J486</f>
        <v>0</v>
      </c>
      <c r="J50" s="91">
        <f>DATABASE!K486</f>
        <v>0</v>
      </c>
      <c r="K50" s="93">
        <f>DATABASE!L486</f>
        <v>46.1</v>
      </c>
      <c r="L50" s="72">
        <f>DATABASE!M486</f>
        <v>0</v>
      </c>
      <c r="M50" s="93">
        <f>DATABASE!N486</f>
        <v>0</v>
      </c>
      <c r="N50" s="111">
        <f>DATABASE!O486</f>
        <v>167.18</v>
      </c>
      <c r="O50" s="88">
        <f>DATABASE!P486</f>
        <v>0</v>
      </c>
      <c r="P50" s="113" t="str">
        <f>DATABASE!Q486</f>
        <v>UPON  REQUEST</v>
      </c>
      <c r="Q50" s="79">
        <f>DATABASE!R486</f>
        <v>820000</v>
      </c>
      <c r="R50" s="79">
        <f>DATABASE!S486</f>
        <v>820000</v>
      </c>
      <c r="S50" s="79">
        <f>DATABASE!T486</f>
        <v>840000</v>
      </c>
      <c r="T50" s="79">
        <f>DATABASE!U486</f>
        <v>0</v>
      </c>
      <c r="U50" s="79">
        <f>DATABASE!V486</f>
        <v>0</v>
      </c>
      <c r="V50" s="79">
        <f>DATABASE!W486</f>
        <v>840000</v>
      </c>
      <c r="W50" s="80">
        <f>DATABASE!X486</f>
        <v>0</v>
      </c>
      <c r="X50" s="79">
        <f>DATABASE!Y486</f>
        <v>0</v>
      </c>
      <c r="Y50" s="79">
        <f>DATABASE!Z486</f>
        <v>0</v>
      </c>
      <c r="Z50" s="79" t="e">
        <f>DATABASE!#REF!</f>
        <v>#REF!</v>
      </c>
      <c r="AA50" s="81">
        <f>DATABASE!AA486</f>
        <v>0</v>
      </c>
      <c r="AB50" s="82">
        <f>DATABASE!AB486</f>
        <v>47208</v>
      </c>
    </row>
    <row r="51" spans="1:28">
      <c r="A51" s="71" t="str">
        <f>DATABASE!A487</f>
        <v>VP - TOWNHOUSES</v>
      </c>
      <c r="B51" s="89" t="str">
        <f>DATABASE!B487</f>
        <v>North</v>
      </c>
      <c r="C51" s="89" t="str">
        <f>DATABASE!C487</f>
        <v>3A</v>
      </c>
      <c r="D51" s="91" t="str">
        <f>DATABASE!E487</f>
        <v>V3</v>
      </c>
      <c r="E51" s="91">
        <f>DATABASE!F487</f>
        <v>205.98</v>
      </c>
      <c r="F51" s="91">
        <f>DATABASE!G487</f>
        <v>0</v>
      </c>
      <c r="G51" s="91" t="str">
        <f>DATABASE!H487</f>
        <v>2</v>
      </c>
      <c r="H51" s="91" t="str">
        <f>DATABASE!I487</f>
        <v>No</v>
      </c>
      <c r="I51" s="93">
        <f>DATABASE!J487</f>
        <v>0</v>
      </c>
      <c r="J51" s="91">
        <f>DATABASE!K487</f>
        <v>0</v>
      </c>
      <c r="K51" s="93">
        <f>DATABASE!L487</f>
        <v>44.52</v>
      </c>
      <c r="L51" s="72">
        <f>DATABASE!M487</f>
        <v>0</v>
      </c>
      <c r="M51" s="93">
        <f>DATABASE!N487</f>
        <v>0</v>
      </c>
      <c r="N51" s="111">
        <f>DATABASE!O487</f>
        <v>161.46</v>
      </c>
      <c r="O51" s="88">
        <f>DATABASE!P487</f>
        <v>0</v>
      </c>
      <c r="P51" s="113" t="str">
        <f>DATABASE!Q487</f>
        <v>UPON  REQUEST</v>
      </c>
      <c r="Q51" s="79">
        <f>DATABASE!R487</f>
        <v>820000</v>
      </c>
      <c r="R51" s="79">
        <f>DATABASE!S487</f>
        <v>820000</v>
      </c>
      <c r="S51" s="79">
        <f>DATABASE!T487</f>
        <v>840000</v>
      </c>
      <c r="T51" s="79">
        <f>DATABASE!U487</f>
        <v>0</v>
      </c>
      <c r="U51" s="79">
        <f>DATABASE!V487</f>
        <v>0</v>
      </c>
      <c r="V51" s="79">
        <f>DATABASE!W487</f>
        <v>840000</v>
      </c>
      <c r="W51" s="80">
        <f>DATABASE!X487</f>
        <v>0</v>
      </c>
      <c r="X51" s="79">
        <f>DATABASE!Y487</f>
        <v>0</v>
      </c>
      <c r="Y51" s="79">
        <f>DATABASE!Z487</f>
        <v>0</v>
      </c>
      <c r="Z51" s="79" t="e">
        <f>DATABASE!#REF!</f>
        <v>#REF!</v>
      </c>
      <c r="AA51" s="81">
        <f>DATABASE!AA487</f>
        <v>0</v>
      </c>
      <c r="AB51" s="82">
        <f>DATABASE!AB487</f>
        <v>47208</v>
      </c>
    </row>
    <row r="52" spans="1:28">
      <c r="A52" s="71" t="str">
        <f>DATABASE!A488</f>
        <v>VP - TOWNHOUSES</v>
      </c>
      <c r="B52" s="89" t="str">
        <f>DATABASE!B488</f>
        <v>North</v>
      </c>
      <c r="C52" s="89" t="str">
        <f>DATABASE!C488</f>
        <v>12A</v>
      </c>
      <c r="D52" s="91" t="str">
        <f>DATABASE!E488</f>
        <v>V3</v>
      </c>
      <c r="E52" s="91">
        <f>DATABASE!F488</f>
        <v>293.75</v>
      </c>
      <c r="F52" s="91">
        <f>DATABASE!G488</f>
        <v>0</v>
      </c>
      <c r="G52" s="91" t="str">
        <f>DATABASE!H488</f>
        <v>2</v>
      </c>
      <c r="H52" s="91" t="str">
        <f>DATABASE!I488</f>
        <v>Yes</v>
      </c>
      <c r="I52" s="93">
        <f>DATABASE!J488</f>
        <v>0</v>
      </c>
      <c r="J52" s="91">
        <f>DATABASE!K488</f>
        <v>87.77</v>
      </c>
      <c r="K52" s="93">
        <f>DATABASE!L488</f>
        <v>44.52</v>
      </c>
      <c r="L52" s="72">
        <f>DATABASE!M488</f>
        <v>0</v>
      </c>
      <c r="M52" s="93">
        <f>DATABASE!N488</f>
        <v>0</v>
      </c>
      <c r="N52" s="111">
        <f>DATABASE!O488</f>
        <v>161.46</v>
      </c>
      <c r="O52" s="88">
        <f>DATABASE!P488</f>
        <v>0</v>
      </c>
      <c r="P52" s="113" t="str">
        <f>DATABASE!Q488</f>
        <v>UPON  REQUEST</v>
      </c>
      <c r="Q52" s="79">
        <f>DATABASE!R488</f>
        <v>820000</v>
      </c>
      <c r="R52" s="79">
        <f>DATABASE!S488</f>
        <v>820000</v>
      </c>
      <c r="S52" s="79">
        <f>DATABASE!T488</f>
        <v>860000</v>
      </c>
      <c r="T52" s="79">
        <f>DATABASE!U488</f>
        <v>0</v>
      </c>
      <c r="U52" s="79">
        <f>DATABASE!V488</f>
        <v>0</v>
      </c>
      <c r="V52" s="79">
        <f>DATABASE!W488</f>
        <v>860000</v>
      </c>
      <c r="W52" s="80">
        <f>DATABASE!X488</f>
        <v>0</v>
      </c>
      <c r="X52" s="79">
        <f>DATABASE!Y488</f>
        <v>0</v>
      </c>
      <c r="Y52" s="79">
        <f>DATABASE!Z488</f>
        <v>0</v>
      </c>
      <c r="Z52" s="79" t="e">
        <f>DATABASE!#REF!</f>
        <v>#REF!</v>
      </c>
      <c r="AA52" s="81">
        <f>DATABASE!AA488</f>
        <v>0</v>
      </c>
      <c r="AB52" s="82">
        <f>DATABASE!AB488</f>
        <v>47208</v>
      </c>
    </row>
    <row r="53" spans="1:28">
      <c r="A53" s="71" t="str">
        <f>DATABASE!A489</f>
        <v>THE NINE</v>
      </c>
      <c r="B53" s="89" t="str">
        <f>DATABASE!B489</f>
        <v>Vilamoura</v>
      </c>
      <c r="C53" s="89" t="str">
        <f>DATABASE!C489</f>
        <v>AL</v>
      </c>
      <c r="D53" s="91" t="str">
        <f>DATABASE!E489</f>
        <v>T2</v>
      </c>
      <c r="E53" s="91">
        <f>DATABASE!F489</f>
        <v>119</v>
      </c>
      <c r="F53" s="91">
        <f>DATABASE!G489</f>
        <v>0</v>
      </c>
      <c r="G53" s="91" t="str">
        <f>DATABASE!H489</f>
        <v/>
      </c>
      <c r="H53" s="91" t="str">
        <f>DATABASE!I489</f>
        <v/>
      </c>
      <c r="I53" s="93">
        <f>DATABASE!J489</f>
        <v>0</v>
      </c>
      <c r="J53" s="91">
        <f>DATABASE!K489</f>
        <v>0</v>
      </c>
      <c r="K53" s="93">
        <f>DATABASE!L489</f>
        <v>0</v>
      </c>
      <c r="L53" s="72">
        <f>DATABASE!M489</f>
        <v>0</v>
      </c>
      <c r="M53" s="93">
        <f>DATABASE!N489</f>
        <v>0</v>
      </c>
      <c r="N53" s="111">
        <f>DATABASE!O489</f>
        <v>119</v>
      </c>
      <c r="O53" s="88">
        <f>DATABASE!P489</f>
        <v>0</v>
      </c>
      <c r="P53" s="113" t="str">
        <f>DATABASE!Q489</f>
        <v xml:space="preserve">DEED </v>
      </c>
      <c r="Q53" s="79">
        <f>DATABASE!R489</f>
        <v>590000</v>
      </c>
      <c r="R53" s="79">
        <f>DATABASE!S489</f>
        <v>590000</v>
      </c>
      <c r="S53" s="79">
        <f>DATABASE!T489</f>
        <v>640000</v>
      </c>
      <c r="T53" s="79">
        <f>DATABASE!U489</f>
        <v>0</v>
      </c>
      <c r="U53" s="79">
        <f>DATABASE!V489</f>
        <v>0</v>
      </c>
      <c r="V53" s="79">
        <f>DATABASE!W489</f>
        <v>640000</v>
      </c>
      <c r="W53" s="80">
        <f>DATABASE!X489</f>
        <v>0.1928125</v>
      </c>
      <c r="X53" s="79">
        <f>DATABASE!Y489</f>
        <v>516600</v>
      </c>
      <c r="Y53" s="79">
        <f>DATABASE!Z489</f>
        <v>516600</v>
      </c>
      <c r="Z53" s="79" t="e">
        <f>DATABASE!#REF!</f>
        <v>#REF!</v>
      </c>
      <c r="AA53" s="81">
        <f>DATABASE!AA489</f>
        <v>45918</v>
      </c>
      <c r="AB53" s="82">
        <f>DATABASE!AB489</f>
        <v>0</v>
      </c>
    </row>
    <row r="54" spans="1:28">
      <c r="A54" s="71" t="str">
        <f>DATABASE!A490</f>
        <v>Aroeira - APARTMENTS</v>
      </c>
      <c r="B54" s="89" t="str">
        <f>DATABASE!B490</f>
        <v>Center</v>
      </c>
      <c r="C54" s="89" t="str">
        <f>DATABASE!C490</f>
        <v>111B</v>
      </c>
      <c r="D54" s="91" t="str">
        <f>DATABASE!E490</f>
        <v>2-BR</v>
      </c>
      <c r="E54" s="91">
        <f>DATABASE!F490</f>
        <v>167.67</v>
      </c>
      <c r="F54" s="91">
        <f>DATABASE!G490</f>
        <v>0</v>
      </c>
      <c r="G54" s="91" t="str">
        <f>DATABASE!H490</f>
        <v>1</v>
      </c>
      <c r="H54" s="91" t="str">
        <f>DATABASE!I490</f>
        <v/>
      </c>
      <c r="I54" s="93">
        <f>DATABASE!J490</f>
        <v>3.87</v>
      </c>
      <c r="J54" s="91">
        <f>DATABASE!K490</f>
        <v>50.03</v>
      </c>
      <c r="K54" s="93">
        <f>DATABASE!L490</f>
        <v>0</v>
      </c>
      <c r="L54" s="72">
        <f>DATABASE!M490</f>
        <v>0</v>
      </c>
      <c r="M54" s="93">
        <f>DATABASE!N490</f>
        <v>0</v>
      </c>
      <c r="N54" s="111">
        <f>DATABASE!O490</f>
        <v>113.77</v>
      </c>
      <c r="O54" s="88">
        <f>DATABASE!P490</f>
        <v>0</v>
      </c>
      <c r="P54" s="113" t="str">
        <f>DATABASE!Q490</f>
        <v>AVAILABLE</v>
      </c>
      <c r="Q54" s="79">
        <f>DATABASE!R490</f>
        <v>780000</v>
      </c>
      <c r="R54" s="79">
        <f>DATABASE!S490</f>
        <v>825000</v>
      </c>
      <c r="S54" s="79">
        <f>DATABASE!T490</f>
        <v>850000</v>
      </c>
      <c r="T54" s="79">
        <f>DATABASE!U490</f>
        <v>0</v>
      </c>
      <c r="U54" s="79">
        <f>DATABASE!V490</f>
        <v>45000</v>
      </c>
      <c r="V54" s="79">
        <f>DATABASE!W490</f>
        <v>805000</v>
      </c>
      <c r="W54" s="80">
        <f>DATABASE!X490</f>
        <v>0</v>
      </c>
      <c r="X54" s="79">
        <f>DATABASE!Y490</f>
        <v>0</v>
      </c>
      <c r="Y54" s="79">
        <f>DATABASE!Z490</f>
        <v>-45000</v>
      </c>
      <c r="Z54" s="79" t="e">
        <f>DATABASE!#REF!</f>
        <v>#REF!</v>
      </c>
      <c r="AA54" s="81">
        <f>DATABASE!AA490</f>
        <v>0</v>
      </c>
      <c r="AB54" s="82">
        <f>DATABASE!AB490</f>
        <v>47118</v>
      </c>
    </row>
    <row r="55" spans="1:28">
      <c r="A55" s="71" t="str">
        <f>DATABASE!A491</f>
        <v>VM PARQUE</v>
      </c>
      <c r="B55" s="89" t="str">
        <f>DATABASE!B491</f>
        <v>Vilamoura</v>
      </c>
      <c r="C55" s="89" t="str">
        <f>DATABASE!C491</f>
        <v>AL</v>
      </c>
      <c r="D55" s="91" t="str">
        <f>DATABASE!E491</f>
        <v>V3</v>
      </c>
      <c r="E55" s="91">
        <f>DATABASE!F491</f>
        <v>189.1061</v>
      </c>
      <c r="F55" s="91">
        <f>DATABASE!G491</f>
        <v>0</v>
      </c>
      <c r="G55" s="91" t="str">
        <f>DATABASE!H491</f>
        <v/>
      </c>
      <c r="H55" s="91" t="str">
        <f>DATABASE!I491</f>
        <v/>
      </c>
      <c r="I55" s="93">
        <f>DATABASE!J491</f>
        <v>0</v>
      </c>
      <c r="J55" s="91">
        <f>DATABASE!K491</f>
        <v>0</v>
      </c>
      <c r="K55" s="93">
        <f>DATABASE!L491</f>
        <v>0</v>
      </c>
      <c r="L55" s="72">
        <f>DATABASE!M491</f>
        <v>0</v>
      </c>
      <c r="M55" s="93">
        <f>DATABASE!N491</f>
        <v>0</v>
      </c>
      <c r="N55" s="111">
        <f>DATABASE!O491</f>
        <v>189.1061</v>
      </c>
      <c r="O55" s="88">
        <f>DATABASE!P491</f>
        <v>0</v>
      </c>
      <c r="P55" s="113" t="str">
        <f>DATABASE!Q491</f>
        <v xml:space="preserve">DEED </v>
      </c>
      <c r="Q55" s="79">
        <f>DATABASE!R491</f>
        <v>1076445</v>
      </c>
      <c r="R55" s="79">
        <f>DATABASE!S491</f>
        <v>1076445</v>
      </c>
      <c r="S55" s="79">
        <f>DATABASE!T491</f>
        <v>1250000</v>
      </c>
      <c r="T55" s="79">
        <f>DATABASE!U491</f>
        <v>0</v>
      </c>
      <c r="U55" s="79">
        <f>DATABASE!V491</f>
        <v>0</v>
      </c>
      <c r="V55" s="79">
        <f>DATABASE!W491</f>
        <v>1250000</v>
      </c>
      <c r="W55" s="80">
        <f>DATABASE!X491</f>
        <v>0</v>
      </c>
      <c r="X55" s="79">
        <f>DATABASE!Y491</f>
        <v>1250000</v>
      </c>
      <c r="Y55" s="79">
        <f>DATABASE!Z491</f>
        <v>1250000</v>
      </c>
      <c r="Z55" s="79" t="e">
        <f>DATABASE!#REF!</f>
        <v>#REF!</v>
      </c>
      <c r="AA55" s="81">
        <f>DATABASE!AA491</f>
        <v>44798</v>
      </c>
      <c r="AB55" s="82">
        <f>DATABASE!AB491</f>
        <v>0</v>
      </c>
    </row>
    <row r="56" spans="1:28">
      <c r="A56" s="94" t="str">
        <f>DATABASE!A492</f>
        <v>Palmares - Plots</v>
      </c>
      <c r="B56" s="95" t="str">
        <f>DATABASE!B492</f>
        <v>Algarve</v>
      </c>
      <c r="C56" s="95" t="str">
        <f>DATABASE!C492</f>
        <v>21</v>
      </c>
      <c r="D56" s="97" t="str">
        <f>DATABASE!E492</f>
        <v>Plot</v>
      </c>
      <c r="E56" s="97">
        <f>DATABASE!F492</f>
        <v>2664</v>
      </c>
      <c r="F56" s="97">
        <f>DATABASE!G492</f>
        <v>0</v>
      </c>
      <c r="G56" s="97" t="str">
        <f>DATABASE!H492</f>
        <v/>
      </c>
      <c r="H56" s="97" t="str">
        <f>DATABASE!I492</f>
        <v/>
      </c>
      <c r="I56" s="96">
        <f>DATABASE!J492</f>
        <v>0</v>
      </c>
      <c r="J56" s="97">
        <f>DATABASE!K492</f>
        <v>0</v>
      </c>
      <c r="K56" s="96">
        <f>DATABASE!L492</f>
        <v>0</v>
      </c>
      <c r="L56" s="114">
        <f>DATABASE!M492</f>
        <v>0</v>
      </c>
      <c r="M56" s="96">
        <f>DATABASE!N492</f>
        <v>0</v>
      </c>
      <c r="N56" s="112">
        <f>DATABASE!O492</f>
        <v>420</v>
      </c>
      <c r="O56" s="100">
        <f>DATABASE!P492</f>
        <v>0</v>
      </c>
      <c r="P56" s="115" t="str">
        <f>DATABASE!Q492</f>
        <v>AVAILABLE</v>
      </c>
      <c r="Q56" s="102">
        <f>DATABASE!R492</f>
        <v>830000</v>
      </c>
      <c r="R56" s="102">
        <f>DATABASE!S492</f>
        <v>830000</v>
      </c>
      <c r="S56" s="102">
        <f>DATABASE!T492</f>
        <v>1750000</v>
      </c>
      <c r="T56" s="102">
        <f>DATABASE!U492</f>
        <v>0</v>
      </c>
      <c r="U56" s="102">
        <f>DATABASE!V492</f>
        <v>0</v>
      </c>
      <c r="V56" s="102">
        <f>DATABASE!W492</f>
        <v>1750000</v>
      </c>
      <c r="W56" s="103">
        <f>DATABASE!X492</f>
        <v>0</v>
      </c>
      <c r="X56" s="102">
        <f>DATABASE!Y492</f>
        <v>1750000</v>
      </c>
      <c r="Y56" s="102">
        <f>DATABASE!Z492</f>
        <v>1750000</v>
      </c>
      <c r="Z56" s="102" t="e">
        <f>DATABASE!#REF!</f>
        <v>#REF!</v>
      </c>
      <c r="AA56" s="104">
        <f>DATABASE!AA492</f>
        <v>0</v>
      </c>
      <c r="AB56" s="105">
        <f>DATABASE!AB492</f>
        <v>46843</v>
      </c>
    </row>
  </sheetData>
  <conditionalFormatting sqref="A1">
    <cfRule type="containsText" dxfId="42" priority="1" operator="containsText" text="Center">
      <formula>NOT(ISERROR(SEARCH("Center",A1)))</formula>
    </cfRule>
    <cfRule type="containsText" dxfId="41" priority="2" operator="containsText" text="North">
      <formula>NOT(ISERROR(SEARCH("North",A1)))</formula>
    </cfRule>
    <cfRule type="containsText" dxfId="40" priority="3" operator="containsText" text="Algarve">
      <formula>NOT(ISERROR(SEARCH("Algarve",A1)))</formula>
    </cfRule>
    <cfRule type="containsText" dxfId="39" priority="4" operator="containsText" text="Vilamoura">
      <formula>NOT(ISERROR(SEARCH("Vilamoura",A1)))</formula>
    </cfRule>
  </conditionalFormatting>
  <pageMargins left="0.7" right="0.7" top="0.75" bottom="0.75" header="0.3" footer="0.3"/>
  <pageSetup paperSize="8" scale="51"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86EA9-C57E-4565-A097-CE2740C07AE6}">
  <sheetPr>
    <tabColor rgb="FFC2B59E"/>
    <pageSetUpPr fitToPage="1"/>
  </sheetPr>
  <dimension ref="A1:AB120"/>
  <sheetViews>
    <sheetView showGridLines="0" zoomScale="61" zoomScaleNormal="40" zoomScaleSheetLayoutView="70" workbookViewId="0">
      <selection activeCell="N11" sqref="N11"/>
    </sheetView>
  </sheetViews>
  <sheetFormatPr defaultColWidth="8.7109375" defaultRowHeight="15" outlineLevelCol="2"/>
  <cols>
    <col min="1" max="1" width="27.140625" customWidth="1"/>
    <col min="2" max="2" width="19.7109375" bestFit="1" customWidth="1"/>
    <col min="3" max="3" width="22.28515625" bestFit="1" customWidth="1"/>
    <col min="4" max="4" width="14.7109375" bestFit="1" customWidth="1"/>
    <col min="5" max="5" width="21.7109375" hidden="1" customWidth="1" outlineLevel="2"/>
    <col min="6" max="6" width="12" hidden="1" customWidth="1" outlineLevel="2"/>
    <col min="7" max="7" width="16.28515625" hidden="1" customWidth="1" outlineLevel="2"/>
    <col min="8" max="8" width="13.140625" hidden="1" customWidth="1" outlineLevel="2"/>
    <col min="9" max="9" width="25.42578125" hidden="1" customWidth="1" outlineLevel="2"/>
    <col min="10" max="10" width="27.7109375" hidden="1" customWidth="1" outlineLevel="2"/>
    <col min="11" max="11" width="18.28515625" hidden="1" customWidth="1" outlineLevel="1"/>
    <col min="12" max="12" width="73.7109375" hidden="1" customWidth="1" outlineLevel="1"/>
    <col min="13" max="13" width="27.42578125" customWidth="1" collapsed="1"/>
    <col min="14" max="14" width="37.28515625" customWidth="1"/>
    <col min="15" max="16" width="32.7109375" customWidth="1"/>
    <col min="17" max="17" width="12.7109375" customWidth="1"/>
    <col min="18" max="18" width="23" customWidth="1"/>
    <col min="19" max="19" width="38.140625" customWidth="1"/>
    <col min="20" max="20" width="32.7109375" style="21" customWidth="1"/>
    <col min="21" max="22" width="32.7109375" customWidth="1"/>
  </cols>
  <sheetData>
    <row r="1" spans="1:28" s="1" customFormat="1" ht="40.5">
      <c r="A1" s="58" t="s">
        <v>335</v>
      </c>
      <c r="B1" s="59" t="s">
        <v>687</v>
      </c>
      <c r="C1" s="59" t="s">
        <v>770</v>
      </c>
      <c r="D1" s="59" t="s">
        <v>93</v>
      </c>
      <c r="E1" s="59" t="s">
        <v>766</v>
      </c>
      <c r="F1" s="60" t="s">
        <v>678</v>
      </c>
      <c r="G1" s="60" t="s">
        <v>679</v>
      </c>
      <c r="H1" s="60" t="s">
        <v>680</v>
      </c>
      <c r="I1" s="60" t="s">
        <v>681</v>
      </c>
      <c r="J1" s="60" t="s">
        <v>682</v>
      </c>
      <c r="K1" s="60" t="s">
        <v>785</v>
      </c>
      <c r="L1" s="60" t="s">
        <v>683</v>
      </c>
      <c r="M1" s="59" t="s">
        <v>684</v>
      </c>
      <c r="N1" s="59" t="s">
        <v>94</v>
      </c>
      <c r="O1" s="59" t="s">
        <v>95</v>
      </c>
      <c r="P1" s="59" t="s">
        <v>627</v>
      </c>
      <c r="Q1" s="61" t="s">
        <v>331</v>
      </c>
      <c r="R1" s="61" t="s">
        <v>332</v>
      </c>
      <c r="S1" s="61" t="s">
        <v>333</v>
      </c>
      <c r="T1" s="61" t="s">
        <v>685</v>
      </c>
      <c r="U1" s="61" t="s">
        <v>97</v>
      </c>
      <c r="V1" s="59" t="s">
        <v>330</v>
      </c>
      <c r="W1" s="62" t="s">
        <v>767</v>
      </c>
      <c r="X1" s="61" t="s">
        <v>334</v>
      </c>
      <c r="Y1" s="59" t="s">
        <v>98</v>
      </c>
      <c r="Z1" s="59" t="s">
        <v>771</v>
      </c>
      <c r="AA1" s="63" t="s">
        <v>768</v>
      </c>
      <c r="AB1" s="64" t="s">
        <v>7</v>
      </c>
    </row>
    <row r="2" spans="1:28">
      <c r="A2" s="106" t="str">
        <f>DATABASE!A493</f>
        <v>ZESTIA</v>
      </c>
      <c r="B2" s="53" t="str">
        <f>DATABASE!B493</f>
        <v>Vilamoura</v>
      </c>
      <c r="C2" s="53" t="str">
        <f>DATABASE!C493</f>
        <v>AL</v>
      </c>
      <c r="D2" s="73" t="str">
        <f>DATABASE!E493</f>
        <v>T2 LO</v>
      </c>
      <c r="E2" s="73">
        <f>DATABASE!F493</f>
        <v>116.75</v>
      </c>
      <c r="F2" s="74">
        <f>DATABASE!G493</f>
        <v>0</v>
      </c>
      <c r="G2" s="72" t="str">
        <f>DATABASE!H493</f>
        <v/>
      </c>
      <c r="H2" s="73" t="str">
        <f>DATABASE!I493</f>
        <v/>
      </c>
      <c r="I2" s="73">
        <f>DATABASE!J493</f>
        <v>28.58</v>
      </c>
      <c r="J2" s="73">
        <f>DATABASE!K493</f>
        <v>0</v>
      </c>
      <c r="K2" s="72">
        <f>DATABASE!L493</f>
        <v>0</v>
      </c>
      <c r="L2" s="72">
        <f>DATABASE!M493</f>
        <v>0</v>
      </c>
      <c r="M2" s="72">
        <f>DATABASE!N493</f>
        <v>0</v>
      </c>
      <c r="N2" s="107">
        <f>DATABASE!O493</f>
        <v>88.17</v>
      </c>
      <c r="O2" s="76">
        <f>DATABASE!P493</f>
        <v>0</v>
      </c>
      <c r="P2" s="77" t="str">
        <f>DATABASE!Q493</f>
        <v>AVAILABLE</v>
      </c>
      <c r="Q2" s="78">
        <f>DATABASE!R493</f>
        <v>703135.98959999997</v>
      </c>
      <c r="R2" s="78">
        <f>DATABASE!S493</f>
        <v>767735.98959999997</v>
      </c>
      <c r="S2" s="116">
        <f>DATABASE!T493</f>
        <v>850000</v>
      </c>
      <c r="T2" s="78">
        <f>DATABASE!U493</f>
        <v>24600</v>
      </c>
      <c r="U2" s="116">
        <f>DATABASE!V493</f>
        <v>40000</v>
      </c>
      <c r="V2" s="79">
        <f>DATABASE!W493</f>
        <v>785400</v>
      </c>
      <c r="W2" s="80">
        <f>DATABASE!X493</f>
        <v>0</v>
      </c>
      <c r="X2" s="79">
        <f>DATABASE!Y493</f>
        <v>850000</v>
      </c>
      <c r="Y2" s="79">
        <f>DATABASE!Z493</f>
        <v>785400</v>
      </c>
      <c r="Z2" s="79" t="e">
        <f>DATABASE!#REF!</f>
        <v>#REF!</v>
      </c>
      <c r="AA2" s="81">
        <f>DATABASE!AA493</f>
        <v>0</v>
      </c>
      <c r="AB2" s="82">
        <f>DATABASE!AB493</f>
        <v>0</v>
      </c>
    </row>
    <row r="3" spans="1:28">
      <c r="A3" s="108" t="str">
        <f>DATABASE!A494</f>
        <v>BOTÂNICA</v>
      </c>
      <c r="B3" s="83" t="str">
        <f>DATABASE!B494</f>
        <v>Vilamoura</v>
      </c>
      <c r="C3" s="83" t="str">
        <f>DATABASE!C494</f>
        <v>AM</v>
      </c>
      <c r="D3" s="85" t="str">
        <f>DATABASE!E494</f>
        <v>T3</v>
      </c>
      <c r="E3" s="85">
        <f>DATABASE!F494</f>
        <v>224.31</v>
      </c>
      <c r="F3" s="85">
        <f>DATABASE!G494</f>
        <v>0</v>
      </c>
      <c r="G3" s="85" t="str">
        <f>DATABASE!H494</f>
        <v>2</v>
      </c>
      <c r="H3" s="86" t="str">
        <f>DATABASE!I494</f>
        <v/>
      </c>
      <c r="I3" s="84">
        <f>DATABASE!J494</f>
        <v>55.65</v>
      </c>
      <c r="J3" s="84">
        <f>DATABASE!K494</f>
        <v>0</v>
      </c>
      <c r="K3" s="84">
        <f>DATABASE!L494</f>
        <v>0</v>
      </c>
      <c r="L3" s="72">
        <f>DATABASE!M494</f>
        <v>0</v>
      </c>
      <c r="M3" s="72">
        <f>DATABASE!N494</f>
        <v>0</v>
      </c>
      <c r="N3" s="107">
        <f>DATABASE!O494</f>
        <v>168.66</v>
      </c>
      <c r="O3" s="87">
        <f>DATABASE!P494</f>
        <v>0</v>
      </c>
      <c r="P3" s="88" t="str">
        <f>DATABASE!Q494</f>
        <v>RESERVED</v>
      </c>
      <c r="Q3" s="78">
        <f>DATABASE!R494</f>
        <v>1660542.65</v>
      </c>
      <c r="R3" s="78">
        <f>DATABASE!S494</f>
        <v>1660542.65</v>
      </c>
      <c r="S3" s="116">
        <f>DATABASE!T494</f>
        <v>1670000</v>
      </c>
      <c r="T3" s="78">
        <f>DATABASE!U494</f>
        <v>0</v>
      </c>
      <c r="U3" s="116">
        <f>DATABASE!V494</f>
        <v>0</v>
      </c>
      <c r="V3" s="79">
        <f>DATABASE!W494</f>
        <v>1670000</v>
      </c>
      <c r="W3" s="80">
        <f>DATABASE!X494</f>
        <v>-4.1916167664670698E-2</v>
      </c>
      <c r="X3" s="79">
        <f>DATABASE!Y494</f>
        <v>1740000</v>
      </c>
      <c r="Y3" s="79">
        <f>DATABASE!Z494</f>
        <v>1740000</v>
      </c>
      <c r="Z3" s="79" t="e">
        <f>DATABASE!#REF!</f>
        <v>#REF!</v>
      </c>
      <c r="AA3" s="81">
        <f>DATABASE!AA494</f>
        <v>0</v>
      </c>
      <c r="AB3" s="82">
        <f>DATABASE!AB494</f>
        <v>0</v>
      </c>
    </row>
    <row r="4" spans="1:28">
      <c r="A4" s="71" t="str">
        <f>DATABASE!A495</f>
        <v>NOBILUS</v>
      </c>
      <c r="B4" s="89" t="str">
        <f>DATABASE!B495</f>
        <v>Vilamoura</v>
      </c>
      <c r="C4" s="89" t="str">
        <f>DATABASE!C495</f>
        <v>AM</v>
      </c>
      <c r="D4" s="91" t="str">
        <f>DATABASE!E495</f>
        <v>T2</v>
      </c>
      <c r="E4" s="91">
        <f>DATABASE!F495</f>
        <v>111.44</v>
      </c>
      <c r="F4" s="91">
        <f>DATABASE!G495</f>
        <v>0</v>
      </c>
      <c r="G4" s="91" t="str">
        <f>DATABASE!H495</f>
        <v/>
      </c>
      <c r="H4" s="92" t="str">
        <f>DATABASE!I495</f>
        <v/>
      </c>
      <c r="I4" s="90">
        <f>DATABASE!J495</f>
        <v>9.11</v>
      </c>
      <c r="J4" s="90">
        <f>DATABASE!K495</f>
        <v>0</v>
      </c>
      <c r="K4" s="90">
        <f>DATABASE!L495</f>
        <v>0</v>
      </c>
      <c r="L4" s="72">
        <f>DATABASE!M495</f>
        <v>0</v>
      </c>
      <c r="M4" s="72">
        <f>DATABASE!N495</f>
        <v>0</v>
      </c>
      <c r="N4" s="107">
        <f>DATABASE!O495</f>
        <v>111.44</v>
      </c>
      <c r="O4" s="88">
        <f>DATABASE!P495</f>
        <v>0</v>
      </c>
      <c r="P4" s="88" t="str">
        <f>DATABASE!Q495</f>
        <v>AVAILABLE</v>
      </c>
      <c r="Q4" s="78">
        <f>DATABASE!R495</f>
        <v>720000</v>
      </c>
      <c r="R4" s="78">
        <f>DATABASE!S495</f>
        <v>720000</v>
      </c>
      <c r="S4" s="116">
        <f>DATABASE!T495</f>
        <v>720000</v>
      </c>
      <c r="T4" s="78">
        <f>DATABASE!U495</f>
        <v>0</v>
      </c>
      <c r="U4" s="116">
        <f>DATABASE!V495</f>
        <v>0</v>
      </c>
      <c r="V4" s="79">
        <f>DATABASE!W495</f>
        <v>720000</v>
      </c>
      <c r="W4" s="80">
        <f>DATABASE!X495</f>
        <v>0</v>
      </c>
      <c r="X4" s="79">
        <f>DATABASE!Y495</f>
        <v>720000</v>
      </c>
      <c r="Y4" s="79">
        <f>DATABASE!Z495</f>
        <v>720000</v>
      </c>
      <c r="Z4" s="79" t="e">
        <f>DATABASE!#REF!</f>
        <v>#REF!</v>
      </c>
      <c r="AA4" s="81">
        <f>DATABASE!AA495</f>
        <v>0</v>
      </c>
      <c r="AB4" s="82">
        <f>DATABASE!AB495</f>
        <v>0</v>
      </c>
    </row>
    <row r="5" spans="1:28">
      <c r="A5" s="71" t="str">
        <f>DATABASE!A496</f>
        <v>Rivus</v>
      </c>
      <c r="B5" s="89" t="str">
        <f>DATABASE!B496</f>
        <v>Vilamoura</v>
      </c>
      <c r="C5" s="89" t="str">
        <f>DATABASE!C496</f>
        <v>AM</v>
      </c>
      <c r="D5" s="91" t="str">
        <f>DATABASE!E496</f>
        <v>T4</v>
      </c>
      <c r="E5" s="91">
        <f>DATABASE!F496</f>
        <v>0</v>
      </c>
      <c r="F5" s="91">
        <f>DATABASE!G496</f>
        <v>0</v>
      </c>
      <c r="G5" s="91" t="str">
        <f>DATABASE!H496</f>
        <v/>
      </c>
      <c r="H5" s="91" t="str">
        <f>DATABASE!I496</f>
        <v>Yes</v>
      </c>
      <c r="I5" s="93">
        <f>DATABASE!J496</f>
        <v>0</v>
      </c>
      <c r="J5" s="93">
        <f>DATABASE!K496</f>
        <v>0</v>
      </c>
      <c r="K5" s="93">
        <f>DATABASE!L496</f>
        <v>0</v>
      </c>
      <c r="L5" s="72">
        <f>DATABASE!M496</f>
        <v>155</v>
      </c>
      <c r="M5" s="72">
        <f>DATABASE!N496</f>
        <v>0</v>
      </c>
      <c r="N5" s="107">
        <f>DATABASE!O496</f>
        <v>233</v>
      </c>
      <c r="O5" s="88">
        <f>DATABASE!P496</f>
        <v>0</v>
      </c>
      <c r="P5" s="88" t="str">
        <f>DATABASE!Q496</f>
        <v>AVAILABLE</v>
      </c>
      <c r="Q5" s="78">
        <f>DATABASE!R496</f>
        <v>1870000</v>
      </c>
      <c r="R5" s="78">
        <f>DATABASE!S496</f>
        <v>1870000</v>
      </c>
      <c r="S5" s="116">
        <f>DATABASE!T496</f>
        <v>1870000</v>
      </c>
      <c r="T5" s="78">
        <f>DATABASE!U496</f>
        <v>0</v>
      </c>
      <c r="U5" s="116">
        <f>DATABASE!V496</f>
        <v>0</v>
      </c>
      <c r="V5" s="79">
        <f>DATABASE!W496</f>
        <v>1870000</v>
      </c>
      <c r="W5" s="80">
        <f>DATABASE!X496</f>
        <v>0</v>
      </c>
      <c r="X5" s="79">
        <f>DATABASE!Y496</f>
        <v>1820000</v>
      </c>
      <c r="Y5" s="79">
        <f>DATABASE!Z496</f>
        <v>1820000</v>
      </c>
      <c r="Z5" s="79" t="e">
        <f>DATABASE!#REF!</f>
        <v>#REF!</v>
      </c>
      <c r="AA5" s="81">
        <f>DATABASE!AA496</f>
        <v>0</v>
      </c>
      <c r="AB5" s="82">
        <f>DATABASE!AB496</f>
        <v>0</v>
      </c>
    </row>
    <row r="6" spans="1:28">
      <c r="A6" s="71" t="str">
        <f>DATABASE!A497</f>
        <v>SPRINGS</v>
      </c>
      <c r="B6" s="89" t="str">
        <f>DATABASE!B497</f>
        <v>Vilamoura</v>
      </c>
      <c r="C6" s="89" t="str">
        <f>DATABASE!C497</f>
        <v>AM</v>
      </c>
      <c r="D6" s="91" t="str">
        <f>DATABASE!E497</f>
        <v>V3 Duplex</v>
      </c>
      <c r="E6" s="91">
        <f>DATABASE!F497</f>
        <v>459.56</v>
      </c>
      <c r="F6" s="91">
        <f>DATABASE!G497</f>
        <v>264.60000000000002</v>
      </c>
      <c r="G6" s="91" t="str">
        <f>DATABASE!H497</f>
        <v/>
      </c>
      <c r="H6" s="91" t="str">
        <f>DATABASE!I497</f>
        <v/>
      </c>
      <c r="I6" s="93">
        <f>DATABASE!J497</f>
        <v>32.840000000000003</v>
      </c>
      <c r="J6" s="93">
        <f>DATABASE!K497</f>
        <v>0</v>
      </c>
      <c r="K6" s="93">
        <f>DATABASE!L497</f>
        <v>0</v>
      </c>
      <c r="L6" s="72">
        <f>DATABASE!M497</f>
        <v>0</v>
      </c>
      <c r="M6" s="72">
        <f>DATABASE!N497</f>
        <v>0</v>
      </c>
      <c r="N6" s="107">
        <f>DATABASE!O497</f>
        <v>162.12</v>
      </c>
      <c r="O6" s="88">
        <f>DATABASE!P497</f>
        <v>0</v>
      </c>
      <c r="P6" s="88" t="str">
        <f>DATABASE!Q497</f>
        <v>AVAILABLE</v>
      </c>
      <c r="Q6" s="78">
        <f>DATABASE!R497</f>
        <v>2058200</v>
      </c>
      <c r="R6" s="78">
        <f>DATABASE!S497</f>
        <v>2144100</v>
      </c>
      <c r="S6" s="116">
        <f>DATABASE!T497</f>
        <v>2230000</v>
      </c>
      <c r="T6" s="78">
        <f>DATABASE!U497</f>
        <v>24600</v>
      </c>
      <c r="U6" s="116">
        <f>DATABASE!V497</f>
        <v>61300</v>
      </c>
      <c r="V6" s="79">
        <f>DATABASE!W497</f>
        <v>2144100</v>
      </c>
      <c r="W6" s="80">
        <f>DATABASE!X497</f>
        <v>0</v>
      </c>
      <c r="X6" s="79">
        <f>DATABASE!Y497</f>
        <v>2230000</v>
      </c>
      <c r="Y6" s="79">
        <f>DATABASE!Z497</f>
        <v>2144100</v>
      </c>
      <c r="Z6" s="79" t="e">
        <f>DATABASE!#REF!</f>
        <v>#REF!</v>
      </c>
      <c r="AA6" s="81">
        <f>DATABASE!AA497</f>
        <v>0</v>
      </c>
      <c r="AB6" s="82">
        <f>DATABASE!AB497</f>
        <v>0</v>
      </c>
    </row>
    <row r="7" spans="1:28">
      <c r="A7" s="71" t="str">
        <f>DATABASE!A498</f>
        <v>VP - TOWNHOUSES</v>
      </c>
      <c r="B7" s="89" t="str">
        <f>DATABASE!B498</f>
        <v>North</v>
      </c>
      <c r="C7" s="89" t="str">
        <f>DATABASE!C498</f>
        <v>5A</v>
      </c>
      <c r="D7" s="91" t="str">
        <f>DATABASE!E498</f>
        <v>V3</v>
      </c>
      <c r="E7" s="91">
        <f>DATABASE!F498</f>
        <v>219.42</v>
      </c>
      <c r="F7" s="91">
        <f>DATABASE!G498</f>
        <v>0</v>
      </c>
      <c r="G7" s="91" t="str">
        <f>DATABASE!H498</f>
        <v>2</v>
      </c>
      <c r="H7" s="91" t="str">
        <f>DATABASE!I498</f>
        <v>No</v>
      </c>
      <c r="I7" s="93">
        <f>DATABASE!J498</f>
        <v>0</v>
      </c>
      <c r="J7" s="93">
        <f>DATABASE!K498</f>
        <v>13.44</v>
      </c>
      <c r="K7" s="93">
        <f>DATABASE!L498</f>
        <v>44.52</v>
      </c>
      <c r="L7" s="72">
        <f>DATABASE!M498</f>
        <v>0</v>
      </c>
      <c r="M7" s="72">
        <f>DATABASE!N498</f>
        <v>0</v>
      </c>
      <c r="N7" s="107">
        <f>DATABASE!O498</f>
        <v>161.46</v>
      </c>
      <c r="O7" s="88">
        <f>DATABASE!P498</f>
        <v>0</v>
      </c>
      <c r="P7" s="88" t="str">
        <f>DATABASE!Q498</f>
        <v>AVAILABLE</v>
      </c>
      <c r="Q7" s="78">
        <f>DATABASE!R498</f>
        <v>830000</v>
      </c>
      <c r="R7" s="78">
        <f>DATABASE!S498</f>
        <v>830000</v>
      </c>
      <c r="S7" s="116">
        <f>DATABASE!T498</f>
        <v>890000</v>
      </c>
      <c r="T7" s="78">
        <f>DATABASE!U498</f>
        <v>0</v>
      </c>
      <c r="U7" s="116">
        <f>DATABASE!V498</f>
        <v>0</v>
      </c>
      <c r="V7" s="79">
        <f>DATABASE!W498</f>
        <v>890000</v>
      </c>
      <c r="W7" s="80">
        <f>DATABASE!X498</f>
        <v>0</v>
      </c>
      <c r="X7" s="79">
        <f>DATABASE!Y498</f>
        <v>0</v>
      </c>
      <c r="Y7" s="79">
        <f>DATABASE!Z498</f>
        <v>0</v>
      </c>
      <c r="Z7" s="79" t="e">
        <f>DATABASE!#REF!</f>
        <v>#REF!</v>
      </c>
      <c r="AA7" s="81">
        <f>DATABASE!AA498</f>
        <v>0</v>
      </c>
      <c r="AB7" s="82">
        <f>DATABASE!AB498</f>
        <v>47208</v>
      </c>
    </row>
    <row r="8" spans="1:28">
      <c r="A8" s="71" t="str">
        <f>DATABASE!A499</f>
        <v>VP - TOWNHOUSES</v>
      </c>
      <c r="B8" s="89" t="str">
        <f>DATABASE!B499</f>
        <v>North</v>
      </c>
      <c r="C8" s="89" t="str">
        <f>DATABASE!C499</f>
        <v>11A</v>
      </c>
      <c r="D8" s="91" t="str">
        <f>DATABASE!E499</f>
        <v>V3</v>
      </c>
      <c r="E8" s="91">
        <f>DATABASE!F499</f>
        <v>284.88</v>
      </c>
      <c r="F8" s="91">
        <f>DATABASE!G499</f>
        <v>0</v>
      </c>
      <c r="G8" s="91" t="str">
        <f>DATABASE!H499</f>
        <v>2</v>
      </c>
      <c r="H8" s="91" t="str">
        <f>DATABASE!I499</f>
        <v>Yes</v>
      </c>
      <c r="I8" s="93">
        <f>DATABASE!J499</f>
        <v>0</v>
      </c>
      <c r="J8" s="93">
        <f>DATABASE!K499</f>
        <v>78.900000000000006</v>
      </c>
      <c r="K8" s="93">
        <f>DATABASE!L499</f>
        <v>44.52</v>
      </c>
      <c r="L8" s="72">
        <f>DATABASE!M499</f>
        <v>0</v>
      </c>
      <c r="M8" s="72">
        <f>DATABASE!N499</f>
        <v>0</v>
      </c>
      <c r="N8" s="107">
        <f>DATABASE!O499</f>
        <v>161.46</v>
      </c>
      <c r="O8" s="88">
        <f>DATABASE!P499</f>
        <v>0</v>
      </c>
      <c r="P8" s="88" t="str">
        <f>DATABASE!Q499</f>
        <v>AVAILABLE</v>
      </c>
      <c r="Q8" s="78">
        <f>DATABASE!R499</f>
        <v>830000</v>
      </c>
      <c r="R8" s="78">
        <f>DATABASE!S499</f>
        <v>830000</v>
      </c>
      <c r="S8" s="116">
        <f>DATABASE!T499</f>
        <v>850000</v>
      </c>
      <c r="T8" s="78">
        <f>DATABASE!U499</f>
        <v>0</v>
      </c>
      <c r="U8" s="116">
        <f>DATABASE!V499</f>
        <v>0</v>
      </c>
      <c r="V8" s="79">
        <f>DATABASE!W499</f>
        <v>850000</v>
      </c>
      <c r="W8" s="80">
        <f>DATABASE!X499</f>
        <v>0</v>
      </c>
      <c r="X8" s="79">
        <f>DATABASE!Y499</f>
        <v>0</v>
      </c>
      <c r="Y8" s="79">
        <f>DATABASE!Z499</f>
        <v>0</v>
      </c>
      <c r="Z8" s="79" t="e">
        <f>DATABASE!#REF!</f>
        <v>#REF!</v>
      </c>
      <c r="AA8" s="81">
        <f>DATABASE!AA499</f>
        <v>0</v>
      </c>
      <c r="AB8" s="82">
        <f>DATABASE!AB499</f>
        <v>47208</v>
      </c>
    </row>
    <row r="9" spans="1:28">
      <c r="A9" s="71" t="str">
        <f>DATABASE!A500</f>
        <v>VP - TOWNHOUSES</v>
      </c>
      <c r="B9" s="89" t="str">
        <f>DATABASE!B500</f>
        <v>North</v>
      </c>
      <c r="C9" s="89" t="str">
        <f>DATABASE!C500</f>
        <v>2B</v>
      </c>
      <c r="D9" s="91" t="str">
        <f>DATABASE!E500</f>
        <v>V3</v>
      </c>
      <c r="E9" s="91">
        <f>DATABASE!F500</f>
        <v>318.91000000000003</v>
      </c>
      <c r="F9" s="91">
        <f>DATABASE!G500</f>
        <v>0</v>
      </c>
      <c r="G9" s="91" t="str">
        <f>DATABASE!H500</f>
        <v>2</v>
      </c>
      <c r="H9" s="91" t="str">
        <f>DATABASE!I500</f>
        <v>Yes</v>
      </c>
      <c r="I9" s="93">
        <f>DATABASE!J500</f>
        <v>0</v>
      </c>
      <c r="J9" s="93">
        <f>DATABASE!K500</f>
        <v>112.93</v>
      </c>
      <c r="K9" s="93">
        <f>DATABASE!L500</f>
        <v>44.52</v>
      </c>
      <c r="L9" s="72">
        <f>DATABASE!M500</f>
        <v>0</v>
      </c>
      <c r="M9" s="72">
        <f>DATABASE!N500</f>
        <v>0</v>
      </c>
      <c r="N9" s="107">
        <f>DATABASE!O500</f>
        <v>161.46</v>
      </c>
      <c r="O9" s="88">
        <f>DATABASE!P500</f>
        <v>0</v>
      </c>
      <c r="P9" s="88" t="str">
        <f>DATABASE!Q500</f>
        <v>AVAILABLE</v>
      </c>
      <c r="Q9" s="78">
        <f>DATABASE!R500</f>
        <v>830000</v>
      </c>
      <c r="R9" s="78">
        <f>DATABASE!S500</f>
        <v>830000</v>
      </c>
      <c r="S9" s="116">
        <f>DATABASE!T500</f>
        <v>850000</v>
      </c>
      <c r="T9" s="78">
        <f>DATABASE!U500</f>
        <v>0</v>
      </c>
      <c r="U9" s="116">
        <f>DATABASE!V500</f>
        <v>0</v>
      </c>
      <c r="V9" s="79">
        <f>DATABASE!W500</f>
        <v>850000</v>
      </c>
      <c r="W9" s="80">
        <f>DATABASE!X500</f>
        <v>0</v>
      </c>
      <c r="X9" s="79">
        <f>DATABASE!Y500</f>
        <v>0</v>
      </c>
      <c r="Y9" s="79">
        <f>DATABASE!Z500</f>
        <v>0</v>
      </c>
      <c r="Z9" s="79" t="e">
        <f>DATABASE!#REF!</f>
        <v>#REF!</v>
      </c>
      <c r="AA9" s="81">
        <f>DATABASE!AA500</f>
        <v>0</v>
      </c>
      <c r="AB9" s="82">
        <f>DATABASE!AB500</f>
        <v>47208</v>
      </c>
    </row>
    <row r="10" spans="1:28">
      <c r="A10" s="71" t="str">
        <f>DATABASE!A501</f>
        <v>VP - TOWNHOUSES</v>
      </c>
      <c r="B10" s="89" t="str">
        <f>DATABASE!B501</f>
        <v>North</v>
      </c>
      <c r="C10" s="89" t="str">
        <f>DATABASE!C501</f>
        <v>6A</v>
      </c>
      <c r="D10" s="91" t="str">
        <f>DATABASE!E501</f>
        <v>V3</v>
      </c>
      <c r="E10" s="91">
        <f>DATABASE!F501</f>
        <v>233.12</v>
      </c>
      <c r="F10" s="91">
        <f>DATABASE!G501</f>
        <v>0</v>
      </c>
      <c r="G10" s="91" t="str">
        <f>DATABASE!H501</f>
        <v>2</v>
      </c>
      <c r="H10" s="91" t="str">
        <f>DATABASE!I501</f>
        <v>No</v>
      </c>
      <c r="I10" s="93">
        <f>DATABASE!J501</f>
        <v>0</v>
      </c>
      <c r="J10" s="93">
        <f>DATABASE!K501</f>
        <v>27.14</v>
      </c>
      <c r="K10" s="93">
        <f>DATABASE!L501</f>
        <v>44.52</v>
      </c>
      <c r="L10" s="72">
        <f>DATABASE!M501</f>
        <v>0</v>
      </c>
      <c r="M10" s="72">
        <f>DATABASE!N501</f>
        <v>0</v>
      </c>
      <c r="N10" s="107">
        <f>DATABASE!O501</f>
        <v>161.46</v>
      </c>
      <c r="O10" s="88">
        <f>DATABASE!P501</f>
        <v>0</v>
      </c>
      <c r="P10" s="88" t="str">
        <f>DATABASE!Q501</f>
        <v>UPON  REQUEST</v>
      </c>
      <c r="Q10" s="78">
        <f>DATABASE!R501</f>
        <v>830000</v>
      </c>
      <c r="R10" s="78">
        <f>DATABASE!S501</f>
        <v>830000</v>
      </c>
      <c r="S10" s="116">
        <f>DATABASE!T501</f>
        <v>850000</v>
      </c>
      <c r="T10" s="78">
        <f>DATABASE!U501</f>
        <v>0</v>
      </c>
      <c r="U10" s="116">
        <f>DATABASE!V501</f>
        <v>0</v>
      </c>
      <c r="V10" s="79">
        <f>DATABASE!W501</f>
        <v>850000</v>
      </c>
      <c r="W10" s="80">
        <f>DATABASE!X501</f>
        <v>0</v>
      </c>
      <c r="X10" s="79">
        <f>DATABASE!Y501</f>
        <v>0</v>
      </c>
      <c r="Y10" s="79">
        <f>DATABASE!Z501</f>
        <v>0</v>
      </c>
      <c r="Z10" s="79" t="e">
        <f>DATABASE!#REF!</f>
        <v>#REF!</v>
      </c>
      <c r="AA10" s="81">
        <f>DATABASE!AA501</f>
        <v>0</v>
      </c>
      <c r="AB10" s="82">
        <f>DATABASE!AB501</f>
        <v>47208</v>
      </c>
    </row>
    <row r="11" spans="1:28">
      <c r="A11" s="71" t="str">
        <f>DATABASE!A502</f>
        <v>TERRACOTA</v>
      </c>
      <c r="B11" s="89" t="str">
        <f>DATABASE!B502</f>
        <v>Vilamoura</v>
      </c>
      <c r="C11" s="89" t="str">
        <f>DATABASE!C502</f>
        <v>AM</v>
      </c>
      <c r="D11" s="91" t="str">
        <f>DATABASE!E502</f>
        <v>T2</v>
      </c>
      <c r="E11" s="91">
        <f>DATABASE!F502</f>
        <v>104.7</v>
      </c>
      <c r="F11" s="91">
        <f>DATABASE!G502</f>
        <v>0</v>
      </c>
      <c r="G11" s="91" t="str">
        <f>DATABASE!H502</f>
        <v/>
      </c>
      <c r="H11" s="91" t="str">
        <f>DATABASE!I502</f>
        <v/>
      </c>
      <c r="I11" s="93">
        <f>DATABASE!J502</f>
        <v>0</v>
      </c>
      <c r="J11" s="93">
        <f>DATABASE!K502</f>
        <v>0</v>
      </c>
      <c r="K11" s="93">
        <f>DATABASE!L502</f>
        <v>0</v>
      </c>
      <c r="L11" s="72">
        <f>DATABASE!M502</f>
        <v>0</v>
      </c>
      <c r="M11" s="72">
        <f>DATABASE!N502</f>
        <v>0</v>
      </c>
      <c r="N11" s="107">
        <f>DATABASE!O502</f>
        <v>104.7</v>
      </c>
      <c r="O11" s="88">
        <f>DATABASE!P502</f>
        <v>0</v>
      </c>
      <c r="P11" s="88" t="str">
        <f>DATABASE!Q502</f>
        <v xml:space="preserve">PSPA </v>
      </c>
      <c r="Q11" s="78">
        <f>DATABASE!R502</f>
        <v>550000</v>
      </c>
      <c r="R11" s="78">
        <f>DATABASE!S502</f>
        <v>550000</v>
      </c>
      <c r="S11" s="116">
        <f>DATABASE!T502</f>
        <v>550000</v>
      </c>
      <c r="T11" s="78">
        <f>DATABASE!U502</f>
        <v>0</v>
      </c>
      <c r="U11" s="116">
        <f>DATABASE!V502</f>
        <v>0</v>
      </c>
      <c r="V11" s="79">
        <f>DATABASE!W502</f>
        <v>550000</v>
      </c>
      <c r="W11" s="80">
        <f>DATABASE!X502</f>
        <v>0</v>
      </c>
      <c r="X11" s="79">
        <f>DATABASE!Y502</f>
        <v>550000</v>
      </c>
      <c r="Y11" s="79">
        <f>DATABASE!Z502</f>
        <v>550000</v>
      </c>
      <c r="Z11" s="79" t="e">
        <f>DATABASE!#REF!</f>
        <v>#REF!</v>
      </c>
      <c r="AA11" s="81" t="e">
        <f>DATABASE!#REF!</f>
        <v>#REF!</v>
      </c>
      <c r="AB11" s="82">
        <f>DATABASE!AB502</f>
        <v>0</v>
      </c>
    </row>
    <row r="12" spans="1:28">
      <c r="A12" s="71" t="str">
        <f>DATABASE!A503</f>
        <v>THE NINE</v>
      </c>
      <c r="B12" s="89" t="str">
        <f>DATABASE!B503</f>
        <v>Vilamoura</v>
      </c>
      <c r="C12" s="89" t="str">
        <f>DATABASE!C503</f>
        <v>AM</v>
      </c>
      <c r="D12" s="91" t="str">
        <f>DATABASE!E503</f>
        <v>T2</v>
      </c>
      <c r="E12" s="91">
        <f>DATABASE!F503</f>
        <v>119</v>
      </c>
      <c r="F12" s="91">
        <f>DATABASE!G503</f>
        <v>0</v>
      </c>
      <c r="G12" s="91" t="str">
        <f>DATABASE!H503</f>
        <v/>
      </c>
      <c r="H12" s="91" t="str">
        <f>DATABASE!I503</f>
        <v/>
      </c>
      <c r="I12" s="93">
        <f>DATABASE!J503</f>
        <v>0</v>
      </c>
      <c r="J12" s="93">
        <f>DATABASE!K503</f>
        <v>0</v>
      </c>
      <c r="K12" s="93">
        <f>DATABASE!L503</f>
        <v>0</v>
      </c>
      <c r="L12" s="72">
        <f>DATABASE!M503</f>
        <v>0</v>
      </c>
      <c r="M12" s="72">
        <f>DATABASE!N503</f>
        <v>0</v>
      </c>
      <c r="N12" s="107">
        <f>DATABASE!O503</f>
        <v>119</v>
      </c>
      <c r="O12" s="88">
        <f>DATABASE!P503</f>
        <v>0</v>
      </c>
      <c r="P12" s="88" t="str">
        <f>DATABASE!Q503</f>
        <v xml:space="preserve">DEED </v>
      </c>
      <c r="Q12" s="78">
        <f>DATABASE!R503</f>
        <v>590000</v>
      </c>
      <c r="R12" s="78">
        <f>DATABASE!S503</f>
        <v>590000</v>
      </c>
      <c r="S12" s="116">
        <f>DATABASE!T503</f>
        <v>630000</v>
      </c>
      <c r="T12" s="78">
        <f>DATABASE!U503</f>
        <v>0</v>
      </c>
      <c r="U12" s="116">
        <f>DATABASE!V503</f>
        <v>0</v>
      </c>
      <c r="V12" s="79">
        <f>DATABASE!W503</f>
        <v>630000</v>
      </c>
      <c r="W12" s="80">
        <f>DATABASE!X503</f>
        <v>0</v>
      </c>
      <c r="X12" s="79">
        <f>DATABASE!Y503</f>
        <v>630000</v>
      </c>
      <c r="Y12" s="79">
        <f>DATABASE!Z503</f>
        <v>630000</v>
      </c>
      <c r="Z12" s="79" t="e">
        <f>DATABASE!#REF!</f>
        <v>#REF!</v>
      </c>
      <c r="AA12" s="81">
        <f>DATABASE!AA503</f>
        <v>45250</v>
      </c>
      <c r="AB12" s="82">
        <f>DATABASE!AB503</f>
        <v>0</v>
      </c>
    </row>
    <row r="13" spans="1:28">
      <c r="A13" s="71" t="str">
        <f>DATABASE!A504</f>
        <v>Aroeira - HOTEL APARTMENTS</v>
      </c>
      <c r="B13" s="89" t="str">
        <f>DATABASE!B504</f>
        <v>Center</v>
      </c>
      <c r="C13" s="89" t="str">
        <f>DATABASE!C504</f>
        <v>135A</v>
      </c>
      <c r="D13" s="91" t="str">
        <f>DATABASE!E504</f>
        <v>1-BR</v>
      </c>
      <c r="E13" s="91">
        <f>DATABASE!F504</f>
        <v>56.5</v>
      </c>
      <c r="F13" s="91">
        <f>DATABASE!G504</f>
        <v>0</v>
      </c>
      <c r="G13" s="91" t="str">
        <f>DATABASE!H504</f>
        <v>1</v>
      </c>
      <c r="H13" s="91" t="str">
        <f>DATABASE!I504</f>
        <v/>
      </c>
      <c r="I13" s="93">
        <f>DATABASE!J504</f>
        <v>5</v>
      </c>
      <c r="J13" s="93">
        <f>DATABASE!K504</f>
        <v>0</v>
      </c>
      <c r="K13" s="93">
        <f>DATABASE!L504</f>
        <v>0</v>
      </c>
      <c r="L13" s="72">
        <f>DATABASE!M504</f>
        <v>0</v>
      </c>
      <c r="M13" s="72">
        <f>DATABASE!N504</f>
        <v>0</v>
      </c>
      <c r="N13" s="107">
        <f>DATABASE!O504</f>
        <v>51.5</v>
      </c>
      <c r="O13" s="88">
        <f>DATABASE!P504</f>
        <v>0</v>
      </c>
      <c r="P13" s="88" t="str">
        <f>DATABASE!Q504</f>
        <v xml:space="preserve">PSPA </v>
      </c>
      <c r="Q13" s="78">
        <f>DATABASE!R504</f>
        <v>2665000</v>
      </c>
      <c r="R13" s="78">
        <f>DATABASE!S504</f>
        <v>2700000</v>
      </c>
      <c r="S13" s="116">
        <f>DATABASE!T504</f>
        <v>370000</v>
      </c>
      <c r="T13" s="78">
        <f>DATABASE!U504</f>
        <v>0</v>
      </c>
      <c r="U13" s="116">
        <f>DATABASE!V504</f>
        <v>35000</v>
      </c>
      <c r="V13" s="79">
        <f>DATABASE!W504</f>
        <v>335000</v>
      </c>
      <c r="W13" s="80">
        <f>DATABASE!X504</f>
        <v>0</v>
      </c>
      <c r="X13" s="79">
        <f>DATABASE!Y504</f>
        <v>370000</v>
      </c>
      <c r="Y13" s="79">
        <f>DATABASE!Z504</f>
        <v>335000</v>
      </c>
      <c r="Z13" s="79" t="e">
        <f>DATABASE!#REF!</f>
        <v>#REF!</v>
      </c>
      <c r="AA13" s="81" t="e">
        <f>DATABASE!#REF!</f>
        <v>#REF!</v>
      </c>
      <c r="AB13" s="82">
        <f>DATABASE!AB504</f>
        <v>47118</v>
      </c>
    </row>
    <row r="14" spans="1:28">
      <c r="A14" s="71" t="str">
        <f>DATABASE!A505</f>
        <v>VM PARQUE</v>
      </c>
      <c r="B14" s="89" t="str">
        <f>DATABASE!B505</f>
        <v>Vilamoura</v>
      </c>
      <c r="C14" s="89" t="str">
        <f>DATABASE!C505</f>
        <v>AM</v>
      </c>
      <c r="D14" s="91" t="str">
        <f>DATABASE!E505</f>
        <v>V3</v>
      </c>
      <c r="E14" s="91">
        <f>DATABASE!F505</f>
        <v>189.1061</v>
      </c>
      <c r="F14" s="91">
        <f>DATABASE!G505</f>
        <v>0</v>
      </c>
      <c r="G14" s="91" t="str">
        <f>DATABASE!H505</f>
        <v/>
      </c>
      <c r="H14" s="91" t="str">
        <f>DATABASE!I505</f>
        <v/>
      </c>
      <c r="I14" s="93">
        <f>DATABASE!J505</f>
        <v>0</v>
      </c>
      <c r="J14" s="93">
        <f>DATABASE!K505</f>
        <v>0</v>
      </c>
      <c r="K14" s="93">
        <f>DATABASE!L505</f>
        <v>0</v>
      </c>
      <c r="L14" s="72">
        <f>DATABASE!M505</f>
        <v>0</v>
      </c>
      <c r="M14" s="72">
        <f>DATABASE!N505</f>
        <v>0</v>
      </c>
      <c r="N14" s="107">
        <f>DATABASE!O505</f>
        <v>189.1061</v>
      </c>
      <c r="O14" s="88">
        <f>DATABASE!P505</f>
        <v>0</v>
      </c>
      <c r="P14" s="88" t="str">
        <f>DATABASE!Q505</f>
        <v xml:space="preserve">DEED </v>
      </c>
      <c r="Q14" s="78">
        <f>DATABASE!R505</f>
        <v>1099107</v>
      </c>
      <c r="R14" s="78">
        <f>DATABASE!S505</f>
        <v>1099107</v>
      </c>
      <c r="S14" s="116">
        <f>DATABASE!T505</f>
        <v>1235000</v>
      </c>
      <c r="T14" s="78">
        <f>DATABASE!U505</f>
        <v>0</v>
      </c>
      <c r="U14" s="116">
        <f>DATABASE!V505</f>
        <v>0</v>
      </c>
      <c r="V14" s="79">
        <f>DATABASE!W505</f>
        <v>1235000</v>
      </c>
      <c r="W14" s="80">
        <f>DATABASE!X505</f>
        <v>0</v>
      </c>
      <c r="X14" s="79">
        <f>DATABASE!Y505</f>
        <v>1235000</v>
      </c>
      <c r="Y14" s="79">
        <f>DATABASE!Z505</f>
        <v>1235000</v>
      </c>
      <c r="Z14" s="79" t="e">
        <f>DATABASE!#REF!</f>
        <v>#REF!</v>
      </c>
      <c r="AA14" s="81">
        <f>DATABASE!AA505</f>
        <v>44841</v>
      </c>
      <c r="AB14" s="82">
        <f>DATABASE!AB505</f>
        <v>0</v>
      </c>
    </row>
    <row r="15" spans="1:28">
      <c r="A15" s="71" t="str">
        <f>DATABASE!A506</f>
        <v>ZESTIA</v>
      </c>
      <c r="B15" s="89" t="str">
        <f>DATABASE!B506</f>
        <v>Vilamoura</v>
      </c>
      <c r="C15" s="89" t="str">
        <f>DATABASE!C506</f>
        <v>AM</v>
      </c>
      <c r="D15" s="91" t="str">
        <f>DATABASE!E506</f>
        <v>T2 LO</v>
      </c>
      <c r="E15" s="91">
        <f>DATABASE!F506</f>
        <v>116.89</v>
      </c>
      <c r="F15" s="91">
        <f>DATABASE!G506</f>
        <v>0</v>
      </c>
      <c r="G15" s="91" t="str">
        <f>DATABASE!H506</f>
        <v/>
      </c>
      <c r="H15" s="91" t="str">
        <f>DATABASE!I506</f>
        <v/>
      </c>
      <c r="I15" s="93">
        <f>DATABASE!J506</f>
        <v>28.58</v>
      </c>
      <c r="J15" s="93">
        <f>DATABASE!K506</f>
        <v>0</v>
      </c>
      <c r="K15" s="93">
        <f>DATABASE!L506</f>
        <v>0</v>
      </c>
      <c r="L15" s="72">
        <f>DATABASE!M506</f>
        <v>0</v>
      </c>
      <c r="M15" s="72">
        <f>DATABASE!N506</f>
        <v>0</v>
      </c>
      <c r="N15" s="107">
        <f>DATABASE!O506</f>
        <v>88.31</v>
      </c>
      <c r="O15" s="88">
        <f>DATABASE!P506</f>
        <v>0</v>
      </c>
      <c r="P15" s="88" t="str">
        <f>DATABASE!Q506</f>
        <v>AVAILABLE</v>
      </c>
      <c r="Q15" s="78">
        <f>DATABASE!R506</f>
        <v>704256.1128</v>
      </c>
      <c r="R15" s="78">
        <f>DATABASE!S506</f>
        <v>768856.1128</v>
      </c>
      <c r="S15" s="116">
        <f>DATABASE!T506</f>
        <v>850000</v>
      </c>
      <c r="T15" s="78">
        <f>DATABASE!U506</f>
        <v>24600</v>
      </c>
      <c r="U15" s="116">
        <f>DATABASE!V506</f>
        <v>40000</v>
      </c>
      <c r="V15" s="79">
        <f>DATABASE!W506</f>
        <v>785400</v>
      </c>
      <c r="W15" s="80">
        <f>DATABASE!X506</f>
        <v>0</v>
      </c>
      <c r="X15" s="79">
        <f>DATABASE!Y506</f>
        <v>850000</v>
      </c>
      <c r="Y15" s="79">
        <f>DATABASE!Z506</f>
        <v>785400</v>
      </c>
      <c r="Z15" s="79" t="e">
        <f>DATABASE!#REF!</f>
        <v>#REF!</v>
      </c>
      <c r="AA15" s="81">
        <f>DATABASE!AA506</f>
        <v>0</v>
      </c>
      <c r="AB15" s="82">
        <f>DATABASE!AB506</f>
        <v>0</v>
      </c>
    </row>
    <row r="16" spans="1:28">
      <c r="A16" s="71" t="str">
        <f>DATABASE!A507</f>
        <v>BOTÂNICA</v>
      </c>
      <c r="B16" s="89" t="str">
        <f>DATABASE!B507</f>
        <v>Vilamoura</v>
      </c>
      <c r="C16" s="89" t="str">
        <f>DATABASE!C507</f>
        <v>AN</v>
      </c>
      <c r="D16" s="91" t="str">
        <f>DATABASE!E507</f>
        <v>T4</v>
      </c>
      <c r="E16" s="91">
        <f>DATABASE!F507</f>
        <v>394.05</v>
      </c>
      <c r="F16" s="91">
        <f>DATABASE!G507</f>
        <v>0</v>
      </c>
      <c r="G16" s="91" t="str">
        <f>DATABASE!H507</f>
        <v>2</v>
      </c>
      <c r="H16" s="91" t="str">
        <f>DATABASE!I507</f>
        <v/>
      </c>
      <c r="I16" s="93">
        <f>DATABASE!J507</f>
        <v>55.75</v>
      </c>
      <c r="J16" s="93">
        <f>DATABASE!K507</f>
        <v>0</v>
      </c>
      <c r="K16" s="93">
        <f>DATABASE!L507</f>
        <v>0</v>
      </c>
      <c r="L16" s="72">
        <f>DATABASE!M507</f>
        <v>140.94</v>
      </c>
      <c r="M16" s="72">
        <f>DATABASE!N507</f>
        <v>0</v>
      </c>
      <c r="N16" s="107">
        <f>DATABASE!O507</f>
        <v>197.36</v>
      </c>
      <c r="O16" s="88">
        <f>DATABASE!P507</f>
        <v>0</v>
      </c>
      <c r="P16" s="88" t="str">
        <f>DATABASE!Q507</f>
        <v>AVAILABLE</v>
      </c>
      <c r="Q16" s="78">
        <f>DATABASE!R507</f>
        <v>2355679.41</v>
      </c>
      <c r="R16" s="78">
        <f>DATABASE!S507</f>
        <v>2355679.41</v>
      </c>
      <c r="S16" s="116">
        <f>DATABASE!T507</f>
        <v>2375000</v>
      </c>
      <c r="T16" s="78">
        <f>DATABASE!U507</f>
        <v>0</v>
      </c>
      <c r="U16" s="116">
        <f>DATABASE!V507</f>
        <v>0</v>
      </c>
      <c r="V16" s="79">
        <f>DATABASE!W507</f>
        <v>2375000</v>
      </c>
      <c r="W16" s="80">
        <f>DATABASE!X507</f>
        <v>0</v>
      </c>
      <c r="X16" s="79">
        <f>DATABASE!Y507</f>
        <v>2360000</v>
      </c>
      <c r="Y16" s="79">
        <f>DATABASE!Z507</f>
        <v>2360000</v>
      </c>
      <c r="Z16" s="79" t="e">
        <f>DATABASE!#REF!</f>
        <v>#REF!</v>
      </c>
      <c r="AA16" s="81">
        <f>DATABASE!AA507</f>
        <v>0</v>
      </c>
      <c r="AB16" s="82">
        <f>DATABASE!AB507</f>
        <v>0</v>
      </c>
    </row>
    <row r="17" spans="1:28">
      <c r="A17" s="71" t="str">
        <f>DATABASE!A508</f>
        <v>NOBILUS</v>
      </c>
      <c r="B17" s="89" t="str">
        <f>DATABASE!B508</f>
        <v>Vilamoura</v>
      </c>
      <c r="C17" s="89" t="str">
        <f>DATABASE!C508</f>
        <v>AN</v>
      </c>
      <c r="D17" s="91" t="str">
        <f>DATABASE!E508</f>
        <v>T2</v>
      </c>
      <c r="E17" s="91">
        <f>DATABASE!F508</f>
        <v>109.31</v>
      </c>
      <c r="F17" s="91">
        <f>DATABASE!G508</f>
        <v>0</v>
      </c>
      <c r="G17" s="91" t="str">
        <f>DATABASE!H508</f>
        <v/>
      </c>
      <c r="H17" s="91" t="str">
        <f>DATABASE!I508</f>
        <v/>
      </c>
      <c r="I17" s="93">
        <f>DATABASE!J508</f>
        <v>7.67</v>
      </c>
      <c r="J17" s="93">
        <f>DATABASE!K508</f>
        <v>0</v>
      </c>
      <c r="K17" s="93">
        <f>DATABASE!L508</f>
        <v>0</v>
      </c>
      <c r="L17" s="72">
        <f>DATABASE!M508</f>
        <v>0</v>
      </c>
      <c r="M17" s="72">
        <f>DATABASE!N508</f>
        <v>0</v>
      </c>
      <c r="N17" s="107">
        <f>DATABASE!O508</f>
        <v>109.31</v>
      </c>
      <c r="O17" s="88">
        <f>DATABASE!P508</f>
        <v>0</v>
      </c>
      <c r="P17" s="88" t="str">
        <f>DATABASE!Q508</f>
        <v>AVAILABLE</v>
      </c>
      <c r="Q17" s="78">
        <f>DATABASE!R508</f>
        <v>720000</v>
      </c>
      <c r="R17" s="78">
        <f>DATABASE!S508</f>
        <v>720000</v>
      </c>
      <c r="S17" s="116">
        <f>DATABASE!T508</f>
        <v>720000</v>
      </c>
      <c r="T17" s="78">
        <f>DATABASE!U508</f>
        <v>0</v>
      </c>
      <c r="U17" s="116">
        <f>DATABASE!V508</f>
        <v>0</v>
      </c>
      <c r="V17" s="79">
        <f>DATABASE!W508</f>
        <v>720000</v>
      </c>
      <c r="W17" s="80">
        <f>DATABASE!X508</f>
        <v>0</v>
      </c>
      <c r="X17" s="79">
        <f>DATABASE!Y508</f>
        <v>720000</v>
      </c>
      <c r="Y17" s="79">
        <f>DATABASE!Z508</f>
        <v>720000</v>
      </c>
      <c r="Z17" s="79" t="e">
        <f>DATABASE!#REF!</f>
        <v>#REF!</v>
      </c>
      <c r="AA17" s="81">
        <f>DATABASE!AA508</f>
        <v>0</v>
      </c>
      <c r="AB17" s="82">
        <f>DATABASE!AB508</f>
        <v>0</v>
      </c>
    </row>
    <row r="18" spans="1:28">
      <c r="A18" s="71" t="str">
        <f>DATABASE!A509</f>
        <v>SPRINGS</v>
      </c>
      <c r="B18" s="89" t="str">
        <f>DATABASE!B509</f>
        <v>Vilamoura</v>
      </c>
      <c r="C18" s="89" t="str">
        <f>DATABASE!C509</f>
        <v>AN</v>
      </c>
      <c r="D18" s="91" t="str">
        <f>DATABASE!E509</f>
        <v>V3 Duplex</v>
      </c>
      <c r="E18" s="91">
        <f>DATABASE!F509</f>
        <v>416.4</v>
      </c>
      <c r="F18" s="91">
        <f>DATABASE!G509</f>
        <v>220.48</v>
      </c>
      <c r="G18" s="91" t="str">
        <f>DATABASE!H509</f>
        <v/>
      </c>
      <c r="H18" s="91" t="str">
        <f>DATABASE!I509</f>
        <v/>
      </c>
      <c r="I18" s="93">
        <f>DATABASE!J509</f>
        <v>32.840000000000003</v>
      </c>
      <c r="J18" s="93">
        <f>DATABASE!K509</f>
        <v>0</v>
      </c>
      <c r="K18" s="93">
        <f>DATABASE!L509</f>
        <v>0</v>
      </c>
      <c r="L18" s="72">
        <f>DATABASE!M509</f>
        <v>0</v>
      </c>
      <c r="M18" s="72">
        <f>DATABASE!N509</f>
        <v>0</v>
      </c>
      <c r="N18" s="107">
        <f>DATABASE!O509</f>
        <v>163.08000000000001</v>
      </c>
      <c r="O18" s="88">
        <f>DATABASE!P509</f>
        <v>0</v>
      </c>
      <c r="P18" s="88" t="str">
        <f>DATABASE!Q509</f>
        <v>AVAILABLE</v>
      </c>
      <c r="Q18" s="78">
        <f>DATABASE!R509</f>
        <v>1958200</v>
      </c>
      <c r="R18" s="78">
        <f>DATABASE!S509</f>
        <v>2044100</v>
      </c>
      <c r="S18" s="116">
        <f>DATABASE!T509</f>
        <v>2130000</v>
      </c>
      <c r="T18" s="78">
        <f>DATABASE!U509</f>
        <v>24600</v>
      </c>
      <c r="U18" s="116">
        <f>DATABASE!V509</f>
        <v>61300</v>
      </c>
      <c r="V18" s="79">
        <f>DATABASE!W509</f>
        <v>2044100</v>
      </c>
      <c r="W18" s="80">
        <f>DATABASE!X509</f>
        <v>0</v>
      </c>
      <c r="X18" s="79">
        <f>DATABASE!Y509</f>
        <v>2130000</v>
      </c>
      <c r="Y18" s="79">
        <f>DATABASE!Z509</f>
        <v>2044100</v>
      </c>
      <c r="Z18" s="79" t="e">
        <f>DATABASE!#REF!</f>
        <v>#REF!</v>
      </c>
      <c r="AA18" s="81">
        <f>DATABASE!AA509</f>
        <v>0</v>
      </c>
      <c r="AB18" s="82">
        <f>DATABASE!AB509</f>
        <v>0</v>
      </c>
    </row>
    <row r="19" spans="1:28">
      <c r="A19" s="71" t="str">
        <f>DATABASE!A510</f>
        <v>TERRACOTA</v>
      </c>
      <c r="B19" s="89" t="str">
        <f>DATABASE!B510</f>
        <v>Vilamoura</v>
      </c>
      <c r="C19" s="89" t="str">
        <f>DATABASE!C510</f>
        <v>AN</v>
      </c>
      <c r="D19" s="91" t="str">
        <f>DATABASE!E510</f>
        <v>T2</v>
      </c>
      <c r="E19" s="91">
        <f>DATABASE!F510</f>
        <v>104.7</v>
      </c>
      <c r="F19" s="91">
        <f>DATABASE!G510</f>
        <v>0</v>
      </c>
      <c r="G19" s="91" t="str">
        <f>DATABASE!H510</f>
        <v/>
      </c>
      <c r="H19" s="91" t="str">
        <f>DATABASE!I510</f>
        <v/>
      </c>
      <c r="I19" s="93">
        <f>DATABASE!J510</f>
        <v>0</v>
      </c>
      <c r="J19" s="93">
        <f>DATABASE!K510</f>
        <v>0</v>
      </c>
      <c r="K19" s="93">
        <f>DATABASE!L510</f>
        <v>0</v>
      </c>
      <c r="L19" s="72">
        <f>DATABASE!M510</f>
        <v>0</v>
      </c>
      <c r="M19" s="72">
        <f>DATABASE!N510</f>
        <v>0</v>
      </c>
      <c r="N19" s="107">
        <f>DATABASE!O510</f>
        <v>104.7</v>
      </c>
      <c r="O19" s="88">
        <f>DATABASE!P510</f>
        <v>0</v>
      </c>
      <c r="P19" s="88" t="str">
        <f>DATABASE!Q510</f>
        <v xml:space="preserve">PSPA </v>
      </c>
      <c r="Q19" s="78">
        <f>DATABASE!R510</f>
        <v>550000</v>
      </c>
      <c r="R19" s="78">
        <f>DATABASE!S510</f>
        <v>550000</v>
      </c>
      <c r="S19" s="116">
        <f>DATABASE!T510</f>
        <v>550000</v>
      </c>
      <c r="T19" s="78">
        <f>DATABASE!U510</f>
        <v>0</v>
      </c>
      <c r="U19" s="116">
        <f>DATABASE!V510</f>
        <v>0</v>
      </c>
      <c r="V19" s="79">
        <f>DATABASE!W510</f>
        <v>550000</v>
      </c>
      <c r="W19" s="80">
        <f>DATABASE!X510</f>
        <v>0.01</v>
      </c>
      <c r="X19" s="79">
        <f>DATABASE!Y510</f>
        <v>544500</v>
      </c>
      <c r="Y19" s="79">
        <f>DATABASE!Z510</f>
        <v>544500</v>
      </c>
      <c r="Z19" s="79" t="e">
        <f>DATABASE!#REF!</f>
        <v>#REF!</v>
      </c>
      <c r="AA19" s="81" t="e">
        <f>DATABASE!#REF!</f>
        <v>#REF!</v>
      </c>
      <c r="AB19" s="82">
        <f>DATABASE!AB510</f>
        <v>0</v>
      </c>
    </row>
    <row r="20" spans="1:28">
      <c r="A20" s="71" t="str">
        <f>DATABASE!A511</f>
        <v>VP - TOWNHOUSES</v>
      </c>
      <c r="B20" s="89" t="str">
        <f>DATABASE!B511</f>
        <v>North</v>
      </c>
      <c r="C20" s="89" t="str">
        <f>DATABASE!C511</f>
        <v>10A</v>
      </c>
      <c r="D20" s="91" t="str">
        <f>DATABASE!E511</f>
        <v>V3</v>
      </c>
      <c r="E20" s="91">
        <f>DATABASE!F511</f>
        <v>274.31</v>
      </c>
      <c r="F20" s="91">
        <f>DATABASE!G511</f>
        <v>0</v>
      </c>
      <c r="G20" s="91" t="str">
        <f>DATABASE!H511</f>
        <v>2</v>
      </c>
      <c r="H20" s="91" t="str">
        <f>DATABASE!I511</f>
        <v>Yes</v>
      </c>
      <c r="I20" s="93">
        <f>DATABASE!J511</f>
        <v>0</v>
      </c>
      <c r="J20" s="93">
        <f>DATABASE!K511</f>
        <v>68.33</v>
      </c>
      <c r="K20" s="93">
        <f>DATABASE!L511</f>
        <v>44.52</v>
      </c>
      <c r="L20" s="72">
        <f>DATABASE!M511</f>
        <v>0</v>
      </c>
      <c r="M20" s="72">
        <f>DATABASE!N511</f>
        <v>0</v>
      </c>
      <c r="N20" s="107">
        <f>DATABASE!O511</f>
        <v>161.46</v>
      </c>
      <c r="O20" s="88">
        <f>DATABASE!P511</f>
        <v>0</v>
      </c>
      <c r="P20" s="88" t="str">
        <f>DATABASE!Q511</f>
        <v>RESERVED</v>
      </c>
      <c r="Q20" s="78">
        <f>DATABASE!R511</f>
        <v>840000</v>
      </c>
      <c r="R20" s="78">
        <f>DATABASE!S511</f>
        <v>840000</v>
      </c>
      <c r="S20" s="116">
        <f>DATABASE!T511</f>
        <v>860000</v>
      </c>
      <c r="T20" s="78">
        <f>DATABASE!U511</f>
        <v>0</v>
      </c>
      <c r="U20" s="116">
        <f>DATABASE!V511</f>
        <v>0</v>
      </c>
      <c r="V20" s="79">
        <f>DATABASE!W511</f>
        <v>860000</v>
      </c>
      <c r="W20" s="80">
        <f>DATABASE!X511</f>
        <v>0</v>
      </c>
      <c r="X20" s="79">
        <f>DATABASE!Y511</f>
        <v>800000</v>
      </c>
      <c r="Y20" s="79">
        <f>DATABASE!Z511</f>
        <v>800000</v>
      </c>
      <c r="Z20" s="79" t="e">
        <f>DATABASE!#REF!</f>
        <v>#REF!</v>
      </c>
      <c r="AA20" s="81">
        <f>DATABASE!AA511</f>
        <v>46171</v>
      </c>
      <c r="AB20" s="82">
        <f>DATABASE!AB511</f>
        <v>47208</v>
      </c>
    </row>
    <row r="21" spans="1:28">
      <c r="A21" s="71" t="str">
        <f>DATABASE!A512</f>
        <v>VP - TOWNHOUSES</v>
      </c>
      <c r="B21" s="89" t="str">
        <f>DATABASE!B512</f>
        <v>North</v>
      </c>
      <c r="C21" s="89" t="str">
        <f>DATABASE!C512</f>
        <v>2A</v>
      </c>
      <c r="D21" s="91" t="str">
        <f>DATABASE!E512</f>
        <v>V3</v>
      </c>
      <c r="E21" s="91">
        <f>DATABASE!F512</f>
        <v>205.98</v>
      </c>
      <c r="F21" s="91">
        <f>DATABASE!G512</f>
        <v>0</v>
      </c>
      <c r="G21" s="91" t="str">
        <f>DATABASE!H512</f>
        <v>2</v>
      </c>
      <c r="H21" s="91" t="str">
        <f>DATABASE!I512</f>
        <v>No</v>
      </c>
      <c r="I21" s="93">
        <f>DATABASE!J512</f>
        <v>0</v>
      </c>
      <c r="J21" s="93">
        <f>DATABASE!K512</f>
        <v>0</v>
      </c>
      <c r="K21" s="93">
        <f>DATABASE!L512</f>
        <v>44.52</v>
      </c>
      <c r="L21" s="72">
        <f>DATABASE!M512</f>
        <v>0</v>
      </c>
      <c r="M21" s="72">
        <f>DATABASE!N512</f>
        <v>0</v>
      </c>
      <c r="N21" s="107">
        <f>DATABASE!O512</f>
        <v>161.46</v>
      </c>
      <c r="O21" s="88">
        <f>DATABASE!P512</f>
        <v>0</v>
      </c>
      <c r="P21" s="88" t="str">
        <f>DATABASE!Q512</f>
        <v>AVAILABLE</v>
      </c>
      <c r="Q21" s="78">
        <f>DATABASE!R512</f>
        <v>840000</v>
      </c>
      <c r="R21" s="78">
        <f>DATABASE!S512</f>
        <v>840000</v>
      </c>
      <c r="S21" s="116">
        <f>DATABASE!T512</f>
        <v>860000</v>
      </c>
      <c r="T21" s="78">
        <f>DATABASE!U512</f>
        <v>0</v>
      </c>
      <c r="U21" s="116">
        <f>DATABASE!V512</f>
        <v>0</v>
      </c>
      <c r="V21" s="79">
        <f>DATABASE!W512</f>
        <v>860000</v>
      </c>
      <c r="W21" s="80">
        <f>DATABASE!X512</f>
        <v>0</v>
      </c>
      <c r="X21" s="79">
        <f>DATABASE!Y512</f>
        <v>0</v>
      </c>
      <c r="Y21" s="79">
        <f>DATABASE!Z512</f>
        <v>0</v>
      </c>
      <c r="Z21" s="79" t="e">
        <f>DATABASE!#REF!</f>
        <v>#REF!</v>
      </c>
      <c r="AA21" s="81">
        <f>DATABASE!AA512</f>
        <v>0</v>
      </c>
      <c r="AB21" s="82">
        <f>DATABASE!AB512</f>
        <v>47208</v>
      </c>
    </row>
    <row r="22" spans="1:28">
      <c r="A22" s="71" t="str">
        <f>DATABASE!A513</f>
        <v>VP - TOWNHOUSES</v>
      </c>
      <c r="B22" s="89" t="str">
        <f>DATABASE!B513</f>
        <v>North</v>
      </c>
      <c r="C22" s="89" t="str">
        <f>DATABASE!C513</f>
        <v>7A</v>
      </c>
      <c r="D22" s="91" t="str">
        <f>DATABASE!E513</f>
        <v>V3</v>
      </c>
      <c r="E22" s="91">
        <f>DATABASE!F513</f>
        <v>245.15</v>
      </c>
      <c r="F22" s="91">
        <f>DATABASE!G513</f>
        <v>0</v>
      </c>
      <c r="G22" s="91" t="str">
        <f>DATABASE!H513</f>
        <v>2</v>
      </c>
      <c r="H22" s="91" t="str">
        <f>DATABASE!I513</f>
        <v>Yes</v>
      </c>
      <c r="I22" s="93">
        <f>DATABASE!J513</f>
        <v>0</v>
      </c>
      <c r="J22" s="93">
        <f>DATABASE!K513</f>
        <v>39.17</v>
      </c>
      <c r="K22" s="93">
        <f>DATABASE!L513</f>
        <v>44.52</v>
      </c>
      <c r="L22" s="72">
        <f>DATABASE!M513</f>
        <v>0</v>
      </c>
      <c r="M22" s="72">
        <f>DATABASE!N513</f>
        <v>0</v>
      </c>
      <c r="N22" s="107">
        <f>DATABASE!O513</f>
        <v>161.46</v>
      </c>
      <c r="O22" s="88">
        <f>DATABASE!P513</f>
        <v>0</v>
      </c>
      <c r="P22" s="88" t="str">
        <f>DATABASE!Q513</f>
        <v>AVAILABLE</v>
      </c>
      <c r="Q22" s="78">
        <f>DATABASE!R513</f>
        <v>840000</v>
      </c>
      <c r="R22" s="78">
        <f>DATABASE!S513</f>
        <v>840000</v>
      </c>
      <c r="S22" s="116">
        <f>DATABASE!T513</f>
        <v>860000</v>
      </c>
      <c r="T22" s="78">
        <f>DATABASE!U513</f>
        <v>0</v>
      </c>
      <c r="U22" s="116">
        <f>DATABASE!V513</f>
        <v>0</v>
      </c>
      <c r="V22" s="79">
        <f>DATABASE!W513</f>
        <v>860000</v>
      </c>
      <c r="W22" s="80">
        <f>DATABASE!X513</f>
        <v>0</v>
      </c>
      <c r="X22" s="79">
        <f>DATABASE!Y513</f>
        <v>0</v>
      </c>
      <c r="Y22" s="79">
        <f>DATABASE!Z513</f>
        <v>0</v>
      </c>
      <c r="Z22" s="79" t="e">
        <f>DATABASE!#REF!</f>
        <v>#REF!</v>
      </c>
      <c r="AA22" s="81">
        <f>DATABASE!AA513</f>
        <v>0</v>
      </c>
      <c r="AB22" s="82">
        <f>DATABASE!AB513</f>
        <v>47208</v>
      </c>
    </row>
    <row r="23" spans="1:28">
      <c r="A23" s="71" t="str">
        <f>DATABASE!A514</f>
        <v>VP - TOWNHOUSES</v>
      </c>
      <c r="B23" s="89" t="str">
        <f>DATABASE!B514</f>
        <v>North</v>
      </c>
      <c r="C23" s="89" t="str">
        <f>DATABASE!C514</f>
        <v>8A</v>
      </c>
      <c r="D23" s="91" t="str">
        <f>DATABASE!E514</f>
        <v>V3</v>
      </c>
      <c r="E23" s="91">
        <f>DATABASE!F514</f>
        <v>254.75</v>
      </c>
      <c r="F23" s="91">
        <f>DATABASE!G514</f>
        <v>0</v>
      </c>
      <c r="G23" s="91" t="str">
        <f>DATABASE!H514</f>
        <v>2</v>
      </c>
      <c r="H23" s="91" t="str">
        <f>DATABASE!I514</f>
        <v>Yes</v>
      </c>
      <c r="I23" s="93">
        <f>DATABASE!J514</f>
        <v>0</v>
      </c>
      <c r="J23" s="93">
        <f>DATABASE!K514</f>
        <v>48.77</v>
      </c>
      <c r="K23" s="93">
        <f>DATABASE!L514</f>
        <v>44.52</v>
      </c>
      <c r="L23" s="72">
        <f>DATABASE!M514</f>
        <v>0</v>
      </c>
      <c r="M23" s="72">
        <f>DATABASE!N514</f>
        <v>0</v>
      </c>
      <c r="N23" s="107">
        <f>DATABASE!O514</f>
        <v>161.46</v>
      </c>
      <c r="O23" s="88">
        <f>DATABASE!P514</f>
        <v>0</v>
      </c>
      <c r="P23" s="88" t="str">
        <f>DATABASE!Q514</f>
        <v>UPON  REQUEST</v>
      </c>
      <c r="Q23" s="78">
        <f>DATABASE!R514</f>
        <v>840000</v>
      </c>
      <c r="R23" s="78">
        <f>DATABASE!S514</f>
        <v>840000</v>
      </c>
      <c r="S23" s="116">
        <f>DATABASE!T514</f>
        <v>860000</v>
      </c>
      <c r="T23" s="78">
        <f>DATABASE!U514</f>
        <v>0</v>
      </c>
      <c r="U23" s="116">
        <f>DATABASE!V514</f>
        <v>0</v>
      </c>
      <c r="V23" s="79">
        <f>DATABASE!W514</f>
        <v>860000</v>
      </c>
      <c r="W23" s="80">
        <f>DATABASE!X514</f>
        <v>0</v>
      </c>
      <c r="X23" s="79">
        <f>DATABASE!Y514</f>
        <v>0</v>
      </c>
      <c r="Y23" s="79">
        <f>DATABASE!Z514</f>
        <v>0</v>
      </c>
      <c r="Z23" s="79" t="e">
        <f>DATABASE!#REF!</f>
        <v>#REF!</v>
      </c>
      <c r="AA23" s="81">
        <f>DATABASE!AA514</f>
        <v>0</v>
      </c>
      <c r="AB23" s="82">
        <f>DATABASE!AB514</f>
        <v>47208</v>
      </c>
    </row>
    <row r="24" spans="1:28">
      <c r="A24" s="71" t="str">
        <f>DATABASE!A515</f>
        <v>VP - TOWNHOUSES</v>
      </c>
      <c r="B24" s="89" t="str">
        <f>DATABASE!B515</f>
        <v>North</v>
      </c>
      <c r="C24" s="89" t="str">
        <f>DATABASE!C515</f>
        <v>9A</v>
      </c>
      <c r="D24" s="91" t="str">
        <f>DATABASE!E515</f>
        <v>V3</v>
      </c>
      <c r="E24" s="91">
        <f>DATABASE!F515</f>
        <v>263.92</v>
      </c>
      <c r="F24" s="91">
        <f>DATABASE!G515</f>
        <v>0</v>
      </c>
      <c r="G24" s="91" t="str">
        <f>DATABASE!H515</f>
        <v>2</v>
      </c>
      <c r="H24" s="91" t="str">
        <f>DATABASE!I515</f>
        <v>Yes</v>
      </c>
      <c r="I24" s="93">
        <f>DATABASE!J515</f>
        <v>0</v>
      </c>
      <c r="J24" s="93">
        <f>DATABASE!K515</f>
        <v>57.94</v>
      </c>
      <c r="K24" s="93">
        <f>DATABASE!L515</f>
        <v>44.52</v>
      </c>
      <c r="L24" s="72">
        <f>DATABASE!M515</f>
        <v>0</v>
      </c>
      <c r="M24" s="72">
        <f>DATABASE!N515</f>
        <v>0</v>
      </c>
      <c r="N24" s="107">
        <f>DATABASE!O515</f>
        <v>161.46</v>
      </c>
      <c r="O24" s="88">
        <f>DATABASE!P515</f>
        <v>0</v>
      </c>
      <c r="P24" s="88" t="str">
        <f>DATABASE!Q515</f>
        <v>UPON  REQUEST</v>
      </c>
      <c r="Q24" s="78">
        <f>DATABASE!R515</f>
        <v>840000</v>
      </c>
      <c r="R24" s="78">
        <f>DATABASE!S515</f>
        <v>840000</v>
      </c>
      <c r="S24" s="116">
        <f>DATABASE!T515</f>
        <v>880000</v>
      </c>
      <c r="T24" s="78">
        <f>DATABASE!U515</f>
        <v>0</v>
      </c>
      <c r="U24" s="116">
        <f>DATABASE!V515</f>
        <v>0</v>
      </c>
      <c r="V24" s="79">
        <f>DATABASE!W515</f>
        <v>880000</v>
      </c>
      <c r="W24" s="80">
        <f>DATABASE!X515</f>
        <v>0</v>
      </c>
      <c r="X24" s="79">
        <f>DATABASE!Y515</f>
        <v>0</v>
      </c>
      <c r="Y24" s="79">
        <f>DATABASE!Z515</f>
        <v>0</v>
      </c>
      <c r="Z24" s="79" t="e">
        <f>DATABASE!#REF!</f>
        <v>#REF!</v>
      </c>
      <c r="AA24" s="81">
        <f>DATABASE!AA515</f>
        <v>0</v>
      </c>
      <c r="AB24" s="82">
        <f>DATABASE!AB515</f>
        <v>47208</v>
      </c>
    </row>
    <row r="25" spans="1:28">
      <c r="A25" s="71" t="str">
        <f>DATABASE!A516</f>
        <v>THE NINE</v>
      </c>
      <c r="B25" s="89" t="str">
        <f>DATABASE!B516</f>
        <v>Vilamoura</v>
      </c>
      <c r="C25" s="89" t="str">
        <f>DATABASE!C516</f>
        <v>AN</v>
      </c>
      <c r="D25" s="91" t="str">
        <f>DATABASE!E516</f>
        <v>T2</v>
      </c>
      <c r="E25" s="91">
        <f>DATABASE!F516</f>
        <v>119</v>
      </c>
      <c r="F25" s="91">
        <f>DATABASE!G516</f>
        <v>0</v>
      </c>
      <c r="G25" s="91" t="str">
        <f>DATABASE!H516</f>
        <v/>
      </c>
      <c r="H25" s="91" t="str">
        <f>DATABASE!I516</f>
        <v/>
      </c>
      <c r="I25" s="93">
        <f>DATABASE!J516</f>
        <v>0</v>
      </c>
      <c r="J25" s="93">
        <f>DATABASE!K516</f>
        <v>0</v>
      </c>
      <c r="K25" s="93">
        <f>DATABASE!L516</f>
        <v>0</v>
      </c>
      <c r="L25" s="72">
        <f>DATABASE!M516</f>
        <v>0</v>
      </c>
      <c r="M25" s="72">
        <f>DATABASE!N516</f>
        <v>0</v>
      </c>
      <c r="N25" s="107">
        <f>DATABASE!O516</f>
        <v>119</v>
      </c>
      <c r="O25" s="88">
        <f>DATABASE!P516</f>
        <v>0</v>
      </c>
      <c r="P25" s="88" t="str">
        <f>DATABASE!Q516</f>
        <v xml:space="preserve">DEED </v>
      </c>
      <c r="Q25" s="78">
        <f>DATABASE!R516</f>
        <v>590000</v>
      </c>
      <c r="R25" s="78">
        <f>DATABASE!S516</f>
        <v>590000</v>
      </c>
      <c r="S25" s="116">
        <f>DATABASE!T516</f>
        <v>660000</v>
      </c>
      <c r="T25" s="78">
        <f>DATABASE!U516</f>
        <v>0</v>
      </c>
      <c r="U25" s="116">
        <f>DATABASE!V516</f>
        <v>0</v>
      </c>
      <c r="V25" s="79">
        <f>DATABASE!W516</f>
        <v>660000</v>
      </c>
      <c r="W25" s="80">
        <f>DATABASE!X516</f>
        <v>0</v>
      </c>
      <c r="X25" s="79">
        <f>DATABASE!Y516</f>
        <v>660000</v>
      </c>
      <c r="Y25" s="79">
        <f>DATABASE!Z516</f>
        <v>660000</v>
      </c>
      <c r="Z25" s="79" t="e">
        <f>DATABASE!#REF!</f>
        <v>#REF!</v>
      </c>
      <c r="AA25" s="81">
        <f>DATABASE!AA516</f>
        <v>45923</v>
      </c>
      <c r="AB25" s="82">
        <f>DATABASE!AB516</f>
        <v>0</v>
      </c>
    </row>
    <row r="26" spans="1:28">
      <c r="A26" s="71" t="str">
        <f>DATABASE!A517</f>
        <v>VM PARQUE</v>
      </c>
      <c r="B26" s="89" t="str">
        <f>DATABASE!B517</f>
        <v>Vilamoura</v>
      </c>
      <c r="C26" s="89" t="str">
        <f>DATABASE!C517</f>
        <v>AN</v>
      </c>
      <c r="D26" s="91" t="str">
        <f>DATABASE!E517</f>
        <v>V3</v>
      </c>
      <c r="E26" s="91">
        <f>DATABASE!F517</f>
        <v>188.36330000000001</v>
      </c>
      <c r="F26" s="91">
        <f>DATABASE!G517</f>
        <v>0</v>
      </c>
      <c r="G26" s="91" t="str">
        <f>DATABASE!H517</f>
        <v/>
      </c>
      <c r="H26" s="91" t="str">
        <f>DATABASE!I517</f>
        <v/>
      </c>
      <c r="I26" s="93">
        <f>DATABASE!J517</f>
        <v>0</v>
      </c>
      <c r="J26" s="93">
        <f>DATABASE!K517</f>
        <v>0</v>
      </c>
      <c r="K26" s="93">
        <f>DATABASE!L517</f>
        <v>0</v>
      </c>
      <c r="L26" s="72">
        <f>DATABASE!M517</f>
        <v>0</v>
      </c>
      <c r="M26" s="72">
        <f>DATABASE!N517</f>
        <v>0</v>
      </c>
      <c r="N26" s="107">
        <f>DATABASE!O517</f>
        <v>188.36330000000001</v>
      </c>
      <c r="O26" s="88">
        <f>DATABASE!P517</f>
        <v>0</v>
      </c>
      <c r="P26" s="88" t="str">
        <f>DATABASE!Q517</f>
        <v xml:space="preserve">DEED </v>
      </c>
      <c r="Q26" s="78">
        <f>DATABASE!R517</f>
        <v>1151600</v>
      </c>
      <c r="R26" s="78">
        <f>DATABASE!S517</f>
        <v>1151600</v>
      </c>
      <c r="S26" s="116">
        <f>DATABASE!T517</f>
        <v>1152000</v>
      </c>
      <c r="T26" s="78">
        <f>DATABASE!U517</f>
        <v>0</v>
      </c>
      <c r="U26" s="116">
        <f>DATABASE!V517</f>
        <v>0</v>
      </c>
      <c r="V26" s="79">
        <f>DATABASE!W517</f>
        <v>1152000</v>
      </c>
      <c r="W26" s="80">
        <f>DATABASE!X517</f>
        <v>0</v>
      </c>
      <c r="X26" s="79">
        <f>DATABASE!Y517</f>
        <v>1152000</v>
      </c>
      <c r="Y26" s="79">
        <f>DATABASE!Z517</f>
        <v>1152000</v>
      </c>
      <c r="Z26" s="79" t="e">
        <f>DATABASE!#REF!</f>
        <v>#REF!</v>
      </c>
      <c r="AA26" s="81">
        <f>DATABASE!AA517</f>
        <v>44641</v>
      </c>
      <c r="AB26" s="82">
        <f>DATABASE!AB517</f>
        <v>0</v>
      </c>
    </row>
    <row r="27" spans="1:28">
      <c r="A27" s="71" t="str">
        <f>DATABASE!A518</f>
        <v>ZESTIA</v>
      </c>
      <c r="B27" s="89" t="str">
        <f>DATABASE!B518</f>
        <v>Vilamoura</v>
      </c>
      <c r="C27" s="89" t="str">
        <f>DATABASE!C518</f>
        <v>AN</v>
      </c>
      <c r="D27" s="91" t="str">
        <f>DATABASE!E518</f>
        <v>T2</v>
      </c>
      <c r="E27" s="91">
        <f>DATABASE!F518</f>
        <v>119.33</v>
      </c>
      <c r="F27" s="91">
        <f>DATABASE!G518</f>
        <v>0</v>
      </c>
      <c r="G27" s="91" t="str">
        <f>DATABASE!H518</f>
        <v/>
      </c>
      <c r="H27" s="91" t="str">
        <f>DATABASE!I518</f>
        <v/>
      </c>
      <c r="I27" s="93">
        <f>DATABASE!J518</f>
        <v>29</v>
      </c>
      <c r="J27" s="93">
        <f>DATABASE!K518</f>
        <v>0</v>
      </c>
      <c r="K27" s="93">
        <f>DATABASE!L518</f>
        <v>0</v>
      </c>
      <c r="L27" s="72">
        <f>DATABASE!M518</f>
        <v>0</v>
      </c>
      <c r="M27" s="72">
        <f>DATABASE!N518</f>
        <v>0</v>
      </c>
      <c r="N27" s="107">
        <f>DATABASE!O518</f>
        <v>90.33</v>
      </c>
      <c r="O27" s="88">
        <f>DATABASE!P518</f>
        <v>0</v>
      </c>
      <c r="P27" s="88" t="str">
        <f>DATABASE!Q518</f>
        <v>AVAILABLE</v>
      </c>
      <c r="Q27" s="78">
        <f>DATABASE!R518</f>
        <v>721039.49040000001</v>
      </c>
      <c r="R27" s="78">
        <f>DATABASE!S518</f>
        <v>785639.49040000001</v>
      </c>
      <c r="S27" s="116">
        <f>DATABASE!T518</f>
        <v>840000</v>
      </c>
      <c r="T27" s="78">
        <f>DATABASE!U518</f>
        <v>24600</v>
      </c>
      <c r="U27" s="116">
        <f>DATABASE!V518</f>
        <v>40000</v>
      </c>
      <c r="V27" s="79">
        <f>DATABASE!W518</f>
        <v>775400</v>
      </c>
      <c r="W27" s="80">
        <f>DATABASE!X518</f>
        <v>0</v>
      </c>
      <c r="X27" s="79">
        <f>DATABASE!Y518</f>
        <v>840000</v>
      </c>
      <c r="Y27" s="79">
        <f>DATABASE!Z518</f>
        <v>775400</v>
      </c>
      <c r="Z27" s="79" t="e">
        <f>DATABASE!#REF!</f>
        <v>#REF!</v>
      </c>
      <c r="AA27" s="81">
        <f>DATABASE!AA518</f>
        <v>0</v>
      </c>
      <c r="AB27" s="82">
        <f>DATABASE!AB518</f>
        <v>0</v>
      </c>
    </row>
    <row r="28" spans="1:28">
      <c r="A28" s="71" t="str">
        <f>DATABASE!A519</f>
        <v>Palmares - Plots</v>
      </c>
      <c r="B28" s="89" t="str">
        <f>DATABASE!B519</f>
        <v>Algarve</v>
      </c>
      <c r="C28" s="89" t="str">
        <f>DATABASE!C519</f>
        <v>2</v>
      </c>
      <c r="D28" s="91" t="str">
        <f>DATABASE!E519</f>
        <v>Plot</v>
      </c>
      <c r="E28" s="91">
        <f>DATABASE!F519</f>
        <v>4909</v>
      </c>
      <c r="F28" s="91">
        <f>DATABASE!G519</f>
        <v>0</v>
      </c>
      <c r="G28" s="91" t="str">
        <f>DATABASE!H519</f>
        <v/>
      </c>
      <c r="H28" s="91" t="str">
        <f>DATABASE!I519</f>
        <v/>
      </c>
      <c r="I28" s="93">
        <f>DATABASE!J519</f>
        <v>0</v>
      </c>
      <c r="J28" s="93">
        <f>DATABASE!K519</f>
        <v>0</v>
      </c>
      <c r="K28" s="93">
        <f>DATABASE!L519</f>
        <v>0</v>
      </c>
      <c r="L28" s="72">
        <f>DATABASE!M519</f>
        <v>0</v>
      </c>
      <c r="M28" s="72">
        <f>DATABASE!N519</f>
        <v>0</v>
      </c>
      <c r="N28" s="107">
        <f>DATABASE!O519</f>
        <v>500</v>
      </c>
      <c r="O28" s="88">
        <f>DATABASE!P519</f>
        <v>0</v>
      </c>
      <c r="P28" s="88" t="str">
        <f>DATABASE!Q519</f>
        <v xml:space="preserve">DEED </v>
      </c>
      <c r="Q28" s="78">
        <f>DATABASE!R519</f>
        <v>850000</v>
      </c>
      <c r="R28" s="78">
        <f>DATABASE!S519</f>
        <v>850000</v>
      </c>
      <c r="S28" s="116">
        <f>DATABASE!T519</f>
        <v>2500000</v>
      </c>
      <c r="T28" s="78">
        <f>DATABASE!U519</f>
        <v>0</v>
      </c>
      <c r="U28" s="116">
        <f>DATABASE!V519</f>
        <v>0</v>
      </c>
      <c r="V28" s="79">
        <f>DATABASE!W519</f>
        <v>2500000</v>
      </c>
      <c r="W28" s="80">
        <f>DATABASE!X519</f>
        <v>0.1</v>
      </c>
      <c r="X28" s="79">
        <f>DATABASE!Y519</f>
        <v>2250000</v>
      </c>
      <c r="Y28" s="79">
        <f>DATABASE!Z519</f>
        <v>2250000</v>
      </c>
      <c r="Z28" s="79" t="e">
        <f>DATABASE!#REF!</f>
        <v>#REF!</v>
      </c>
      <c r="AA28" s="81">
        <f>DATABASE!AA519</f>
        <v>0</v>
      </c>
      <c r="AB28" s="82">
        <f>DATABASE!AB519</f>
        <v>46843</v>
      </c>
    </row>
    <row r="29" spans="1:28">
      <c r="A29" s="71" t="str">
        <f>DATABASE!A520</f>
        <v>Palmares - Plots</v>
      </c>
      <c r="B29" s="89" t="str">
        <f>DATABASE!B520</f>
        <v>Algarve</v>
      </c>
      <c r="C29" s="89" t="str">
        <f>DATABASE!C520</f>
        <v>26</v>
      </c>
      <c r="D29" s="91" t="str">
        <f>DATABASE!E520</f>
        <v>Plot</v>
      </c>
      <c r="E29" s="91">
        <f>DATABASE!F520</f>
        <v>3489</v>
      </c>
      <c r="F29" s="91">
        <f>DATABASE!G520</f>
        <v>0</v>
      </c>
      <c r="G29" s="91" t="str">
        <f>DATABASE!H520</f>
        <v/>
      </c>
      <c r="H29" s="91" t="str">
        <f>DATABASE!I520</f>
        <v/>
      </c>
      <c r="I29" s="93">
        <f>DATABASE!J520</f>
        <v>0</v>
      </c>
      <c r="J29" s="93">
        <f>DATABASE!K520</f>
        <v>0</v>
      </c>
      <c r="K29" s="93">
        <f>DATABASE!L520</f>
        <v>0</v>
      </c>
      <c r="L29" s="72">
        <f>DATABASE!M520</f>
        <v>0</v>
      </c>
      <c r="M29" s="72">
        <f>DATABASE!N520</f>
        <v>0</v>
      </c>
      <c r="N29" s="107">
        <f>DATABASE!O520</f>
        <v>420</v>
      </c>
      <c r="O29" s="88">
        <f>DATABASE!P520</f>
        <v>0</v>
      </c>
      <c r="P29" s="88" t="str">
        <f>DATABASE!Q520</f>
        <v>AVAILABLE</v>
      </c>
      <c r="Q29" s="78">
        <f>DATABASE!R520</f>
        <v>850000</v>
      </c>
      <c r="R29" s="78">
        <f>DATABASE!S520</f>
        <v>850000</v>
      </c>
      <c r="S29" s="116">
        <f>DATABASE!T520</f>
        <v>1650000</v>
      </c>
      <c r="T29" s="78">
        <f>DATABASE!U520</f>
        <v>0</v>
      </c>
      <c r="U29" s="116">
        <f>DATABASE!V520</f>
        <v>0</v>
      </c>
      <c r="V29" s="79">
        <f>DATABASE!W520</f>
        <v>1650000</v>
      </c>
      <c r="W29" s="80">
        <f>DATABASE!X520</f>
        <v>0</v>
      </c>
      <c r="X29" s="79">
        <f>DATABASE!Y520</f>
        <v>1650000</v>
      </c>
      <c r="Y29" s="79">
        <f>DATABASE!Z520</f>
        <v>1650000</v>
      </c>
      <c r="Z29" s="79" t="e">
        <f>DATABASE!#REF!</f>
        <v>#REF!</v>
      </c>
      <c r="AA29" s="81">
        <f>DATABASE!AA520</f>
        <v>0</v>
      </c>
      <c r="AB29" s="82">
        <f>DATABASE!AB520</f>
        <v>46843</v>
      </c>
    </row>
    <row r="30" spans="1:28">
      <c r="A30" s="71" t="str">
        <f>DATABASE!A521</f>
        <v>BOTÂNICA</v>
      </c>
      <c r="B30" s="89" t="str">
        <f>DATABASE!B521</f>
        <v>Vilamoura</v>
      </c>
      <c r="C30" s="89" t="str">
        <f>DATABASE!C521</f>
        <v>AO</v>
      </c>
      <c r="D30" s="91" t="str">
        <f>DATABASE!E521</f>
        <v>T3</v>
      </c>
      <c r="E30" s="91">
        <f>DATABASE!F521</f>
        <v>195.9</v>
      </c>
      <c r="F30" s="91">
        <f>DATABASE!G521</f>
        <v>0</v>
      </c>
      <c r="G30" s="91" t="str">
        <f>DATABASE!H521</f>
        <v>2</v>
      </c>
      <c r="H30" s="91" t="str">
        <f>DATABASE!I521</f>
        <v/>
      </c>
      <c r="I30" s="93">
        <f>DATABASE!J521</f>
        <v>32.97</v>
      </c>
      <c r="J30" s="93">
        <f>DATABASE!K521</f>
        <v>0</v>
      </c>
      <c r="K30" s="93">
        <f>DATABASE!L521</f>
        <v>0</v>
      </c>
      <c r="L30" s="72">
        <f>DATABASE!M521</f>
        <v>0</v>
      </c>
      <c r="M30" s="72">
        <f>DATABASE!N521</f>
        <v>0</v>
      </c>
      <c r="N30" s="107">
        <f>DATABASE!O521</f>
        <v>162.93</v>
      </c>
      <c r="O30" s="88">
        <f>DATABASE!P521</f>
        <v>0</v>
      </c>
      <c r="P30" s="88" t="str">
        <f>DATABASE!Q521</f>
        <v>AVAILABLE</v>
      </c>
      <c r="Q30" s="78">
        <f>DATABASE!R521</f>
        <v>1437870.72</v>
      </c>
      <c r="R30" s="78">
        <f>DATABASE!S521</f>
        <v>1437870.72</v>
      </c>
      <c r="S30" s="116">
        <f>DATABASE!T521</f>
        <v>1500000</v>
      </c>
      <c r="T30" s="78">
        <f>DATABASE!U521</f>
        <v>0</v>
      </c>
      <c r="U30" s="116">
        <f>DATABASE!V521</f>
        <v>0</v>
      </c>
      <c r="V30" s="79">
        <f>DATABASE!W521</f>
        <v>1500000</v>
      </c>
      <c r="W30" s="80">
        <f>DATABASE!X521</f>
        <v>0</v>
      </c>
      <c r="X30" s="79">
        <f>DATABASE!Y521</f>
        <v>1483200</v>
      </c>
      <c r="Y30" s="79">
        <f>DATABASE!Z521</f>
        <v>1483200</v>
      </c>
      <c r="Z30" s="79" t="e">
        <f>DATABASE!#REF!</f>
        <v>#REF!</v>
      </c>
      <c r="AA30" s="81">
        <f>DATABASE!AA521</f>
        <v>0</v>
      </c>
      <c r="AB30" s="82">
        <f>DATABASE!AB521</f>
        <v>0</v>
      </c>
    </row>
    <row r="31" spans="1:28">
      <c r="A31" s="71" t="str">
        <f>DATABASE!A522</f>
        <v>Palmares - Plots</v>
      </c>
      <c r="B31" s="89" t="str">
        <f>DATABASE!B522</f>
        <v>Algarve</v>
      </c>
      <c r="C31" s="89" t="str">
        <f>DATABASE!C522</f>
        <v>12</v>
      </c>
      <c r="D31" s="91" t="str">
        <f>DATABASE!E522</f>
        <v>Plot</v>
      </c>
      <c r="E31" s="91">
        <f>DATABASE!F522</f>
        <v>3383</v>
      </c>
      <c r="F31" s="91">
        <f>DATABASE!G522</f>
        <v>0</v>
      </c>
      <c r="G31" s="91" t="str">
        <f>DATABASE!H522</f>
        <v/>
      </c>
      <c r="H31" s="91" t="str">
        <f>DATABASE!I522</f>
        <v/>
      </c>
      <c r="I31" s="93">
        <f>DATABASE!J522</f>
        <v>0</v>
      </c>
      <c r="J31" s="93">
        <f>DATABASE!K522</f>
        <v>0</v>
      </c>
      <c r="K31" s="93">
        <f>DATABASE!L522</f>
        <v>0</v>
      </c>
      <c r="L31" s="72">
        <f>DATABASE!M522</f>
        <v>0</v>
      </c>
      <c r="M31" s="72">
        <f>DATABASE!N522</f>
        <v>0</v>
      </c>
      <c r="N31" s="107">
        <f>DATABASE!O522</f>
        <v>420</v>
      </c>
      <c r="O31" s="88">
        <f>DATABASE!P522</f>
        <v>0</v>
      </c>
      <c r="P31" s="88" t="str">
        <f>DATABASE!Q522</f>
        <v>AVAILABLE</v>
      </c>
      <c r="Q31" s="78">
        <f>DATABASE!R522</f>
        <v>860000</v>
      </c>
      <c r="R31" s="78">
        <f>DATABASE!S522</f>
        <v>860000</v>
      </c>
      <c r="S31" s="116">
        <f>DATABASE!T522</f>
        <v>1950000</v>
      </c>
      <c r="T31" s="78">
        <f>DATABASE!U522</f>
        <v>0</v>
      </c>
      <c r="U31" s="116">
        <f>DATABASE!V522</f>
        <v>0</v>
      </c>
      <c r="V31" s="79">
        <f>DATABASE!W522</f>
        <v>1950000</v>
      </c>
      <c r="W31" s="80">
        <f>DATABASE!X522</f>
        <v>0</v>
      </c>
      <c r="X31" s="79">
        <f>DATABASE!Y522</f>
        <v>1950000</v>
      </c>
      <c r="Y31" s="79">
        <f>DATABASE!Z522</f>
        <v>1950000</v>
      </c>
      <c r="Z31" s="79" t="e">
        <f>DATABASE!#REF!</f>
        <v>#REF!</v>
      </c>
      <c r="AA31" s="81">
        <f>DATABASE!AA522</f>
        <v>0</v>
      </c>
      <c r="AB31" s="82">
        <f>DATABASE!AB522</f>
        <v>46843</v>
      </c>
    </row>
    <row r="32" spans="1:28">
      <c r="A32" s="71" t="str">
        <f>DATABASE!A523</f>
        <v>NOBILUS</v>
      </c>
      <c r="B32" s="89" t="str">
        <f>DATABASE!B523</f>
        <v>Vilamoura</v>
      </c>
      <c r="C32" s="89" t="str">
        <f>DATABASE!C523</f>
        <v>AO</v>
      </c>
      <c r="D32" s="91" t="str">
        <f>DATABASE!E523</f>
        <v>T2</v>
      </c>
      <c r="E32" s="91">
        <f>DATABASE!F523</f>
        <v>113.23</v>
      </c>
      <c r="F32" s="91">
        <f>DATABASE!G523</f>
        <v>0</v>
      </c>
      <c r="G32" s="91" t="str">
        <f>DATABASE!H523</f>
        <v/>
      </c>
      <c r="H32" s="91" t="str">
        <f>DATABASE!I523</f>
        <v/>
      </c>
      <c r="I32" s="93">
        <f>DATABASE!J523</f>
        <v>7.98</v>
      </c>
      <c r="J32" s="93">
        <f>DATABASE!K523</f>
        <v>0</v>
      </c>
      <c r="K32" s="93">
        <f>DATABASE!L523</f>
        <v>0</v>
      </c>
      <c r="L32" s="72">
        <f>DATABASE!M523</f>
        <v>0</v>
      </c>
      <c r="M32" s="72">
        <f>DATABASE!N523</f>
        <v>0</v>
      </c>
      <c r="N32" s="107">
        <f>DATABASE!O523</f>
        <v>113.23</v>
      </c>
      <c r="O32" s="88">
        <f>DATABASE!P523</f>
        <v>0</v>
      </c>
      <c r="P32" s="88" t="str">
        <f>DATABASE!Q523</f>
        <v xml:space="preserve">PSPA </v>
      </c>
      <c r="Q32" s="78">
        <f>DATABASE!R523</f>
        <v>750000</v>
      </c>
      <c r="R32" s="78">
        <f>DATABASE!S523</f>
        <v>750000</v>
      </c>
      <c r="S32" s="116">
        <f>DATABASE!T523</f>
        <v>750000</v>
      </c>
      <c r="T32" s="78">
        <f>DATABASE!U523</f>
        <v>0</v>
      </c>
      <c r="U32" s="116">
        <f>DATABASE!V523</f>
        <v>0</v>
      </c>
      <c r="V32" s="79">
        <f>DATABASE!W523</f>
        <v>750000</v>
      </c>
      <c r="W32" s="80">
        <f>DATABASE!X523</f>
        <v>0.01</v>
      </c>
      <c r="X32" s="79">
        <f>DATABASE!Y523</f>
        <v>742500</v>
      </c>
      <c r="Y32" s="79">
        <f>DATABASE!Z523</f>
        <v>742500</v>
      </c>
      <c r="Z32" s="79" t="e">
        <f>DATABASE!#REF!</f>
        <v>#REF!</v>
      </c>
      <c r="AA32" s="81">
        <f>DATABASE!AA523</f>
        <v>46093</v>
      </c>
      <c r="AB32" s="82">
        <f>DATABASE!AB523</f>
        <v>0</v>
      </c>
    </row>
    <row r="33" spans="1:28">
      <c r="A33" s="71" t="str">
        <f>DATABASE!A524</f>
        <v>SPRINGS</v>
      </c>
      <c r="B33" s="89" t="str">
        <f>DATABASE!B524</f>
        <v>Vilamoura</v>
      </c>
      <c r="C33" s="89" t="str">
        <f>DATABASE!C524</f>
        <v>AO</v>
      </c>
      <c r="D33" s="91" t="str">
        <f>DATABASE!E524</f>
        <v>V2 Duplex</v>
      </c>
      <c r="E33" s="91">
        <f>DATABASE!F524</f>
        <v>333.99</v>
      </c>
      <c r="F33" s="91">
        <f>DATABASE!G524</f>
        <v>172.78</v>
      </c>
      <c r="G33" s="91" t="str">
        <f>DATABASE!H524</f>
        <v/>
      </c>
      <c r="H33" s="91" t="str">
        <f>DATABASE!I524</f>
        <v/>
      </c>
      <c r="I33" s="93">
        <f>DATABASE!J524</f>
        <v>25.77</v>
      </c>
      <c r="J33" s="93">
        <f>DATABASE!K524</f>
        <v>0</v>
      </c>
      <c r="K33" s="93">
        <f>DATABASE!L524</f>
        <v>0</v>
      </c>
      <c r="L33" s="72">
        <f>DATABASE!M524</f>
        <v>0</v>
      </c>
      <c r="M33" s="72">
        <f>DATABASE!N524</f>
        <v>0</v>
      </c>
      <c r="N33" s="107">
        <f>DATABASE!O524</f>
        <v>135.44</v>
      </c>
      <c r="O33" s="88">
        <f>DATABASE!P524</f>
        <v>0</v>
      </c>
      <c r="P33" s="88" t="str">
        <f>DATABASE!Q524</f>
        <v>AVAILABLE</v>
      </c>
      <c r="Q33" s="78">
        <f>DATABASE!R524</f>
        <v>1737700</v>
      </c>
      <c r="R33" s="78">
        <f>DATABASE!S524</f>
        <v>1808850</v>
      </c>
      <c r="S33" s="116">
        <f>DATABASE!T524</f>
        <v>1880000</v>
      </c>
      <c r="T33" s="78">
        <f>DATABASE!U524</f>
        <v>24600</v>
      </c>
      <c r="U33" s="116">
        <f>DATABASE!V524</f>
        <v>46550</v>
      </c>
      <c r="V33" s="79">
        <f>DATABASE!W524</f>
        <v>1808850</v>
      </c>
      <c r="W33" s="80">
        <f>DATABASE!X524</f>
        <v>0</v>
      </c>
      <c r="X33" s="79">
        <f>DATABASE!Y524</f>
        <v>1880000</v>
      </c>
      <c r="Y33" s="79">
        <f>DATABASE!Z524</f>
        <v>1808850</v>
      </c>
      <c r="Z33" s="79" t="e">
        <f>DATABASE!#REF!</f>
        <v>#REF!</v>
      </c>
      <c r="AA33" s="81">
        <f>DATABASE!AA524</f>
        <v>0</v>
      </c>
      <c r="AB33" s="82">
        <f>DATABASE!AB524</f>
        <v>0</v>
      </c>
    </row>
    <row r="34" spans="1:28">
      <c r="A34" s="71" t="str">
        <f>DATABASE!A525</f>
        <v>TERRACOTA</v>
      </c>
      <c r="B34" s="89" t="str">
        <f>DATABASE!B525</f>
        <v>Vilamoura</v>
      </c>
      <c r="C34" s="89" t="str">
        <f>DATABASE!C525</f>
        <v>AO</v>
      </c>
      <c r="D34" s="91" t="str">
        <f>DATABASE!E525</f>
        <v>T2</v>
      </c>
      <c r="E34" s="91">
        <f>DATABASE!F525</f>
        <v>104.7</v>
      </c>
      <c r="F34" s="91">
        <f>DATABASE!G525</f>
        <v>0</v>
      </c>
      <c r="G34" s="91" t="str">
        <f>DATABASE!H525</f>
        <v/>
      </c>
      <c r="H34" s="91" t="str">
        <f>DATABASE!I525</f>
        <v/>
      </c>
      <c r="I34" s="93">
        <f>DATABASE!J525</f>
        <v>0</v>
      </c>
      <c r="J34" s="93">
        <f>DATABASE!K525</f>
        <v>0</v>
      </c>
      <c r="K34" s="93">
        <f>DATABASE!L525</f>
        <v>0</v>
      </c>
      <c r="L34" s="72">
        <f>DATABASE!M525</f>
        <v>0</v>
      </c>
      <c r="M34" s="72">
        <f>DATABASE!N525</f>
        <v>0</v>
      </c>
      <c r="N34" s="107">
        <f>DATABASE!O525</f>
        <v>104.7</v>
      </c>
      <c r="O34" s="88">
        <f>DATABASE!P525</f>
        <v>0</v>
      </c>
      <c r="P34" s="88" t="str">
        <f>DATABASE!Q525</f>
        <v xml:space="preserve">PSPA </v>
      </c>
      <c r="Q34" s="78">
        <f>DATABASE!R525</f>
        <v>550000</v>
      </c>
      <c r="R34" s="78">
        <f>DATABASE!S525</f>
        <v>550000</v>
      </c>
      <c r="S34" s="116">
        <f>DATABASE!T525</f>
        <v>550000</v>
      </c>
      <c r="T34" s="78">
        <f>DATABASE!U525</f>
        <v>0</v>
      </c>
      <c r="U34" s="116">
        <f>DATABASE!V525</f>
        <v>0</v>
      </c>
      <c r="V34" s="79">
        <f>DATABASE!W525</f>
        <v>550000</v>
      </c>
      <c r="W34" s="80">
        <f>DATABASE!X525</f>
        <v>0</v>
      </c>
      <c r="X34" s="79">
        <f>DATABASE!Y525</f>
        <v>550000</v>
      </c>
      <c r="Y34" s="79">
        <f>DATABASE!Z525</f>
        <v>550000</v>
      </c>
      <c r="Z34" s="79" t="e">
        <f>DATABASE!#REF!</f>
        <v>#REF!</v>
      </c>
      <c r="AA34" s="81" t="e">
        <f>DATABASE!#REF!</f>
        <v>#REF!</v>
      </c>
      <c r="AB34" s="82">
        <f>DATABASE!AB525</f>
        <v>0</v>
      </c>
    </row>
    <row r="35" spans="1:28">
      <c r="A35" s="71" t="str">
        <f>DATABASE!A526</f>
        <v>THE NINE</v>
      </c>
      <c r="B35" s="89" t="str">
        <f>DATABASE!B526</f>
        <v>Vilamoura</v>
      </c>
      <c r="C35" s="89" t="str">
        <f>DATABASE!C526</f>
        <v>AO</v>
      </c>
      <c r="D35" s="91" t="str">
        <f>DATABASE!E526</f>
        <v>T2</v>
      </c>
      <c r="E35" s="91">
        <f>DATABASE!F526</f>
        <v>119</v>
      </c>
      <c r="F35" s="91">
        <f>DATABASE!G526</f>
        <v>0</v>
      </c>
      <c r="G35" s="91" t="str">
        <f>DATABASE!H526</f>
        <v/>
      </c>
      <c r="H35" s="91" t="str">
        <f>DATABASE!I526</f>
        <v/>
      </c>
      <c r="I35" s="93">
        <f>DATABASE!J526</f>
        <v>0</v>
      </c>
      <c r="J35" s="93">
        <f>DATABASE!K526</f>
        <v>0</v>
      </c>
      <c r="K35" s="93">
        <f>DATABASE!L526</f>
        <v>0</v>
      </c>
      <c r="L35" s="72">
        <f>DATABASE!M526</f>
        <v>0</v>
      </c>
      <c r="M35" s="93">
        <f>DATABASE!N526</f>
        <v>0</v>
      </c>
      <c r="N35" s="107">
        <f>DATABASE!O526</f>
        <v>119</v>
      </c>
      <c r="O35" s="88">
        <f>DATABASE!P526</f>
        <v>0</v>
      </c>
      <c r="P35" s="88" t="str">
        <f>DATABASE!Q526</f>
        <v xml:space="preserve">DEED </v>
      </c>
      <c r="Q35" s="78">
        <f>DATABASE!R526</f>
        <v>590000</v>
      </c>
      <c r="R35" s="78">
        <f>DATABASE!S526</f>
        <v>590000</v>
      </c>
      <c r="S35" s="116">
        <f>DATABASE!T526</f>
        <v>590000</v>
      </c>
      <c r="T35" s="78">
        <f>DATABASE!U526</f>
        <v>0</v>
      </c>
      <c r="U35" s="116">
        <f>DATABASE!V526</f>
        <v>0</v>
      </c>
      <c r="V35" s="79">
        <f>DATABASE!W526</f>
        <v>590000</v>
      </c>
      <c r="W35" s="80">
        <f>DATABASE!X526</f>
        <v>0</v>
      </c>
      <c r="X35" s="79">
        <f>DATABASE!Y526</f>
        <v>590000</v>
      </c>
      <c r="Y35" s="79">
        <f>DATABASE!Z526</f>
        <v>590000</v>
      </c>
      <c r="Z35" s="79" t="e">
        <f>DATABASE!#REF!</f>
        <v>#REF!</v>
      </c>
      <c r="AA35" s="81">
        <f>DATABASE!AA526</f>
        <v>45035</v>
      </c>
      <c r="AB35" s="82">
        <f>DATABASE!AB526</f>
        <v>0</v>
      </c>
    </row>
    <row r="36" spans="1:28">
      <c r="A36" s="71" t="str">
        <f>DATABASE!A527</f>
        <v>Aroeira - APARTMENTS</v>
      </c>
      <c r="B36" s="89" t="str">
        <f>DATABASE!B527</f>
        <v>Center</v>
      </c>
      <c r="C36" s="89" t="str">
        <f>DATABASE!C527</f>
        <v>119B</v>
      </c>
      <c r="D36" s="91" t="str">
        <f>DATABASE!E527</f>
        <v>2-BR</v>
      </c>
      <c r="E36" s="91">
        <f>DATABASE!F527</f>
        <v>255.5</v>
      </c>
      <c r="F36" s="91">
        <f>DATABASE!G527</f>
        <v>0</v>
      </c>
      <c r="G36" s="91" t="str">
        <f>DATABASE!H527</f>
        <v>1</v>
      </c>
      <c r="H36" s="91" t="str">
        <f>DATABASE!I527</f>
        <v/>
      </c>
      <c r="I36" s="93">
        <f>DATABASE!J527</f>
        <v>3.87</v>
      </c>
      <c r="J36" s="93">
        <f>DATABASE!K527</f>
        <v>139.6</v>
      </c>
      <c r="K36" s="93">
        <f>DATABASE!L527</f>
        <v>0</v>
      </c>
      <c r="L36" s="72">
        <f>DATABASE!M527</f>
        <v>0</v>
      </c>
      <c r="M36" s="93">
        <f>DATABASE!N527</f>
        <v>0</v>
      </c>
      <c r="N36" s="107">
        <f>DATABASE!O527</f>
        <v>112.03</v>
      </c>
      <c r="O36" s="88">
        <f>DATABASE!P527</f>
        <v>0</v>
      </c>
      <c r="P36" s="88" t="str">
        <f>DATABASE!Q527</f>
        <v>NOT FOR SALE</v>
      </c>
      <c r="Q36" s="78">
        <f>DATABASE!R527</f>
        <v>830000</v>
      </c>
      <c r="R36" s="78">
        <f>DATABASE!S527</f>
        <v>875000</v>
      </c>
      <c r="S36" s="116">
        <f>DATABASE!T527</f>
        <v>900000</v>
      </c>
      <c r="T36" s="78">
        <f>DATABASE!U527</f>
        <v>0</v>
      </c>
      <c r="U36" s="116">
        <f>DATABASE!V527</f>
        <v>45000</v>
      </c>
      <c r="V36" s="79">
        <f>DATABASE!W527</f>
        <v>855000</v>
      </c>
      <c r="W36" s="80">
        <f>DATABASE!X527</f>
        <v>0</v>
      </c>
      <c r="X36" s="79">
        <f>DATABASE!Y527</f>
        <v>0</v>
      </c>
      <c r="Y36" s="79">
        <f>DATABASE!Z527</f>
        <v>-45000</v>
      </c>
      <c r="Z36" s="79" t="e">
        <f>DATABASE!#REF!</f>
        <v>#REF!</v>
      </c>
      <c r="AA36" s="81">
        <f>DATABASE!AA527</f>
        <v>0</v>
      </c>
      <c r="AB36" s="82">
        <f>DATABASE!AB527</f>
        <v>47118</v>
      </c>
    </row>
    <row r="37" spans="1:28">
      <c r="A37" s="71" t="str">
        <f>DATABASE!A528</f>
        <v>MR - LT Miradouro Village</v>
      </c>
      <c r="B37" s="89" t="str">
        <f>DATABASE!B528</f>
        <v>Algarve</v>
      </c>
      <c r="C37" s="89" t="str">
        <f>DATABASE!C528</f>
        <v>12</v>
      </c>
      <c r="D37" s="91" t="str">
        <f>DATABASE!E528</f>
        <v>Plot</v>
      </c>
      <c r="E37" s="91">
        <f>DATABASE!F528</f>
        <v>396.9</v>
      </c>
      <c r="F37" s="91">
        <f>DATABASE!G528</f>
        <v>0</v>
      </c>
      <c r="G37" s="91" t="str">
        <f>DATABASE!H528</f>
        <v/>
      </c>
      <c r="H37" s="91" t="str">
        <f>DATABASE!I528</f>
        <v/>
      </c>
      <c r="I37" s="93">
        <f>DATABASE!J528</f>
        <v>0</v>
      </c>
      <c r="J37" s="93">
        <f>DATABASE!K528</f>
        <v>0</v>
      </c>
      <c r="K37" s="93">
        <f>DATABASE!L528</f>
        <v>0</v>
      </c>
      <c r="L37" s="72">
        <f>DATABASE!M528</f>
        <v>0</v>
      </c>
      <c r="M37" s="93">
        <f>DATABASE!N528</f>
        <v>0</v>
      </c>
      <c r="N37" s="107">
        <f>DATABASE!O528</f>
        <v>396.9</v>
      </c>
      <c r="O37" s="88">
        <f>DATABASE!P528</f>
        <v>0</v>
      </c>
      <c r="P37" s="88" t="str">
        <f>DATABASE!Q528</f>
        <v>AVAILABLE</v>
      </c>
      <c r="Q37" s="78">
        <f>DATABASE!R528</f>
        <v>875000</v>
      </c>
      <c r="R37" s="78">
        <f>DATABASE!S528</f>
        <v>875000</v>
      </c>
      <c r="S37" s="116">
        <f>DATABASE!T528</f>
        <v>740000</v>
      </c>
      <c r="T37" s="78">
        <f>DATABASE!U528</f>
        <v>0</v>
      </c>
      <c r="U37" s="116">
        <f>DATABASE!V528</f>
        <v>0</v>
      </c>
      <c r="V37" s="79">
        <f>DATABASE!W528</f>
        <v>740000</v>
      </c>
      <c r="W37" s="80">
        <f>DATABASE!X528</f>
        <v>0</v>
      </c>
      <c r="X37" s="79">
        <f>DATABASE!Y528</f>
        <v>0</v>
      </c>
      <c r="Y37" s="79">
        <f>DATABASE!Z528</f>
        <v>0</v>
      </c>
      <c r="Z37" s="79" t="e">
        <f>DATABASE!#REF!</f>
        <v>#REF!</v>
      </c>
      <c r="AA37" s="81">
        <f>DATABASE!AA528</f>
        <v>0</v>
      </c>
      <c r="AB37" s="82" t="str">
        <f>DATABASE!AB528</f>
        <v>TBD</v>
      </c>
    </row>
    <row r="38" spans="1:28">
      <c r="A38" s="71" t="str">
        <f>DATABASE!A529</f>
        <v>MR - LT Miradouro Village</v>
      </c>
      <c r="B38" s="89" t="str">
        <f>DATABASE!B529</f>
        <v>Algarve</v>
      </c>
      <c r="C38" s="89" t="str">
        <f>DATABASE!C529</f>
        <v>18</v>
      </c>
      <c r="D38" s="91" t="str">
        <f>DATABASE!E529</f>
        <v>Plot</v>
      </c>
      <c r="E38" s="91">
        <f>DATABASE!F529</f>
        <v>373.55</v>
      </c>
      <c r="F38" s="91">
        <f>DATABASE!G529</f>
        <v>0</v>
      </c>
      <c r="G38" s="91" t="str">
        <f>DATABASE!H529</f>
        <v/>
      </c>
      <c r="H38" s="91" t="str">
        <f>DATABASE!I529</f>
        <v/>
      </c>
      <c r="I38" s="93">
        <f>DATABASE!J529</f>
        <v>0</v>
      </c>
      <c r="J38" s="93">
        <f>DATABASE!K529</f>
        <v>0</v>
      </c>
      <c r="K38" s="93">
        <f>DATABASE!L529</f>
        <v>0</v>
      </c>
      <c r="L38" s="72">
        <f>DATABASE!M529</f>
        <v>0</v>
      </c>
      <c r="M38" s="93">
        <f>DATABASE!N529</f>
        <v>0</v>
      </c>
      <c r="N38" s="107">
        <f>DATABASE!O529</f>
        <v>373.55</v>
      </c>
      <c r="O38" s="88">
        <f>DATABASE!P529</f>
        <v>0</v>
      </c>
      <c r="P38" s="88" t="str">
        <f>DATABASE!Q529</f>
        <v>AVAILABLE</v>
      </c>
      <c r="Q38" s="78">
        <f>DATABASE!R529</f>
        <v>875000</v>
      </c>
      <c r="R38" s="78">
        <f>DATABASE!S529</f>
        <v>875000</v>
      </c>
      <c r="S38" s="116">
        <f>DATABASE!T529</f>
        <v>750000</v>
      </c>
      <c r="T38" s="78">
        <f>DATABASE!U529</f>
        <v>0</v>
      </c>
      <c r="U38" s="116">
        <f>DATABASE!V529</f>
        <v>0</v>
      </c>
      <c r="V38" s="79">
        <f>DATABASE!W529</f>
        <v>750000</v>
      </c>
      <c r="W38" s="80">
        <f>DATABASE!X529</f>
        <v>0</v>
      </c>
      <c r="X38" s="79">
        <f>DATABASE!Y529</f>
        <v>0</v>
      </c>
      <c r="Y38" s="79">
        <f>DATABASE!Z529</f>
        <v>0</v>
      </c>
      <c r="Z38" s="79" t="e">
        <f>DATABASE!#REF!</f>
        <v>#REF!</v>
      </c>
      <c r="AA38" s="81">
        <f>DATABASE!AA529</f>
        <v>0</v>
      </c>
      <c r="AB38" s="82" t="str">
        <f>DATABASE!AB529</f>
        <v>TBD</v>
      </c>
    </row>
    <row r="39" spans="1:28">
      <c r="A39" s="71" t="str">
        <f>DATABASE!A530</f>
        <v>MR - LT Miradouro Village</v>
      </c>
      <c r="B39" s="89" t="str">
        <f>DATABASE!B530</f>
        <v>Algarve</v>
      </c>
      <c r="C39" s="89" t="str">
        <f>DATABASE!C530</f>
        <v>19</v>
      </c>
      <c r="D39" s="91" t="str">
        <f>DATABASE!E530</f>
        <v>Plot</v>
      </c>
      <c r="E39" s="91">
        <f>DATABASE!F530</f>
        <v>373.55</v>
      </c>
      <c r="F39" s="91">
        <f>DATABASE!G530</f>
        <v>0</v>
      </c>
      <c r="G39" s="91" t="str">
        <f>DATABASE!H530</f>
        <v/>
      </c>
      <c r="H39" s="91" t="str">
        <f>DATABASE!I530</f>
        <v/>
      </c>
      <c r="I39" s="93">
        <f>DATABASE!J530</f>
        <v>0</v>
      </c>
      <c r="J39" s="93">
        <f>DATABASE!K530</f>
        <v>0</v>
      </c>
      <c r="K39" s="93">
        <f>DATABASE!L530</f>
        <v>0</v>
      </c>
      <c r="L39" s="72">
        <f>DATABASE!M530</f>
        <v>0</v>
      </c>
      <c r="M39" s="93">
        <f>DATABASE!N530</f>
        <v>0</v>
      </c>
      <c r="N39" s="107">
        <f>DATABASE!O530</f>
        <v>373.55</v>
      </c>
      <c r="O39" s="88">
        <f>DATABASE!P530</f>
        <v>0</v>
      </c>
      <c r="P39" s="88" t="str">
        <f>DATABASE!Q530</f>
        <v>AVAILABLE</v>
      </c>
      <c r="Q39" s="78">
        <f>DATABASE!R530</f>
        <v>875000</v>
      </c>
      <c r="R39" s="78">
        <f>DATABASE!S530</f>
        <v>875000</v>
      </c>
      <c r="S39" s="116">
        <f>DATABASE!T530</f>
        <v>720000</v>
      </c>
      <c r="T39" s="78">
        <f>DATABASE!U530</f>
        <v>0</v>
      </c>
      <c r="U39" s="116">
        <f>DATABASE!V530</f>
        <v>0</v>
      </c>
      <c r="V39" s="79">
        <f>DATABASE!W530</f>
        <v>720000</v>
      </c>
      <c r="W39" s="80">
        <f>DATABASE!X530</f>
        <v>0</v>
      </c>
      <c r="X39" s="79">
        <f>DATABASE!Y530</f>
        <v>0</v>
      </c>
      <c r="Y39" s="79">
        <f>DATABASE!Z530</f>
        <v>0</v>
      </c>
      <c r="Z39" s="79" t="e">
        <f>DATABASE!#REF!</f>
        <v>#REF!</v>
      </c>
      <c r="AA39" s="81">
        <f>DATABASE!AA530</f>
        <v>0</v>
      </c>
      <c r="AB39" s="82" t="str">
        <f>DATABASE!AB530</f>
        <v>TBD</v>
      </c>
    </row>
    <row r="40" spans="1:28">
      <c r="A40" s="71" t="str">
        <f>DATABASE!A531</f>
        <v>Aroeira - APARTMENTS</v>
      </c>
      <c r="B40" s="89" t="str">
        <f>DATABASE!B531</f>
        <v>Center</v>
      </c>
      <c r="C40" s="89" t="str">
        <f>DATABASE!C531</f>
        <v>114B</v>
      </c>
      <c r="D40" s="91" t="str">
        <f>DATABASE!E531</f>
        <v>2-BR</v>
      </c>
      <c r="E40" s="91">
        <f>DATABASE!F531</f>
        <v>261.39</v>
      </c>
      <c r="F40" s="91">
        <f>DATABASE!G531</f>
        <v>0</v>
      </c>
      <c r="G40" s="91" t="str">
        <f>DATABASE!H531</f>
        <v>1</v>
      </c>
      <c r="H40" s="91" t="str">
        <f>DATABASE!I531</f>
        <v/>
      </c>
      <c r="I40" s="93">
        <f>DATABASE!J531</f>
        <v>3.87</v>
      </c>
      <c r="J40" s="93">
        <f>DATABASE!K531</f>
        <v>145.04</v>
      </c>
      <c r="K40" s="93">
        <f>DATABASE!L531</f>
        <v>0</v>
      </c>
      <c r="L40" s="72">
        <f>DATABASE!M531</f>
        <v>0</v>
      </c>
      <c r="M40" s="93">
        <f>DATABASE!N531</f>
        <v>0</v>
      </c>
      <c r="N40" s="107">
        <f>DATABASE!O531</f>
        <v>112.48</v>
      </c>
      <c r="O40" s="88">
        <f>DATABASE!P531</f>
        <v>0</v>
      </c>
      <c r="P40" s="88" t="str">
        <f>DATABASE!Q531</f>
        <v>NOT FOR SALE</v>
      </c>
      <c r="Q40" s="78">
        <f>DATABASE!R531</f>
        <v>840000</v>
      </c>
      <c r="R40" s="78">
        <f>DATABASE!S531</f>
        <v>885000</v>
      </c>
      <c r="S40" s="116">
        <f>DATABASE!T531</f>
        <v>910000</v>
      </c>
      <c r="T40" s="78">
        <f>DATABASE!U531</f>
        <v>0</v>
      </c>
      <c r="U40" s="116">
        <f>DATABASE!V531</f>
        <v>45000</v>
      </c>
      <c r="V40" s="79">
        <f>DATABASE!W531</f>
        <v>865000</v>
      </c>
      <c r="W40" s="80">
        <f>DATABASE!X531</f>
        <v>0</v>
      </c>
      <c r="X40" s="79">
        <f>DATABASE!Y531</f>
        <v>0</v>
      </c>
      <c r="Y40" s="79">
        <f>DATABASE!Z531</f>
        <v>-45000</v>
      </c>
      <c r="Z40" s="79" t="e">
        <f>DATABASE!#REF!</f>
        <v>#REF!</v>
      </c>
      <c r="AA40" s="81">
        <f>DATABASE!AA531</f>
        <v>0</v>
      </c>
      <c r="AB40" s="82">
        <f>DATABASE!AB531</f>
        <v>47118</v>
      </c>
    </row>
    <row r="41" spans="1:28">
      <c r="A41" s="71" t="str">
        <f>DATABASE!A532</f>
        <v>Aroeira - APARTMENTS</v>
      </c>
      <c r="B41" s="89" t="str">
        <f>DATABASE!B532</f>
        <v>Center</v>
      </c>
      <c r="C41" s="89" t="str">
        <f>DATABASE!C532</f>
        <v>116B</v>
      </c>
      <c r="D41" s="91" t="str">
        <f>DATABASE!E532</f>
        <v>2-BR</v>
      </c>
      <c r="E41" s="91">
        <f>DATABASE!F532</f>
        <v>263.27999999999997</v>
      </c>
      <c r="F41" s="91">
        <f>DATABASE!G532</f>
        <v>0</v>
      </c>
      <c r="G41" s="91" t="str">
        <f>DATABASE!H532</f>
        <v>1</v>
      </c>
      <c r="H41" s="91" t="str">
        <f>DATABASE!I532</f>
        <v/>
      </c>
      <c r="I41" s="93">
        <f>DATABASE!J532</f>
        <v>3.87</v>
      </c>
      <c r="J41" s="93">
        <f>DATABASE!K532</f>
        <v>146.97999999999999</v>
      </c>
      <c r="K41" s="93">
        <f>DATABASE!L532</f>
        <v>0</v>
      </c>
      <c r="L41" s="72">
        <f>DATABASE!M532</f>
        <v>0</v>
      </c>
      <c r="M41" s="93">
        <f>DATABASE!N532</f>
        <v>0</v>
      </c>
      <c r="N41" s="107">
        <f>DATABASE!O532</f>
        <v>112.43</v>
      </c>
      <c r="O41" s="88">
        <f>DATABASE!P532</f>
        <v>0</v>
      </c>
      <c r="P41" s="88" t="str">
        <f>DATABASE!Q532</f>
        <v>NOT FOR SALE</v>
      </c>
      <c r="Q41" s="78">
        <f>DATABASE!R532</f>
        <v>840000</v>
      </c>
      <c r="R41" s="78">
        <f>DATABASE!S532</f>
        <v>885000</v>
      </c>
      <c r="S41" s="116">
        <f>DATABASE!T532</f>
        <v>910000</v>
      </c>
      <c r="T41" s="78">
        <f>DATABASE!U532</f>
        <v>0</v>
      </c>
      <c r="U41" s="116">
        <f>DATABASE!V532</f>
        <v>45000</v>
      </c>
      <c r="V41" s="79">
        <f>DATABASE!W532</f>
        <v>865000</v>
      </c>
      <c r="W41" s="80">
        <f>DATABASE!X532</f>
        <v>0</v>
      </c>
      <c r="X41" s="79">
        <f>DATABASE!Y532</f>
        <v>0</v>
      </c>
      <c r="Y41" s="79">
        <f>DATABASE!Z532</f>
        <v>-45000</v>
      </c>
      <c r="Z41" s="79" t="e">
        <f>DATABASE!#REF!</f>
        <v>#REF!</v>
      </c>
      <c r="AA41" s="81">
        <f>DATABASE!AA532</f>
        <v>0</v>
      </c>
      <c r="AB41" s="82">
        <f>DATABASE!AB532</f>
        <v>47118</v>
      </c>
    </row>
    <row r="42" spans="1:28">
      <c r="A42" s="71" t="str">
        <f>DATABASE!A533</f>
        <v>ZESTIA</v>
      </c>
      <c r="B42" s="89" t="str">
        <f>DATABASE!B533</f>
        <v>Vilamoura</v>
      </c>
      <c r="C42" s="89" t="str">
        <f>DATABASE!C533</f>
        <v>AO</v>
      </c>
      <c r="D42" s="91" t="str">
        <f>DATABASE!E533</f>
        <v>T2 LO</v>
      </c>
      <c r="E42" s="91">
        <f>DATABASE!F533</f>
        <v>123.3</v>
      </c>
      <c r="F42" s="91">
        <f>DATABASE!G533</f>
        <v>0</v>
      </c>
      <c r="G42" s="91" t="str">
        <f>DATABASE!H533</f>
        <v/>
      </c>
      <c r="H42" s="91" t="str">
        <f>DATABASE!I533</f>
        <v/>
      </c>
      <c r="I42" s="93">
        <f>DATABASE!J533</f>
        <v>33.21</v>
      </c>
      <c r="J42" s="93">
        <f>DATABASE!K533</f>
        <v>0</v>
      </c>
      <c r="K42" s="93">
        <f>DATABASE!L533</f>
        <v>0</v>
      </c>
      <c r="L42" s="72">
        <f>DATABASE!M533</f>
        <v>0</v>
      </c>
      <c r="M42" s="93">
        <f>DATABASE!N533</f>
        <v>0</v>
      </c>
      <c r="N42" s="107">
        <f>DATABASE!O533</f>
        <v>90.09</v>
      </c>
      <c r="O42" s="88">
        <f>DATABASE!P533</f>
        <v>0</v>
      </c>
      <c r="P42" s="88" t="str">
        <f>DATABASE!Q533</f>
        <v>AVAILABLE</v>
      </c>
      <c r="Q42" s="78">
        <f>DATABASE!R533</f>
        <v>717095.71959999995</v>
      </c>
      <c r="R42" s="78">
        <f>DATABASE!S533</f>
        <v>781695.71959999995</v>
      </c>
      <c r="S42" s="116">
        <f>DATABASE!T533</f>
        <v>850000</v>
      </c>
      <c r="T42" s="78">
        <f>DATABASE!U533</f>
        <v>24600</v>
      </c>
      <c r="U42" s="116">
        <f>DATABASE!V533</f>
        <v>40000</v>
      </c>
      <c r="V42" s="79">
        <f>DATABASE!W533</f>
        <v>785400</v>
      </c>
      <c r="W42" s="80">
        <f>DATABASE!X533</f>
        <v>0</v>
      </c>
      <c r="X42" s="79">
        <f>DATABASE!Y533</f>
        <v>850000</v>
      </c>
      <c r="Y42" s="79">
        <f>DATABASE!Z533</f>
        <v>785400</v>
      </c>
      <c r="Z42" s="79" t="e">
        <f>DATABASE!#REF!</f>
        <v>#REF!</v>
      </c>
      <c r="AA42" s="81">
        <f>DATABASE!AA533</f>
        <v>0</v>
      </c>
      <c r="AB42" s="82">
        <f>DATABASE!AB533</f>
        <v>0</v>
      </c>
    </row>
    <row r="43" spans="1:28">
      <c r="A43" s="71" t="str">
        <f>DATABASE!A534</f>
        <v>Aroeira - APARTMENTS</v>
      </c>
      <c r="B43" s="89" t="str">
        <f>DATABASE!B534</f>
        <v>Center</v>
      </c>
      <c r="C43" s="89" t="str">
        <f>DATABASE!C534</f>
        <v>118B</v>
      </c>
      <c r="D43" s="91" t="str">
        <f>DATABASE!E534</f>
        <v>2-BR</v>
      </c>
      <c r="E43" s="91">
        <f>DATABASE!F534</f>
        <v>256.23</v>
      </c>
      <c r="F43" s="91">
        <f>DATABASE!G534</f>
        <v>0</v>
      </c>
      <c r="G43" s="91" t="str">
        <f>DATABASE!H534</f>
        <v>1</v>
      </c>
      <c r="H43" s="91" t="str">
        <f>DATABASE!I534</f>
        <v/>
      </c>
      <c r="I43" s="93">
        <f>DATABASE!J534</f>
        <v>3.87</v>
      </c>
      <c r="J43" s="93">
        <f>DATABASE!K534</f>
        <v>138.54</v>
      </c>
      <c r="K43" s="93">
        <f>DATABASE!L534</f>
        <v>0</v>
      </c>
      <c r="L43" s="72">
        <f>DATABASE!M534</f>
        <v>0</v>
      </c>
      <c r="M43" s="93">
        <f>DATABASE!N534</f>
        <v>0</v>
      </c>
      <c r="N43" s="107">
        <f>DATABASE!O534</f>
        <v>113.82</v>
      </c>
      <c r="O43" s="88">
        <f>DATABASE!P534</f>
        <v>0</v>
      </c>
      <c r="P43" s="88" t="str">
        <f>DATABASE!Q534</f>
        <v>NOT FOR SALE</v>
      </c>
      <c r="Q43" s="78">
        <f>DATABASE!R534</f>
        <v>845000</v>
      </c>
      <c r="R43" s="78">
        <f>DATABASE!S534</f>
        <v>890000</v>
      </c>
      <c r="S43" s="116">
        <f>DATABASE!T534</f>
        <v>915000</v>
      </c>
      <c r="T43" s="78">
        <f>DATABASE!U534</f>
        <v>0</v>
      </c>
      <c r="U43" s="116">
        <f>DATABASE!V534</f>
        <v>45000</v>
      </c>
      <c r="V43" s="79">
        <f>DATABASE!W534</f>
        <v>870000</v>
      </c>
      <c r="W43" s="80">
        <f>DATABASE!X534</f>
        <v>0</v>
      </c>
      <c r="X43" s="79">
        <f>DATABASE!Y534</f>
        <v>0</v>
      </c>
      <c r="Y43" s="79">
        <f>DATABASE!Z534</f>
        <v>-45000</v>
      </c>
      <c r="Z43" s="79" t="e">
        <f>DATABASE!#REF!</f>
        <v>#REF!</v>
      </c>
      <c r="AA43" s="81">
        <f>DATABASE!AA534</f>
        <v>0</v>
      </c>
      <c r="AB43" s="82">
        <f>DATABASE!AB534</f>
        <v>47118</v>
      </c>
    </row>
    <row r="44" spans="1:28">
      <c r="A44" s="71" t="str">
        <f>DATABASE!A535</f>
        <v>BOTÂNICA</v>
      </c>
      <c r="B44" s="89" t="str">
        <f>DATABASE!B535</f>
        <v>Vilamoura</v>
      </c>
      <c r="C44" s="89" t="str">
        <f>DATABASE!C535</f>
        <v>AP</v>
      </c>
      <c r="D44" s="91" t="str">
        <f>DATABASE!E535</f>
        <v>T2</v>
      </c>
      <c r="E44" s="91">
        <f>DATABASE!F535</f>
        <v>151.36000000000001</v>
      </c>
      <c r="F44" s="91">
        <f>DATABASE!G535</f>
        <v>0</v>
      </c>
      <c r="G44" s="91" t="str">
        <f>DATABASE!H535</f>
        <v>2</v>
      </c>
      <c r="H44" s="91" t="str">
        <f>DATABASE!I535</f>
        <v/>
      </c>
      <c r="I44" s="93">
        <f>DATABASE!J535</f>
        <v>27.6</v>
      </c>
      <c r="J44" s="93">
        <f>DATABASE!K535</f>
        <v>0</v>
      </c>
      <c r="K44" s="93">
        <f>DATABASE!L535</f>
        <v>0</v>
      </c>
      <c r="L44" s="72">
        <f>DATABASE!M535</f>
        <v>0</v>
      </c>
      <c r="M44" s="93">
        <f>DATABASE!N535</f>
        <v>0</v>
      </c>
      <c r="N44" s="107">
        <f>DATABASE!O535</f>
        <v>123.76</v>
      </c>
      <c r="O44" s="88">
        <f>DATABASE!P535</f>
        <v>0</v>
      </c>
      <c r="P44" s="88" t="str">
        <f>DATABASE!Q535</f>
        <v>AVAILABLE</v>
      </c>
      <c r="Q44" s="78">
        <f>DATABASE!R535</f>
        <v>1115473.9199999999</v>
      </c>
      <c r="R44" s="78">
        <f>DATABASE!S535</f>
        <v>1115473.9199999999</v>
      </c>
      <c r="S44" s="116">
        <f>DATABASE!T535</f>
        <v>1175000</v>
      </c>
      <c r="T44" s="78">
        <f>DATABASE!U535</f>
        <v>0</v>
      </c>
      <c r="U44" s="116">
        <f>DATABASE!V535</f>
        <v>0</v>
      </c>
      <c r="V44" s="79">
        <f>DATABASE!W535</f>
        <v>1175000</v>
      </c>
      <c r="W44" s="80">
        <f>DATABASE!X535</f>
        <v>0</v>
      </c>
      <c r="X44" s="79">
        <f>DATABASE!Y535</f>
        <v>1120000</v>
      </c>
      <c r="Y44" s="79">
        <f>DATABASE!Z535</f>
        <v>1120000</v>
      </c>
      <c r="Z44" s="79" t="e">
        <f>DATABASE!#REF!</f>
        <v>#REF!</v>
      </c>
      <c r="AA44" s="81">
        <f>DATABASE!AA535</f>
        <v>0</v>
      </c>
      <c r="AB44" s="82">
        <f>DATABASE!AB535</f>
        <v>0</v>
      </c>
    </row>
    <row r="45" spans="1:28">
      <c r="A45" s="71" t="str">
        <f>DATABASE!A536</f>
        <v>NOBILUS</v>
      </c>
      <c r="B45" s="89" t="str">
        <f>DATABASE!B536</f>
        <v>Vilamoura</v>
      </c>
      <c r="C45" s="89" t="str">
        <f>DATABASE!C536</f>
        <v>AP</v>
      </c>
      <c r="D45" s="91" t="str">
        <f>DATABASE!E536</f>
        <v>T2</v>
      </c>
      <c r="E45" s="91">
        <f>DATABASE!F536</f>
        <v>111.39</v>
      </c>
      <c r="F45" s="91">
        <f>DATABASE!G536</f>
        <v>0</v>
      </c>
      <c r="G45" s="91" t="str">
        <f>DATABASE!H536</f>
        <v/>
      </c>
      <c r="H45" s="91" t="str">
        <f>DATABASE!I536</f>
        <v/>
      </c>
      <c r="I45" s="93">
        <f>DATABASE!J536</f>
        <v>4.55</v>
      </c>
      <c r="J45" s="93">
        <f>DATABASE!K536</f>
        <v>0</v>
      </c>
      <c r="K45" s="93">
        <f>DATABASE!L536</f>
        <v>0</v>
      </c>
      <c r="L45" s="72">
        <f>DATABASE!M536</f>
        <v>0</v>
      </c>
      <c r="M45" s="93">
        <f>DATABASE!N536</f>
        <v>0</v>
      </c>
      <c r="N45" s="107">
        <f>DATABASE!O536</f>
        <v>111.39</v>
      </c>
      <c r="O45" s="88">
        <f>DATABASE!P536</f>
        <v>0</v>
      </c>
      <c r="P45" s="88" t="str">
        <f>DATABASE!Q536</f>
        <v>AVAILABLE</v>
      </c>
      <c r="Q45" s="78">
        <f>DATABASE!R536</f>
        <v>720000</v>
      </c>
      <c r="R45" s="78">
        <f>DATABASE!S536</f>
        <v>720000</v>
      </c>
      <c r="S45" s="116">
        <f>DATABASE!T536</f>
        <v>720000</v>
      </c>
      <c r="T45" s="78">
        <f>DATABASE!U536</f>
        <v>0</v>
      </c>
      <c r="U45" s="116">
        <f>DATABASE!V536</f>
        <v>0</v>
      </c>
      <c r="V45" s="79">
        <f>DATABASE!W536</f>
        <v>720000</v>
      </c>
      <c r="W45" s="80">
        <f>DATABASE!X536</f>
        <v>0</v>
      </c>
      <c r="X45" s="79">
        <f>DATABASE!Y536</f>
        <v>720000</v>
      </c>
      <c r="Y45" s="79">
        <f>DATABASE!Z536</f>
        <v>720000</v>
      </c>
      <c r="Z45" s="79" t="e">
        <f>DATABASE!#REF!</f>
        <v>#REF!</v>
      </c>
      <c r="AA45" s="81">
        <f>DATABASE!AA536</f>
        <v>0</v>
      </c>
      <c r="AB45" s="82">
        <f>DATABASE!AB536</f>
        <v>0</v>
      </c>
    </row>
    <row r="46" spans="1:28">
      <c r="A46" s="71" t="str">
        <f>DATABASE!A537</f>
        <v>SPRINGS</v>
      </c>
      <c r="B46" s="89" t="str">
        <f>DATABASE!B537</f>
        <v>Vilamoura</v>
      </c>
      <c r="C46" s="89" t="str">
        <f>DATABASE!C537</f>
        <v>AP</v>
      </c>
      <c r="D46" s="91" t="str">
        <f>DATABASE!E537</f>
        <v>V2 Duplex</v>
      </c>
      <c r="E46" s="91">
        <f>DATABASE!F537</f>
        <v>333.99</v>
      </c>
      <c r="F46" s="91">
        <f>DATABASE!G537</f>
        <v>172.78</v>
      </c>
      <c r="G46" s="91" t="str">
        <f>DATABASE!H537</f>
        <v/>
      </c>
      <c r="H46" s="91" t="str">
        <f>DATABASE!I537</f>
        <v/>
      </c>
      <c r="I46" s="93">
        <f>DATABASE!J537</f>
        <v>25.77</v>
      </c>
      <c r="J46" s="93">
        <f>DATABASE!K537</f>
        <v>0</v>
      </c>
      <c r="K46" s="93">
        <f>DATABASE!L537</f>
        <v>0</v>
      </c>
      <c r="L46" s="72">
        <f>DATABASE!M537</f>
        <v>0</v>
      </c>
      <c r="M46" s="93">
        <f>DATABASE!N537</f>
        <v>0</v>
      </c>
      <c r="N46" s="107">
        <f>DATABASE!O537</f>
        <v>135.44</v>
      </c>
      <c r="O46" s="88">
        <f>DATABASE!P537</f>
        <v>0</v>
      </c>
      <c r="P46" s="88" t="str">
        <f>DATABASE!Q537</f>
        <v>AVAILABLE</v>
      </c>
      <c r="Q46" s="78">
        <f>DATABASE!R537</f>
        <v>1717700</v>
      </c>
      <c r="R46" s="78">
        <f>DATABASE!S537</f>
        <v>1788850</v>
      </c>
      <c r="S46" s="116">
        <f>DATABASE!T537</f>
        <v>1860000</v>
      </c>
      <c r="T46" s="78">
        <f>DATABASE!U537</f>
        <v>24600</v>
      </c>
      <c r="U46" s="116">
        <f>DATABASE!V537</f>
        <v>46550</v>
      </c>
      <c r="V46" s="79">
        <f>DATABASE!W537</f>
        <v>1788850</v>
      </c>
      <c r="W46" s="80">
        <f>DATABASE!X537</f>
        <v>0</v>
      </c>
      <c r="X46" s="79">
        <f>DATABASE!Y537</f>
        <v>1860000</v>
      </c>
      <c r="Y46" s="79">
        <f>DATABASE!Z537</f>
        <v>1788850</v>
      </c>
      <c r="Z46" s="79" t="e">
        <f>DATABASE!#REF!</f>
        <v>#REF!</v>
      </c>
      <c r="AA46" s="81">
        <f>DATABASE!AA537</f>
        <v>0</v>
      </c>
      <c r="AB46" s="82">
        <f>DATABASE!AB537</f>
        <v>0</v>
      </c>
    </row>
    <row r="47" spans="1:28">
      <c r="A47" s="71" t="str">
        <f>DATABASE!A538</f>
        <v>TERRACOTA</v>
      </c>
      <c r="B47" s="89" t="str">
        <f>DATABASE!B538</f>
        <v>Vilamoura</v>
      </c>
      <c r="C47" s="89" t="str">
        <f>DATABASE!C538</f>
        <v>AP</v>
      </c>
      <c r="D47" s="91" t="str">
        <f>DATABASE!E538</f>
        <v>T2</v>
      </c>
      <c r="E47" s="91">
        <f>DATABASE!F538</f>
        <v>104.7</v>
      </c>
      <c r="F47" s="91">
        <f>DATABASE!G538</f>
        <v>0</v>
      </c>
      <c r="G47" s="91" t="str">
        <f>DATABASE!H538</f>
        <v/>
      </c>
      <c r="H47" s="91" t="str">
        <f>DATABASE!I538</f>
        <v/>
      </c>
      <c r="I47" s="93">
        <f>DATABASE!J538</f>
        <v>0</v>
      </c>
      <c r="J47" s="93">
        <f>DATABASE!K538</f>
        <v>0</v>
      </c>
      <c r="K47" s="93">
        <f>DATABASE!L538</f>
        <v>0</v>
      </c>
      <c r="L47" s="72">
        <f>DATABASE!M538</f>
        <v>0</v>
      </c>
      <c r="M47" s="93">
        <f>DATABASE!N538</f>
        <v>0</v>
      </c>
      <c r="N47" s="107">
        <f>DATABASE!O538</f>
        <v>104.7</v>
      </c>
      <c r="O47" s="88">
        <f>DATABASE!P538</f>
        <v>0</v>
      </c>
      <c r="P47" s="88" t="str">
        <f>DATABASE!Q538</f>
        <v xml:space="preserve">PSPA </v>
      </c>
      <c r="Q47" s="78">
        <f>DATABASE!R538</f>
        <v>540000</v>
      </c>
      <c r="R47" s="78">
        <f>DATABASE!S538</f>
        <v>540000</v>
      </c>
      <c r="S47" s="116">
        <f>DATABASE!T538</f>
        <v>555000</v>
      </c>
      <c r="T47" s="78">
        <f>DATABASE!U538</f>
        <v>0</v>
      </c>
      <c r="U47" s="116">
        <f>DATABASE!V538</f>
        <v>0</v>
      </c>
      <c r="V47" s="79">
        <f>DATABASE!W538</f>
        <v>555000</v>
      </c>
      <c r="W47" s="80">
        <f>DATABASE!X538</f>
        <v>0</v>
      </c>
      <c r="X47" s="79">
        <f>DATABASE!Y538</f>
        <v>555000</v>
      </c>
      <c r="Y47" s="79">
        <f>DATABASE!Z538</f>
        <v>555000</v>
      </c>
      <c r="Z47" s="79" t="e">
        <f>DATABASE!#REF!</f>
        <v>#REF!</v>
      </c>
      <c r="AA47" s="81" t="e">
        <f>DATABASE!#REF!</f>
        <v>#REF!</v>
      </c>
      <c r="AB47" s="82">
        <f>DATABASE!AB538</f>
        <v>0</v>
      </c>
    </row>
    <row r="48" spans="1:28">
      <c r="A48" s="71" t="str">
        <f>DATABASE!A539</f>
        <v>Aroeira - HOTEL APARTMENTS</v>
      </c>
      <c r="B48" s="89" t="str">
        <f>DATABASE!B539</f>
        <v>Center</v>
      </c>
      <c r="C48" s="89" t="str">
        <f>DATABASE!C539</f>
        <v>136A</v>
      </c>
      <c r="D48" s="91" t="str">
        <f>DATABASE!E539</f>
        <v>1-BR</v>
      </c>
      <c r="E48" s="91">
        <f>DATABASE!F539</f>
        <v>56.5</v>
      </c>
      <c r="F48" s="91">
        <f>DATABASE!G539</f>
        <v>0</v>
      </c>
      <c r="G48" s="91" t="str">
        <f>DATABASE!H539</f>
        <v>1</v>
      </c>
      <c r="H48" s="91" t="str">
        <f>DATABASE!I539</f>
        <v/>
      </c>
      <c r="I48" s="93">
        <f>DATABASE!J539</f>
        <v>5</v>
      </c>
      <c r="J48" s="93">
        <f>DATABASE!K539</f>
        <v>0</v>
      </c>
      <c r="K48" s="93">
        <f>DATABASE!L539</f>
        <v>0</v>
      </c>
      <c r="L48" s="72">
        <f>DATABASE!M539</f>
        <v>0</v>
      </c>
      <c r="M48" s="93">
        <f>DATABASE!N539</f>
        <v>0</v>
      </c>
      <c r="N48" s="107">
        <f>DATABASE!O539</f>
        <v>51.5</v>
      </c>
      <c r="O48" s="88">
        <f>DATABASE!P539</f>
        <v>0</v>
      </c>
      <c r="P48" s="88" t="str">
        <f>DATABASE!Q539</f>
        <v xml:space="preserve">PSPA </v>
      </c>
      <c r="Q48" s="78">
        <f>DATABASE!R539</f>
        <v>2715000</v>
      </c>
      <c r="R48" s="78">
        <f>DATABASE!S539</f>
        <v>2750000</v>
      </c>
      <c r="S48" s="116">
        <f>DATABASE!T539</f>
        <v>370000</v>
      </c>
      <c r="T48" s="78">
        <f>DATABASE!U539</f>
        <v>0</v>
      </c>
      <c r="U48" s="116">
        <f>DATABASE!V539</f>
        <v>35000</v>
      </c>
      <c r="V48" s="79">
        <f>DATABASE!W539</f>
        <v>335000</v>
      </c>
      <c r="W48" s="80">
        <f>DATABASE!X539</f>
        <v>0</v>
      </c>
      <c r="X48" s="79">
        <f>DATABASE!Y539</f>
        <v>370000</v>
      </c>
      <c r="Y48" s="79">
        <f>DATABASE!Z539</f>
        <v>335000</v>
      </c>
      <c r="Z48" s="79" t="e">
        <f>DATABASE!#REF!</f>
        <v>#REF!</v>
      </c>
      <c r="AA48" s="81" t="e">
        <f>DATABASE!#REF!</f>
        <v>#REF!</v>
      </c>
      <c r="AB48" s="82">
        <f>DATABASE!AB539</f>
        <v>47118</v>
      </c>
    </row>
    <row r="49" spans="1:28">
      <c r="A49" s="71" t="str">
        <f>DATABASE!A540</f>
        <v xml:space="preserve">MR - CHR </v>
      </c>
      <c r="B49" s="89" t="str">
        <f>DATABASE!B540</f>
        <v>Algarve</v>
      </c>
      <c r="C49" s="89" t="str">
        <f>DATABASE!C540</f>
        <v>AI</v>
      </c>
      <c r="D49" s="91" t="str">
        <f>DATABASE!E540</f>
        <v>T2</v>
      </c>
      <c r="E49" s="91">
        <f>DATABASE!F540</f>
        <v>194.7</v>
      </c>
      <c r="F49" s="91">
        <f>DATABASE!G540</f>
        <v>0</v>
      </c>
      <c r="G49" s="91" t="str">
        <f>DATABASE!H540</f>
        <v/>
      </c>
      <c r="H49" s="91" t="str">
        <f>DATABASE!I540</f>
        <v/>
      </c>
      <c r="I49" s="93">
        <f>DATABASE!J540</f>
        <v>0</v>
      </c>
      <c r="J49" s="93">
        <f>DATABASE!K540</f>
        <v>0</v>
      </c>
      <c r="K49" s="93">
        <f>DATABASE!L540</f>
        <v>0</v>
      </c>
      <c r="L49" s="72">
        <f>DATABASE!M540</f>
        <v>38.22</v>
      </c>
      <c r="M49" s="93">
        <f>DATABASE!N540</f>
        <v>0</v>
      </c>
      <c r="N49" s="107">
        <f>DATABASE!O540</f>
        <v>156.47999999999999</v>
      </c>
      <c r="O49" s="88">
        <f>DATABASE!P540</f>
        <v>0</v>
      </c>
      <c r="P49" s="88" t="str">
        <f>DATABASE!Q540</f>
        <v>AVAILABLE</v>
      </c>
      <c r="Q49" s="78">
        <f>DATABASE!R540</f>
        <v>895000</v>
      </c>
      <c r="R49" s="78">
        <f>DATABASE!S540</f>
        <v>895000</v>
      </c>
      <c r="S49" s="116">
        <f>DATABASE!T540</f>
        <v>790000</v>
      </c>
      <c r="T49" s="78">
        <f>DATABASE!U540</f>
        <v>0</v>
      </c>
      <c r="U49" s="116">
        <f>DATABASE!V540</f>
        <v>0</v>
      </c>
      <c r="V49" s="79">
        <f>DATABASE!W540</f>
        <v>790000</v>
      </c>
      <c r="W49" s="80">
        <f>DATABASE!X540</f>
        <v>0</v>
      </c>
      <c r="X49" s="79">
        <f>DATABASE!Y540</f>
        <v>0</v>
      </c>
      <c r="Y49" s="79">
        <f>DATABASE!Z540</f>
        <v>0</v>
      </c>
      <c r="Z49" s="79" t="e">
        <f>DATABASE!#REF!</f>
        <v>#REF!</v>
      </c>
      <c r="AA49" s="81">
        <f>DATABASE!AA540</f>
        <v>0</v>
      </c>
      <c r="AB49" s="82" t="str">
        <f>DATABASE!AB540</f>
        <v>TBD</v>
      </c>
    </row>
    <row r="50" spans="1:28">
      <c r="A50" s="71" t="str">
        <f>DATABASE!A541</f>
        <v xml:space="preserve">MR - CHR </v>
      </c>
      <c r="B50" s="89" t="str">
        <f>DATABASE!B541</f>
        <v>Algarve</v>
      </c>
      <c r="C50" s="89" t="str">
        <f>DATABASE!C541</f>
        <v>AJ</v>
      </c>
      <c r="D50" s="91" t="str">
        <f>DATABASE!E541</f>
        <v>T2</v>
      </c>
      <c r="E50" s="91">
        <f>DATABASE!F541</f>
        <v>197.08</v>
      </c>
      <c r="F50" s="91">
        <f>DATABASE!G541</f>
        <v>0</v>
      </c>
      <c r="G50" s="91" t="str">
        <f>DATABASE!H541</f>
        <v/>
      </c>
      <c r="H50" s="91" t="str">
        <f>DATABASE!I541</f>
        <v/>
      </c>
      <c r="I50" s="93">
        <f>DATABASE!J541</f>
        <v>0</v>
      </c>
      <c r="J50" s="93">
        <f>DATABASE!K541</f>
        <v>0</v>
      </c>
      <c r="K50" s="93">
        <f>DATABASE!L541</f>
        <v>0</v>
      </c>
      <c r="L50" s="72">
        <f>DATABASE!M541</f>
        <v>43.02</v>
      </c>
      <c r="M50" s="93">
        <f>DATABASE!N541</f>
        <v>0</v>
      </c>
      <c r="N50" s="107">
        <f>DATABASE!O541</f>
        <v>154.06</v>
      </c>
      <c r="O50" s="88">
        <f>DATABASE!P541</f>
        <v>0</v>
      </c>
      <c r="P50" s="88" t="str">
        <f>DATABASE!Q541</f>
        <v>AVAILABLE</v>
      </c>
      <c r="Q50" s="78">
        <f>DATABASE!R541</f>
        <v>895000</v>
      </c>
      <c r="R50" s="78">
        <f>DATABASE!S541</f>
        <v>895000</v>
      </c>
      <c r="S50" s="116">
        <f>DATABASE!T541</f>
        <v>850000</v>
      </c>
      <c r="T50" s="78">
        <f>DATABASE!U541</f>
        <v>0</v>
      </c>
      <c r="U50" s="116">
        <f>DATABASE!V541</f>
        <v>0</v>
      </c>
      <c r="V50" s="79">
        <f>DATABASE!W541</f>
        <v>850000</v>
      </c>
      <c r="W50" s="80">
        <f>DATABASE!X541</f>
        <v>0</v>
      </c>
      <c r="X50" s="79">
        <f>DATABASE!Y541</f>
        <v>0</v>
      </c>
      <c r="Y50" s="79">
        <f>DATABASE!Z541</f>
        <v>0</v>
      </c>
      <c r="Z50" s="79" t="e">
        <f>DATABASE!#REF!</f>
        <v>#REF!</v>
      </c>
      <c r="AA50" s="81">
        <f>DATABASE!AA541</f>
        <v>0</v>
      </c>
      <c r="AB50" s="82" t="str">
        <f>DATABASE!AB541</f>
        <v>TBD</v>
      </c>
    </row>
    <row r="51" spans="1:28">
      <c r="A51" s="71" t="str">
        <f>DATABASE!A542</f>
        <v xml:space="preserve">MR - CHR </v>
      </c>
      <c r="B51" s="89" t="str">
        <f>DATABASE!B542</f>
        <v>Algarve</v>
      </c>
      <c r="C51" s="89" t="str">
        <f>DATABASE!C542</f>
        <v>K</v>
      </c>
      <c r="D51" s="91" t="str">
        <f>DATABASE!E542</f>
        <v>T2</v>
      </c>
      <c r="E51" s="91">
        <f>DATABASE!F542</f>
        <v>197.08</v>
      </c>
      <c r="F51" s="91">
        <f>DATABASE!G542</f>
        <v>0</v>
      </c>
      <c r="G51" s="91" t="str">
        <f>DATABASE!H542</f>
        <v/>
      </c>
      <c r="H51" s="91" t="str">
        <f>DATABASE!I542</f>
        <v/>
      </c>
      <c r="I51" s="93">
        <f>DATABASE!J542</f>
        <v>0</v>
      </c>
      <c r="J51" s="93">
        <f>DATABASE!K542</f>
        <v>0</v>
      </c>
      <c r="K51" s="93">
        <f>DATABASE!L542</f>
        <v>0</v>
      </c>
      <c r="L51" s="72">
        <f>DATABASE!M542</f>
        <v>43.02</v>
      </c>
      <c r="M51" s="93">
        <f>DATABASE!N542</f>
        <v>0</v>
      </c>
      <c r="N51" s="107">
        <f>DATABASE!O542</f>
        <v>154.06</v>
      </c>
      <c r="O51" s="88">
        <f>DATABASE!P542</f>
        <v>0</v>
      </c>
      <c r="P51" s="88" t="str">
        <f>DATABASE!Q542</f>
        <v>RESERVED</v>
      </c>
      <c r="Q51" s="78">
        <f>DATABASE!R542</f>
        <v>900000</v>
      </c>
      <c r="R51" s="78">
        <f>DATABASE!S542</f>
        <v>900000</v>
      </c>
      <c r="S51" s="116">
        <f>DATABASE!T542</f>
        <v>660000</v>
      </c>
      <c r="T51" s="78">
        <f>DATABASE!U542</f>
        <v>0</v>
      </c>
      <c r="U51" s="116">
        <f>DATABASE!V542</f>
        <v>0</v>
      </c>
      <c r="V51" s="79">
        <f>DATABASE!W542</f>
        <v>660000</v>
      </c>
      <c r="W51" s="80">
        <f>DATABASE!X542</f>
        <v>0</v>
      </c>
      <c r="X51" s="79">
        <f>DATABASE!Y542</f>
        <v>660000</v>
      </c>
      <c r="Y51" s="79">
        <f>DATABASE!Z542</f>
        <v>660000</v>
      </c>
      <c r="Z51" s="79" t="e">
        <f>DATABASE!#REF!</f>
        <v>#REF!</v>
      </c>
      <c r="AA51" s="81">
        <f>DATABASE!AA542</f>
        <v>46094</v>
      </c>
      <c r="AB51" s="82" t="str">
        <f>DATABASE!AB542</f>
        <v>TBD</v>
      </c>
    </row>
    <row r="52" spans="1:28">
      <c r="A52" s="71" t="str">
        <f>DATABASE!A543</f>
        <v>THE NINE</v>
      </c>
      <c r="B52" s="89" t="str">
        <f>DATABASE!B543</f>
        <v>Vilamoura</v>
      </c>
      <c r="C52" s="89" t="str">
        <f>DATABASE!C543</f>
        <v>AP</v>
      </c>
      <c r="D52" s="91" t="str">
        <f>DATABASE!E543</f>
        <v>T3</v>
      </c>
      <c r="E52" s="91">
        <f>DATABASE!F543</f>
        <v>162</v>
      </c>
      <c r="F52" s="91">
        <f>DATABASE!G543</f>
        <v>0</v>
      </c>
      <c r="G52" s="91" t="str">
        <f>DATABASE!H543</f>
        <v/>
      </c>
      <c r="H52" s="91" t="str">
        <f>DATABASE!I543</f>
        <v/>
      </c>
      <c r="I52" s="93">
        <f>DATABASE!J543</f>
        <v>0</v>
      </c>
      <c r="J52" s="93">
        <f>DATABASE!K543</f>
        <v>0</v>
      </c>
      <c r="K52" s="93">
        <f>DATABASE!L543</f>
        <v>0</v>
      </c>
      <c r="L52" s="72">
        <f>DATABASE!M543</f>
        <v>0</v>
      </c>
      <c r="M52" s="93">
        <f>DATABASE!N543</f>
        <v>0</v>
      </c>
      <c r="N52" s="107">
        <f>DATABASE!O543</f>
        <v>162</v>
      </c>
      <c r="O52" s="88">
        <f>DATABASE!P543</f>
        <v>0</v>
      </c>
      <c r="P52" s="88" t="str">
        <f>DATABASE!Q543</f>
        <v xml:space="preserve">DEED </v>
      </c>
      <c r="Q52" s="78">
        <f>DATABASE!R543</f>
        <v>840000</v>
      </c>
      <c r="R52" s="78">
        <f>DATABASE!S543</f>
        <v>840000</v>
      </c>
      <c r="S52" s="116">
        <f>DATABASE!T543</f>
        <v>840000</v>
      </c>
      <c r="T52" s="78">
        <f>DATABASE!U543</f>
        <v>0</v>
      </c>
      <c r="U52" s="116">
        <f>DATABASE!V543</f>
        <v>0</v>
      </c>
      <c r="V52" s="79">
        <f>DATABASE!W543</f>
        <v>840000</v>
      </c>
      <c r="W52" s="80">
        <f>DATABASE!X543</f>
        <v>0</v>
      </c>
      <c r="X52" s="79">
        <f>DATABASE!Y543</f>
        <v>840000</v>
      </c>
      <c r="Y52" s="79">
        <f>DATABASE!Z543</f>
        <v>840000</v>
      </c>
      <c r="Z52" s="79" t="e">
        <f>DATABASE!#REF!</f>
        <v>#REF!</v>
      </c>
      <c r="AA52" s="81">
        <f>DATABASE!AA543</f>
        <v>45071</v>
      </c>
      <c r="AB52" s="82">
        <f>DATABASE!AB543</f>
        <v>0</v>
      </c>
    </row>
    <row r="53" spans="1:28">
      <c r="A53" s="71" t="str">
        <f>DATABASE!A544</f>
        <v>ZESTIA</v>
      </c>
      <c r="B53" s="89" t="str">
        <f>DATABASE!B544</f>
        <v>Vilamoura</v>
      </c>
      <c r="C53" s="89" t="str">
        <f>DATABASE!C544</f>
        <v>AP</v>
      </c>
      <c r="D53" s="91" t="str">
        <f>DATABASE!E544</f>
        <v>T2</v>
      </c>
      <c r="E53" s="91">
        <f>DATABASE!F544</f>
        <v>125.61</v>
      </c>
      <c r="F53" s="91">
        <f>DATABASE!G544</f>
        <v>0</v>
      </c>
      <c r="G53" s="91" t="str">
        <f>DATABASE!H544</f>
        <v/>
      </c>
      <c r="H53" s="91" t="str">
        <f>DATABASE!I544</f>
        <v/>
      </c>
      <c r="I53" s="93">
        <f>DATABASE!J544</f>
        <v>31.83</v>
      </c>
      <c r="J53" s="93">
        <f>DATABASE!K544</f>
        <v>0</v>
      </c>
      <c r="K53" s="93">
        <f>DATABASE!L544</f>
        <v>0</v>
      </c>
      <c r="L53" s="72">
        <f>DATABASE!M544</f>
        <v>0</v>
      </c>
      <c r="M53" s="93">
        <f>DATABASE!N544</f>
        <v>0</v>
      </c>
      <c r="N53" s="107">
        <f>DATABASE!O544</f>
        <v>93.78</v>
      </c>
      <c r="O53" s="88">
        <f>DATABASE!P544</f>
        <v>0</v>
      </c>
      <c r="P53" s="88" t="str">
        <f>DATABASE!Q544</f>
        <v>AVAILABLE</v>
      </c>
      <c r="Q53" s="78">
        <f>DATABASE!R544</f>
        <v>744797.72320000001</v>
      </c>
      <c r="R53" s="78">
        <f>DATABASE!S544</f>
        <v>809397.72320000001</v>
      </c>
      <c r="S53" s="116">
        <f>DATABASE!T544</f>
        <v>880000</v>
      </c>
      <c r="T53" s="78">
        <f>DATABASE!U544</f>
        <v>24600</v>
      </c>
      <c r="U53" s="116">
        <f>DATABASE!V544</f>
        <v>40000</v>
      </c>
      <c r="V53" s="79">
        <f>DATABASE!W544</f>
        <v>815400</v>
      </c>
      <c r="W53" s="80">
        <f>DATABASE!X544</f>
        <v>0</v>
      </c>
      <c r="X53" s="79">
        <f>DATABASE!Y544</f>
        <v>880000</v>
      </c>
      <c r="Y53" s="79">
        <f>DATABASE!Z544</f>
        <v>815400</v>
      </c>
      <c r="Z53" s="79" t="e">
        <f>DATABASE!#REF!</f>
        <v>#REF!</v>
      </c>
      <c r="AA53" s="81">
        <f>DATABASE!AA544</f>
        <v>0</v>
      </c>
      <c r="AB53" s="82">
        <f>DATABASE!AB544</f>
        <v>0</v>
      </c>
    </row>
    <row r="54" spans="1:28">
      <c r="A54" s="71" t="str">
        <f>DATABASE!A545</f>
        <v>Aroeira - HOTEL APARTMENTS</v>
      </c>
      <c r="B54" s="89" t="str">
        <f>DATABASE!B545</f>
        <v>Center</v>
      </c>
      <c r="C54" s="89" t="str">
        <f>DATABASE!C545</f>
        <v>145A</v>
      </c>
      <c r="D54" s="91" t="str">
        <f>DATABASE!E545</f>
        <v>1-BR</v>
      </c>
      <c r="E54" s="91">
        <f>DATABASE!F545</f>
        <v>56.5</v>
      </c>
      <c r="F54" s="91">
        <f>DATABASE!G545</f>
        <v>0</v>
      </c>
      <c r="G54" s="91" t="str">
        <f>DATABASE!H545</f>
        <v>1</v>
      </c>
      <c r="H54" s="91" t="str">
        <f>DATABASE!I545</f>
        <v/>
      </c>
      <c r="I54" s="93">
        <f>DATABASE!J545</f>
        <v>5</v>
      </c>
      <c r="J54" s="93">
        <f>DATABASE!K545</f>
        <v>0</v>
      </c>
      <c r="K54" s="93">
        <f>DATABASE!L545</f>
        <v>0</v>
      </c>
      <c r="L54" s="72">
        <f>DATABASE!M545</f>
        <v>0</v>
      </c>
      <c r="M54" s="93">
        <f>DATABASE!N545</f>
        <v>0</v>
      </c>
      <c r="N54" s="107">
        <f>DATABASE!O545</f>
        <v>51.5</v>
      </c>
      <c r="O54" s="88">
        <f>DATABASE!P545</f>
        <v>0</v>
      </c>
      <c r="P54" s="88" t="str">
        <f>DATABASE!Q545</f>
        <v xml:space="preserve">PSPA </v>
      </c>
      <c r="Q54" s="78">
        <f>DATABASE!R545</f>
        <v>3615000</v>
      </c>
      <c r="R54" s="78">
        <f>DATABASE!S545</f>
        <v>3650000</v>
      </c>
      <c r="S54" s="116">
        <f>DATABASE!T545</f>
        <v>370000</v>
      </c>
      <c r="T54" s="78">
        <f>DATABASE!U545</f>
        <v>0</v>
      </c>
      <c r="U54" s="116">
        <f>DATABASE!V545</f>
        <v>35000</v>
      </c>
      <c r="V54" s="79">
        <f>DATABASE!W545</f>
        <v>335000</v>
      </c>
      <c r="W54" s="80">
        <f>DATABASE!X545</f>
        <v>0</v>
      </c>
      <c r="X54" s="79">
        <f>DATABASE!Y545</f>
        <v>370000</v>
      </c>
      <c r="Y54" s="79">
        <f>DATABASE!Z545</f>
        <v>335000</v>
      </c>
      <c r="Z54" s="79" t="e">
        <f>DATABASE!#REF!</f>
        <v>#REF!</v>
      </c>
      <c r="AA54" s="81" t="e">
        <f>DATABASE!#REF!</f>
        <v>#REF!</v>
      </c>
      <c r="AB54" s="82">
        <f>DATABASE!AB545</f>
        <v>47118</v>
      </c>
    </row>
    <row r="55" spans="1:28">
      <c r="A55" s="71" t="str">
        <f>DATABASE!A546</f>
        <v>Aroeira - HOTEL APARTMENTS</v>
      </c>
      <c r="B55" s="89" t="str">
        <f>DATABASE!B546</f>
        <v>Center</v>
      </c>
      <c r="C55" s="89" t="str">
        <f>DATABASE!C546</f>
        <v>146A</v>
      </c>
      <c r="D55" s="91" t="str">
        <f>DATABASE!E546</f>
        <v>1-BR</v>
      </c>
      <c r="E55" s="91">
        <f>DATABASE!F546</f>
        <v>56.5</v>
      </c>
      <c r="F55" s="91">
        <f>DATABASE!G546</f>
        <v>0</v>
      </c>
      <c r="G55" s="91" t="str">
        <f>DATABASE!H546</f>
        <v>1</v>
      </c>
      <c r="H55" s="91" t="str">
        <f>DATABASE!I546</f>
        <v/>
      </c>
      <c r="I55" s="93">
        <f>DATABASE!J546</f>
        <v>5</v>
      </c>
      <c r="J55" s="93">
        <f>DATABASE!K546</f>
        <v>0</v>
      </c>
      <c r="K55" s="93">
        <f>DATABASE!L546</f>
        <v>0</v>
      </c>
      <c r="L55" s="72">
        <f>DATABASE!M546</f>
        <v>0</v>
      </c>
      <c r="M55" s="93">
        <f>DATABASE!N546</f>
        <v>0</v>
      </c>
      <c r="N55" s="107">
        <f>DATABASE!O546</f>
        <v>51.5</v>
      </c>
      <c r="O55" s="88">
        <f>DATABASE!P546</f>
        <v>0</v>
      </c>
      <c r="P55" s="88" t="str">
        <f>DATABASE!Q546</f>
        <v xml:space="preserve">PSPA </v>
      </c>
      <c r="Q55" s="78">
        <f>DATABASE!R546</f>
        <v>3615000</v>
      </c>
      <c r="R55" s="78">
        <f>DATABASE!S546</f>
        <v>3650000</v>
      </c>
      <c r="S55" s="116">
        <f>DATABASE!T546</f>
        <v>370000</v>
      </c>
      <c r="T55" s="78">
        <f>DATABASE!U546</f>
        <v>0</v>
      </c>
      <c r="U55" s="116">
        <f>DATABASE!V546</f>
        <v>35000</v>
      </c>
      <c r="V55" s="79">
        <f>DATABASE!W546</f>
        <v>335000</v>
      </c>
      <c r="W55" s="80">
        <f>DATABASE!X546</f>
        <v>0</v>
      </c>
      <c r="X55" s="79">
        <f>DATABASE!Y546</f>
        <v>370000</v>
      </c>
      <c r="Y55" s="79">
        <f>DATABASE!Z546</f>
        <v>335000</v>
      </c>
      <c r="Z55" s="79" t="e">
        <f>DATABASE!#REF!</f>
        <v>#REF!</v>
      </c>
      <c r="AA55" s="81" t="e">
        <f>DATABASE!#REF!</f>
        <v>#REF!</v>
      </c>
      <c r="AB55" s="82">
        <f>DATABASE!AB546</f>
        <v>47118</v>
      </c>
    </row>
    <row r="56" spans="1:28">
      <c r="A56" s="71" t="str">
        <f>DATABASE!A547</f>
        <v>BOTÂNICA</v>
      </c>
      <c r="B56" s="89" t="str">
        <f>DATABASE!B547</f>
        <v>Vilamoura</v>
      </c>
      <c r="C56" s="89" t="str">
        <f>DATABASE!C547</f>
        <v>AQ</v>
      </c>
      <c r="D56" s="91" t="str">
        <f>DATABASE!E547</f>
        <v>T4</v>
      </c>
      <c r="E56" s="91">
        <f>DATABASE!F547</f>
        <v>390.53</v>
      </c>
      <c r="F56" s="91">
        <f>DATABASE!G547</f>
        <v>0</v>
      </c>
      <c r="G56" s="91" t="str">
        <f>DATABASE!H547</f>
        <v>2</v>
      </c>
      <c r="H56" s="91" t="str">
        <f>DATABASE!I547</f>
        <v/>
      </c>
      <c r="I56" s="93">
        <f>DATABASE!J547</f>
        <v>55.75</v>
      </c>
      <c r="J56" s="93">
        <f>DATABASE!K547</f>
        <v>0</v>
      </c>
      <c r="K56" s="93">
        <f>DATABASE!L547</f>
        <v>0</v>
      </c>
      <c r="L56" s="72">
        <f>DATABASE!M547</f>
        <v>137.41999999999999</v>
      </c>
      <c r="M56" s="93">
        <f>DATABASE!N547</f>
        <v>0</v>
      </c>
      <c r="N56" s="107">
        <f>DATABASE!O547</f>
        <v>197.36</v>
      </c>
      <c r="O56" s="88">
        <f>DATABASE!P547</f>
        <v>0</v>
      </c>
      <c r="P56" s="88" t="str">
        <f>DATABASE!Q547</f>
        <v>AVAILABLE</v>
      </c>
      <c r="Q56" s="78">
        <f>DATABASE!R547</f>
        <v>2452859.787</v>
      </c>
      <c r="R56" s="78">
        <f>DATABASE!S547</f>
        <v>2452859.787</v>
      </c>
      <c r="S56" s="116">
        <f>DATABASE!T547</f>
        <v>2533800</v>
      </c>
      <c r="T56" s="78">
        <f>DATABASE!U547</f>
        <v>0</v>
      </c>
      <c r="U56" s="116">
        <f>DATABASE!V547</f>
        <v>0</v>
      </c>
      <c r="V56" s="79">
        <f>DATABASE!W547</f>
        <v>2533800</v>
      </c>
      <c r="W56" s="80">
        <f>DATABASE!X547</f>
        <v>0</v>
      </c>
      <c r="X56" s="79">
        <f>DATABASE!Y547</f>
        <v>2533800</v>
      </c>
      <c r="Y56" s="79">
        <f>DATABASE!Z547</f>
        <v>2533800</v>
      </c>
      <c r="Z56" s="79" t="e">
        <f>DATABASE!#REF!</f>
        <v>#REF!</v>
      </c>
      <c r="AA56" s="81">
        <f>DATABASE!AA547</f>
        <v>0</v>
      </c>
      <c r="AB56" s="82">
        <f>DATABASE!AB547</f>
        <v>0</v>
      </c>
    </row>
    <row r="57" spans="1:28">
      <c r="A57" s="71" t="str">
        <f>DATABASE!A548</f>
        <v>NOBILUS</v>
      </c>
      <c r="B57" s="89" t="str">
        <f>DATABASE!B548</f>
        <v>Vilamoura</v>
      </c>
      <c r="C57" s="89" t="str">
        <f>DATABASE!C548</f>
        <v>AQ</v>
      </c>
      <c r="D57" s="91" t="str">
        <f>DATABASE!E548</f>
        <v>T2</v>
      </c>
      <c r="E57" s="91">
        <f>DATABASE!F548</f>
        <v>109.16</v>
      </c>
      <c r="F57" s="91">
        <f>DATABASE!G548</f>
        <v>0</v>
      </c>
      <c r="G57" s="91" t="str">
        <f>DATABASE!H548</f>
        <v/>
      </c>
      <c r="H57" s="91" t="str">
        <f>DATABASE!I548</f>
        <v/>
      </c>
      <c r="I57" s="93">
        <f>DATABASE!J548</f>
        <v>0</v>
      </c>
      <c r="J57" s="93">
        <f>DATABASE!K548</f>
        <v>0</v>
      </c>
      <c r="K57" s="93">
        <f>DATABASE!L548</f>
        <v>0</v>
      </c>
      <c r="L57" s="72">
        <f>DATABASE!M548</f>
        <v>0</v>
      </c>
      <c r="M57" s="93">
        <f>DATABASE!N548</f>
        <v>0</v>
      </c>
      <c r="N57" s="107">
        <f>DATABASE!O548</f>
        <v>109.16</v>
      </c>
      <c r="O57" s="88">
        <f>DATABASE!P548</f>
        <v>0</v>
      </c>
      <c r="P57" s="88" t="str">
        <f>DATABASE!Q548</f>
        <v xml:space="preserve">PSPA </v>
      </c>
      <c r="Q57" s="78">
        <f>DATABASE!R548</f>
        <v>720000</v>
      </c>
      <c r="R57" s="78">
        <f>DATABASE!S548</f>
        <v>720000</v>
      </c>
      <c r="S57" s="116">
        <f>DATABASE!T548</f>
        <v>684000</v>
      </c>
      <c r="T57" s="78">
        <f>DATABASE!U548</f>
        <v>0</v>
      </c>
      <c r="U57" s="116">
        <f>DATABASE!V548</f>
        <v>0</v>
      </c>
      <c r="V57" s="79">
        <f>DATABASE!W548</f>
        <v>684000</v>
      </c>
      <c r="W57" s="80">
        <f>DATABASE!X548</f>
        <v>0</v>
      </c>
      <c r="X57" s="79">
        <f>DATABASE!Y548</f>
        <v>684000</v>
      </c>
      <c r="Y57" s="79">
        <f>DATABASE!Z548</f>
        <v>684000</v>
      </c>
      <c r="Z57" s="79" t="e">
        <f>DATABASE!#REF!</f>
        <v>#REF!</v>
      </c>
      <c r="AA57" s="81">
        <f>DATABASE!AA548</f>
        <v>45687</v>
      </c>
      <c r="AB57" s="82">
        <f>DATABASE!AB548</f>
        <v>0</v>
      </c>
    </row>
    <row r="58" spans="1:28">
      <c r="A58" s="71" t="str">
        <f>DATABASE!A549</f>
        <v>SPRINGS</v>
      </c>
      <c r="B58" s="89" t="str">
        <f>DATABASE!B549</f>
        <v>Vilamoura</v>
      </c>
      <c r="C58" s="89" t="str">
        <f>DATABASE!C549</f>
        <v>AQ</v>
      </c>
      <c r="D58" s="91" t="str">
        <f>DATABASE!E549</f>
        <v>V2 Duplex</v>
      </c>
      <c r="E58" s="91">
        <f>DATABASE!F549</f>
        <v>343.47</v>
      </c>
      <c r="F58" s="91">
        <f>DATABASE!G549</f>
        <v>179.37</v>
      </c>
      <c r="G58" s="91" t="str">
        <f>DATABASE!H549</f>
        <v/>
      </c>
      <c r="H58" s="91" t="str">
        <f>DATABASE!I549</f>
        <v/>
      </c>
      <c r="I58" s="93">
        <f>DATABASE!J549</f>
        <v>25.77</v>
      </c>
      <c r="J58" s="93">
        <f>DATABASE!K549</f>
        <v>0</v>
      </c>
      <c r="K58" s="93">
        <f>DATABASE!L549</f>
        <v>0</v>
      </c>
      <c r="L58" s="72">
        <f>DATABASE!M549</f>
        <v>0</v>
      </c>
      <c r="M58" s="93">
        <f>DATABASE!N549</f>
        <v>0</v>
      </c>
      <c r="N58" s="107">
        <f>DATABASE!O549</f>
        <v>138.33000000000001</v>
      </c>
      <c r="O58" s="88">
        <f>DATABASE!P549</f>
        <v>0</v>
      </c>
      <c r="P58" s="88" t="str">
        <f>DATABASE!Q549</f>
        <v>AVAILABLE</v>
      </c>
      <c r="Q58" s="78">
        <f>DATABASE!R549</f>
        <v>1717700</v>
      </c>
      <c r="R58" s="78">
        <f>DATABASE!S549</f>
        <v>1788850</v>
      </c>
      <c r="S58" s="116">
        <f>DATABASE!T549</f>
        <v>1860000</v>
      </c>
      <c r="T58" s="78">
        <f>DATABASE!U549</f>
        <v>24600</v>
      </c>
      <c r="U58" s="116">
        <f>DATABASE!V549</f>
        <v>46550</v>
      </c>
      <c r="V58" s="79">
        <f>DATABASE!W549</f>
        <v>1788850</v>
      </c>
      <c r="W58" s="80">
        <f>DATABASE!X549</f>
        <v>0</v>
      </c>
      <c r="X58" s="79">
        <f>DATABASE!Y549</f>
        <v>1860000</v>
      </c>
      <c r="Y58" s="79">
        <f>DATABASE!Z549</f>
        <v>1788850</v>
      </c>
      <c r="Z58" s="79" t="e">
        <f>DATABASE!#REF!</f>
        <v>#REF!</v>
      </c>
      <c r="AA58" s="81">
        <f>DATABASE!AA549</f>
        <v>0</v>
      </c>
      <c r="AB58" s="82">
        <f>DATABASE!AB549</f>
        <v>0</v>
      </c>
    </row>
    <row r="59" spans="1:28">
      <c r="A59" s="71" t="str">
        <f>DATABASE!A550</f>
        <v>TERRACOTA</v>
      </c>
      <c r="B59" s="89" t="str">
        <f>DATABASE!B550</f>
        <v>Vilamoura</v>
      </c>
      <c r="C59" s="89" t="str">
        <f>DATABASE!C550</f>
        <v>AQ</v>
      </c>
      <c r="D59" s="91" t="str">
        <f>DATABASE!E550</f>
        <v>T2</v>
      </c>
      <c r="E59" s="91">
        <f>DATABASE!F550</f>
        <v>104.7</v>
      </c>
      <c r="F59" s="91">
        <f>DATABASE!G550</f>
        <v>0</v>
      </c>
      <c r="G59" s="91" t="str">
        <f>DATABASE!H550</f>
        <v/>
      </c>
      <c r="H59" s="91" t="str">
        <f>DATABASE!I550</f>
        <v/>
      </c>
      <c r="I59" s="93">
        <f>DATABASE!J550</f>
        <v>0</v>
      </c>
      <c r="J59" s="93">
        <f>DATABASE!K550</f>
        <v>0</v>
      </c>
      <c r="K59" s="93">
        <f>DATABASE!L550</f>
        <v>0</v>
      </c>
      <c r="L59" s="72">
        <f>DATABASE!M550</f>
        <v>0</v>
      </c>
      <c r="M59" s="93">
        <f>DATABASE!N550</f>
        <v>0</v>
      </c>
      <c r="N59" s="107">
        <f>DATABASE!O550</f>
        <v>104.7</v>
      </c>
      <c r="O59" s="88">
        <f>DATABASE!P550</f>
        <v>0</v>
      </c>
      <c r="P59" s="88" t="str">
        <f>DATABASE!Q550</f>
        <v xml:space="preserve">PSPA </v>
      </c>
      <c r="Q59" s="78">
        <f>DATABASE!R550</f>
        <v>540000</v>
      </c>
      <c r="R59" s="78">
        <f>DATABASE!S550</f>
        <v>540000</v>
      </c>
      <c r="S59" s="116">
        <f>DATABASE!T550</f>
        <v>540000</v>
      </c>
      <c r="T59" s="78">
        <f>DATABASE!U550</f>
        <v>0</v>
      </c>
      <c r="U59" s="116">
        <f>DATABASE!V550</f>
        <v>0</v>
      </c>
      <c r="V59" s="79">
        <f>DATABASE!W550</f>
        <v>540000</v>
      </c>
      <c r="W59" s="80">
        <f>DATABASE!X550</f>
        <v>0</v>
      </c>
      <c r="X59" s="79">
        <f>DATABASE!Y550</f>
        <v>540000</v>
      </c>
      <c r="Y59" s="79">
        <f>DATABASE!Z550</f>
        <v>540000</v>
      </c>
      <c r="Z59" s="79" t="e">
        <f>DATABASE!#REF!</f>
        <v>#REF!</v>
      </c>
      <c r="AA59" s="81" t="e">
        <f>DATABASE!#REF!</f>
        <v>#REF!</v>
      </c>
      <c r="AB59" s="82">
        <f>DATABASE!AB550</f>
        <v>0</v>
      </c>
    </row>
    <row r="60" spans="1:28">
      <c r="A60" s="71" t="str">
        <f>DATABASE!A551</f>
        <v>THE NINE</v>
      </c>
      <c r="B60" s="89" t="str">
        <f>DATABASE!B551</f>
        <v>Vilamoura</v>
      </c>
      <c r="C60" s="89" t="str">
        <f>DATABASE!C551</f>
        <v>AQ</v>
      </c>
      <c r="D60" s="91" t="str">
        <f>DATABASE!E551</f>
        <v>T3</v>
      </c>
      <c r="E60" s="91">
        <f>DATABASE!F551</f>
        <v>146</v>
      </c>
      <c r="F60" s="91">
        <f>DATABASE!G551</f>
        <v>0</v>
      </c>
      <c r="G60" s="91" t="str">
        <f>DATABASE!H551</f>
        <v/>
      </c>
      <c r="H60" s="91" t="str">
        <f>DATABASE!I551</f>
        <v/>
      </c>
      <c r="I60" s="93">
        <f>DATABASE!J551</f>
        <v>0</v>
      </c>
      <c r="J60" s="93">
        <f>DATABASE!K551</f>
        <v>0</v>
      </c>
      <c r="K60" s="93">
        <f>DATABASE!L551</f>
        <v>0</v>
      </c>
      <c r="L60" s="72">
        <f>DATABASE!M551</f>
        <v>0</v>
      </c>
      <c r="M60" s="93">
        <f>DATABASE!N551</f>
        <v>0</v>
      </c>
      <c r="N60" s="107">
        <f>DATABASE!O551</f>
        <v>146</v>
      </c>
      <c r="O60" s="88">
        <f>DATABASE!P551</f>
        <v>0</v>
      </c>
      <c r="P60" s="88" t="str">
        <f>DATABASE!Q551</f>
        <v xml:space="preserve">DEED </v>
      </c>
      <c r="Q60" s="78">
        <f>DATABASE!R551</f>
        <v>960000</v>
      </c>
      <c r="R60" s="78">
        <f>DATABASE!S551</f>
        <v>960000</v>
      </c>
      <c r="S60" s="116">
        <f>DATABASE!T551</f>
        <v>1150000</v>
      </c>
      <c r="T60" s="78">
        <f>DATABASE!U551</f>
        <v>0</v>
      </c>
      <c r="U60" s="116">
        <f>DATABASE!V551</f>
        <v>0</v>
      </c>
      <c r="V60" s="79">
        <f>DATABASE!W551</f>
        <v>1150000</v>
      </c>
      <c r="W60" s="80">
        <f>DATABASE!X551</f>
        <v>0</v>
      </c>
      <c r="X60" s="79">
        <f>DATABASE!Y551</f>
        <v>1150000</v>
      </c>
      <c r="Y60" s="79">
        <f>DATABASE!Z551</f>
        <v>1150000</v>
      </c>
      <c r="Z60" s="79" t="e">
        <f>DATABASE!#REF!</f>
        <v>#REF!</v>
      </c>
      <c r="AA60" s="81">
        <f>DATABASE!AA551</f>
        <v>45145</v>
      </c>
      <c r="AB60" s="82">
        <f>DATABASE!AB551</f>
        <v>0</v>
      </c>
    </row>
    <row r="61" spans="1:28">
      <c r="A61" s="71" t="str">
        <f>DATABASE!A552</f>
        <v>ZESTIA</v>
      </c>
      <c r="B61" s="89" t="str">
        <f>DATABASE!B552</f>
        <v>Vilamoura</v>
      </c>
      <c r="C61" s="89" t="str">
        <f>DATABASE!C552</f>
        <v>AQ</v>
      </c>
      <c r="D61" s="91" t="str">
        <f>DATABASE!E552</f>
        <v>T1</v>
      </c>
      <c r="E61" s="91">
        <f>DATABASE!F552</f>
        <v>80.2</v>
      </c>
      <c r="F61" s="91">
        <f>DATABASE!G552</f>
        <v>0</v>
      </c>
      <c r="G61" s="91" t="str">
        <f>DATABASE!H552</f>
        <v/>
      </c>
      <c r="H61" s="91" t="str">
        <f>DATABASE!I552</f>
        <v/>
      </c>
      <c r="I61" s="93">
        <f>DATABASE!J552</f>
        <v>20.37</v>
      </c>
      <c r="J61" s="93">
        <f>DATABASE!K552</f>
        <v>0</v>
      </c>
      <c r="K61" s="93">
        <f>DATABASE!L552</f>
        <v>0</v>
      </c>
      <c r="L61" s="72">
        <f>DATABASE!M552</f>
        <v>0</v>
      </c>
      <c r="M61" s="93">
        <f>DATABASE!N552</f>
        <v>0</v>
      </c>
      <c r="N61" s="107">
        <f>DATABASE!O552</f>
        <v>59.83</v>
      </c>
      <c r="O61" s="88">
        <f>DATABASE!P552</f>
        <v>0</v>
      </c>
      <c r="P61" s="88" t="str">
        <f>DATABASE!Q552</f>
        <v xml:space="preserve">PSPA </v>
      </c>
      <c r="Q61" s="78">
        <f>DATABASE!R552</f>
        <v>505183.23860000004</v>
      </c>
      <c r="R61" s="78">
        <f>DATABASE!S552</f>
        <v>559783.23860000004</v>
      </c>
      <c r="S61" s="116">
        <f>DATABASE!T552</f>
        <v>600000</v>
      </c>
      <c r="T61" s="78">
        <f>DATABASE!U552</f>
        <v>24600</v>
      </c>
      <c r="U61" s="116">
        <f>DATABASE!V552</f>
        <v>30000</v>
      </c>
      <c r="V61" s="79">
        <f>DATABASE!W552</f>
        <v>545400</v>
      </c>
      <c r="W61" s="80">
        <f>DATABASE!X552</f>
        <v>1.6666666666666701E-2</v>
      </c>
      <c r="X61" s="79">
        <f>DATABASE!Y552</f>
        <v>590000</v>
      </c>
      <c r="Y61" s="79">
        <f>DATABASE!Z552</f>
        <v>535400</v>
      </c>
      <c r="Z61" s="79" t="e">
        <f>DATABASE!#REF!</f>
        <v>#REF!</v>
      </c>
      <c r="AA61" s="81" t="e">
        <f>DATABASE!#REF!</f>
        <v>#REF!</v>
      </c>
      <c r="AB61" s="82">
        <f>DATABASE!AB552</f>
        <v>0</v>
      </c>
    </row>
    <row r="62" spans="1:28">
      <c r="A62" s="71" t="str">
        <f>DATABASE!A553</f>
        <v>BOTÂNICA</v>
      </c>
      <c r="B62" s="89" t="str">
        <f>DATABASE!B553</f>
        <v>Vilamoura</v>
      </c>
      <c r="C62" s="89" t="str">
        <f>DATABASE!C553</f>
        <v>AR</v>
      </c>
      <c r="D62" s="91" t="str">
        <f>DATABASE!E553</f>
        <v>T3</v>
      </c>
      <c r="E62" s="91">
        <f>DATABASE!F553</f>
        <v>223.92</v>
      </c>
      <c r="F62" s="91">
        <f>DATABASE!G553</f>
        <v>0</v>
      </c>
      <c r="G62" s="91" t="str">
        <f>DATABASE!H553</f>
        <v>2</v>
      </c>
      <c r="H62" s="91" t="str">
        <f>DATABASE!I553</f>
        <v/>
      </c>
      <c r="I62" s="93">
        <f>DATABASE!J553</f>
        <v>55.65</v>
      </c>
      <c r="J62" s="93">
        <f>DATABASE!K553</f>
        <v>0</v>
      </c>
      <c r="K62" s="93">
        <f>DATABASE!L553</f>
        <v>0</v>
      </c>
      <c r="L62" s="72">
        <f>DATABASE!M553</f>
        <v>0</v>
      </c>
      <c r="M62" s="93">
        <f>DATABASE!N553</f>
        <v>0</v>
      </c>
      <c r="N62" s="107">
        <f>DATABASE!O553</f>
        <v>168.27</v>
      </c>
      <c r="O62" s="88">
        <f>DATABASE!P553</f>
        <v>0</v>
      </c>
      <c r="P62" s="88" t="str">
        <f>DATABASE!Q553</f>
        <v>AVAILABLE</v>
      </c>
      <c r="Q62" s="78">
        <f>DATABASE!R553</f>
        <v>1609335</v>
      </c>
      <c r="R62" s="78">
        <f>DATABASE!S553</f>
        <v>1609335</v>
      </c>
      <c r="S62" s="116">
        <f>DATABASE!T553</f>
        <v>1675000</v>
      </c>
      <c r="T62" s="78">
        <f>DATABASE!U553</f>
        <v>0</v>
      </c>
      <c r="U62" s="116">
        <f>DATABASE!V553</f>
        <v>0</v>
      </c>
      <c r="V62" s="79">
        <f>DATABASE!W553</f>
        <v>1675000</v>
      </c>
      <c r="W62" s="80">
        <f>DATABASE!X553</f>
        <v>0</v>
      </c>
      <c r="X62" s="79">
        <f>DATABASE!Y553</f>
        <v>1674400</v>
      </c>
      <c r="Y62" s="79">
        <f>DATABASE!Z553</f>
        <v>1674400</v>
      </c>
      <c r="Z62" s="79" t="e">
        <f>DATABASE!#REF!</f>
        <v>#REF!</v>
      </c>
      <c r="AA62" s="81">
        <f>DATABASE!AA553</f>
        <v>0</v>
      </c>
      <c r="AB62" s="82">
        <f>DATABASE!AB553</f>
        <v>0</v>
      </c>
    </row>
    <row r="63" spans="1:28">
      <c r="A63" s="71" t="str">
        <f>DATABASE!A554</f>
        <v xml:space="preserve">MR - CHR </v>
      </c>
      <c r="B63" s="89" t="str">
        <f>DATABASE!B554</f>
        <v>Algarve</v>
      </c>
      <c r="C63" s="89" t="str">
        <f>DATABASE!C554</f>
        <v>AD</v>
      </c>
      <c r="D63" s="91" t="str">
        <f>DATABASE!E554</f>
        <v>T2</v>
      </c>
      <c r="E63" s="91">
        <f>DATABASE!F554</f>
        <v>194.7</v>
      </c>
      <c r="F63" s="91">
        <f>DATABASE!G554</f>
        <v>0</v>
      </c>
      <c r="G63" s="91" t="str">
        <f>DATABASE!H554</f>
        <v/>
      </c>
      <c r="H63" s="91" t="str">
        <f>DATABASE!I554</f>
        <v/>
      </c>
      <c r="I63" s="93">
        <f>DATABASE!J554</f>
        <v>0</v>
      </c>
      <c r="J63" s="93">
        <f>DATABASE!K554</f>
        <v>0</v>
      </c>
      <c r="K63" s="93">
        <f>DATABASE!L554</f>
        <v>0</v>
      </c>
      <c r="L63" s="72">
        <f>DATABASE!M554</f>
        <v>38.22</v>
      </c>
      <c r="M63" s="93">
        <f>DATABASE!N554</f>
        <v>0</v>
      </c>
      <c r="N63" s="107">
        <f>DATABASE!O554</f>
        <v>156.47999999999999</v>
      </c>
      <c r="O63" s="88">
        <f>DATABASE!P554</f>
        <v>0</v>
      </c>
      <c r="P63" s="88" t="str">
        <f>DATABASE!Q554</f>
        <v>AVAILABLE</v>
      </c>
      <c r="Q63" s="78">
        <f>DATABASE!R554</f>
        <v>915000</v>
      </c>
      <c r="R63" s="78">
        <f>DATABASE!S554</f>
        <v>915000</v>
      </c>
      <c r="S63" s="116">
        <f>DATABASE!T554</f>
        <v>840000</v>
      </c>
      <c r="T63" s="78">
        <f>DATABASE!U554</f>
        <v>0</v>
      </c>
      <c r="U63" s="116">
        <f>DATABASE!V554</f>
        <v>0</v>
      </c>
      <c r="V63" s="79">
        <f>DATABASE!W554</f>
        <v>840000</v>
      </c>
      <c r="W63" s="80">
        <f>DATABASE!X554</f>
        <v>0</v>
      </c>
      <c r="X63" s="79">
        <f>DATABASE!Y554</f>
        <v>0</v>
      </c>
      <c r="Y63" s="79">
        <f>DATABASE!Z554</f>
        <v>0</v>
      </c>
      <c r="Z63" s="79" t="e">
        <f>DATABASE!#REF!</f>
        <v>#REF!</v>
      </c>
      <c r="AA63" s="81">
        <f>DATABASE!AA554</f>
        <v>0</v>
      </c>
      <c r="AB63" s="82" t="str">
        <f>DATABASE!AB554</f>
        <v>TBD</v>
      </c>
    </row>
    <row r="64" spans="1:28">
      <c r="A64" s="71" t="str">
        <f>DATABASE!A555</f>
        <v>NOBILUS</v>
      </c>
      <c r="B64" s="89" t="str">
        <f>DATABASE!B555</f>
        <v>Vilamoura</v>
      </c>
      <c r="C64" s="89" t="str">
        <f>DATABASE!C555</f>
        <v>AR</v>
      </c>
      <c r="D64" s="91" t="str">
        <f>DATABASE!E555</f>
        <v>T4</v>
      </c>
      <c r="E64" s="91">
        <f>DATABASE!F555</f>
        <v>202.2</v>
      </c>
      <c r="F64" s="91">
        <f>DATABASE!G555</f>
        <v>6.13</v>
      </c>
      <c r="G64" s="91" t="str">
        <f>DATABASE!H555</f>
        <v/>
      </c>
      <c r="H64" s="91" t="str">
        <f>DATABASE!I555</f>
        <v>Yes</v>
      </c>
      <c r="I64" s="93">
        <f>DATABASE!J555</f>
        <v>33.729999999999997</v>
      </c>
      <c r="J64" s="93">
        <f>DATABASE!K555</f>
        <v>0</v>
      </c>
      <c r="K64" s="93">
        <f>DATABASE!L555</f>
        <v>0</v>
      </c>
      <c r="L64" s="72">
        <f>DATABASE!M555</f>
        <v>0</v>
      </c>
      <c r="M64" s="93">
        <f>DATABASE!N555</f>
        <v>0</v>
      </c>
      <c r="N64" s="107">
        <f>DATABASE!O555</f>
        <v>202.2</v>
      </c>
      <c r="O64" s="88">
        <f>DATABASE!P555</f>
        <v>0</v>
      </c>
      <c r="P64" s="88" t="str">
        <f>DATABASE!Q555</f>
        <v>AVAILABLE</v>
      </c>
      <c r="Q64" s="78">
        <f>DATABASE!R555</f>
        <v>1650000</v>
      </c>
      <c r="R64" s="78">
        <f>DATABASE!S555</f>
        <v>1650000</v>
      </c>
      <c r="S64" s="116">
        <f>DATABASE!T555</f>
        <v>1650000</v>
      </c>
      <c r="T64" s="78">
        <f>DATABASE!U555</f>
        <v>0</v>
      </c>
      <c r="U64" s="116">
        <f>DATABASE!V555</f>
        <v>0</v>
      </c>
      <c r="V64" s="79">
        <f>DATABASE!W555</f>
        <v>1650000</v>
      </c>
      <c r="W64" s="80">
        <f>DATABASE!X555</f>
        <v>0</v>
      </c>
      <c r="X64" s="79">
        <f>DATABASE!Y555</f>
        <v>1650000</v>
      </c>
      <c r="Y64" s="79">
        <f>DATABASE!Z555</f>
        <v>1650000</v>
      </c>
      <c r="Z64" s="79" t="e">
        <f>DATABASE!#REF!</f>
        <v>#REF!</v>
      </c>
      <c r="AA64" s="81">
        <f>DATABASE!AA555</f>
        <v>0</v>
      </c>
      <c r="AB64" s="82">
        <f>DATABASE!AB555</f>
        <v>0</v>
      </c>
    </row>
    <row r="65" spans="1:28">
      <c r="A65" s="71" t="str">
        <f>DATABASE!A556</f>
        <v>SPRINGS</v>
      </c>
      <c r="B65" s="89" t="str">
        <f>DATABASE!B556</f>
        <v>Vilamoura</v>
      </c>
      <c r="C65" s="89" t="str">
        <f>DATABASE!C556</f>
        <v>AR</v>
      </c>
      <c r="D65" s="91" t="str">
        <f>DATABASE!E556</f>
        <v>V2 Duplex</v>
      </c>
      <c r="E65" s="91">
        <f>DATABASE!F556</f>
        <v>282.32</v>
      </c>
      <c r="F65" s="91">
        <f>DATABASE!G556</f>
        <v>116.67</v>
      </c>
      <c r="G65" s="91" t="str">
        <f>DATABASE!H556</f>
        <v/>
      </c>
      <c r="H65" s="91" t="str">
        <f>DATABASE!I556</f>
        <v/>
      </c>
      <c r="I65" s="93">
        <f>DATABASE!J556</f>
        <v>25.77</v>
      </c>
      <c r="J65" s="93">
        <f>DATABASE!K556</f>
        <v>0</v>
      </c>
      <c r="K65" s="93">
        <f>DATABASE!L556</f>
        <v>0</v>
      </c>
      <c r="L65" s="72">
        <f>DATABASE!M556</f>
        <v>0</v>
      </c>
      <c r="M65" s="93">
        <f>DATABASE!N556</f>
        <v>0</v>
      </c>
      <c r="N65" s="107">
        <f>DATABASE!O556</f>
        <v>139.88</v>
      </c>
      <c r="O65" s="88">
        <f>DATABASE!P556</f>
        <v>0</v>
      </c>
      <c r="P65" s="88" t="str">
        <f>DATABASE!Q556</f>
        <v>AVAILABLE</v>
      </c>
      <c r="Q65" s="78">
        <f>DATABASE!R556</f>
        <v>1507700</v>
      </c>
      <c r="R65" s="78">
        <f>DATABASE!S556</f>
        <v>1578850</v>
      </c>
      <c r="S65" s="116">
        <f>DATABASE!T556</f>
        <v>1650000</v>
      </c>
      <c r="T65" s="78">
        <f>DATABASE!U556</f>
        <v>24600</v>
      </c>
      <c r="U65" s="116">
        <f>DATABASE!V556</f>
        <v>46550</v>
      </c>
      <c r="V65" s="79">
        <f>DATABASE!W556</f>
        <v>1578850</v>
      </c>
      <c r="W65" s="80">
        <f>DATABASE!X556</f>
        <v>0</v>
      </c>
      <c r="X65" s="79">
        <f>DATABASE!Y556</f>
        <v>1650000</v>
      </c>
      <c r="Y65" s="79">
        <f>DATABASE!Z556</f>
        <v>1578850</v>
      </c>
      <c r="Z65" s="79" t="e">
        <f>DATABASE!#REF!</f>
        <v>#REF!</v>
      </c>
      <c r="AA65" s="81">
        <f>DATABASE!AA556</f>
        <v>0</v>
      </c>
      <c r="AB65" s="82">
        <f>DATABASE!AB556</f>
        <v>0</v>
      </c>
    </row>
    <row r="66" spans="1:28">
      <c r="A66" s="71" t="str">
        <f>DATABASE!A557</f>
        <v>TERRACOTA</v>
      </c>
      <c r="B66" s="89" t="str">
        <f>DATABASE!B557</f>
        <v>Vilamoura</v>
      </c>
      <c r="C66" s="89" t="str">
        <f>DATABASE!C557</f>
        <v>AR</v>
      </c>
      <c r="D66" s="91" t="str">
        <f>DATABASE!E557</f>
        <v>T2</v>
      </c>
      <c r="E66" s="91">
        <f>DATABASE!F557</f>
        <v>104.7</v>
      </c>
      <c r="F66" s="91">
        <f>DATABASE!G557</f>
        <v>0</v>
      </c>
      <c r="G66" s="91" t="str">
        <f>DATABASE!H557</f>
        <v/>
      </c>
      <c r="H66" s="91" t="str">
        <f>DATABASE!I557</f>
        <v/>
      </c>
      <c r="I66" s="93">
        <f>DATABASE!J557</f>
        <v>0</v>
      </c>
      <c r="J66" s="93">
        <f>DATABASE!K557</f>
        <v>0</v>
      </c>
      <c r="K66" s="93">
        <f>DATABASE!L557</f>
        <v>0</v>
      </c>
      <c r="L66" s="72">
        <f>DATABASE!M557</f>
        <v>0</v>
      </c>
      <c r="M66" s="93">
        <f>DATABASE!N557</f>
        <v>0</v>
      </c>
      <c r="N66" s="107">
        <f>DATABASE!O557</f>
        <v>104.7</v>
      </c>
      <c r="O66" s="88">
        <f>DATABASE!P557</f>
        <v>0</v>
      </c>
      <c r="P66" s="88" t="str">
        <f>DATABASE!Q557</f>
        <v xml:space="preserve">PSPA </v>
      </c>
      <c r="Q66" s="78">
        <f>DATABASE!R557</f>
        <v>550000</v>
      </c>
      <c r="R66" s="78">
        <f>DATABASE!S557</f>
        <v>550000</v>
      </c>
      <c r="S66" s="116">
        <f>DATABASE!T557</f>
        <v>565000</v>
      </c>
      <c r="T66" s="78">
        <f>DATABASE!U557</f>
        <v>0</v>
      </c>
      <c r="U66" s="116">
        <f>DATABASE!V557</f>
        <v>0</v>
      </c>
      <c r="V66" s="79">
        <f>DATABASE!W557</f>
        <v>565000</v>
      </c>
      <c r="W66" s="80">
        <f>DATABASE!X557</f>
        <v>0</v>
      </c>
      <c r="X66" s="79">
        <f>DATABASE!Y557</f>
        <v>565000</v>
      </c>
      <c r="Y66" s="79">
        <f>DATABASE!Z557</f>
        <v>565000</v>
      </c>
      <c r="Z66" s="79" t="e">
        <f>DATABASE!#REF!</f>
        <v>#REF!</v>
      </c>
      <c r="AA66" s="81" t="e">
        <f>DATABASE!#REF!</f>
        <v>#REF!</v>
      </c>
      <c r="AB66" s="82">
        <f>DATABASE!AB557</f>
        <v>0</v>
      </c>
    </row>
    <row r="67" spans="1:28">
      <c r="A67" s="71" t="str">
        <f>DATABASE!A558</f>
        <v>THE NINE</v>
      </c>
      <c r="B67" s="89" t="str">
        <f>DATABASE!B558</f>
        <v>Vilamoura</v>
      </c>
      <c r="C67" s="89" t="str">
        <f>DATABASE!C558</f>
        <v>AR</v>
      </c>
      <c r="D67" s="91" t="str">
        <f>DATABASE!E558</f>
        <v>T3</v>
      </c>
      <c r="E67" s="91">
        <f>DATABASE!F558</f>
        <v>143</v>
      </c>
      <c r="F67" s="91">
        <f>DATABASE!G558</f>
        <v>0</v>
      </c>
      <c r="G67" s="91" t="str">
        <f>DATABASE!H558</f>
        <v/>
      </c>
      <c r="H67" s="91" t="str">
        <f>DATABASE!I558</f>
        <v/>
      </c>
      <c r="I67" s="93">
        <f>DATABASE!J558</f>
        <v>0</v>
      </c>
      <c r="J67" s="93">
        <f>DATABASE!K558</f>
        <v>0</v>
      </c>
      <c r="K67" s="93">
        <f>DATABASE!L558</f>
        <v>0</v>
      </c>
      <c r="L67" s="72">
        <f>DATABASE!M558</f>
        <v>0</v>
      </c>
      <c r="M67" s="93">
        <f>DATABASE!N558</f>
        <v>0</v>
      </c>
      <c r="N67" s="107">
        <f>DATABASE!O558</f>
        <v>143</v>
      </c>
      <c r="O67" s="88">
        <f>DATABASE!P558</f>
        <v>0</v>
      </c>
      <c r="P67" s="88" t="str">
        <f>DATABASE!Q558</f>
        <v xml:space="preserve">DEED </v>
      </c>
      <c r="Q67" s="78">
        <f>DATABASE!R558</f>
        <v>840000</v>
      </c>
      <c r="R67" s="78">
        <f>DATABASE!S558</f>
        <v>840000</v>
      </c>
      <c r="S67" s="116">
        <f>DATABASE!T558</f>
        <v>1040000</v>
      </c>
      <c r="T67" s="78">
        <f>DATABASE!U558</f>
        <v>0</v>
      </c>
      <c r="U67" s="116">
        <f>DATABASE!V558</f>
        <v>0</v>
      </c>
      <c r="V67" s="79">
        <f>DATABASE!W558</f>
        <v>1040000</v>
      </c>
      <c r="W67" s="80">
        <f>DATABASE!X558</f>
        <v>0</v>
      </c>
      <c r="X67" s="79">
        <f>DATABASE!Y558</f>
        <v>1040000</v>
      </c>
      <c r="Y67" s="79">
        <f>DATABASE!Z558</f>
        <v>1040000</v>
      </c>
      <c r="Z67" s="79" t="e">
        <f>DATABASE!#REF!</f>
        <v>#REF!</v>
      </c>
      <c r="AA67" s="81">
        <f>DATABASE!AA558</f>
        <v>45923</v>
      </c>
      <c r="AB67" s="82">
        <f>DATABASE!AB558</f>
        <v>0</v>
      </c>
    </row>
    <row r="68" spans="1:28">
      <c r="A68" s="71" t="str">
        <f>DATABASE!A559</f>
        <v>ZESTIA</v>
      </c>
      <c r="B68" s="89" t="str">
        <f>DATABASE!B559</f>
        <v>Vilamoura</v>
      </c>
      <c r="C68" s="89" t="str">
        <f>DATABASE!C559</f>
        <v>AR</v>
      </c>
      <c r="D68" s="91" t="str">
        <f>DATABASE!E559</f>
        <v>T2 LO</v>
      </c>
      <c r="E68" s="91">
        <f>DATABASE!F559</f>
        <v>116.88</v>
      </c>
      <c r="F68" s="91">
        <f>DATABASE!G559</f>
        <v>0</v>
      </c>
      <c r="G68" s="91" t="str">
        <f>DATABASE!H559</f>
        <v/>
      </c>
      <c r="H68" s="91" t="str">
        <f>DATABASE!I559</f>
        <v/>
      </c>
      <c r="I68" s="93">
        <f>DATABASE!J559</f>
        <v>28.68</v>
      </c>
      <c r="J68" s="93">
        <f>DATABASE!K559</f>
        <v>0</v>
      </c>
      <c r="K68" s="93">
        <f>DATABASE!L559</f>
        <v>0</v>
      </c>
      <c r="L68" s="72">
        <f>DATABASE!M559</f>
        <v>0</v>
      </c>
      <c r="M68" s="93">
        <f>DATABASE!N559</f>
        <v>0</v>
      </c>
      <c r="N68" s="107">
        <f>DATABASE!O559</f>
        <v>88.2</v>
      </c>
      <c r="O68" s="88">
        <f>DATABASE!P559</f>
        <v>0</v>
      </c>
      <c r="P68" s="88" t="str">
        <f>DATABASE!Q559</f>
        <v>AVAILABLE</v>
      </c>
      <c r="Q68" s="78">
        <f>DATABASE!R559</f>
        <v>703524.01599999995</v>
      </c>
      <c r="R68" s="78">
        <f>DATABASE!S559</f>
        <v>768124.01599999995</v>
      </c>
      <c r="S68" s="116">
        <f>DATABASE!T559</f>
        <v>840000</v>
      </c>
      <c r="T68" s="78">
        <f>DATABASE!U559</f>
        <v>24600</v>
      </c>
      <c r="U68" s="116">
        <f>DATABASE!V559</f>
        <v>40000</v>
      </c>
      <c r="V68" s="79">
        <f>DATABASE!W559</f>
        <v>775400</v>
      </c>
      <c r="W68" s="80">
        <f>DATABASE!X559</f>
        <v>0</v>
      </c>
      <c r="X68" s="79">
        <f>DATABASE!Y559</f>
        <v>840000</v>
      </c>
      <c r="Y68" s="79">
        <f>DATABASE!Z559</f>
        <v>775400</v>
      </c>
      <c r="Z68" s="79" t="e">
        <f>DATABASE!#REF!</f>
        <v>#REF!</v>
      </c>
      <c r="AA68" s="81">
        <f>DATABASE!AA559</f>
        <v>0</v>
      </c>
      <c r="AB68" s="82">
        <f>DATABASE!AB559</f>
        <v>0</v>
      </c>
    </row>
    <row r="69" spans="1:28">
      <c r="A69" s="71" t="str">
        <f>DATABASE!A560</f>
        <v>BOTÂNICA</v>
      </c>
      <c r="B69" s="89" t="str">
        <f>DATABASE!B560</f>
        <v>Vilamoura</v>
      </c>
      <c r="C69" s="89" t="str">
        <f>DATABASE!C560</f>
        <v>AS</v>
      </c>
      <c r="D69" s="91" t="str">
        <f>DATABASE!E560</f>
        <v>T2</v>
      </c>
      <c r="E69" s="91">
        <f>DATABASE!F560</f>
        <v>146.43</v>
      </c>
      <c r="F69" s="91">
        <f>DATABASE!G560</f>
        <v>0</v>
      </c>
      <c r="G69" s="91" t="str">
        <f>DATABASE!H560</f>
        <v>2</v>
      </c>
      <c r="H69" s="91" t="str">
        <f>DATABASE!I560</f>
        <v/>
      </c>
      <c r="I69" s="93">
        <f>DATABASE!J560</f>
        <v>28.49</v>
      </c>
      <c r="J69" s="93">
        <f>DATABASE!K560</f>
        <v>0</v>
      </c>
      <c r="K69" s="93">
        <f>DATABASE!L560</f>
        <v>0</v>
      </c>
      <c r="L69" s="72">
        <f>DATABASE!M560</f>
        <v>0</v>
      </c>
      <c r="M69" s="93">
        <f>DATABASE!N560</f>
        <v>0</v>
      </c>
      <c r="N69" s="107">
        <f>DATABASE!O560</f>
        <v>117.94</v>
      </c>
      <c r="O69" s="88">
        <f>DATABASE!P560</f>
        <v>0</v>
      </c>
      <c r="P69" s="88" t="str">
        <f>DATABASE!Q560</f>
        <v>AVAILABLE</v>
      </c>
      <c r="Q69" s="78">
        <f>DATABASE!R560</f>
        <v>976732.61399999994</v>
      </c>
      <c r="R69" s="78">
        <f>DATABASE!S560</f>
        <v>976732.61399999994</v>
      </c>
      <c r="S69" s="116">
        <f>DATABASE!T560</f>
        <v>980000</v>
      </c>
      <c r="T69" s="78">
        <f>DATABASE!U560</f>
        <v>0</v>
      </c>
      <c r="U69" s="116">
        <f>DATABASE!V560</f>
        <v>0</v>
      </c>
      <c r="V69" s="79">
        <f>DATABASE!W560</f>
        <v>980000</v>
      </c>
      <c r="W69" s="80">
        <f>DATABASE!X560</f>
        <v>0</v>
      </c>
      <c r="X69" s="79">
        <f>DATABASE!Y560</f>
        <v>980000</v>
      </c>
      <c r="Y69" s="79">
        <f>DATABASE!Z560</f>
        <v>980000</v>
      </c>
      <c r="Z69" s="79" t="e">
        <f>DATABASE!#REF!</f>
        <v>#REF!</v>
      </c>
      <c r="AA69" s="81">
        <f>DATABASE!AA560</f>
        <v>0</v>
      </c>
      <c r="AB69" s="82">
        <f>DATABASE!AB560</f>
        <v>0</v>
      </c>
    </row>
    <row r="70" spans="1:28">
      <c r="A70" s="71" t="str">
        <f>DATABASE!A561</f>
        <v>NOBILUS</v>
      </c>
      <c r="B70" s="89" t="str">
        <f>DATABASE!B561</f>
        <v>Vilamoura</v>
      </c>
      <c r="C70" s="89" t="str">
        <f>DATABASE!C561</f>
        <v>AS</v>
      </c>
      <c r="D70" s="91" t="str">
        <f>DATABASE!E561</f>
        <v>T2</v>
      </c>
      <c r="E70" s="91">
        <f>DATABASE!F561</f>
        <v>108.99</v>
      </c>
      <c r="F70" s="91">
        <f>DATABASE!G561</f>
        <v>0</v>
      </c>
      <c r="G70" s="91" t="str">
        <f>DATABASE!H561</f>
        <v/>
      </c>
      <c r="H70" s="91" t="str">
        <f>DATABASE!I561</f>
        <v/>
      </c>
      <c r="I70" s="93">
        <f>DATABASE!J561</f>
        <v>4.3099999999999996</v>
      </c>
      <c r="J70" s="93">
        <f>DATABASE!K561</f>
        <v>0</v>
      </c>
      <c r="K70" s="93">
        <f>DATABASE!L561</f>
        <v>0</v>
      </c>
      <c r="L70" s="72">
        <f>DATABASE!M561</f>
        <v>0</v>
      </c>
      <c r="M70" s="93">
        <f>DATABASE!N561</f>
        <v>0</v>
      </c>
      <c r="N70" s="107">
        <f>DATABASE!O561</f>
        <v>108.99</v>
      </c>
      <c r="O70" s="88">
        <f>DATABASE!P561</f>
        <v>0</v>
      </c>
      <c r="P70" s="88" t="str">
        <f>DATABASE!Q561</f>
        <v>AVAILABLE</v>
      </c>
      <c r="Q70" s="78">
        <f>DATABASE!R561</f>
        <v>710000</v>
      </c>
      <c r="R70" s="78">
        <f>DATABASE!S561</f>
        <v>710000</v>
      </c>
      <c r="S70" s="116">
        <f>DATABASE!T561</f>
        <v>710000</v>
      </c>
      <c r="T70" s="78">
        <f>DATABASE!U561</f>
        <v>0</v>
      </c>
      <c r="U70" s="116">
        <f>DATABASE!V561</f>
        <v>0</v>
      </c>
      <c r="V70" s="79">
        <f>DATABASE!W561</f>
        <v>710000</v>
      </c>
      <c r="W70" s="80">
        <f>DATABASE!X561</f>
        <v>0</v>
      </c>
      <c r="X70" s="79">
        <f>DATABASE!Y561</f>
        <v>710000</v>
      </c>
      <c r="Y70" s="79">
        <f>DATABASE!Z561</f>
        <v>710000</v>
      </c>
      <c r="Z70" s="79" t="e">
        <f>DATABASE!#REF!</f>
        <v>#REF!</v>
      </c>
      <c r="AA70" s="81">
        <f>DATABASE!AA561</f>
        <v>0</v>
      </c>
      <c r="AB70" s="82">
        <f>DATABASE!AB561</f>
        <v>0</v>
      </c>
    </row>
    <row r="71" spans="1:28">
      <c r="A71" s="71" t="str">
        <f>DATABASE!A562</f>
        <v>Aroeira - APARTMENTS</v>
      </c>
      <c r="B71" s="89" t="str">
        <f>DATABASE!B562</f>
        <v>Center</v>
      </c>
      <c r="C71" s="89" t="str">
        <f>DATABASE!C562</f>
        <v>213C</v>
      </c>
      <c r="D71" s="91" t="str">
        <f>DATABASE!E562</f>
        <v>3-BR</v>
      </c>
      <c r="E71" s="91">
        <f>DATABASE!F562</f>
        <v>145.22999999999999</v>
      </c>
      <c r="F71" s="91">
        <f>DATABASE!G562</f>
        <v>0</v>
      </c>
      <c r="G71" s="91" t="str">
        <f>DATABASE!H562</f>
        <v>2</v>
      </c>
      <c r="H71" s="91" t="str">
        <f>DATABASE!I562</f>
        <v/>
      </c>
      <c r="I71" s="93">
        <f>DATABASE!J562</f>
        <v>29.4</v>
      </c>
      <c r="J71" s="93">
        <f>DATABASE!K562</f>
        <v>0</v>
      </c>
      <c r="K71" s="93">
        <f>DATABASE!L562</f>
        <v>0</v>
      </c>
      <c r="L71" s="72">
        <f>DATABASE!M562</f>
        <v>0</v>
      </c>
      <c r="M71" s="93">
        <f>DATABASE!N562</f>
        <v>0</v>
      </c>
      <c r="N71" s="107">
        <f>DATABASE!O562</f>
        <v>115.83</v>
      </c>
      <c r="O71" s="88">
        <f>DATABASE!P562</f>
        <v>0</v>
      </c>
      <c r="P71" s="88" t="str">
        <f>DATABASE!Q562</f>
        <v>AVAILABLE</v>
      </c>
      <c r="Q71" s="78">
        <f>DATABASE!R562</f>
        <v>875000</v>
      </c>
      <c r="R71" s="78">
        <f>DATABASE!S562</f>
        <v>925000</v>
      </c>
      <c r="S71" s="116">
        <f>DATABASE!T562</f>
        <v>925000</v>
      </c>
      <c r="T71" s="78">
        <f>DATABASE!U562</f>
        <v>0</v>
      </c>
      <c r="U71" s="116">
        <f>DATABASE!V562</f>
        <v>50000</v>
      </c>
      <c r="V71" s="79">
        <f>DATABASE!W562</f>
        <v>875000</v>
      </c>
      <c r="W71" s="80">
        <f>DATABASE!X562</f>
        <v>0</v>
      </c>
      <c r="X71" s="79">
        <f>DATABASE!Y562</f>
        <v>0</v>
      </c>
      <c r="Y71" s="79">
        <f>DATABASE!Z562</f>
        <v>-50000</v>
      </c>
      <c r="Z71" s="79" t="e">
        <f>DATABASE!#REF!</f>
        <v>#REF!</v>
      </c>
      <c r="AA71" s="81">
        <f>DATABASE!AA562</f>
        <v>0</v>
      </c>
      <c r="AB71" s="82">
        <f>DATABASE!AB562</f>
        <v>47118</v>
      </c>
    </row>
    <row r="72" spans="1:28">
      <c r="A72" s="71" t="str">
        <f>DATABASE!A563</f>
        <v>Aroeira - APARTMENTS</v>
      </c>
      <c r="B72" s="89" t="str">
        <f>DATABASE!B563</f>
        <v>Center</v>
      </c>
      <c r="C72" s="89" t="str">
        <f>DATABASE!C563</f>
        <v>215C</v>
      </c>
      <c r="D72" s="91" t="str">
        <f>DATABASE!E563</f>
        <v>3-BR</v>
      </c>
      <c r="E72" s="91">
        <f>DATABASE!F563</f>
        <v>145.22</v>
      </c>
      <c r="F72" s="91">
        <f>DATABASE!G563</f>
        <v>0</v>
      </c>
      <c r="G72" s="91" t="str">
        <f>DATABASE!H563</f>
        <v>2</v>
      </c>
      <c r="H72" s="91" t="str">
        <f>DATABASE!I563</f>
        <v/>
      </c>
      <c r="I72" s="93">
        <f>DATABASE!J563</f>
        <v>29.38</v>
      </c>
      <c r="J72" s="93">
        <f>DATABASE!K563</f>
        <v>0</v>
      </c>
      <c r="K72" s="93">
        <f>DATABASE!L563</f>
        <v>0</v>
      </c>
      <c r="L72" s="72">
        <f>DATABASE!M563</f>
        <v>0</v>
      </c>
      <c r="M72" s="93">
        <f>DATABASE!N563</f>
        <v>0</v>
      </c>
      <c r="N72" s="107">
        <f>DATABASE!O563</f>
        <v>115.84</v>
      </c>
      <c r="O72" s="88">
        <f>DATABASE!P563</f>
        <v>0</v>
      </c>
      <c r="P72" s="88" t="str">
        <f>DATABASE!Q563</f>
        <v>NOT FOR SALE</v>
      </c>
      <c r="Q72" s="78">
        <f>DATABASE!R563</f>
        <v>875000</v>
      </c>
      <c r="R72" s="78">
        <f>DATABASE!S563</f>
        <v>925000</v>
      </c>
      <c r="S72" s="116">
        <f>DATABASE!T563</f>
        <v>985000</v>
      </c>
      <c r="T72" s="78">
        <f>DATABASE!U563</f>
        <v>0</v>
      </c>
      <c r="U72" s="116">
        <f>DATABASE!V563</f>
        <v>50000</v>
      </c>
      <c r="V72" s="79">
        <f>DATABASE!W563</f>
        <v>935000</v>
      </c>
      <c r="W72" s="80">
        <f>DATABASE!X563</f>
        <v>0</v>
      </c>
      <c r="X72" s="79">
        <f>DATABASE!Y563</f>
        <v>0</v>
      </c>
      <c r="Y72" s="79">
        <f>DATABASE!Z563</f>
        <v>-50000</v>
      </c>
      <c r="Z72" s="79" t="e">
        <f>DATABASE!#REF!</f>
        <v>#REF!</v>
      </c>
      <c r="AA72" s="81">
        <f>DATABASE!AA563</f>
        <v>0</v>
      </c>
      <c r="AB72" s="82">
        <f>DATABASE!AB563</f>
        <v>47118</v>
      </c>
    </row>
    <row r="73" spans="1:28">
      <c r="A73" s="71" t="str">
        <f>DATABASE!A564</f>
        <v>Aroeira - HOUSES</v>
      </c>
      <c r="B73" s="89" t="str">
        <f>DATABASE!B564</f>
        <v>Center</v>
      </c>
      <c r="C73" s="89" t="str">
        <f>DATABASE!C564</f>
        <v>15B</v>
      </c>
      <c r="D73" s="91" t="str">
        <f>DATABASE!E564</f>
        <v>T2</v>
      </c>
      <c r="E73" s="91">
        <f>DATABASE!F564</f>
        <v>195.8</v>
      </c>
      <c r="F73" s="91">
        <f>DATABASE!G564</f>
        <v>0</v>
      </c>
      <c r="G73" s="91" t="str">
        <f>DATABASE!H564</f>
        <v>1</v>
      </c>
      <c r="H73" s="91" t="str">
        <f>DATABASE!I564</f>
        <v/>
      </c>
      <c r="I73" s="93">
        <f>DATABASE!J564</f>
        <v>0</v>
      </c>
      <c r="J73" s="93">
        <f>DATABASE!K564</f>
        <v>0</v>
      </c>
      <c r="K73" s="93">
        <f>DATABASE!L564</f>
        <v>0</v>
      </c>
      <c r="L73" s="72">
        <f>DATABASE!M564</f>
        <v>30</v>
      </c>
      <c r="M73" s="93">
        <f>DATABASE!N564</f>
        <v>28</v>
      </c>
      <c r="N73" s="107">
        <f>DATABASE!O564</f>
        <v>137.80000000000001</v>
      </c>
      <c r="O73" s="88">
        <f>DATABASE!P564</f>
        <v>0</v>
      </c>
      <c r="P73" s="88" t="str">
        <f>DATABASE!Q564</f>
        <v xml:space="preserve">PSPA </v>
      </c>
      <c r="Q73" s="78">
        <f>DATABASE!R564</f>
        <v>1080000</v>
      </c>
      <c r="R73" s="78">
        <f>DATABASE!S564</f>
        <v>1080000</v>
      </c>
      <c r="S73" s="116">
        <f>DATABASE!T564</f>
        <v>1100000</v>
      </c>
      <c r="T73" s="78">
        <f>DATABASE!U564</f>
        <v>0</v>
      </c>
      <c r="U73" s="116">
        <f>DATABASE!V564</f>
        <v>0</v>
      </c>
      <c r="V73" s="79">
        <f>DATABASE!W564</f>
        <v>1100000</v>
      </c>
      <c r="W73" s="80">
        <f>DATABASE!X564</f>
        <v>0</v>
      </c>
      <c r="X73" s="79">
        <f>DATABASE!Y564</f>
        <v>1100000</v>
      </c>
      <c r="Y73" s="79">
        <f>DATABASE!Z564</f>
        <v>1100000</v>
      </c>
      <c r="Z73" s="79" t="e">
        <f>DATABASE!#REF!</f>
        <v>#REF!</v>
      </c>
      <c r="AA73" s="81" t="e">
        <f>DATABASE!#REF!</f>
        <v>#REF!</v>
      </c>
      <c r="AB73" s="82">
        <f>DATABASE!AB564</f>
        <v>47118</v>
      </c>
    </row>
    <row r="74" spans="1:28">
      <c r="A74" s="71" t="str">
        <f>DATABASE!A565</f>
        <v>Aroeira - HOUSES</v>
      </c>
      <c r="B74" s="89" t="str">
        <f>DATABASE!B565</f>
        <v>Center</v>
      </c>
      <c r="C74" s="89" t="str">
        <f>DATABASE!C565</f>
        <v>16B</v>
      </c>
      <c r="D74" s="91" t="str">
        <f>DATABASE!E565</f>
        <v>T2</v>
      </c>
      <c r="E74" s="91">
        <f>DATABASE!F565</f>
        <v>170</v>
      </c>
      <c r="F74" s="91">
        <f>DATABASE!G565</f>
        <v>0</v>
      </c>
      <c r="G74" s="91" t="str">
        <f>DATABASE!H565</f>
        <v>1</v>
      </c>
      <c r="H74" s="91" t="str">
        <f>DATABASE!I565</f>
        <v/>
      </c>
      <c r="I74" s="93">
        <f>DATABASE!J565</f>
        <v>0</v>
      </c>
      <c r="J74" s="93">
        <f>DATABASE!K565</f>
        <v>0</v>
      </c>
      <c r="K74" s="93">
        <f>DATABASE!L565</f>
        <v>0</v>
      </c>
      <c r="L74" s="72">
        <f>DATABASE!M565</f>
        <v>30</v>
      </c>
      <c r="M74" s="93">
        <f>DATABASE!N565</f>
        <v>24</v>
      </c>
      <c r="N74" s="107">
        <f>DATABASE!O565</f>
        <v>116</v>
      </c>
      <c r="O74" s="88">
        <f>DATABASE!P565</f>
        <v>0</v>
      </c>
      <c r="P74" s="88" t="str">
        <f>DATABASE!Q565</f>
        <v xml:space="preserve">PSPA </v>
      </c>
      <c r="Q74" s="78">
        <f>DATABASE!R565</f>
        <v>795000</v>
      </c>
      <c r="R74" s="78">
        <f>DATABASE!S565</f>
        <v>795000</v>
      </c>
      <c r="S74" s="116">
        <f>DATABASE!T565</f>
        <v>795000</v>
      </c>
      <c r="T74" s="78">
        <f>DATABASE!U565</f>
        <v>0</v>
      </c>
      <c r="U74" s="116">
        <f>DATABASE!V565</f>
        <v>0</v>
      </c>
      <c r="V74" s="79">
        <f>DATABASE!W565</f>
        <v>795000</v>
      </c>
      <c r="W74" s="80">
        <f>DATABASE!X565</f>
        <v>0.02</v>
      </c>
      <c r="X74" s="79">
        <f>DATABASE!Y565</f>
        <v>779100</v>
      </c>
      <c r="Y74" s="79">
        <f>DATABASE!Z565</f>
        <v>779100</v>
      </c>
      <c r="Z74" s="79" t="e">
        <f>DATABASE!#REF!</f>
        <v>#REF!</v>
      </c>
      <c r="AA74" s="81" t="e">
        <f>DATABASE!#REF!</f>
        <v>#REF!</v>
      </c>
      <c r="AB74" s="82">
        <f>DATABASE!AB565</f>
        <v>47118</v>
      </c>
    </row>
    <row r="75" spans="1:28">
      <c r="A75" s="71" t="str">
        <f>DATABASE!A566</f>
        <v>Aroeira - HOUSES</v>
      </c>
      <c r="B75" s="89" t="str">
        <f>DATABASE!B566</f>
        <v>Center</v>
      </c>
      <c r="C75" s="89" t="str">
        <f>DATABASE!C566</f>
        <v>19B</v>
      </c>
      <c r="D75" s="91" t="str">
        <f>DATABASE!E566</f>
        <v>T2</v>
      </c>
      <c r="E75" s="91">
        <f>DATABASE!F566</f>
        <v>169</v>
      </c>
      <c r="F75" s="91">
        <f>DATABASE!G566</f>
        <v>0</v>
      </c>
      <c r="G75" s="91" t="str">
        <f>DATABASE!H566</f>
        <v>1</v>
      </c>
      <c r="H75" s="91" t="str">
        <f>DATABASE!I566</f>
        <v/>
      </c>
      <c r="I75" s="93">
        <f>DATABASE!J566</f>
        <v>0</v>
      </c>
      <c r="J75" s="93">
        <f>DATABASE!K566</f>
        <v>0</v>
      </c>
      <c r="K75" s="93">
        <f>DATABASE!L566</f>
        <v>0</v>
      </c>
      <c r="L75" s="72">
        <f>DATABASE!M566</f>
        <v>30</v>
      </c>
      <c r="M75" s="93">
        <f>DATABASE!N566</f>
        <v>23</v>
      </c>
      <c r="N75" s="107">
        <f>DATABASE!O566</f>
        <v>116</v>
      </c>
      <c r="O75" s="88">
        <f>DATABASE!P566</f>
        <v>0</v>
      </c>
      <c r="P75" s="88" t="str">
        <f>DATABASE!Q566</f>
        <v xml:space="preserve">PSPA </v>
      </c>
      <c r="Q75" s="78">
        <f>DATABASE!R566</f>
        <v>925000</v>
      </c>
      <c r="R75" s="78">
        <f>DATABASE!S566</f>
        <v>925000</v>
      </c>
      <c r="S75" s="116">
        <f>DATABASE!T566</f>
        <v>925000</v>
      </c>
      <c r="T75" s="78">
        <f>DATABASE!U566</f>
        <v>0</v>
      </c>
      <c r="U75" s="116">
        <f>DATABASE!V566</f>
        <v>0</v>
      </c>
      <c r="V75" s="79">
        <f>DATABASE!W566</f>
        <v>925000</v>
      </c>
      <c r="W75" s="80">
        <f>DATABASE!X566</f>
        <v>0</v>
      </c>
      <c r="X75" s="79">
        <f>DATABASE!Y566</f>
        <v>925000</v>
      </c>
      <c r="Y75" s="79">
        <f>DATABASE!Z566</f>
        <v>925000</v>
      </c>
      <c r="Z75" s="79" t="e">
        <f>DATABASE!#REF!</f>
        <v>#REF!</v>
      </c>
      <c r="AA75" s="81" t="e">
        <f>DATABASE!#REF!</f>
        <v>#REF!</v>
      </c>
      <c r="AB75" s="82">
        <f>DATABASE!AB566</f>
        <v>47118</v>
      </c>
    </row>
    <row r="76" spans="1:28">
      <c r="A76" s="71" t="str">
        <f>DATABASE!A567</f>
        <v>Aroeira - APARTMENTS</v>
      </c>
      <c r="B76" s="89" t="str">
        <f>DATABASE!B567</f>
        <v>Center</v>
      </c>
      <c r="C76" s="89" t="str">
        <f>DATABASE!C567</f>
        <v>204B</v>
      </c>
      <c r="D76" s="91" t="str">
        <f>DATABASE!E567</f>
        <v>2-BR</v>
      </c>
      <c r="E76" s="91">
        <f>DATABASE!F567</f>
        <v>114.59</v>
      </c>
      <c r="F76" s="91">
        <f>DATABASE!G567</f>
        <v>0</v>
      </c>
      <c r="G76" s="91" t="str">
        <f>DATABASE!H567</f>
        <v>1</v>
      </c>
      <c r="H76" s="91" t="str">
        <f>DATABASE!I567</f>
        <v/>
      </c>
      <c r="I76" s="93">
        <f>DATABASE!J567</f>
        <v>22.28</v>
      </c>
      <c r="J76" s="93">
        <f>DATABASE!K567</f>
        <v>0</v>
      </c>
      <c r="K76" s="93">
        <f>DATABASE!L567</f>
        <v>0</v>
      </c>
      <c r="L76" s="72">
        <f>DATABASE!M567</f>
        <v>0</v>
      </c>
      <c r="M76" s="93">
        <f>DATABASE!N567</f>
        <v>0</v>
      </c>
      <c r="N76" s="107">
        <f>DATABASE!O567</f>
        <v>92.31</v>
      </c>
      <c r="O76" s="88">
        <f>DATABASE!P567</f>
        <v>0</v>
      </c>
      <c r="P76" s="88" t="str">
        <f>DATABASE!Q567</f>
        <v xml:space="preserve">PSPA </v>
      </c>
      <c r="Q76" s="78">
        <f>DATABASE!R567</f>
        <v>720000</v>
      </c>
      <c r="R76" s="78">
        <f>DATABASE!S567</f>
        <v>765000</v>
      </c>
      <c r="S76" s="116">
        <f>DATABASE!T567</f>
        <v>755000</v>
      </c>
      <c r="T76" s="78">
        <f>DATABASE!U567</f>
        <v>0</v>
      </c>
      <c r="U76" s="116">
        <f>DATABASE!V567</f>
        <v>45000</v>
      </c>
      <c r="V76" s="79">
        <f>DATABASE!W567</f>
        <v>710000</v>
      </c>
      <c r="W76" s="80">
        <f>DATABASE!X567</f>
        <v>-1.3245033112582801E-2</v>
      </c>
      <c r="X76" s="79">
        <f>DATABASE!Y567</f>
        <v>765000</v>
      </c>
      <c r="Y76" s="79">
        <f>DATABASE!Z567</f>
        <v>720000</v>
      </c>
      <c r="Z76" s="79" t="e">
        <f>DATABASE!#REF!</f>
        <v>#REF!</v>
      </c>
      <c r="AA76" s="81" t="e">
        <f>DATABASE!#REF!</f>
        <v>#REF!</v>
      </c>
      <c r="AB76" s="82">
        <f>DATABASE!AB567</f>
        <v>47118</v>
      </c>
    </row>
    <row r="77" spans="1:28">
      <c r="A77" s="71" t="str">
        <f>DATABASE!A568</f>
        <v xml:space="preserve">MR - CHR </v>
      </c>
      <c r="B77" s="89" t="str">
        <f>DATABASE!B568</f>
        <v>Algarve</v>
      </c>
      <c r="C77" s="89" t="str">
        <f>DATABASE!C568</f>
        <v>Z</v>
      </c>
      <c r="D77" s="91" t="str">
        <f>DATABASE!E568</f>
        <v>T2</v>
      </c>
      <c r="E77" s="91">
        <f>DATABASE!F568</f>
        <v>202.75</v>
      </c>
      <c r="F77" s="91">
        <f>DATABASE!G568</f>
        <v>0</v>
      </c>
      <c r="G77" s="91" t="str">
        <f>DATABASE!H568</f>
        <v/>
      </c>
      <c r="H77" s="91" t="str">
        <f>DATABASE!I568</f>
        <v/>
      </c>
      <c r="I77" s="93">
        <f>DATABASE!J568</f>
        <v>0</v>
      </c>
      <c r="J77" s="93">
        <f>DATABASE!K568</f>
        <v>0</v>
      </c>
      <c r="K77" s="93">
        <f>DATABASE!L568</f>
        <v>0</v>
      </c>
      <c r="L77" s="72">
        <f>DATABASE!M568</f>
        <v>44.03</v>
      </c>
      <c r="M77" s="93">
        <f>DATABASE!N568</f>
        <v>0</v>
      </c>
      <c r="N77" s="107">
        <f>DATABASE!O568</f>
        <v>158.72</v>
      </c>
      <c r="O77" s="88">
        <f>DATABASE!P568</f>
        <v>0</v>
      </c>
      <c r="P77" s="88" t="str">
        <f>DATABASE!Q568</f>
        <v>AVAILABLE</v>
      </c>
      <c r="Q77" s="78">
        <f>DATABASE!R568</f>
        <v>925000</v>
      </c>
      <c r="R77" s="78">
        <f>DATABASE!S568</f>
        <v>925000</v>
      </c>
      <c r="S77" s="116">
        <f>DATABASE!T568</f>
        <v>925000</v>
      </c>
      <c r="T77" s="78">
        <f>DATABASE!U568</f>
        <v>0</v>
      </c>
      <c r="U77" s="116">
        <f>DATABASE!V568</f>
        <v>0</v>
      </c>
      <c r="V77" s="79">
        <f>DATABASE!W568</f>
        <v>925000</v>
      </c>
      <c r="W77" s="80">
        <f>DATABASE!X568</f>
        <v>0</v>
      </c>
      <c r="X77" s="79">
        <f>DATABASE!Y568</f>
        <v>0</v>
      </c>
      <c r="Y77" s="79">
        <f>DATABASE!Z568</f>
        <v>0</v>
      </c>
      <c r="Z77" s="79" t="e">
        <f>DATABASE!#REF!</f>
        <v>#REF!</v>
      </c>
      <c r="AA77" s="81">
        <f>DATABASE!AA568</f>
        <v>0</v>
      </c>
      <c r="AB77" s="82" t="str">
        <f>DATABASE!AB568</f>
        <v>TBD</v>
      </c>
    </row>
    <row r="78" spans="1:28">
      <c r="A78" s="71" t="str">
        <f>DATABASE!A569</f>
        <v>SPRINGS</v>
      </c>
      <c r="B78" s="89" t="str">
        <f>DATABASE!B569</f>
        <v>Vilamoura</v>
      </c>
      <c r="C78" s="89" t="str">
        <f>DATABASE!C569</f>
        <v>AS</v>
      </c>
      <c r="D78" s="91" t="str">
        <f>DATABASE!E569</f>
        <v>V2 Duplex</v>
      </c>
      <c r="E78" s="91">
        <f>DATABASE!F569</f>
        <v>280.27</v>
      </c>
      <c r="F78" s="91">
        <f>DATABASE!G569</f>
        <v>119.06</v>
      </c>
      <c r="G78" s="91" t="str">
        <f>DATABASE!H569</f>
        <v/>
      </c>
      <c r="H78" s="91" t="str">
        <f>DATABASE!I569</f>
        <v/>
      </c>
      <c r="I78" s="93">
        <f>DATABASE!J569</f>
        <v>25.77</v>
      </c>
      <c r="J78" s="93">
        <f>DATABASE!K569</f>
        <v>0</v>
      </c>
      <c r="K78" s="93">
        <f>DATABASE!L569</f>
        <v>0</v>
      </c>
      <c r="L78" s="72">
        <f>DATABASE!M569</f>
        <v>0</v>
      </c>
      <c r="M78" s="93">
        <f>DATABASE!N569</f>
        <v>0</v>
      </c>
      <c r="N78" s="107">
        <f>DATABASE!O569</f>
        <v>135.44</v>
      </c>
      <c r="O78" s="88">
        <f>DATABASE!P569</f>
        <v>0</v>
      </c>
      <c r="P78" s="88" t="str">
        <f>DATABASE!Q569</f>
        <v>AVAILABLE</v>
      </c>
      <c r="Q78" s="78">
        <f>DATABASE!R569</f>
        <v>1417700</v>
      </c>
      <c r="R78" s="78">
        <f>DATABASE!S569</f>
        <v>1488850</v>
      </c>
      <c r="S78" s="116">
        <f>DATABASE!T569</f>
        <v>1560000</v>
      </c>
      <c r="T78" s="78">
        <f>DATABASE!U569</f>
        <v>24600</v>
      </c>
      <c r="U78" s="116">
        <f>DATABASE!V569</f>
        <v>46550</v>
      </c>
      <c r="V78" s="79">
        <f>DATABASE!W569</f>
        <v>1488850</v>
      </c>
      <c r="W78" s="80">
        <f>DATABASE!X569</f>
        <v>0</v>
      </c>
      <c r="X78" s="79">
        <f>DATABASE!Y569</f>
        <v>1560000</v>
      </c>
      <c r="Y78" s="79">
        <f>DATABASE!Z569</f>
        <v>1488850</v>
      </c>
      <c r="Z78" s="79" t="e">
        <f>DATABASE!#REF!</f>
        <v>#REF!</v>
      </c>
      <c r="AA78" s="81">
        <f>DATABASE!AA569</f>
        <v>0</v>
      </c>
      <c r="AB78" s="82">
        <f>DATABASE!AB569</f>
        <v>0</v>
      </c>
    </row>
    <row r="79" spans="1:28">
      <c r="A79" s="71" t="str">
        <f>DATABASE!A570</f>
        <v>TERRACOTA</v>
      </c>
      <c r="B79" s="89" t="str">
        <f>DATABASE!B570</f>
        <v>Vilamoura</v>
      </c>
      <c r="C79" s="89" t="str">
        <f>DATABASE!C570</f>
        <v>AS</v>
      </c>
      <c r="D79" s="91" t="str">
        <f>DATABASE!E570</f>
        <v>T2</v>
      </c>
      <c r="E79" s="91">
        <f>DATABASE!F570</f>
        <v>104.7</v>
      </c>
      <c r="F79" s="91">
        <f>DATABASE!G570</f>
        <v>0</v>
      </c>
      <c r="G79" s="91" t="str">
        <f>DATABASE!H570</f>
        <v/>
      </c>
      <c r="H79" s="91" t="str">
        <f>DATABASE!I570</f>
        <v/>
      </c>
      <c r="I79" s="93">
        <f>DATABASE!J570</f>
        <v>0</v>
      </c>
      <c r="J79" s="93">
        <f>DATABASE!K570</f>
        <v>0</v>
      </c>
      <c r="K79" s="93">
        <f>DATABASE!L570</f>
        <v>0</v>
      </c>
      <c r="L79" s="72">
        <f>DATABASE!M570</f>
        <v>0</v>
      </c>
      <c r="M79" s="93">
        <f>DATABASE!N570</f>
        <v>0</v>
      </c>
      <c r="N79" s="107">
        <f>DATABASE!O570</f>
        <v>104.7</v>
      </c>
      <c r="O79" s="88">
        <f>DATABASE!P570</f>
        <v>0</v>
      </c>
      <c r="P79" s="88" t="str">
        <f>DATABASE!Q570</f>
        <v xml:space="preserve">PSPA </v>
      </c>
      <c r="Q79" s="78">
        <f>DATABASE!R570</f>
        <v>550000</v>
      </c>
      <c r="R79" s="78">
        <f>DATABASE!S570</f>
        <v>550000</v>
      </c>
      <c r="S79" s="116">
        <f>DATABASE!T570</f>
        <v>565000</v>
      </c>
      <c r="T79" s="78">
        <f>DATABASE!U570</f>
        <v>0</v>
      </c>
      <c r="U79" s="116">
        <f>DATABASE!V570</f>
        <v>0</v>
      </c>
      <c r="V79" s="79">
        <f>DATABASE!W570</f>
        <v>565000</v>
      </c>
      <c r="W79" s="80">
        <f>DATABASE!X570</f>
        <v>0</v>
      </c>
      <c r="X79" s="79">
        <f>DATABASE!Y570</f>
        <v>565000</v>
      </c>
      <c r="Y79" s="79">
        <f>DATABASE!Z570</f>
        <v>565000</v>
      </c>
      <c r="Z79" s="79" t="e">
        <f>DATABASE!#REF!</f>
        <v>#REF!</v>
      </c>
      <c r="AA79" s="81" t="e">
        <f>DATABASE!#REF!</f>
        <v>#REF!</v>
      </c>
      <c r="AB79" s="82">
        <f>DATABASE!AB570</f>
        <v>0</v>
      </c>
    </row>
    <row r="80" spans="1:28">
      <c r="A80" s="71" t="str">
        <f>DATABASE!A571</f>
        <v>THE NINE</v>
      </c>
      <c r="B80" s="89" t="str">
        <f>DATABASE!B571</f>
        <v>Vilamoura</v>
      </c>
      <c r="C80" s="89" t="str">
        <f>DATABASE!C571</f>
        <v>AS</v>
      </c>
      <c r="D80" s="91" t="str">
        <f>DATABASE!E571</f>
        <v>T2</v>
      </c>
      <c r="E80" s="91">
        <f>DATABASE!F571</f>
        <v>111</v>
      </c>
      <c r="F80" s="91">
        <f>DATABASE!G571</f>
        <v>0</v>
      </c>
      <c r="G80" s="91" t="str">
        <f>DATABASE!H571</f>
        <v/>
      </c>
      <c r="H80" s="91" t="str">
        <f>DATABASE!I571</f>
        <v/>
      </c>
      <c r="I80" s="93">
        <f>DATABASE!J571</f>
        <v>0</v>
      </c>
      <c r="J80" s="93">
        <f>DATABASE!K571</f>
        <v>0</v>
      </c>
      <c r="K80" s="93">
        <f>DATABASE!L571</f>
        <v>0</v>
      </c>
      <c r="L80" s="72">
        <f>DATABASE!M571</f>
        <v>0</v>
      </c>
      <c r="M80" s="93">
        <f>DATABASE!N571</f>
        <v>0</v>
      </c>
      <c r="N80" s="107">
        <f>DATABASE!O571</f>
        <v>111</v>
      </c>
      <c r="O80" s="88">
        <f>DATABASE!P571</f>
        <v>0</v>
      </c>
      <c r="P80" s="88" t="str">
        <f>DATABASE!Q571</f>
        <v xml:space="preserve">DEED </v>
      </c>
      <c r="Q80" s="78">
        <f>DATABASE!R571</f>
        <v>660000</v>
      </c>
      <c r="R80" s="78">
        <f>DATABASE!S571</f>
        <v>660000</v>
      </c>
      <c r="S80" s="116">
        <f>DATABASE!T571</f>
        <v>830000</v>
      </c>
      <c r="T80" s="78">
        <f>DATABASE!U571</f>
        <v>0</v>
      </c>
      <c r="U80" s="116">
        <f>DATABASE!V571</f>
        <v>0</v>
      </c>
      <c r="V80" s="79">
        <f>DATABASE!W571</f>
        <v>830000</v>
      </c>
      <c r="W80" s="80">
        <f>DATABASE!X571</f>
        <v>6.02409638554217E-2</v>
      </c>
      <c r="X80" s="79">
        <f>DATABASE!Y571</f>
        <v>780000</v>
      </c>
      <c r="Y80" s="79">
        <f>DATABASE!Z571</f>
        <v>780000</v>
      </c>
      <c r="Z80" s="79" t="e">
        <f>DATABASE!#REF!</f>
        <v>#REF!</v>
      </c>
      <c r="AA80" s="81">
        <f>DATABASE!AA571</f>
        <v>46093</v>
      </c>
      <c r="AB80" s="82">
        <f>DATABASE!AB571</f>
        <v>0</v>
      </c>
    </row>
    <row r="81" spans="1:28">
      <c r="A81" s="71" t="str">
        <f>DATABASE!A572</f>
        <v>ZESTIA</v>
      </c>
      <c r="B81" s="89" t="str">
        <f>DATABASE!B572</f>
        <v>Vilamoura</v>
      </c>
      <c r="C81" s="89" t="str">
        <f>DATABASE!C572</f>
        <v>AS</v>
      </c>
      <c r="D81" s="91" t="str">
        <f>DATABASE!E572</f>
        <v>T2</v>
      </c>
      <c r="E81" s="91">
        <f>DATABASE!F572</f>
        <v>125.51</v>
      </c>
      <c r="F81" s="91">
        <f>DATABASE!G572</f>
        <v>0</v>
      </c>
      <c r="G81" s="91" t="str">
        <f>DATABASE!H572</f>
        <v/>
      </c>
      <c r="H81" s="91" t="str">
        <f>DATABASE!I572</f>
        <v/>
      </c>
      <c r="I81" s="93">
        <f>DATABASE!J572</f>
        <v>31.83</v>
      </c>
      <c r="J81" s="93">
        <f>DATABASE!K572</f>
        <v>0</v>
      </c>
      <c r="K81" s="93">
        <f>DATABASE!L572</f>
        <v>0</v>
      </c>
      <c r="L81" s="72">
        <f>DATABASE!M572</f>
        <v>0</v>
      </c>
      <c r="M81" s="93">
        <f>DATABASE!N572</f>
        <v>0</v>
      </c>
      <c r="N81" s="107">
        <f>DATABASE!O572</f>
        <v>93.68</v>
      </c>
      <c r="O81" s="88">
        <f>DATABASE!P572</f>
        <v>0</v>
      </c>
      <c r="P81" s="88" t="str">
        <f>DATABASE!Q572</f>
        <v>AVAILABLE</v>
      </c>
      <c r="Q81" s="78">
        <f>DATABASE!R572</f>
        <v>751353.73840000003</v>
      </c>
      <c r="R81" s="78">
        <f>DATABASE!S572</f>
        <v>815953.73840000003</v>
      </c>
      <c r="S81" s="116">
        <f>DATABASE!T572</f>
        <v>900000</v>
      </c>
      <c r="T81" s="78">
        <f>DATABASE!U572</f>
        <v>24600</v>
      </c>
      <c r="U81" s="116">
        <f>DATABASE!V572</f>
        <v>40000</v>
      </c>
      <c r="V81" s="79">
        <f>DATABASE!W572</f>
        <v>835400</v>
      </c>
      <c r="W81" s="80">
        <f>DATABASE!X572</f>
        <v>0</v>
      </c>
      <c r="X81" s="79">
        <f>DATABASE!Y572</f>
        <v>900000</v>
      </c>
      <c r="Y81" s="79">
        <f>DATABASE!Z572</f>
        <v>835400</v>
      </c>
      <c r="Z81" s="79" t="e">
        <f>DATABASE!#REF!</f>
        <v>#REF!</v>
      </c>
      <c r="AA81" s="81">
        <f>DATABASE!AA572</f>
        <v>0</v>
      </c>
      <c r="AB81" s="82">
        <f>DATABASE!AB572</f>
        <v>0</v>
      </c>
    </row>
    <row r="82" spans="1:28">
      <c r="A82" s="71" t="str">
        <f>DATABASE!A573</f>
        <v>BOTÂNICA</v>
      </c>
      <c r="B82" s="89" t="str">
        <f>DATABASE!B573</f>
        <v>Vilamoura</v>
      </c>
      <c r="C82" s="89" t="str">
        <f>DATABASE!C573</f>
        <v>AT</v>
      </c>
      <c r="D82" s="91" t="str">
        <f>DATABASE!E573</f>
        <v>T2</v>
      </c>
      <c r="E82" s="91">
        <f>DATABASE!F573</f>
        <v>142.88</v>
      </c>
      <c r="F82" s="91">
        <f>DATABASE!G573</f>
        <v>0</v>
      </c>
      <c r="G82" s="91" t="str">
        <f>DATABASE!H573</f>
        <v>2</v>
      </c>
      <c r="H82" s="91" t="str">
        <f>DATABASE!I573</f>
        <v/>
      </c>
      <c r="I82" s="93">
        <f>DATABASE!J573</f>
        <v>28.39</v>
      </c>
      <c r="J82" s="93">
        <f>DATABASE!K573</f>
        <v>0</v>
      </c>
      <c r="K82" s="93">
        <f>DATABASE!L573</f>
        <v>0</v>
      </c>
      <c r="L82" s="72">
        <f>DATABASE!M573</f>
        <v>0</v>
      </c>
      <c r="M82" s="93">
        <f>DATABASE!N573</f>
        <v>0</v>
      </c>
      <c r="N82" s="107">
        <f>DATABASE!O573</f>
        <v>114.49</v>
      </c>
      <c r="O82" s="88">
        <f>DATABASE!P573</f>
        <v>0</v>
      </c>
      <c r="P82" s="88" t="str">
        <f>DATABASE!Q573</f>
        <v>AVAILABLE</v>
      </c>
      <c r="Q82" s="78">
        <f>DATABASE!R573</f>
        <v>998570.826</v>
      </c>
      <c r="R82" s="78">
        <f>DATABASE!S573</f>
        <v>998570.826</v>
      </c>
      <c r="S82" s="116">
        <f>DATABASE!T573</f>
        <v>1050000</v>
      </c>
      <c r="T82" s="78">
        <f>DATABASE!U573</f>
        <v>0</v>
      </c>
      <c r="U82" s="116">
        <f>DATABASE!V573</f>
        <v>0</v>
      </c>
      <c r="V82" s="79">
        <f>DATABASE!W573</f>
        <v>1050000</v>
      </c>
      <c r="W82" s="80">
        <f>DATABASE!X573</f>
        <v>0</v>
      </c>
      <c r="X82" s="79">
        <f>DATABASE!Y573</f>
        <v>1030000</v>
      </c>
      <c r="Y82" s="79">
        <f>DATABASE!Z573</f>
        <v>1030000</v>
      </c>
      <c r="Z82" s="79" t="e">
        <f>DATABASE!#REF!</f>
        <v>#REF!</v>
      </c>
      <c r="AA82" s="81">
        <f>DATABASE!AA573</f>
        <v>0</v>
      </c>
      <c r="AB82" s="82">
        <f>DATABASE!AB573</f>
        <v>0</v>
      </c>
    </row>
    <row r="83" spans="1:28">
      <c r="A83" s="71" t="str">
        <f>DATABASE!A574</f>
        <v>NOBILUS</v>
      </c>
      <c r="B83" s="89" t="str">
        <f>DATABASE!B574</f>
        <v>Vilamoura</v>
      </c>
      <c r="C83" s="89" t="str">
        <f>DATABASE!C574</f>
        <v>AT</v>
      </c>
      <c r="D83" s="91" t="str">
        <f>DATABASE!E574</f>
        <v>T2</v>
      </c>
      <c r="E83" s="91">
        <f>DATABASE!F574</f>
        <v>110.8</v>
      </c>
      <c r="F83" s="91">
        <f>DATABASE!G574</f>
        <v>0</v>
      </c>
      <c r="G83" s="91" t="str">
        <f>DATABASE!H574</f>
        <v/>
      </c>
      <c r="H83" s="91" t="str">
        <f>DATABASE!I574</f>
        <v/>
      </c>
      <c r="I83" s="93">
        <f>DATABASE!J574</f>
        <v>8.9600000000000009</v>
      </c>
      <c r="J83" s="93">
        <f>DATABASE!K574</f>
        <v>0</v>
      </c>
      <c r="K83" s="93">
        <f>DATABASE!L574</f>
        <v>0</v>
      </c>
      <c r="L83" s="72">
        <f>DATABASE!M574</f>
        <v>0</v>
      </c>
      <c r="M83" s="93">
        <f>DATABASE!N574</f>
        <v>0</v>
      </c>
      <c r="N83" s="107">
        <f>DATABASE!O574</f>
        <v>110.8</v>
      </c>
      <c r="O83" s="88">
        <f>DATABASE!P574</f>
        <v>0</v>
      </c>
      <c r="P83" s="88" t="str">
        <f>DATABASE!Q574</f>
        <v>AVAILABLE</v>
      </c>
      <c r="Q83" s="78">
        <f>DATABASE!R574</f>
        <v>750000</v>
      </c>
      <c r="R83" s="78">
        <f>DATABASE!S574</f>
        <v>750000</v>
      </c>
      <c r="S83" s="116">
        <f>DATABASE!T574</f>
        <v>750000</v>
      </c>
      <c r="T83" s="78">
        <f>DATABASE!U574</f>
        <v>0</v>
      </c>
      <c r="U83" s="116">
        <f>DATABASE!V574</f>
        <v>0</v>
      </c>
      <c r="V83" s="79">
        <f>DATABASE!W574</f>
        <v>750000</v>
      </c>
      <c r="W83" s="80">
        <f>DATABASE!X574</f>
        <v>0</v>
      </c>
      <c r="X83" s="79">
        <f>DATABASE!Y574</f>
        <v>750000</v>
      </c>
      <c r="Y83" s="79">
        <f>DATABASE!Z574</f>
        <v>750000</v>
      </c>
      <c r="Z83" s="79" t="e">
        <f>DATABASE!#REF!</f>
        <v>#REF!</v>
      </c>
      <c r="AA83" s="81">
        <f>DATABASE!AA574</f>
        <v>0</v>
      </c>
      <c r="AB83" s="82">
        <f>DATABASE!AB574</f>
        <v>0</v>
      </c>
    </row>
    <row r="84" spans="1:28">
      <c r="A84" s="71" t="str">
        <f>DATABASE!A575</f>
        <v>SPRINGS</v>
      </c>
      <c r="B84" s="89" t="str">
        <f>DATABASE!B575</f>
        <v>Vilamoura</v>
      </c>
      <c r="C84" s="89" t="str">
        <f>DATABASE!C575</f>
        <v>AT</v>
      </c>
      <c r="D84" s="91" t="str">
        <f>DATABASE!E575</f>
        <v>V2 Duplex</v>
      </c>
      <c r="E84" s="91">
        <f>DATABASE!F575</f>
        <v>280.27</v>
      </c>
      <c r="F84" s="91">
        <f>DATABASE!G575</f>
        <v>119.06</v>
      </c>
      <c r="G84" s="91" t="str">
        <f>DATABASE!H575</f>
        <v/>
      </c>
      <c r="H84" s="91" t="str">
        <f>DATABASE!I575</f>
        <v/>
      </c>
      <c r="I84" s="93">
        <f>DATABASE!J575</f>
        <v>25.77</v>
      </c>
      <c r="J84" s="93">
        <f>DATABASE!K575</f>
        <v>0</v>
      </c>
      <c r="K84" s="93">
        <f>DATABASE!L575</f>
        <v>0</v>
      </c>
      <c r="L84" s="72">
        <f>DATABASE!M575</f>
        <v>0</v>
      </c>
      <c r="M84" s="93">
        <f>DATABASE!N575</f>
        <v>0</v>
      </c>
      <c r="N84" s="107">
        <f>DATABASE!O575</f>
        <v>135.44</v>
      </c>
      <c r="O84" s="88">
        <f>DATABASE!P575</f>
        <v>0</v>
      </c>
      <c r="P84" s="88" t="str">
        <f>DATABASE!Q575</f>
        <v>AVAILABLE</v>
      </c>
      <c r="Q84" s="78">
        <f>DATABASE!R575</f>
        <v>1397700</v>
      </c>
      <c r="R84" s="78">
        <f>DATABASE!S575</f>
        <v>1468850</v>
      </c>
      <c r="S84" s="116">
        <f>DATABASE!T575</f>
        <v>1540000</v>
      </c>
      <c r="T84" s="78">
        <f>DATABASE!U575</f>
        <v>24600</v>
      </c>
      <c r="U84" s="116">
        <f>DATABASE!V575</f>
        <v>46550</v>
      </c>
      <c r="V84" s="79">
        <f>DATABASE!W575</f>
        <v>1468850</v>
      </c>
      <c r="W84" s="80">
        <f>DATABASE!X575</f>
        <v>0</v>
      </c>
      <c r="X84" s="79">
        <f>DATABASE!Y575</f>
        <v>1540000</v>
      </c>
      <c r="Y84" s="79">
        <f>DATABASE!Z575</f>
        <v>1468850</v>
      </c>
      <c r="Z84" s="79" t="e">
        <f>DATABASE!#REF!</f>
        <v>#REF!</v>
      </c>
      <c r="AA84" s="81">
        <f>DATABASE!AA575</f>
        <v>0</v>
      </c>
      <c r="AB84" s="82">
        <f>DATABASE!AB575</f>
        <v>0</v>
      </c>
    </row>
    <row r="85" spans="1:28">
      <c r="A85" s="71" t="str">
        <f>DATABASE!A576</f>
        <v>TERRACOTA</v>
      </c>
      <c r="B85" s="89" t="str">
        <f>DATABASE!B576</f>
        <v>Vilamoura</v>
      </c>
      <c r="C85" s="89" t="str">
        <f>DATABASE!C576</f>
        <v>AT</v>
      </c>
      <c r="D85" s="91" t="str">
        <f>DATABASE!E576</f>
        <v>T2</v>
      </c>
      <c r="E85" s="91">
        <f>DATABASE!F576</f>
        <v>104.7</v>
      </c>
      <c r="F85" s="91">
        <f>DATABASE!G576</f>
        <v>0</v>
      </c>
      <c r="G85" s="91" t="str">
        <f>DATABASE!H576</f>
        <v/>
      </c>
      <c r="H85" s="91" t="str">
        <f>DATABASE!I576</f>
        <v/>
      </c>
      <c r="I85" s="93">
        <f>DATABASE!J576</f>
        <v>0</v>
      </c>
      <c r="J85" s="93">
        <f>DATABASE!K576</f>
        <v>0</v>
      </c>
      <c r="K85" s="93">
        <f>DATABASE!L576</f>
        <v>0</v>
      </c>
      <c r="L85" s="72">
        <f>DATABASE!M576</f>
        <v>0</v>
      </c>
      <c r="M85" s="93">
        <f>DATABASE!N576</f>
        <v>0</v>
      </c>
      <c r="N85" s="107">
        <f>DATABASE!O576</f>
        <v>104.7</v>
      </c>
      <c r="O85" s="88">
        <f>DATABASE!P576</f>
        <v>0</v>
      </c>
      <c r="P85" s="88" t="str">
        <f>DATABASE!Q576</f>
        <v xml:space="preserve">PSPA </v>
      </c>
      <c r="Q85" s="78">
        <f>DATABASE!R576</f>
        <v>540000</v>
      </c>
      <c r="R85" s="78">
        <f>DATABASE!S576</f>
        <v>540000</v>
      </c>
      <c r="S85" s="116">
        <f>DATABASE!T576</f>
        <v>555000</v>
      </c>
      <c r="T85" s="78">
        <f>DATABASE!U576</f>
        <v>0</v>
      </c>
      <c r="U85" s="116">
        <f>DATABASE!V576</f>
        <v>0</v>
      </c>
      <c r="V85" s="79">
        <f>DATABASE!W576</f>
        <v>555000</v>
      </c>
      <c r="W85" s="80">
        <f>DATABASE!X576</f>
        <v>0</v>
      </c>
      <c r="X85" s="79">
        <f>DATABASE!Y576</f>
        <v>555000</v>
      </c>
      <c r="Y85" s="79">
        <f>DATABASE!Z576</f>
        <v>555000</v>
      </c>
      <c r="Z85" s="79" t="e">
        <f>DATABASE!#REF!</f>
        <v>#REF!</v>
      </c>
      <c r="AA85" s="81" t="e">
        <f>DATABASE!#REF!</f>
        <v>#REF!</v>
      </c>
      <c r="AB85" s="82">
        <f>DATABASE!AB576</f>
        <v>0</v>
      </c>
    </row>
    <row r="86" spans="1:28">
      <c r="A86" s="71" t="str">
        <f>DATABASE!A577</f>
        <v xml:space="preserve">MR - CHR </v>
      </c>
      <c r="B86" s="89" t="str">
        <f>DATABASE!B577</f>
        <v>Algarve</v>
      </c>
      <c r="C86" s="89" t="str">
        <f>DATABASE!C577</f>
        <v>G</v>
      </c>
      <c r="D86" s="91" t="str">
        <f>DATABASE!E577</f>
        <v>T2</v>
      </c>
      <c r="E86" s="91">
        <f>DATABASE!F577</f>
        <v>197.08</v>
      </c>
      <c r="F86" s="91">
        <f>DATABASE!G577</f>
        <v>0</v>
      </c>
      <c r="G86" s="91" t="str">
        <f>DATABASE!H577</f>
        <v/>
      </c>
      <c r="H86" s="91" t="str">
        <f>DATABASE!I577</f>
        <v/>
      </c>
      <c r="I86" s="93">
        <f>DATABASE!J577</f>
        <v>0</v>
      </c>
      <c r="J86" s="93">
        <f>DATABASE!K577</f>
        <v>0</v>
      </c>
      <c r="K86" s="93">
        <f>DATABASE!L577</f>
        <v>0</v>
      </c>
      <c r="L86" s="72">
        <f>DATABASE!M577</f>
        <v>43.02</v>
      </c>
      <c r="M86" s="93">
        <f>DATABASE!N577</f>
        <v>0</v>
      </c>
      <c r="N86" s="107">
        <f>DATABASE!O577</f>
        <v>154.06</v>
      </c>
      <c r="O86" s="88">
        <f>DATABASE!P577</f>
        <v>0</v>
      </c>
      <c r="P86" s="88" t="str">
        <f>DATABASE!Q577</f>
        <v>AVAILABLE</v>
      </c>
      <c r="Q86" s="78">
        <f>DATABASE!R577</f>
        <v>930000</v>
      </c>
      <c r="R86" s="78">
        <f>DATABASE!S577</f>
        <v>930000</v>
      </c>
      <c r="S86" s="116">
        <f>DATABASE!T577</f>
        <v>760000</v>
      </c>
      <c r="T86" s="78">
        <f>DATABASE!U577</f>
        <v>0</v>
      </c>
      <c r="U86" s="116">
        <f>DATABASE!V577</f>
        <v>0</v>
      </c>
      <c r="V86" s="79">
        <f>DATABASE!W577</f>
        <v>760000</v>
      </c>
      <c r="W86" s="80">
        <f>DATABASE!X577</f>
        <v>0</v>
      </c>
      <c r="X86" s="79">
        <f>DATABASE!Y577</f>
        <v>760000</v>
      </c>
      <c r="Y86" s="79">
        <f>DATABASE!Z577</f>
        <v>760000</v>
      </c>
      <c r="Z86" s="79" t="e">
        <f>DATABASE!#REF!</f>
        <v>#REF!</v>
      </c>
      <c r="AA86" s="81">
        <f>DATABASE!AA577</f>
        <v>0</v>
      </c>
      <c r="AB86" s="82" t="str">
        <f>DATABASE!AB577</f>
        <v>TBD</v>
      </c>
    </row>
    <row r="87" spans="1:28">
      <c r="A87" s="71" t="str">
        <f>DATABASE!A578</f>
        <v xml:space="preserve">MR - CHR </v>
      </c>
      <c r="B87" s="89" t="str">
        <f>DATABASE!B578</f>
        <v>Algarve</v>
      </c>
      <c r="C87" s="89" t="str">
        <f>DATABASE!C578</f>
        <v>L</v>
      </c>
      <c r="D87" s="91" t="str">
        <f>DATABASE!E578</f>
        <v>T2</v>
      </c>
      <c r="E87" s="91">
        <f>DATABASE!F578</f>
        <v>197.08</v>
      </c>
      <c r="F87" s="91">
        <f>DATABASE!G578</f>
        <v>0</v>
      </c>
      <c r="G87" s="91" t="str">
        <f>DATABASE!H578</f>
        <v/>
      </c>
      <c r="H87" s="91" t="str">
        <f>DATABASE!I578</f>
        <v/>
      </c>
      <c r="I87" s="93">
        <f>DATABASE!J578</f>
        <v>0</v>
      </c>
      <c r="J87" s="93">
        <f>DATABASE!K578</f>
        <v>0</v>
      </c>
      <c r="K87" s="93">
        <f>DATABASE!L578</f>
        <v>0</v>
      </c>
      <c r="L87" s="72">
        <f>DATABASE!M578</f>
        <v>43.02</v>
      </c>
      <c r="M87" s="93">
        <f>DATABASE!N578</f>
        <v>0</v>
      </c>
      <c r="N87" s="107">
        <f>DATABASE!O578</f>
        <v>154.06</v>
      </c>
      <c r="O87" s="88">
        <f>DATABASE!P578</f>
        <v>0</v>
      </c>
      <c r="P87" s="88" t="str">
        <f>DATABASE!Q578</f>
        <v>AVAILABLE</v>
      </c>
      <c r="Q87" s="78">
        <f>DATABASE!R578</f>
        <v>930000</v>
      </c>
      <c r="R87" s="78">
        <f>DATABASE!S578</f>
        <v>930000</v>
      </c>
      <c r="S87" s="116">
        <f>DATABASE!T578</f>
        <v>720000</v>
      </c>
      <c r="T87" s="78">
        <f>DATABASE!U578</f>
        <v>0</v>
      </c>
      <c r="U87" s="116">
        <f>DATABASE!V578</f>
        <v>0</v>
      </c>
      <c r="V87" s="79">
        <f>DATABASE!W578</f>
        <v>720000</v>
      </c>
      <c r="W87" s="80">
        <f>DATABASE!X578</f>
        <v>0</v>
      </c>
      <c r="X87" s="79">
        <f>DATABASE!Y578</f>
        <v>0</v>
      </c>
      <c r="Y87" s="79">
        <f>DATABASE!Z578</f>
        <v>0</v>
      </c>
      <c r="Z87" s="79" t="e">
        <f>DATABASE!#REF!</f>
        <v>#REF!</v>
      </c>
      <c r="AA87" s="81">
        <f>DATABASE!AA578</f>
        <v>0</v>
      </c>
      <c r="AB87" s="82" t="str">
        <f>DATABASE!AB578</f>
        <v>TBD</v>
      </c>
    </row>
    <row r="88" spans="1:28">
      <c r="A88" s="71" t="str">
        <f>DATABASE!A579</f>
        <v xml:space="preserve">MR - CHR </v>
      </c>
      <c r="B88" s="89" t="str">
        <f>DATABASE!B579</f>
        <v>Algarve</v>
      </c>
      <c r="C88" s="89" t="str">
        <f>DATABASE!C579</f>
        <v>O</v>
      </c>
      <c r="D88" s="91" t="str">
        <f>DATABASE!E579</f>
        <v>T2</v>
      </c>
      <c r="E88" s="91">
        <f>DATABASE!F579</f>
        <v>197.08</v>
      </c>
      <c r="F88" s="91">
        <f>DATABASE!G579</f>
        <v>0</v>
      </c>
      <c r="G88" s="91" t="str">
        <f>DATABASE!H579</f>
        <v/>
      </c>
      <c r="H88" s="91" t="str">
        <f>DATABASE!I579</f>
        <v/>
      </c>
      <c r="I88" s="93">
        <f>DATABASE!J579</f>
        <v>0</v>
      </c>
      <c r="J88" s="93">
        <f>DATABASE!K579</f>
        <v>0</v>
      </c>
      <c r="K88" s="93">
        <f>DATABASE!L579</f>
        <v>0</v>
      </c>
      <c r="L88" s="72">
        <f>DATABASE!M579</f>
        <v>43.02</v>
      </c>
      <c r="M88" s="93">
        <f>DATABASE!N579</f>
        <v>0</v>
      </c>
      <c r="N88" s="107">
        <f>DATABASE!O579</f>
        <v>154.06</v>
      </c>
      <c r="O88" s="88">
        <f>DATABASE!P579</f>
        <v>0</v>
      </c>
      <c r="P88" s="88" t="str">
        <f>DATABASE!Q579</f>
        <v>AVAILABLE</v>
      </c>
      <c r="Q88" s="78">
        <f>DATABASE!R579</f>
        <v>930000</v>
      </c>
      <c r="R88" s="78">
        <f>DATABASE!S579</f>
        <v>930000</v>
      </c>
      <c r="S88" s="116">
        <f>DATABASE!T579</f>
        <v>700000</v>
      </c>
      <c r="T88" s="78">
        <f>DATABASE!U579</f>
        <v>0</v>
      </c>
      <c r="U88" s="116">
        <f>DATABASE!V579</f>
        <v>0</v>
      </c>
      <c r="V88" s="79">
        <f>DATABASE!W579</f>
        <v>700000</v>
      </c>
      <c r="W88" s="80">
        <f>DATABASE!X579</f>
        <v>0</v>
      </c>
      <c r="X88" s="79">
        <f>DATABASE!Y579</f>
        <v>0</v>
      </c>
      <c r="Y88" s="79">
        <f>DATABASE!Z579</f>
        <v>0</v>
      </c>
      <c r="Z88" s="79" t="e">
        <f>DATABASE!#REF!</f>
        <v>#REF!</v>
      </c>
      <c r="AA88" s="81">
        <f>DATABASE!AA579</f>
        <v>0</v>
      </c>
      <c r="AB88" s="82" t="str">
        <f>DATABASE!AB579</f>
        <v>TBD</v>
      </c>
    </row>
    <row r="89" spans="1:28">
      <c r="A89" s="71" t="str">
        <f>DATABASE!A580</f>
        <v xml:space="preserve">MR - CHR </v>
      </c>
      <c r="B89" s="89" t="str">
        <f>DATABASE!B580</f>
        <v>Algarve</v>
      </c>
      <c r="C89" s="89" t="str">
        <f>DATABASE!C580</f>
        <v>P</v>
      </c>
      <c r="D89" s="91" t="str">
        <f>DATABASE!E580</f>
        <v>T2</v>
      </c>
      <c r="E89" s="91">
        <f>DATABASE!F580</f>
        <v>197.12</v>
      </c>
      <c r="F89" s="91">
        <f>DATABASE!G580</f>
        <v>0</v>
      </c>
      <c r="G89" s="91" t="str">
        <f>DATABASE!H580</f>
        <v/>
      </c>
      <c r="H89" s="91" t="str">
        <f>DATABASE!I580</f>
        <v/>
      </c>
      <c r="I89" s="93">
        <f>DATABASE!J580</f>
        <v>0</v>
      </c>
      <c r="J89" s="93">
        <f>DATABASE!K580</f>
        <v>0</v>
      </c>
      <c r="K89" s="93">
        <f>DATABASE!L580</f>
        <v>0</v>
      </c>
      <c r="L89" s="72">
        <f>DATABASE!M580</f>
        <v>43.06</v>
      </c>
      <c r="M89" s="93">
        <f>DATABASE!N580</f>
        <v>0</v>
      </c>
      <c r="N89" s="107">
        <f>DATABASE!O580</f>
        <v>154.06</v>
      </c>
      <c r="O89" s="88">
        <f>DATABASE!P580</f>
        <v>0</v>
      </c>
      <c r="P89" s="88" t="str">
        <f>DATABASE!Q580</f>
        <v>AVAILABLE</v>
      </c>
      <c r="Q89" s="78">
        <f>DATABASE!R580</f>
        <v>930000</v>
      </c>
      <c r="R89" s="78">
        <f>DATABASE!S580</f>
        <v>930000</v>
      </c>
      <c r="S89" s="116">
        <f>DATABASE!T580</f>
        <v>760000</v>
      </c>
      <c r="T89" s="78">
        <f>DATABASE!U580</f>
        <v>0</v>
      </c>
      <c r="U89" s="116">
        <f>DATABASE!V580</f>
        <v>0</v>
      </c>
      <c r="V89" s="79">
        <f>DATABASE!W580</f>
        <v>760000</v>
      </c>
      <c r="W89" s="80">
        <f>DATABASE!X580</f>
        <v>0</v>
      </c>
      <c r="X89" s="79">
        <f>DATABASE!Y580</f>
        <v>0</v>
      </c>
      <c r="Y89" s="79">
        <f>DATABASE!Z580</f>
        <v>0</v>
      </c>
      <c r="Z89" s="79" t="e">
        <f>DATABASE!#REF!</f>
        <v>#REF!</v>
      </c>
      <c r="AA89" s="81">
        <f>DATABASE!AA580</f>
        <v>0</v>
      </c>
      <c r="AB89" s="82" t="str">
        <f>DATABASE!AB580</f>
        <v>TBD</v>
      </c>
    </row>
    <row r="90" spans="1:28">
      <c r="A90" s="71" t="str">
        <f>DATABASE!A581</f>
        <v>THE NINE</v>
      </c>
      <c r="B90" s="89" t="str">
        <f>DATABASE!B581</f>
        <v>Vilamoura</v>
      </c>
      <c r="C90" s="89" t="str">
        <f>DATABASE!C581</f>
        <v>AT</v>
      </c>
      <c r="D90" s="91" t="str">
        <f>DATABASE!E581</f>
        <v>T2</v>
      </c>
      <c r="E90" s="91">
        <f>DATABASE!F581</f>
        <v>111</v>
      </c>
      <c r="F90" s="91">
        <f>DATABASE!G581</f>
        <v>0</v>
      </c>
      <c r="G90" s="91" t="str">
        <f>DATABASE!H581</f>
        <v/>
      </c>
      <c r="H90" s="91" t="str">
        <f>DATABASE!I581</f>
        <v/>
      </c>
      <c r="I90" s="93">
        <f>DATABASE!J581</f>
        <v>0</v>
      </c>
      <c r="J90" s="93">
        <f>DATABASE!K581</f>
        <v>0</v>
      </c>
      <c r="K90" s="93">
        <f>DATABASE!L581</f>
        <v>0</v>
      </c>
      <c r="L90" s="72">
        <f>DATABASE!M581</f>
        <v>0</v>
      </c>
      <c r="M90" s="93">
        <f>DATABASE!N581</f>
        <v>0</v>
      </c>
      <c r="N90" s="107">
        <f>DATABASE!O581</f>
        <v>111</v>
      </c>
      <c r="O90" s="88">
        <f>DATABASE!P581</f>
        <v>0</v>
      </c>
      <c r="P90" s="88" t="str">
        <f>DATABASE!Q581</f>
        <v xml:space="preserve">DEED </v>
      </c>
      <c r="Q90" s="78">
        <f>DATABASE!R581</f>
        <v>660000</v>
      </c>
      <c r="R90" s="78">
        <f>DATABASE!S581</f>
        <v>660000</v>
      </c>
      <c r="S90" s="116">
        <f>DATABASE!T581</f>
        <v>830000</v>
      </c>
      <c r="T90" s="78">
        <f>DATABASE!U581</f>
        <v>0</v>
      </c>
      <c r="U90" s="116">
        <f>DATABASE!V581</f>
        <v>0</v>
      </c>
      <c r="V90" s="79">
        <f>DATABASE!W581</f>
        <v>830000</v>
      </c>
      <c r="W90" s="80">
        <f>DATABASE!X581</f>
        <v>0</v>
      </c>
      <c r="X90" s="79">
        <f>DATABASE!Y581</f>
        <v>830000</v>
      </c>
      <c r="Y90" s="79">
        <f>DATABASE!Z581</f>
        <v>830000</v>
      </c>
      <c r="Z90" s="79" t="e">
        <f>DATABASE!#REF!</f>
        <v>#REF!</v>
      </c>
      <c r="AA90" s="81">
        <f>DATABASE!AA581</f>
        <v>45720</v>
      </c>
      <c r="AB90" s="82">
        <f>DATABASE!AB581</f>
        <v>0</v>
      </c>
    </row>
    <row r="91" spans="1:28">
      <c r="A91" s="71" t="str">
        <f>DATABASE!A582</f>
        <v>ZESTIA</v>
      </c>
      <c r="B91" s="89" t="str">
        <f>DATABASE!B582</f>
        <v>Vilamoura</v>
      </c>
      <c r="C91" s="89" t="str">
        <f>DATABASE!C582</f>
        <v>AT</v>
      </c>
      <c r="D91" s="91" t="str">
        <f>DATABASE!E582</f>
        <v>T2</v>
      </c>
      <c r="E91" s="91">
        <f>DATABASE!F582</f>
        <v>119</v>
      </c>
      <c r="F91" s="91">
        <f>DATABASE!G582</f>
        <v>0</v>
      </c>
      <c r="G91" s="91" t="str">
        <f>DATABASE!H582</f>
        <v/>
      </c>
      <c r="H91" s="91" t="str">
        <f>DATABASE!I582</f>
        <v/>
      </c>
      <c r="I91" s="93">
        <f>DATABASE!J582</f>
        <v>0</v>
      </c>
      <c r="J91" s="93">
        <f>DATABASE!K582</f>
        <v>0</v>
      </c>
      <c r="K91" s="93">
        <f>DATABASE!L582</f>
        <v>0</v>
      </c>
      <c r="L91" s="72">
        <f>DATABASE!M582</f>
        <v>29.15</v>
      </c>
      <c r="M91" s="93">
        <f>DATABASE!N582</f>
        <v>0</v>
      </c>
      <c r="N91" s="107">
        <f>DATABASE!O582</f>
        <v>89.85</v>
      </c>
      <c r="O91" s="88">
        <f>DATABASE!P582</f>
        <v>0</v>
      </c>
      <c r="P91" s="88" t="str">
        <f>DATABASE!Q582</f>
        <v>AVAILABLE</v>
      </c>
      <c r="Q91" s="78">
        <f>DATABASE!R582</f>
        <v>758112.33600000001</v>
      </c>
      <c r="R91" s="78">
        <f>DATABASE!S582</f>
        <v>822712.33600000001</v>
      </c>
      <c r="S91" s="116">
        <f>DATABASE!T582</f>
        <v>890000</v>
      </c>
      <c r="T91" s="78">
        <f>DATABASE!U582</f>
        <v>24600</v>
      </c>
      <c r="U91" s="116">
        <f>DATABASE!V582</f>
        <v>40000</v>
      </c>
      <c r="V91" s="79">
        <f>DATABASE!W582</f>
        <v>825400</v>
      </c>
      <c r="W91" s="80">
        <f>DATABASE!X582</f>
        <v>0</v>
      </c>
      <c r="X91" s="79">
        <f>DATABASE!Y582</f>
        <v>890000</v>
      </c>
      <c r="Y91" s="79">
        <f>DATABASE!Z582</f>
        <v>825400</v>
      </c>
      <c r="Z91" s="79" t="e">
        <f>DATABASE!#REF!</f>
        <v>#REF!</v>
      </c>
      <c r="AA91" s="81">
        <f>DATABASE!AA582</f>
        <v>0</v>
      </c>
      <c r="AB91" s="82">
        <f>DATABASE!AB582</f>
        <v>0</v>
      </c>
    </row>
    <row r="92" spans="1:28">
      <c r="A92" s="71" t="str">
        <f>DATABASE!A583</f>
        <v>BOTÂNICA</v>
      </c>
      <c r="B92" s="89" t="str">
        <f>DATABASE!B583</f>
        <v>Vilamoura</v>
      </c>
      <c r="C92" s="89" t="str">
        <f>DATABASE!C583</f>
        <v>AU</v>
      </c>
      <c r="D92" s="91" t="str">
        <f>DATABASE!E583</f>
        <v>T4</v>
      </c>
      <c r="E92" s="91">
        <f>DATABASE!F583</f>
        <v>387.81</v>
      </c>
      <c r="F92" s="91">
        <f>DATABASE!G583</f>
        <v>0</v>
      </c>
      <c r="G92" s="91" t="str">
        <f>DATABASE!H583</f>
        <v>2</v>
      </c>
      <c r="H92" s="91" t="str">
        <f>DATABASE!I583</f>
        <v/>
      </c>
      <c r="I92" s="93">
        <f>DATABASE!J583</f>
        <v>55.75</v>
      </c>
      <c r="J92" s="93">
        <f>DATABASE!K583</f>
        <v>0</v>
      </c>
      <c r="K92" s="93">
        <f>DATABASE!L583</f>
        <v>0</v>
      </c>
      <c r="L92" s="72">
        <f>DATABASE!M583</f>
        <v>134.69999999999999</v>
      </c>
      <c r="M92" s="93">
        <f>DATABASE!N583</f>
        <v>0</v>
      </c>
      <c r="N92" s="107">
        <f>DATABASE!O583</f>
        <v>197.36</v>
      </c>
      <c r="O92" s="88">
        <f>DATABASE!P583</f>
        <v>0</v>
      </c>
      <c r="P92" s="88" t="str">
        <f>DATABASE!Q583</f>
        <v>AVAILABLE</v>
      </c>
      <c r="Q92" s="78">
        <f>DATABASE!R583</f>
        <v>2449940.9550000001</v>
      </c>
      <c r="R92" s="78">
        <f>DATABASE!S583</f>
        <v>2449940.9550000001</v>
      </c>
      <c r="S92" s="116">
        <f>DATABASE!T583</f>
        <v>2550000</v>
      </c>
      <c r="T92" s="78">
        <f>DATABASE!U583</f>
        <v>0</v>
      </c>
      <c r="U92" s="116">
        <f>DATABASE!V583</f>
        <v>0</v>
      </c>
      <c r="V92" s="79">
        <f>DATABASE!W583</f>
        <v>2550000</v>
      </c>
      <c r="W92" s="80">
        <f>DATABASE!X583</f>
        <v>0</v>
      </c>
      <c r="X92" s="79">
        <f>DATABASE!Y583</f>
        <v>2548000</v>
      </c>
      <c r="Y92" s="79">
        <f>DATABASE!Z583</f>
        <v>2548000</v>
      </c>
      <c r="Z92" s="79" t="e">
        <f>DATABASE!#REF!</f>
        <v>#REF!</v>
      </c>
      <c r="AA92" s="81">
        <f>DATABASE!AA583</f>
        <v>0</v>
      </c>
      <c r="AB92" s="82">
        <f>DATABASE!AB583</f>
        <v>0</v>
      </c>
    </row>
    <row r="93" spans="1:28">
      <c r="A93" s="94" t="str">
        <f>DATABASE!A584</f>
        <v>Palmares - Plots</v>
      </c>
      <c r="B93" s="95" t="str">
        <f>DATABASE!B584</f>
        <v>Algarve</v>
      </c>
      <c r="C93" s="95" t="str">
        <f>DATABASE!C584</f>
        <v>23</v>
      </c>
      <c r="D93" s="97" t="str">
        <f>DATABASE!E584</f>
        <v>Plot</v>
      </c>
      <c r="E93" s="97">
        <f>DATABASE!F584</f>
        <v>420</v>
      </c>
      <c r="F93" s="97">
        <f>DATABASE!G584</f>
        <v>0</v>
      </c>
      <c r="G93" s="97" t="str">
        <f>DATABASE!H584</f>
        <v/>
      </c>
      <c r="H93" s="97" t="str">
        <f>DATABASE!I584</f>
        <v/>
      </c>
      <c r="I93" s="96">
        <f>DATABASE!J584</f>
        <v>0</v>
      </c>
      <c r="J93" s="96">
        <f>DATABASE!K584</f>
        <v>0</v>
      </c>
      <c r="K93" s="96">
        <f>DATABASE!L584</f>
        <v>0</v>
      </c>
      <c r="L93" s="114">
        <f>DATABASE!M584</f>
        <v>0</v>
      </c>
      <c r="M93" s="96">
        <f>DATABASE!N584</f>
        <v>0</v>
      </c>
      <c r="N93" s="117">
        <f>DATABASE!O584</f>
        <v>420</v>
      </c>
      <c r="O93" s="100">
        <f>DATABASE!P584</f>
        <v>0</v>
      </c>
      <c r="P93" s="100" t="str">
        <f>DATABASE!Q584</f>
        <v xml:space="preserve">DEED </v>
      </c>
      <c r="Q93" s="101">
        <f>DATABASE!R584</f>
        <v>930000</v>
      </c>
      <c r="R93" s="101">
        <f>DATABASE!S584</f>
        <v>930000</v>
      </c>
      <c r="S93" s="118">
        <f>DATABASE!T584</f>
        <v>1700000</v>
      </c>
      <c r="T93" s="101">
        <f>DATABASE!U584</f>
        <v>0</v>
      </c>
      <c r="U93" s="118">
        <f>DATABASE!V584</f>
        <v>0</v>
      </c>
      <c r="V93" s="102">
        <f>DATABASE!W584</f>
        <v>1700000</v>
      </c>
      <c r="W93" s="103">
        <f>DATABASE!X584</f>
        <v>0</v>
      </c>
      <c r="X93" s="102">
        <f>DATABASE!Y584</f>
        <v>1700000</v>
      </c>
      <c r="Y93" s="102">
        <f>DATABASE!Z584</f>
        <v>1700000</v>
      </c>
      <c r="Z93" s="102" t="e">
        <f>DATABASE!#REF!</f>
        <v>#REF!</v>
      </c>
      <c r="AA93" s="104">
        <f>DATABASE!AA584</f>
        <v>45279</v>
      </c>
      <c r="AB93" s="105">
        <f>DATABASE!AB584</f>
        <v>46843</v>
      </c>
    </row>
    <row r="119" spans="20:20">
      <c r="T119" s="24"/>
    </row>
    <row r="120" spans="20:20">
      <c r="T120" s="24"/>
    </row>
  </sheetData>
  <conditionalFormatting sqref="A1">
    <cfRule type="containsText" dxfId="38" priority="1" operator="containsText" text="Center">
      <formula>NOT(ISERROR(SEARCH("Center",A1)))</formula>
    </cfRule>
    <cfRule type="containsText" dxfId="37" priority="2" operator="containsText" text="North">
      <formula>NOT(ISERROR(SEARCH("North",A1)))</formula>
    </cfRule>
    <cfRule type="containsText" dxfId="36" priority="3" operator="containsText" text="Algarve">
      <formula>NOT(ISERROR(SEARCH("Algarve",A1)))</formula>
    </cfRule>
    <cfRule type="containsText" dxfId="35" priority="4" operator="containsText" text="Vilamoura">
      <formula>NOT(ISERROR(SEARCH("Vilamoura",A1)))</formula>
    </cfRule>
  </conditionalFormatting>
  <pageMargins left="0.7" right="0.7" top="0.75" bottom="0.75" header="0.3" footer="0.3"/>
  <pageSetup paperSize="8" scale="85"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BDAAA-1D22-47F1-8606-929101D1B616}">
  <sheetPr>
    <tabColor rgb="FFC2B59E"/>
    <pageSetUpPr fitToPage="1"/>
  </sheetPr>
  <dimension ref="A1:AB66"/>
  <sheetViews>
    <sheetView showGridLines="0" zoomScale="72" zoomScaleNormal="40" zoomScaleSheetLayoutView="70" workbookViewId="0">
      <selection activeCell="F24" sqref="F24"/>
    </sheetView>
  </sheetViews>
  <sheetFormatPr defaultColWidth="8.7109375" defaultRowHeight="15" outlineLevelCol="2"/>
  <cols>
    <col min="1" max="1" width="27.140625" customWidth="1"/>
    <col min="2" max="2" width="19.7109375" bestFit="1" customWidth="1"/>
    <col min="3" max="3" width="22.28515625" bestFit="1" customWidth="1"/>
    <col min="4" max="4" width="14.7109375" bestFit="1" customWidth="1"/>
    <col min="5" max="5" width="21.7109375" customWidth="1" outlineLevel="2"/>
    <col min="6" max="6" width="12" customWidth="1" outlineLevel="2"/>
    <col min="7" max="7" width="16.28515625" customWidth="1" outlineLevel="2"/>
    <col min="8" max="8" width="13.140625" customWidth="1" outlineLevel="2"/>
    <col min="9" max="9" width="25.42578125" customWidth="1" outlineLevel="2"/>
    <col min="10" max="10" width="27.7109375" customWidth="1" outlineLevel="2"/>
    <col min="11" max="11" width="18.28515625" customWidth="1" outlineLevel="1"/>
    <col min="12" max="12" width="73.7109375" customWidth="1" outlineLevel="1"/>
    <col min="13" max="13" width="16.7109375" customWidth="1"/>
    <col min="14" max="14" width="29.7109375" bestFit="1" customWidth="1"/>
    <col min="15" max="15" width="27.7109375" bestFit="1" customWidth="1"/>
    <col min="16" max="16" width="30.7109375" bestFit="1" customWidth="1"/>
    <col min="17" max="17" width="17.28515625" bestFit="1" customWidth="1"/>
    <col min="18" max="18" width="6.28515625" bestFit="1" customWidth="1"/>
    <col min="19" max="19" width="27.42578125" bestFit="1" customWidth="1"/>
    <col min="20" max="20" width="13.7109375" bestFit="1" customWidth="1"/>
    <col min="21" max="21" width="17" bestFit="1" customWidth="1"/>
    <col min="22" max="22" width="17.7109375" bestFit="1" customWidth="1"/>
  </cols>
  <sheetData>
    <row r="1" spans="1:28" s="1" customFormat="1" ht="67.5">
      <c r="A1" s="58" t="s">
        <v>335</v>
      </c>
      <c r="B1" s="59" t="s">
        <v>687</v>
      </c>
      <c r="C1" s="59" t="s">
        <v>770</v>
      </c>
      <c r="D1" s="59" t="s">
        <v>93</v>
      </c>
      <c r="E1" s="59" t="s">
        <v>766</v>
      </c>
      <c r="F1" s="60" t="s">
        <v>678</v>
      </c>
      <c r="G1" s="60" t="s">
        <v>679</v>
      </c>
      <c r="H1" s="60" t="s">
        <v>680</v>
      </c>
      <c r="I1" s="60" t="s">
        <v>681</v>
      </c>
      <c r="J1" s="60" t="s">
        <v>682</v>
      </c>
      <c r="K1" s="60" t="s">
        <v>785</v>
      </c>
      <c r="L1" s="60" t="s">
        <v>683</v>
      </c>
      <c r="M1" s="59" t="s">
        <v>684</v>
      </c>
      <c r="N1" s="59" t="s">
        <v>94</v>
      </c>
      <c r="O1" s="59" t="s">
        <v>95</v>
      </c>
      <c r="P1" s="59" t="s">
        <v>627</v>
      </c>
      <c r="Q1" s="61" t="s">
        <v>331</v>
      </c>
      <c r="R1" s="61" t="s">
        <v>332</v>
      </c>
      <c r="S1" s="61" t="s">
        <v>333</v>
      </c>
      <c r="T1" s="61" t="s">
        <v>685</v>
      </c>
      <c r="U1" s="61" t="s">
        <v>97</v>
      </c>
      <c r="V1" s="59" t="s">
        <v>330</v>
      </c>
      <c r="W1" s="62" t="s">
        <v>767</v>
      </c>
      <c r="X1" s="61" t="s">
        <v>334</v>
      </c>
      <c r="Y1" s="59" t="s">
        <v>98</v>
      </c>
      <c r="Z1" s="59" t="s">
        <v>771</v>
      </c>
      <c r="AA1" s="63" t="s">
        <v>768</v>
      </c>
      <c r="AB1" s="64" t="s">
        <v>7</v>
      </c>
    </row>
    <row r="2" spans="1:28">
      <c r="A2" s="106" t="str">
        <f>DATABASE!A585</f>
        <v>Palmares - Plots</v>
      </c>
      <c r="B2" s="53" t="str">
        <f>DATABASE!B585</f>
        <v>Algarve</v>
      </c>
      <c r="C2" s="53" t="str">
        <f>DATABASE!C585</f>
        <v>22</v>
      </c>
      <c r="D2" s="75" t="str">
        <f>DATABASE!E585</f>
        <v>Plot</v>
      </c>
      <c r="E2" s="73">
        <f>DATABASE!F585</f>
        <v>420</v>
      </c>
      <c r="F2" s="73">
        <f>DATABASE!G585</f>
        <v>0</v>
      </c>
      <c r="G2" s="75" t="str">
        <f>DATABASE!H585</f>
        <v/>
      </c>
      <c r="H2" s="75" t="str">
        <f>DATABASE!I585</f>
        <v/>
      </c>
      <c r="I2" s="72">
        <f>DATABASE!J585</f>
        <v>0</v>
      </c>
      <c r="J2" s="73">
        <f>DATABASE!K585</f>
        <v>0</v>
      </c>
      <c r="K2" s="73">
        <f>DATABASE!L585</f>
        <v>0</v>
      </c>
      <c r="L2" s="72">
        <f>DATABASE!M585</f>
        <v>0</v>
      </c>
      <c r="M2" s="72">
        <f>DATABASE!N585</f>
        <v>0</v>
      </c>
      <c r="N2" s="107">
        <f>DATABASE!O585</f>
        <v>420</v>
      </c>
      <c r="O2" s="76">
        <f>DATABASE!P585</f>
        <v>0</v>
      </c>
      <c r="P2" s="77" t="str">
        <f>DATABASE!Q585</f>
        <v xml:space="preserve">DEED </v>
      </c>
      <c r="Q2" s="79">
        <f>DATABASE!R585</f>
        <v>930000</v>
      </c>
      <c r="R2" s="79">
        <f>DATABASE!S585</f>
        <v>930000</v>
      </c>
      <c r="S2" s="79">
        <f>DATABASE!T585</f>
        <v>1750000</v>
      </c>
      <c r="T2" s="79">
        <f>DATABASE!U585</f>
        <v>0</v>
      </c>
      <c r="U2" s="79">
        <f>DATABASE!V585</f>
        <v>0</v>
      </c>
      <c r="V2" s="79">
        <f>DATABASE!W585</f>
        <v>1750000</v>
      </c>
      <c r="W2" s="80">
        <f>DATABASE!X585</f>
        <v>2.8571428571428598E-2</v>
      </c>
      <c r="X2" s="79">
        <f>DATABASE!Y585</f>
        <v>1700000</v>
      </c>
      <c r="Y2" s="79">
        <f>DATABASE!Z585</f>
        <v>1700000</v>
      </c>
      <c r="Z2" s="79" t="e">
        <f>DATABASE!#REF!</f>
        <v>#REF!</v>
      </c>
      <c r="AA2" s="81">
        <f>DATABASE!AA585</f>
        <v>45512</v>
      </c>
      <c r="AB2" s="82">
        <f>DATABASE!AB585</f>
        <v>46843</v>
      </c>
    </row>
    <row r="3" spans="1:28">
      <c r="A3" s="108" t="str">
        <f>DATABASE!A586</f>
        <v>Palmares - Plots</v>
      </c>
      <c r="B3" s="83" t="str">
        <f>DATABASE!B586</f>
        <v>Algarve</v>
      </c>
      <c r="C3" s="83" t="str">
        <f>DATABASE!C586</f>
        <v>16</v>
      </c>
      <c r="D3" s="75" t="str">
        <f>DATABASE!E586</f>
        <v>Plot</v>
      </c>
      <c r="E3" s="85">
        <f>DATABASE!F586</f>
        <v>2571</v>
      </c>
      <c r="F3" s="85">
        <f>DATABASE!G586</f>
        <v>0</v>
      </c>
      <c r="G3" s="75" t="str">
        <f>DATABASE!H586</f>
        <v/>
      </c>
      <c r="H3" s="75" t="str">
        <f>DATABASE!I586</f>
        <v/>
      </c>
      <c r="I3" s="85">
        <f>DATABASE!J586</f>
        <v>0</v>
      </c>
      <c r="J3" s="86">
        <f>DATABASE!K586</f>
        <v>0</v>
      </c>
      <c r="K3" s="86">
        <f>DATABASE!L586</f>
        <v>0</v>
      </c>
      <c r="L3" s="72">
        <f>DATABASE!M586</f>
        <v>0</v>
      </c>
      <c r="M3" s="84">
        <f>DATABASE!N586</f>
        <v>0</v>
      </c>
      <c r="N3" s="109">
        <f>DATABASE!O586</f>
        <v>340</v>
      </c>
      <c r="O3" s="87">
        <f>DATABASE!P586</f>
        <v>0</v>
      </c>
      <c r="P3" s="88" t="str">
        <f>DATABASE!Q586</f>
        <v>AVAILABLE</v>
      </c>
      <c r="Q3" s="79">
        <f>DATABASE!R586</f>
        <v>930000</v>
      </c>
      <c r="R3" s="79">
        <f>DATABASE!S586</f>
        <v>930000</v>
      </c>
      <c r="S3" s="79">
        <f>DATABASE!T586</f>
        <v>1100000</v>
      </c>
      <c r="T3" s="79">
        <f>DATABASE!U586</f>
        <v>0</v>
      </c>
      <c r="U3" s="79">
        <f>DATABASE!V586</f>
        <v>0</v>
      </c>
      <c r="V3" s="79">
        <f>DATABASE!W586</f>
        <v>1100000</v>
      </c>
      <c r="W3" s="80">
        <f>DATABASE!X586</f>
        <v>0</v>
      </c>
      <c r="X3" s="79">
        <f>DATABASE!Y586</f>
        <v>1100000</v>
      </c>
      <c r="Y3" s="79">
        <f>DATABASE!Z586</f>
        <v>1100000</v>
      </c>
      <c r="Z3" s="79" t="e">
        <f>DATABASE!#REF!</f>
        <v>#REF!</v>
      </c>
      <c r="AA3" s="81">
        <f>DATABASE!AA586</f>
        <v>0</v>
      </c>
      <c r="AB3" s="82">
        <f>DATABASE!AB586</f>
        <v>46843</v>
      </c>
    </row>
    <row r="4" spans="1:28">
      <c r="A4" s="71" t="str">
        <f>DATABASE!A587</f>
        <v>Aroeira - HOTEL APARTMENTS</v>
      </c>
      <c r="B4" s="89" t="str">
        <f>DATABASE!B587</f>
        <v>Center</v>
      </c>
      <c r="C4" s="89" t="str">
        <f>DATABASE!C587</f>
        <v>210A</v>
      </c>
      <c r="D4" s="75" t="str">
        <f>DATABASE!E587</f>
        <v>1-BR</v>
      </c>
      <c r="E4" s="91">
        <f>DATABASE!F587</f>
        <v>72.5</v>
      </c>
      <c r="F4" s="91">
        <f>DATABASE!G587</f>
        <v>0</v>
      </c>
      <c r="G4" s="75" t="str">
        <f>DATABASE!H587</f>
        <v>1</v>
      </c>
      <c r="H4" s="75" t="str">
        <f>DATABASE!I587</f>
        <v/>
      </c>
      <c r="I4" s="91">
        <f>DATABASE!J587</f>
        <v>12</v>
      </c>
      <c r="J4" s="92">
        <f>DATABASE!K587</f>
        <v>0</v>
      </c>
      <c r="K4" s="92">
        <f>DATABASE!L587</f>
        <v>0</v>
      </c>
      <c r="L4" s="72">
        <f>DATABASE!M587</f>
        <v>0</v>
      </c>
      <c r="M4" s="90">
        <f>DATABASE!N587</f>
        <v>0</v>
      </c>
      <c r="N4" s="110">
        <f>DATABASE!O587</f>
        <v>60.5</v>
      </c>
      <c r="O4" s="78">
        <f>DATABASE!P587</f>
        <v>0</v>
      </c>
      <c r="P4" s="88" t="str">
        <f>DATABASE!Q587</f>
        <v xml:space="preserve">PSPA </v>
      </c>
      <c r="Q4" s="79">
        <f>DATABASE!R587</f>
        <v>445000</v>
      </c>
      <c r="R4" s="79">
        <f>DATABASE!S587</f>
        <v>480000</v>
      </c>
      <c r="S4" s="79">
        <f>DATABASE!T587</f>
        <v>480000</v>
      </c>
      <c r="T4" s="79">
        <f>DATABASE!U587</f>
        <v>0</v>
      </c>
      <c r="U4" s="79">
        <f>DATABASE!V587</f>
        <v>35000</v>
      </c>
      <c r="V4" s="79">
        <f>DATABASE!W587</f>
        <v>445000</v>
      </c>
      <c r="W4" s="80">
        <f>DATABASE!X587</f>
        <v>0</v>
      </c>
      <c r="X4" s="79">
        <f>DATABASE!Y587</f>
        <v>480000</v>
      </c>
      <c r="Y4" s="79">
        <f>DATABASE!Z587</f>
        <v>445000</v>
      </c>
      <c r="Z4" s="79" t="e">
        <f>DATABASE!#REF!</f>
        <v>#REF!</v>
      </c>
      <c r="AA4" s="81" t="e">
        <f>DATABASE!#REF!</f>
        <v>#REF!</v>
      </c>
      <c r="AB4" s="82">
        <f>DATABASE!AB587</f>
        <v>47118</v>
      </c>
    </row>
    <row r="5" spans="1:28">
      <c r="A5" s="71" t="str">
        <f>DATABASE!A588</f>
        <v>NOBILUS</v>
      </c>
      <c r="B5" s="89" t="str">
        <f>DATABASE!B588</f>
        <v>Vilamoura</v>
      </c>
      <c r="C5" s="89" t="str">
        <f>DATABASE!C588</f>
        <v>AU</v>
      </c>
      <c r="D5" s="75" t="str">
        <f>DATABASE!E588</f>
        <v>T2</v>
      </c>
      <c r="E5" s="91">
        <f>DATABASE!F588</f>
        <v>114.72</v>
      </c>
      <c r="F5" s="91">
        <f>DATABASE!G588</f>
        <v>0</v>
      </c>
      <c r="G5" s="75" t="str">
        <f>DATABASE!H588</f>
        <v/>
      </c>
      <c r="H5" s="75" t="str">
        <f>DATABASE!I588</f>
        <v/>
      </c>
      <c r="I5" s="91">
        <f>DATABASE!J588</f>
        <v>43.32</v>
      </c>
      <c r="J5" s="91">
        <f>DATABASE!K588</f>
        <v>0</v>
      </c>
      <c r="K5" s="91">
        <f>DATABASE!L588</f>
        <v>0</v>
      </c>
      <c r="L5" s="72">
        <f>DATABASE!M588</f>
        <v>0</v>
      </c>
      <c r="M5" s="93">
        <f>DATABASE!N588</f>
        <v>0</v>
      </c>
      <c r="N5" s="111">
        <f>DATABASE!O588</f>
        <v>114.72</v>
      </c>
      <c r="O5" s="88">
        <f>DATABASE!P588</f>
        <v>0</v>
      </c>
      <c r="P5" s="78" t="str">
        <f>DATABASE!Q588</f>
        <v>AVAILABLE</v>
      </c>
      <c r="Q5" s="79">
        <f>DATABASE!R588</f>
        <v>885000</v>
      </c>
      <c r="R5" s="79">
        <f>DATABASE!S588</f>
        <v>885000</v>
      </c>
      <c r="S5" s="79">
        <f>DATABASE!T588</f>
        <v>885000</v>
      </c>
      <c r="T5" s="79">
        <f>DATABASE!U588</f>
        <v>0</v>
      </c>
      <c r="U5" s="79">
        <f>DATABASE!V588</f>
        <v>0</v>
      </c>
      <c r="V5" s="79">
        <f>DATABASE!W588</f>
        <v>885000</v>
      </c>
      <c r="W5" s="80">
        <f>DATABASE!X588</f>
        <v>0</v>
      </c>
      <c r="X5" s="79">
        <f>DATABASE!Y588</f>
        <v>885000</v>
      </c>
      <c r="Y5" s="79">
        <f>DATABASE!Z588</f>
        <v>885000</v>
      </c>
      <c r="Z5" s="79" t="e">
        <f>DATABASE!#REF!</f>
        <v>#REF!</v>
      </c>
      <c r="AA5" s="81">
        <f>DATABASE!AA588</f>
        <v>0</v>
      </c>
      <c r="AB5" s="82">
        <f>DATABASE!AB588</f>
        <v>0</v>
      </c>
    </row>
    <row r="6" spans="1:28">
      <c r="A6" s="71" t="str">
        <f>DATABASE!A589</f>
        <v>SPRINGS</v>
      </c>
      <c r="B6" s="89" t="str">
        <f>DATABASE!B589</f>
        <v>Vilamoura</v>
      </c>
      <c r="C6" s="89" t="str">
        <f>DATABASE!C589</f>
        <v>AU</v>
      </c>
      <c r="D6" s="75" t="str">
        <f>DATABASE!E589</f>
        <v>V2 Duplex</v>
      </c>
      <c r="E6" s="91">
        <f>DATABASE!F589</f>
        <v>405.04</v>
      </c>
      <c r="F6" s="91">
        <f>DATABASE!G589</f>
        <v>240.94</v>
      </c>
      <c r="G6" s="75" t="str">
        <f>DATABASE!H589</f>
        <v/>
      </c>
      <c r="H6" s="75" t="str">
        <f>DATABASE!I589</f>
        <v/>
      </c>
      <c r="I6" s="91">
        <f>DATABASE!J589</f>
        <v>25.77</v>
      </c>
      <c r="J6" s="91">
        <f>DATABASE!K589</f>
        <v>0</v>
      </c>
      <c r="K6" s="91">
        <f>DATABASE!L589</f>
        <v>0</v>
      </c>
      <c r="L6" s="72">
        <f>DATABASE!M589</f>
        <v>0</v>
      </c>
      <c r="M6" s="93">
        <f>DATABASE!N589</f>
        <v>0</v>
      </c>
      <c r="N6" s="111">
        <f>DATABASE!O589</f>
        <v>138.33000000000001</v>
      </c>
      <c r="O6" s="78">
        <f>DATABASE!P589</f>
        <v>0</v>
      </c>
      <c r="P6" s="88" t="str">
        <f>DATABASE!Q589</f>
        <v>AVAILABLE</v>
      </c>
      <c r="Q6" s="79">
        <f>DATABASE!R589</f>
        <v>1587700</v>
      </c>
      <c r="R6" s="79">
        <f>DATABASE!S589</f>
        <v>1658850</v>
      </c>
      <c r="S6" s="79">
        <f>DATABASE!T589</f>
        <v>1730000</v>
      </c>
      <c r="T6" s="79">
        <f>DATABASE!U589</f>
        <v>24600</v>
      </c>
      <c r="U6" s="79">
        <f>DATABASE!V589</f>
        <v>46550</v>
      </c>
      <c r="V6" s="79">
        <f>DATABASE!W589</f>
        <v>1658850</v>
      </c>
      <c r="W6" s="80">
        <f>DATABASE!X589</f>
        <v>0</v>
      </c>
      <c r="X6" s="79">
        <f>DATABASE!Y589</f>
        <v>1730000</v>
      </c>
      <c r="Y6" s="79">
        <f>DATABASE!Z589</f>
        <v>1658850</v>
      </c>
      <c r="Z6" s="79" t="e">
        <f>DATABASE!#REF!</f>
        <v>#REF!</v>
      </c>
      <c r="AA6" s="81">
        <f>DATABASE!AA589</f>
        <v>0</v>
      </c>
      <c r="AB6" s="82">
        <f>DATABASE!AB589</f>
        <v>0</v>
      </c>
    </row>
    <row r="7" spans="1:28">
      <c r="A7" s="71" t="str">
        <f>DATABASE!A590</f>
        <v>Palmares - Plots</v>
      </c>
      <c r="B7" s="89" t="str">
        <f>DATABASE!B590</f>
        <v>Algarve</v>
      </c>
      <c r="C7" s="89" t="str">
        <f>DATABASE!C590</f>
        <v>17</v>
      </c>
      <c r="D7" s="75" t="str">
        <f>DATABASE!E590</f>
        <v>Plot</v>
      </c>
      <c r="E7" s="91">
        <f>DATABASE!F590</f>
        <v>2404</v>
      </c>
      <c r="F7" s="91">
        <f>DATABASE!G590</f>
        <v>0</v>
      </c>
      <c r="G7" s="75" t="str">
        <f>DATABASE!H590</f>
        <v/>
      </c>
      <c r="H7" s="75" t="str">
        <f>DATABASE!I590</f>
        <v/>
      </c>
      <c r="I7" s="91">
        <f>DATABASE!J590</f>
        <v>0</v>
      </c>
      <c r="J7" s="91">
        <f>DATABASE!K590</f>
        <v>0</v>
      </c>
      <c r="K7" s="91">
        <f>DATABASE!L590</f>
        <v>0</v>
      </c>
      <c r="L7" s="72">
        <f>DATABASE!M590</f>
        <v>0</v>
      </c>
      <c r="M7" s="93">
        <f>DATABASE!N590</f>
        <v>0</v>
      </c>
      <c r="N7" s="111">
        <f>DATABASE!O590</f>
        <v>340</v>
      </c>
      <c r="O7" s="88">
        <f>DATABASE!P590</f>
        <v>0</v>
      </c>
      <c r="P7" s="78" t="str">
        <f>DATABASE!Q590</f>
        <v>AVAILABLE</v>
      </c>
      <c r="Q7" s="79">
        <f>DATABASE!R590</f>
        <v>940000</v>
      </c>
      <c r="R7" s="79">
        <f>DATABASE!S590</f>
        <v>940000</v>
      </c>
      <c r="S7" s="79">
        <f>DATABASE!T590</f>
        <v>1150000</v>
      </c>
      <c r="T7" s="79">
        <f>DATABASE!U590</f>
        <v>0</v>
      </c>
      <c r="U7" s="79">
        <f>DATABASE!V590</f>
        <v>0</v>
      </c>
      <c r="V7" s="79">
        <f>DATABASE!W590</f>
        <v>1150000</v>
      </c>
      <c r="W7" s="80">
        <f>DATABASE!X590</f>
        <v>0</v>
      </c>
      <c r="X7" s="79">
        <f>DATABASE!Y590</f>
        <v>1150000</v>
      </c>
      <c r="Y7" s="79">
        <f>DATABASE!Z590</f>
        <v>1150000</v>
      </c>
      <c r="Z7" s="79" t="e">
        <f>DATABASE!#REF!</f>
        <v>#REF!</v>
      </c>
      <c r="AA7" s="81">
        <f>DATABASE!AA590</f>
        <v>0</v>
      </c>
      <c r="AB7" s="82">
        <f>DATABASE!AB590</f>
        <v>46843</v>
      </c>
    </row>
    <row r="8" spans="1:28">
      <c r="A8" s="71" t="str">
        <f>DATABASE!A591</f>
        <v>TERRACOTA</v>
      </c>
      <c r="B8" s="89" t="str">
        <f>DATABASE!B591</f>
        <v>Vilamoura</v>
      </c>
      <c r="C8" s="89" t="str">
        <f>DATABASE!C591</f>
        <v>AU</v>
      </c>
      <c r="D8" s="75" t="str">
        <f>DATABASE!E591</f>
        <v>T3</v>
      </c>
      <c r="E8" s="91">
        <f>DATABASE!F591</f>
        <v>130.91999999999999</v>
      </c>
      <c r="F8" s="91">
        <f>DATABASE!G591</f>
        <v>0</v>
      </c>
      <c r="G8" s="75" t="str">
        <f>DATABASE!H591</f>
        <v/>
      </c>
      <c r="H8" s="75" t="str">
        <f>DATABASE!I591</f>
        <v/>
      </c>
      <c r="I8" s="91">
        <f>DATABASE!J591</f>
        <v>0</v>
      </c>
      <c r="J8" s="91">
        <f>DATABASE!K591</f>
        <v>0</v>
      </c>
      <c r="K8" s="91">
        <f>DATABASE!L591</f>
        <v>0</v>
      </c>
      <c r="L8" s="72">
        <f>DATABASE!M591</f>
        <v>0</v>
      </c>
      <c r="M8" s="93">
        <f>DATABASE!N591</f>
        <v>0</v>
      </c>
      <c r="N8" s="111">
        <f>DATABASE!O591</f>
        <v>130.91999999999999</v>
      </c>
      <c r="O8" s="78">
        <f>DATABASE!P591</f>
        <v>0</v>
      </c>
      <c r="P8" s="88" t="str">
        <f>DATABASE!Q591</f>
        <v>AVAILABLE</v>
      </c>
      <c r="Q8" s="79">
        <f>DATABASE!R591</f>
        <v>710000</v>
      </c>
      <c r="R8" s="79">
        <f>DATABASE!S591</f>
        <v>710000</v>
      </c>
      <c r="S8" s="79">
        <f>DATABASE!T591</f>
        <v>750000</v>
      </c>
      <c r="T8" s="79">
        <f>DATABASE!U591</f>
        <v>0</v>
      </c>
      <c r="U8" s="79">
        <f>DATABASE!V591</f>
        <v>0</v>
      </c>
      <c r="V8" s="79">
        <f>DATABASE!W591</f>
        <v>750000</v>
      </c>
      <c r="W8" s="80">
        <f>DATABASE!X591</f>
        <v>0</v>
      </c>
      <c r="X8" s="79">
        <f>DATABASE!Y591</f>
        <v>750000</v>
      </c>
      <c r="Y8" s="79">
        <f>DATABASE!Z591</f>
        <v>750000</v>
      </c>
      <c r="Z8" s="79" t="e">
        <f>DATABASE!#REF!</f>
        <v>#REF!</v>
      </c>
      <c r="AA8" s="81">
        <f>DATABASE!AA591</f>
        <v>0</v>
      </c>
      <c r="AB8" s="82">
        <f>DATABASE!AB591</f>
        <v>0</v>
      </c>
    </row>
    <row r="9" spans="1:28">
      <c r="A9" s="71" t="str">
        <f>DATABASE!A592</f>
        <v>THE NINE</v>
      </c>
      <c r="B9" s="89" t="str">
        <f>DATABASE!B592</f>
        <v>Vilamoura</v>
      </c>
      <c r="C9" s="89" t="str">
        <f>DATABASE!C592</f>
        <v>AU</v>
      </c>
      <c r="D9" s="75" t="str">
        <f>DATABASE!E592</f>
        <v>T3</v>
      </c>
      <c r="E9" s="91">
        <f>DATABASE!F592</f>
        <v>143</v>
      </c>
      <c r="F9" s="91">
        <f>DATABASE!G592</f>
        <v>0</v>
      </c>
      <c r="G9" s="75" t="str">
        <f>DATABASE!H592</f>
        <v/>
      </c>
      <c r="H9" s="75" t="str">
        <f>DATABASE!I592</f>
        <v/>
      </c>
      <c r="I9" s="91">
        <f>DATABASE!J592</f>
        <v>0</v>
      </c>
      <c r="J9" s="91">
        <f>DATABASE!K592</f>
        <v>0</v>
      </c>
      <c r="K9" s="91">
        <f>DATABASE!L592</f>
        <v>0</v>
      </c>
      <c r="L9" s="72">
        <f>DATABASE!M592</f>
        <v>0</v>
      </c>
      <c r="M9" s="93">
        <f>DATABASE!N592</f>
        <v>0</v>
      </c>
      <c r="N9" s="111">
        <f>DATABASE!O592</f>
        <v>143</v>
      </c>
      <c r="O9" s="88">
        <f>DATABASE!P592</f>
        <v>0</v>
      </c>
      <c r="P9" s="88" t="str">
        <f>DATABASE!Q592</f>
        <v xml:space="preserve">DEED </v>
      </c>
      <c r="Q9" s="79">
        <f>DATABASE!R592</f>
        <v>840000</v>
      </c>
      <c r="R9" s="79">
        <f>DATABASE!S592</f>
        <v>840000</v>
      </c>
      <c r="S9" s="79">
        <f>DATABASE!T592</f>
        <v>1050000</v>
      </c>
      <c r="T9" s="79">
        <f>DATABASE!U592</f>
        <v>0</v>
      </c>
      <c r="U9" s="79">
        <f>DATABASE!V592</f>
        <v>0</v>
      </c>
      <c r="V9" s="79">
        <f>DATABASE!W592</f>
        <v>1050000</v>
      </c>
      <c r="W9" s="80">
        <f>DATABASE!X592</f>
        <v>0</v>
      </c>
      <c r="X9" s="79">
        <f>DATABASE!Y592</f>
        <v>1050000</v>
      </c>
      <c r="Y9" s="79">
        <f>DATABASE!Z592</f>
        <v>1050000</v>
      </c>
      <c r="Z9" s="79" t="e">
        <f>DATABASE!#REF!</f>
        <v>#REF!</v>
      </c>
      <c r="AA9" s="81">
        <f>DATABASE!AA592</f>
        <v>45433</v>
      </c>
      <c r="AB9" s="82">
        <f>DATABASE!AB592</f>
        <v>0</v>
      </c>
    </row>
    <row r="10" spans="1:28">
      <c r="A10" s="71" t="str">
        <f>DATABASE!A593</f>
        <v>ZESTIA</v>
      </c>
      <c r="B10" s="89" t="str">
        <f>DATABASE!B593</f>
        <v>Vilamoura</v>
      </c>
      <c r="C10" s="89" t="str">
        <f>DATABASE!C593</f>
        <v>AU</v>
      </c>
      <c r="D10" s="75" t="str">
        <f>DATABASE!E593</f>
        <v>T2 LO</v>
      </c>
      <c r="E10" s="91">
        <f>DATABASE!F593</f>
        <v>117.03</v>
      </c>
      <c r="F10" s="91">
        <f>DATABASE!G593</f>
        <v>0</v>
      </c>
      <c r="G10" s="75" t="str">
        <f>DATABASE!H593</f>
        <v/>
      </c>
      <c r="H10" s="75" t="str">
        <f>DATABASE!I593</f>
        <v/>
      </c>
      <c r="I10" s="91">
        <f>DATABASE!J593</f>
        <v>0</v>
      </c>
      <c r="J10" s="91">
        <f>DATABASE!K593</f>
        <v>0</v>
      </c>
      <c r="K10" s="91">
        <f>DATABASE!L593</f>
        <v>0</v>
      </c>
      <c r="L10" s="72">
        <f>DATABASE!M593</f>
        <v>28.6</v>
      </c>
      <c r="M10" s="93">
        <f>DATABASE!N593</f>
        <v>0</v>
      </c>
      <c r="N10" s="111">
        <f>DATABASE!O593</f>
        <v>88.43</v>
      </c>
      <c r="O10" s="78">
        <f>DATABASE!P593</f>
        <v>0</v>
      </c>
      <c r="P10" s="88" t="str">
        <f>DATABASE!Q593</f>
        <v>AVAILABLE</v>
      </c>
      <c r="Q10" s="79">
        <f>DATABASE!R593</f>
        <v>737964.91839999997</v>
      </c>
      <c r="R10" s="79">
        <f>DATABASE!S593</f>
        <v>802564.91839999997</v>
      </c>
      <c r="S10" s="79">
        <f>DATABASE!T593</f>
        <v>890000</v>
      </c>
      <c r="T10" s="79">
        <f>DATABASE!U593</f>
        <v>24600</v>
      </c>
      <c r="U10" s="79">
        <f>DATABASE!V593</f>
        <v>40000</v>
      </c>
      <c r="V10" s="79">
        <f>DATABASE!W593</f>
        <v>825400</v>
      </c>
      <c r="W10" s="80">
        <f>DATABASE!X593</f>
        <v>0</v>
      </c>
      <c r="X10" s="79">
        <f>DATABASE!Y593</f>
        <v>890000</v>
      </c>
      <c r="Y10" s="79">
        <f>DATABASE!Z593</f>
        <v>825400</v>
      </c>
      <c r="Z10" s="79" t="e">
        <f>DATABASE!#REF!</f>
        <v>#REF!</v>
      </c>
      <c r="AA10" s="81">
        <f>DATABASE!AA593</f>
        <v>0</v>
      </c>
      <c r="AB10" s="82">
        <f>DATABASE!AB593</f>
        <v>0</v>
      </c>
    </row>
    <row r="11" spans="1:28">
      <c r="A11" s="71" t="str">
        <f>DATABASE!A594</f>
        <v>MR - LT Miradouro Village</v>
      </c>
      <c r="B11" s="89" t="str">
        <f>DATABASE!B594</f>
        <v>Algarve</v>
      </c>
      <c r="C11" s="89" t="str">
        <f>DATABASE!C594</f>
        <v>13</v>
      </c>
      <c r="D11" s="75" t="str">
        <f>DATABASE!E594</f>
        <v>Plot</v>
      </c>
      <c r="E11" s="91">
        <f>DATABASE!F594</f>
        <v>396.9</v>
      </c>
      <c r="F11" s="91">
        <f>DATABASE!G594</f>
        <v>0</v>
      </c>
      <c r="G11" s="75" t="str">
        <f>DATABASE!H594</f>
        <v/>
      </c>
      <c r="H11" s="75" t="str">
        <f>DATABASE!I594</f>
        <v/>
      </c>
      <c r="I11" s="91">
        <f>DATABASE!J594</f>
        <v>0</v>
      </c>
      <c r="J11" s="91">
        <f>DATABASE!K594</f>
        <v>0</v>
      </c>
      <c r="K11" s="91">
        <f>DATABASE!L594</f>
        <v>0</v>
      </c>
      <c r="L11" s="72">
        <f>DATABASE!M594</f>
        <v>0</v>
      </c>
      <c r="M11" s="93">
        <f>DATABASE!N594</f>
        <v>0</v>
      </c>
      <c r="N11" s="111">
        <f>DATABASE!O594</f>
        <v>396.9</v>
      </c>
      <c r="O11" s="88">
        <f>DATABASE!P594</f>
        <v>0</v>
      </c>
      <c r="P11" s="88" t="str">
        <f>DATABASE!Q594</f>
        <v>AVAILABLE</v>
      </c>
      <c r="Q11" s="79">
        <f>DATABASE!R594</f>
        <v>945000</v>
      </c>
      <c r="R11" s="79">
        <f>DATABASE!S594</f>
        <v>945000</v>
      </c>
      <c r="S11" s="79">
        <f>DATABASE!T594</f>
        <v>810000</v>
      </c>
      <c r="T11" s="79">
        <f>DATABASE!U594</f>
        <v>0</v>
      </c>
      <c r="U11" s="79">
        <f>DATABASE!V594</f>
        <v>0</v>
      </c>
      <c r="V11" s="79">
        <f>DATABASE!W594</f>
        <v>810000</v>
      </c>
      <c r="W11" s="80">
        <f>DATABASE!X594</f>
        <v>0</v>
      </c>
      <c r="X11" s="79">
        <f>DATABASE!Y594</f>
        <v>0</v>
      </c>
      <c r="Y11" s="79">
        <f>DATABASE!Z594</f>
        <v>0</v>
      </c>
      <c r="Z11" s="79" t="e">
        <f>DATABASE!#REF!</f>
        <v>#REF!</v>
      </c>
      <c r="AA11" s="81">
        <f>DATABASE!AA594</f>
        <v>0</v>
      </c>
      <c r="AB11" s="82" t="str">
        <f>DATABASE!AB594</f>
        <v>TBD</v>
      </c>
    </row>
    <row r="12" spans="1:28">
      <c r="A12" s="71" t="str">
        <f>DATABASE!A595</f>
        <v>MR - LT Miradouro Village</v>
      </c>
      <c r="B12" s="89" t="str">
        <f>DATABASE!B595</f>
        <v>Algarve</v>
      </c>
      <c r="C12" s="89" t="str">
        <f>DATABASE!C595</f>
        <v>14</v>
      </c>
      <c r="D12" s="75" t="str">
        <f>DATABASE!E595</f>
        <v>Plot</v>
      </c>
      <c r="E12" s="91">
        <f>DATABASE!F595</f>
        <v>396.9</v>
      </c>
      <c r="F12" s="91">
        <f>DATABASE!G595</f>
        <v>0</v>
      </c>
      <c r="G12" s="75" t="str">
        <f>DATABASE!H595</f>
        <v/>
      </c>
      <c r="H12" s="75" t="str">
        <f>DATABASE!I595</f>
        <v/>
      </c>
      <c r="I12" s="91">
        <f>DATABASE!J595</f>
        <v>0</v>
      </c>
      <c r="J12" s="91">
        <f>DATABASE!K595</f>
        <v>0</v>
      </c>
      <c r="K12" s="91">
        <f>DATABASE!L595</f>
        <v>0</v>
      </c>
      <c r="L12" s="72">
        <f>DATABASE!M595</f>
        <v>0</v>
      </c>
      <c r="M12" s="93">
        <f>DATABASE!N595</f>
        <v>0</v>
      </c>
      <c r="N12" s="111">
        <f>DATABASE!O595</f>
        <v>396.9</v>
      </c>
      <c r="O12" s="78">
        <f>DATABASE!P595</f>
        <v>0</v>
      </c>
      <c r="P12" s="88" t="str">
        <f>DATABASE!Q595</f>
        <v>AVAILABLE</v>
      </c>
      <c r="Q12" s="79">
        <f>DATABASE!R595</f>
        <v>945000</v>
      </c>
      <c r="R12" s="79">
        <f>DATABASE!S595</f>
        <v>945000</v>
      </c>
      <c r="S12" s="79">
        <f>DATABASE!T595</f>
        <v>820000</v>
      </c>
      <c r="T12" s="79">
        <f>DATABASE!U595</f>
        <v>0</v>
      </c>
      <c r="U12" s="79">
        <f>DATABASE!V595</f>
        <v>0</v>
      </c>
      <c r="V12" s="79">
        <f>DATABASE!W595</f>
        <v>820000</v>
      </c>
      <c r="W12" s="80">
        <f>DATABASE!X595</f>
        <v>0</v>
      </c>
      <c r="X12" s="79">
        <f>DATABASE!Y595</f>
        <v>0</v>
      </c>
      <c r="Y12" s="79">
        <f>DATABASE!Z595</f>
        <v>0</v>
      </c>
      <c r="Z12" s="79" t="e">
        <f>DATABASE!#REF!</f>
        <v>#REF!</v>
      </c>
      <c r="AA12" s="81">
        <f>DATABASE!AA595</f>
        <v>0</v>
      </c>
      <c r="AB12" s="82" t="str">
        <f>DATABASE!AB595</f>
        <v>TBD</v>
      </c>
    </row>
    <row r="13" spans="1:28">
      <c r="A13" s="71" t="str">
        <f>DATABASE!A596</f>
        <v>MR - LT Miradouro Village</v>
      </c>
      <c r="B13" s="89" t="str">
        <f>DATABASE!B596</f>
        <v>Algarve</v>
      </c>
      <c r="C13" s="89" t="str">
        <f>DATABASE!C596</f>
        <v>15</v>
      </c>
      <c r="D13" s="75" t="str">
        <f>DATABASE!E596</f>
        <v>Plot</v>
      </c>
      <c r="E13" s="91">
        <f>DATABASE!F596</f>
        <v>396.9</v>
      </c>
      <c r="F13" s="91">
        <f>DATABASE!G596</f>
        <v>0</v>
      </c>
      <c r="G13" s="75" t="str">
        <f>DATABASE!H596</f>
        <v/>
      </c>
      <c r="H13" s="75" t="str">
        <f>DATABASE!I596</f>
        <v/>
      </c>
      <c r="I13" s="91">
        <f>DATABASE!J596</f>
        <v>0</v>
      </c>
      <c r="J13" s="91">
        <f>DATABASE!K596</f>
        <v>0</v>
      </c>
      <c r="K13" s="91">
        <f>DATABASE!L596</f>
        <v>0</v>
      </c>
      <c r="L13" s="72">
        <f>DATABASE!M596</f>
        <v>0</v>
      </c>
      <c r="M13" s="93">
        <f>DATABASE!N596</f>
        <v>0</v>
      </c>
      <c r="N13" s="111">
        <f>DATABASE!O596</f>
        <v>396.9</v>
      </c>
      <c r="O13" s="78">
        <f>DATABASE!P596</f>
        <v>0</v>
      </c>
      <c r="P13" s="88" t="str">
        <f>DATABASE!Q596</f>
        <v>AVAILABLE</v>
      </c>
      <c r="Q13" s="79">
        <f>DATABASE!R596</f>
        <v>945000</v>
      </c>
      <c r="R13" s="79">
        <f>DATABASE!S596</f>
        <v>945000</v>
      </c>
      <c r="S13" s="79">
        <f>DATABASE!T596</f>
        <v>810000</v>
      </c>
      <c r="T13" s="79">
        <f>DATABASE!U596</f>
        <v>0</v>
      </c>
      <c r="U13" s="79">
        <f>DATABASE!V596</f>
        <v>0</v>
      </c>
      <c r="V13" s="79">
        <f>DATABASE!W596</f>
        <v>810000</v>
      </c>
      <c r="W13" s="80">
        <f>DATABASE!X596</f>
        <v>0</v>
      </c>
      <c r="X13" s="79">
        <f>DATABASE!Y596</f>
        <v>0</v>
      </c>
      <c r="Y13" s="79">
        <f>DATABASE!Z596</f>
        <v>0</v>
      </c>
      <c r="Z13" s="79" t="e">
        <f>DATABASE!#REF!</f>
        <v>#REF!</v>
      </c>
      <c r="AA13" s="81">
        <f>DATABASE!AA596</f>
        <v>0</v>
      </c>
      <c r="AB13" s="82" t="str">
        <f>DATABASE!AB596</f>
        <v>TBD</v>
      </c>
    </row>
    <row r="14" spans="1:28">
      <c r="A14" s="71" t="str">
        <f>DATABASE!A597</f>
        <v>BOTÂNICA</v>
      </c>
      <c r="B14" s="89" t="str">
        <f>DATABASE!B597</f>
        <v>Vilamoura</v>
      </c>
      <c r="C14" s="89" t="str">
        <f>DATABASE!C597</f>
        <v>AV</v>
      </c>
      <c r="D14" s="75" t="str">
        <f>DATABASE!E597</f>
        <v>T2</v>
      </c>
      <c r="E14" s="91">
        <f>DATABASE!F597</f>
        <v>151.24</v>
      </c>
      <c r="F14" s="91">
        <f>DATABASE!G597</f>
        <v>0</v>
      </c>
      <c r="G14" s="75" t="str">
        <f>DATABASE!H597</f>
        <v>2</v>
      </c>
      <c r="H14" s="75" t="str">
        <f>DATABASE!I597</f>
        <v/>
      </c>
      <c r="I14" s="91">
        <f>DATABASE!J597</f>
        <v>27.6</v>
      </c>
      <c r="J14" s="91">
        <f>DATABASE!K597</f>
        <v>0</v>
      </c>
      <c r="K14" s="91">
        <f>DATABASE!L597</f>
        <v>0</v>
      </c>
      <c r="L14" s="72">
        <f>DATABASE!M597</f>
        <v>0</v>
      </c>
      <c r="M14" s="93">
        <f>DATABASE!N597</f>
        <v>0</v>
      </c>
      <c r="N14" s="111">
        <f>DATABASE!O597</f>
        <v>123.64</v>
      </c>
      <c r="O14" s="88">
        <f>DATABASE!P597</f>
        <v>0</v>
      </c>
      <c r="P14" s="88" t="str">
        <f>DATABASE!Q597</f>
        <v>RESERVED</v>
      </c>
      <c r="Q14" s="79">
        <f>DATABASE!R597</f>
        <v>1001272.8</v>
      </c>
      <c r="R14" s="79">
        <f>DATABASE!S597</f>
        <v>1001272.8</v>
      </c>
      <c r="S14" s="79">
        <f>DATABASE!T597</f>
        <v>1010000</v>
      </c>
      <c r="T14" s="79">
        <f>DATABASE!U597</f>
        <v>0</v>
      </c>
      <c r="U14" s="79">
        <f>DATABASE!V597</f>
        <v>0</v>
      </c>
      <c r="V14" s="79">
        <f>DATABASE!W597</f>
        <v>1010000</v>
      </c>
      <c r="W14" s="80">
        <f>DATABASE!X597</f>
        <v>5.2400000000000002E-2</v>
      </c>
      <c r="X14" s="79">
        <f>DATABASE!Y597</f>
        <v>957076</v>
      </c>
      <c r="Y14" s="79">
        <f>DATABASE!Z597</f>
        <v>957076</v>
      </c>
      <c r="Z14" s="79" t="e">
        <f>DATABASE!#REF!</f>
        <v>#REF!</v>
      </c>
      <c r="AA14" s="81">
        <f>DATABASE!AA597</f>
        <v>0</v>
      </c>
      <c r="AB14" s="82">
        <f>DATABASE!AB597</f>
        <v>0</v>
      </c>
    </row>
    <row r="15" spans="1:28">
      <c r="A15" s="71" t="str">
        <f>DATABASE!A598</f>
        <v>SPRINGS</v>
      </c>
      <c r="B15" s="89" t="str">
        <f>DATABASE!B598</f>
        <v>Vilamoura</v>
      </c>
      <c r="C15" s="89" t="str">
        <f>DATABASE!C598</f>
        <v>AV</v>
      </c>
      <c r="D15" s="75" t="str">
        <f>DATABASE!E598</f>
        <v>V2 Duplex</v>
      </c>
      <c r="E15" s="91">
        <f>DATABASE!F598</f>
        <v>398.1</v>
      </c>
      <c r="F15" s="91">
        <f>DATABASE!G598</f>
        <v>234.02</v>
      </c>
      <c r="G15" s="75" t="str">
        <f>DATABASE!H598</f>
        <v/>
      </c>
      <c r="H15" s="75" t="str">
        <f>DATABASE!I598</f>
        <v/>
      </c>
      <c r="I15" s="91">
        <f>DATABASE!J598</f>
        <v>25.77</v>
      </c>
      <c r="J15" s="91">
        <f>DATABASE!K598</f>
        <v>0</v>
      </c>
      <c r="K15" s="91">
        <f>DATABASE!L598</f>
        <v>0</v>
      </c>
      <c r="L15" s="72">
        <f>DATABASE!M598</f>
        <v>0</v>
      </c>
      <c r="M15" s="93">
        <f>DATABASE!N598</f>
        <v>0</v>
      </c>
      <c r="N15" s="111">
        <f>DATABASE!O598</f>
        <v>138.31</v>
      </c>
      <c r="O15" s="78">
        <f>DATABASE!P598</f>
        <v>0</v>
      </c>
      <c r="P15" s="88" t="str">
        <f>DATABASE!Q598</f>
        <v>AVAILABLE</v>
      </c>
      <c r="Q15" s="79">
        <f>DATABASE!R598</f>
        <v>1387700</v>
      </c>
      <c r="R15" s="79">
        <f>DATABASE!S598</f>
        <v>1458850</v>
      </c>
      <c r="S15" s="79">
        <f>DATABASE!T598</f>
        <v>1530000</v>
      </c>
      <c r="T15" s="79">
        <f>DATABASE!U598</f>
        <v>24600</v>
      </c>
      <c r="U15" s="79">
        <f>DATABASE!V598</f>
        <v>46550</v>
      </c>
      <c r="V15" s="79">
        <f>DATABASE!W598</f>
        <v>1458850</v>
      </c>
      <c r="W15" s="80">
        <f>DATABASE!X598</f>
        <v>0</v>
      </c>
      <c r="X15" s="79">
        <f>DATABASE!Y598</f>
        <v>1530000</v>
      </c>
      <c r="Y15" s="79">
        <f>DATABASE!Z598</f>
        <v>1458850</v>
      </c>
      <c r="Z15" s="79" t="e">
        <f>DATABASE!#REF!</f>
        <v>#REF!</v>
      </c>
      <c r="AA15" s="81">
        <f>DATABASE!AA598</f>
        <v>0</v>
      </c>
      <c r="AB15" s="82">
        <f>DATABASE!AB598</f>
        <v>0</v>
      </c>
    </row>
    <row r="16" spans="1:28">
      <c r="A16" s="71" t="str">
        <f>DATABASE!A599</f>
        <v>TERRACOTA</v>
      </c>
      <c r="B16" s="89" t="str">
        <f>DATABASE!B599</f>
        <v>Vilamoura</v>
      </c>
      <c r="C16" s="89" t="str">
        <f>DATABASE!C599</f>
        <v>AV</v>
      </c>
      <c r="D16" s="75" t="str">
        <f>DATABASE!E599</f>
        <v>T3</v>
      </c>
      <c r="E16" s="91">
        <f>DATABASE!F599</f>
        <v>130.91999999999999</v>
      </c>
      <c r="F16" s="91">
        <f>DATABASE!G599</f>
        <v>0</v>
      </c>
      <c r="G16" s="75" t="str">
        <f>DATABASE!H599</f>
        <v/>
      </c>
      <c r="H16" s="75" t="str">
        <f>DATABASE!I599</f>
        <v/>
      </c>
      <c r="I16" s="91">
        <f>DATABASE!J599</f>
        <v>0</v>
      </c>
      <c r="J16" s="91">
        <f>DATABASE!K599</f>
        <v>0</v>
      </c>
      <c r="K16" s="91">
        <f>DATABASE!L599</f>
        <v>0</v>
      </c>
      <c r="L16" s="72">
        <f>DATABASE!M599</f>
        <v>0</v>
      </c>
      <c r="M16" s="93">
        <f>DATABASE!N599</f>
        <v>0</v>
      </c>
      <c r="N16" s="111">
        <f>DATABASE!O599</f>
        <v>130.91999999999999</v>
      </c>
      <c r="O16" s="88">
        <f>DATABASE!P599</f>
        <v>0</v>
      </c>
      <c r="P16" s="78" t="str">
        <f>DATABASE!Q599</f>
        <v>RESERVED</v>
      </c>
      <c r="Q16" s="79">
        <f>DATABASE!R599</f>
        <v>710000</v>
      </c>
      <c r="R16" s="79">
        <f>DATABASE!S599</f>
        <v>710000</v>
      </c>
      <c r="S16" s="79">
        <f>DATABASE!T599</f>
        <v>740000</v>
      </c>
      <c r="T16" s="79">
        <f>DATABASE!U599</f>
        <v>0</v>
      </c>
      <c r="U16" s="79">
        <f>DATABASE!V599</f>
        <v>0</v>
      </c>
      <c r="V16" s="79">
        <f>DATABASE!W599</f>
        <v>740000</v>
      </c>
      <c r="W16" s="80">
        <f>DATABASE!X599</f>
        <v>0</v>
      </c>
      <c r="X16" s="79">
        <f>DATABASE!Y599</f>
        <v>740000</v>
      </c>
      <c r="Y16" s="79">
        <f>DATABASE!Z599</f>
        <v>740000</v>
      </c>
      <c r="Z16" s="79" t="e">
        <f>DATABASE!#REF!</f>
        <v>#REF!</v>
      </c>
      <c r="AA16" s="81">
        <f>DATABASE!AA599</f>
        <v>46121</v>
      </c>
      <c r="AB16" s="82">
        <f>DATABASE!AB599</f>
        <v>0</v>
      </c>
    </row>
    <row r="17" spans="1:28">
      <c r="A17" s="71" t="str">
        <f>DATABASE!A600</f>
        <v>THE NINE</v>
      </c>
      <c r="B17" s="89" t="str">
        <f>DATABASE!B600</f>
        <v>Vilamoura</v>
      </c>
      <c r="C17" s="89" t="str">
        <f>DATABASE!C600</f>
        <v>AV</v>
      </c>
      <c r="D17" s="75" t="str">
        <f>DATABASE!E600</f>
        <v>T3</v>
      </c>
      <c r="E17" s="91">
        <f>DATABASE!F600</f>
        <v>146</v>
      </c>
      <c r="F17" s="91">
        <f>DATABASE!G600</f>
        <v>0</v>
      </c>
      <c r="G17" s="75" t="str">
        <f>DATABASE!H600</f>
        <v/>
      </c>
      <c r="H17" s="75" t="str">
        <f>DATABASE!I600</f>
        <v/>
      </c>
      <c r="I17" s="91">
        <f>DATABASE!J600</f>
        <v>0</v>
      </c>
      <c r="J17" s="91">
        <f>DATABASE!K600</f>
        <v>0</v>
      </c>
      <c r="K17" s="91">
        <f>DATABASE!L600</f>
        <v>0</v>
      </c>
      <c r="L17" s="72">
        <f>DATABASE!M600</f>
        <v>0</v>
      </c>
      <c r="M17" s="93">
        <f>DATABASE!N600</f>
        <v>0</v>
      </c>
      <c r="N17" s="111">
        <f>DATABASE!O600</f>
        <v>146</v>
      </c>
      <c r="O17" s="88">
        <f>DATABASE!P600</f>
        <v>0</v>
      </c>
      <c r="P17" s="88" t="str">
        <f>DATABASE!Q600</f>
        <v xml:space="preserve">DEED </v>
      </c>
      <c r="Q17" s="79">
        <f>DATABASE!R600</f>
        <v>960000</v>
      </c>
      <c r="R17" s="79">
        <f>DATABASE!S600</f>
        <v>960000</v>
      </c>
      <c r="S17" s="79">
        <f>DATABASE!T600</f>
        <v>1200000</v>
      </c>
      <c r="T17" s="79">
        <f>DATABASE!U600</f>
        <v>0</v>
      </c>
      <c r="U17" s="79">
        <f>DATABASE!V600</f>
        <v>0</v>
      </c>
      <c r="V17" s="79">
        <f>DATABASE!W600</f>
        <v>1200000</v>
      </c>
      <c r="W17" s="80">
        <f>DATABASE!X600</f>
        <v>0</v>
      </c>
      <c r="X17" s="79">
        <f>DATABASE!Y600</f>
        <v>1200000</v>
      </c>
      <c r="Y17" s="79">
        <f>DATABASE!Z600</f>
        <v>1200000</v>
      </c>
      <c r="Z17" s="79" t="e">
        <f>DATABASE!#REF!</f>
        <v>#REF!</v>
      </c>
      <c r="AA17" s="81">
        <f>DATABASE!AA600</f>
        <v>45071</v>
      </c>
      <c r="AB17" s="82">
        <f>DATABASE!AB600</f>
        <v>0</v>
      </c>
    </row>
    <row r="18" spans="1:28">
      <c r="A18" s="71" t="str">
        <f>DATABASE!A601</f>
        <v>ZESTIA</v>
      </c>
      <c r="B18" s="89" t="str">
        <f>DATABASE!B601</f>
        <v>Vilamoura</v>
      </c>
      <c r="C18" s="89" t="str">
        <f>DATABASE!C601</f>
        <v>AV</v>
      </c>
      <c r="D18" s="75" t="str">
        <f>DATABASE!E601</f>
        <v>T2</v>
      </c>
      <c r="E18" s="91">
        <f>DATABASE!F601</f>
        <v>117.69</v>
      </c>
      <c r="F18" s="91">
        <f>DATABASE!G601</f>
        <v>0</v>
      </c>
      <c r="G18" s="75" t="str">
        <f>DATABASE!H601</f>
        <v/>
      </c>
      <c r="H18" s="75" t="str">
        <f>DATABASE!I601</f>
        <v/>
      </c>
      <c r="I18" s="91">
        <f>DATABASE!J601</f>
        <v>0</v>
      </c>
      <c r="J18" s="91">
        <f>DATABASE!K601</f>
        <v>0</v>
      </c>
      <c r="K18" s="91">
        <f>DATABASE!L601</f>
        <v>0</v>
      </c>
      <c r="L18" s="72">
        <f>DATABASE!M601</f>
        <v>28.24</v>
      </c>
      <c r="M18" s="93">
        <f>DATABASE!N601</f>
        <v>0</v>
      </c>
      <c r="N18" s="111">
        <f>DATABASE!O601</f>
        <v>89.45</v>
      </c>
      <c r="O18" s="88">
        <f>DATABASE!P601</f>
        <v>0</v>
      </c>
      <c r="P18" s="88" t="str">
        <f>DATABASE!Q601</f>
        <v>AVAILABLE</v>
      </c>
      <c r="Q18" s="79">
        <f>DATABASE!R601</f>
        <v>745970.41599999997</v>
      </c>
      <c r="R18" s="79">
        <f>DATABASE!S601</f>
        <v>810570.41599999997</v>
      </c>
      <c r="S18" s="79">
        <f>DATABASE!T601</f>
        <v>890000</v>
      </c>
      <c r="T18" s="79">
        <f>DATABASE!U601</f>
        <v>24600</v>
      </c>
      <c r="U18" s="79">
        <f>DATABASE!V601</f>
        <v>40000</v>
      </c>
      <c r="V18" s="79">
        <f>DATABASE!W601</f>
        <v>825400</v>
      </c>
      <c r="W18" s="80">
        <f>DATABASE!X601</f>
        <v>0</v>
      </c>
      <c r="X18" s="79">
        <f>DATABASE!Y601</f>
        <v>890000</v>
      </c>
      <c r="Y18" s="79">
        <f>DATABASE!Z601</f>
        <v>825400</v>
      </c>
      <c r="Z18" s="79" t="e">
        <f>DATABASE!#REF!</f>
        <v>#REF!</v>
      </c>
      <c r="AA18" s="81">
        <f>DATABASE!AA601</f>
        <v>0</v>
      </c>
      <c r="AB18" s="82">
        <f>DATABASE!AB601</f>
        <v>0</v>
      </c>
    </row>
    <row r="19" spans="1:28">
      <c r="A19" s="71" t="str">
        <f>DATABASE!A602</f>
        <v>Palmares - Plots</v>
      </c>
      <c r="B19" s="89" t="str">
        <f>DATABASE!B602</f>
        <v>Algarve</v>
      </c>
      <c r="C19" s="89" t="str">
        <f>DATABASE!C602</f>
        <v>1</v>
      </c>
      <c r="D19" s="75" t="str">
        <f>DATABASE!E602</f>
        <v>Plot</v>
      </c>
      <c r="E19" s="91">
        <f>DATABASE!F602</f>
        <v>3142</v>
      </c>
      <c r="F19" s="91">
        <f>DATABASE!G602</f>
        <v>0</v>
      </c>
      <c r="G19" s="75" t="str">
        <f>DATABASE!H602</f>
        <v/>
      </c>
      <c r="H19" s="75" t="str">
        <f>DATABASE!I602</f>
        <v/>
      </c>
      <c r="I19" s="91">
        <f>DATABASE!J602</f>
        <v>0</v>
      </c>
      <c r="J19" s="91">
        <f>DATABASE!K602</f>
        <v>0</v>
      </c>
      <c r="K19" s="91">
        <f>DATABASE!L602</f>
        <v>0</v>
      </c>
      <c r="L19" s="72">
        <f>DATABASE!M602</f>
        <v>0</v>
      </c>
      <c r="M19" s="93">
        <f>DATABASE!N602</f>
        <v>0</v>
      </c>
      <c r="N19" s="111">
        <f>DATABASE!O602</f>
        <v>340</v>
      </c>
      <c r="O19" s="88">
        <f>DATABASE!P602</f>
        <v>0</v>
      </c>
      <c r="P19" s="88" t="str">
        <f>DATABASE!Q602</f>
        <v>RESERVED</v>
      </c>
      <c r="Q19" s="79">
        <f>DATABASE!R602</f>
        <v>950000</v>
      </c>
      <c r="R19" s="79">
        <f>DATABASE!S602</f>
        <v>950000</v>
      </c>
      <c r="S19" s="79">
        <f>DATABASE!T602</f>
        <v>1800000</v>
      </c>
      <c r="T19" s="79">
        <f>DATABASE!U602</f>
        <v>0</v>
      </c>
      <c r="U19" s="79">
        <f>DATABASE!V602</f>
        <v>0</v>
      </c>
      <c r="V19" s="79">
        <f>DATABASE!W602</f>
        <v>1800000</v>
      </c>
      <c r="W19" s="80">
        <f>DATABASE!X602</f>
        <v>5.5555555555555601E-2</v>
      </c>
      <c r="X19" s="79">
        <f>DATABASE!Y602</f>
        <v>1700000</v>
      </c>
      <c r="Y19" s="79">
        <f>DATABASE!Z602</f>
        <v>1700000</v>
      </c>
      <c r="Z19" s="79" t="e">
        <f>DATABASE!#REF!</f>
        <v>#REF!</v>
      </c>
      <c r="AA19" s="81">
        <f>DATABASE!AA602</f>
        <v>46182</v>
      </c>
      <c r="AB19" s="82">
        <f>DATABASE!AB602</f>
        <v>46843</v>
      </c>
    </row>
    <row r="20" spans="1:28">
      <c r="A20" s="71" t="str">
        <f>DATABASE!A603</f>
        <v>VP - TOWNHOUSES</v>
      </c>
      <c r="B20" s="89" t="str">
        <f>DATABASE!B603</f>
        <v>North</v>
      </c>
      <c r="C20" s="89" t="str">
        <f>DATABASE!C603</f>
        <v>4B</v>
      </c>
      <c r="D20" s="75" t="str">
        <f>DATABASE!E603</f>
        <v>V3</v>
      </c>
      <c r="E20" s="91">
        <f>DATABASE!F603</f>
        <v>327.27999999999997</v>
      </c>
      <c r="F20" s="91">
        <f>DATABASE!G603</f>
        <v>0</v>
      </c>
      <c r="G20" s="75" t="str">
        <f>DATABASE!H603</f>
        <v>2</v>
      </c>
      <c r="H20" s="75" t="str">
        <f>DATABASE!I603</f>
        <v>Yes</v>
      </c>
      <c r="I20" s="91">
        <f>DATABASE!J603</f>
        <v>0</v>
      </c>
      <c r="J20" s="91">
        <f>DATABASE!K603</f>
        <v>121.3</v>
      </c>
      <c r="K20" s="91">
        <f>DATABASE!L603</f>
        <v>44.52</v>
      </c>
      <c r="L20" s="72">
        <f>DATABASE!M603</f>
        <v>0</v>
      </c>
      <c r="M20" s="93">
        <f>DATABASE!N603</f>
        <v>0</v>
      </c>
      <c r="N20" s="111">
        <f>DATABASE!O603</f>
        <v>161.46</v>
      </c>
      <c r="O20" s="88">
        <f>DATABASE!P603</f>
        <v>0</v>
      </c>
      <c r="P20" s="88" t="str">
        <f>DATABASE!Q603</f>
        <v>UPON  REQUEST</v>
      </c>
      <c r="Q20" s="79">
        <f>DATABASE!R603</f>
        <v>950000</v>
      </c>
      <c r="R20" s="79">
        <f>DATABASE!S603</f>
        <v>950000</v>
      </c>
      <c r="S20" s="79">
        <f>DATABASE!T603</f>
        <v>970000</v>
      </c>
      <c r="T20" s="79">
        <f>DATABASE!U603</f>
        <v>0</v>
      </c>
      <c r="U20" s="79">
        <f>DATABASE!V603</f>
        <v>0</v>
      </c>
      <c r="V20" s="79">
        <f>DATABASE!W603</f>
        <v>970000</v>
      </c>
      <c r="W20" s="80">
        <f>DATABASE!X603</f>
        <v>0</v>
      </c>
      <c r="X20" s="79">
        <f>DATABASE!Y603</f>
        <v>0</v>
      </c>
      <c r="Y20" s="79">
        <f>DATABASE!Z603</f>
        <v>0</v>
      </c>
      <c r="Z20" s="79" t="e">
        <f>DATABASE!#REF!</f>
        <v>#REF!</v>
      </c>
      <c r="AA20" s="81">
        <f>DATABASE!AA603</f>
        <v>0</v>
      </c>
      <c r="AB20" s="82">
        <f>DATABASE!AB603</f>
        <v>47208</v>
      </c>
    </row>
    <row r="21" spans="1:28">
      <c r="A21" s="71" t="str">
        <f>DATABASE!A604</f>
        <v>VP - TOWNHOUSES</v>
      </c>
      <c r="B21" s="89" t="str">
        <f>DATABASE!B604</f>
        <v>North</v>
      </c>
      <c r="C21" s="89" t="str">
        <f>DATABASE!C604</f>
        <v>5B</v>
      </c>
      <c r="D21" s="75" t="str">
        <f>DATABASE!E604</f>
        <v>V3</v>
      </c>
      <c r="E21" s="91">
        <f>DATABASE!F604</f>
        <v>331.52</v>
      </c>
      <c r="F21" s="91">
        <f>DATABASE!G604</f>
        <v>0</v>
      </c>
      <c r="G21" s="75" t="str">
        <f>DATABASE!H604</f>
        <v>2</v>
      </c>
      <c r="H21" s="75" t="str">
        <f>DATABASE!I604</f>
        <v>Yes</v>
      </c>
      <c r="I21" s="91">
        <f>DATABASE!J604</f>
        <v>0</v>
      </c>
      <c r="J21" s="91">
        <f>DATABASE!K604</f>
        <v>125.54</v>
      </c>
      <c r="K21" s="91">
        <f>DATABASE!L604</f>
        <v>44.52</v>
      </c>
      <c r="L21" s="72">
        <f>DATABASE!M604</f>
        <v>0</v>
      </c>
      <c r="M21" s="93">
        <f>DATABASE!N604</f>
        <v>0</v>
      </c>
      <c r="N21" s="111">
        <f>DATABASE!O604</f>
        <v>161.46</v>
      </c>
      <c r="O21" s="88">
        <f>DATABASE!P604</f>
        <v>0</v>
      </c>
      <c r="P21" s="88" t="str">
        <f>DATABASE!Q604</f>
        <v>UPON  REQUEST</v>
      </c>
      <c r="Q21" s="79">
        <f>DATABASE!R604</f>
        <v>950000</v>
      </c>
      <c r="R21" s="79">
        <f>DATABASE!S604</f>
        <v>950000</v>
      </c>
      <c r="S21" s="79">
        <f>DATABASE!T604</f>
        <v>970000</v>
      </c>
      <c r="T21" s="79">
        <f>DATABASE!U604</f>
        <v>0</v>
      </c>
      <c r="U21" s="79">
        <f>DATABASE!V604</f>
        <v>0</v>
      </c>
      <c r="V21" s="79">
        <f>DATABASE!W604</f>
        <v>970000</v>
      </c>
      <c r="W21" s="80">
        <f>DATABASE!X604</f>
        <v>0</v>
      </c>
      <c r="X21" s="79">
        <f>DATABASE!Y604</f>
        <v>0</v>
      </c>
      <c r="Y21" s="79">
        <f>DATABASE!Z604</f>
        <v>0</v>
      </c>
      <c r="Z21" s="79" t="e">
        <f>DATABASE!#REF!</f>
        <v>#REF!</v>
      </c>
      <c r="AA21" s="81">
        <f>DATABASE!AA604</f>
        <v>0</v>
      </c>
      <c r="AB21" s="82">
        <f>DATABASE!AB604</f>
        <v>47208</v>
      </c>
    </row>
    <row r="22" spans="1:28">
      <c r="A22" s="71" t="str">
        <f>DATABASE!A605</f>
        <v>BOTÂNICA</v>
      </c>
      <c r="B22" s="89" t="str">
        <f>DATABASE!B605</f>
        <v>Vilamoura</v>
      </c>
      <c r="C22" s="89" t="str">
        <f>DATABASE!C605</f>
        <v>AW</v>
      </c>
      <c r="D22" s="75" t="str">
        <f>DATABASE!E605</f>
        <v>T2</v>
      </c>
      <c r="E22" s="91">
        <f>DATABASE!F605</f>
        <v>151.25</v>
      </c>
      <c r="F22" s="91">
        <f>DATABASE!G605</f>
        <v>0</v>
      </c>
      <c r="G22" s="75" t="str">
        <f>DATABASE!H605</f>
        <v>1</v>
      </c>
      <c r="H22" s="75" t="str">
        <f>DATABASE!I605</f>
        <v/>
      </c>
      <c r="I22" s="91">
        <f>DATABASE!J605</f>
        <v>27.61</v>
      </c>
      <c r="J22" s="91">
        <f>DATABASE!K605</f>
        <v>0</v>
      </c>
      <c r="K22" s="91">
        <f>DATABASE!L605</f>
        <v>0</v>
      </c>
      <c r="L22" s="72">
        <f>DATABASE!M605</f>
        <v>0</v>
      </c>
      <c r="M22" s="93">
        <f>DATABASE!N605</f>
        <v>0</v>
      </c>
      <c r="N22" s="111">
        <f>DATABASE!O605</f>
        <v>123.64</v>
      </c>
      <c r="O22" s="78">
        <f>DATABASE!P605</f>
        <v>0</v>
      </c>
      <c r="P22" s="88" t="str">
        <f>DATABASE!Q605</f>
        <v>RESERVED</v>
      </c>
      <c r="Q22" s="79">
        <f>DATABASE!R605</f>
        <v>1001295.57</v>
      </c>
      <c r="R22" s="79">
        <f>DATABASE!S605</f>
        <v>1001295.57</v>
      </c>
      <c r="S22" s="79">
        <f>DATABASE!T605</f>
        <v>1010000</v>
      </c>
      <c r="T22" s="79">
        <f>DATABASE!U605</f>
        <v>0</v>
      </c>
      <c r="U22" s="79">
        <f>DATABASE!V605</f>
        <v>0</v>
      </c>
      <c r="V22" s="79">
        <f>DATABASE!W605</f>
        <v>1010000</v>
      </c>
      <c r="W22" s="80">
        <f>DATABASE!X605</f>
        <v>5.2400000000000002E-2</v>
      </c>
      <c r="X22" s="79">
        <f>DATABASE!Y605</f>
        <v>957076</v>
      </c>
      <c r="Y22" s="79">
        <f>DATABASE!Z605</f>
        <v>957076</v>
      </c>
      <c r="Z22" s="79" t="e">
        <f>DATABASE!#REF!</f>
        <v>#REF!</v>
      </c>
      <c r="AA22" s="81">
        <f>DATABASE!AA605</f>
        <v>0</v>
      </c>
      <c r="AB22" s="82">
        <f>DATABASE!AB605</f>
        <v>0</v>
      </c>
    </row>
    <row r="23" spans="1:28">
      <c r="A23" s="71" t="str">
        <f>DATABASE!A606</f>
        <v>SPRINGS</v>
      </c>
      <c r="B23" s="89" t="str">
        <f>DATABASE!B606</f>
        <v>Vilamoura</v>
      </c>
      <c r="C23" s="89" t="str">
        <f>DATABASE!C606</f>
        <v>AW</v>
      </c>
      <c r="D23" s="75" t="str">
        <f>DATABASE!E606</f>
        <v>V2 Duplex</v>
      </c>
      <c r="E23" s="91">
        <f>DATABASE!F606</f>
        <v>280.27</v>
      </c>
      <c r="F23" s="91">
        <f>DATABASE!G606</f>
        <v>119.06</v>
      </c>
      <c r="G23" s="75" t="str">
        <f>DATABASE!H606</f>
        <v/>
      </c>
      <c r="H23" s="75" t="str">
        <f>DATABASE!I606</f>
        <v/>
      </c>
      <c r="I23" s="91">
        <f>DATABASE!J606</f>
        <v>25.77</v>
      </c>
      <c r="J23" s="91">
        <f>DATABASE!K606</f>
        <v>0</v>
      </c>
      <c r="K23" s="91">
        <f>DATABASE!L606</f>
        <v>0</v>
      </c>
      <c r="L23" s="72">
        <f>DATABASE!M606</f>
        <v>0</v>
      </c>
      <c r="M23" s="93">
        <f>DATABASE!N606</f>
        <v>0</v>
      </c>
      <c r="N23" s="111">
        <f>DATABASE!O606</f>
        <v>135.44</v>
      </c>
      <c r="O23" s="88">
        <f>DATABASE!P606</f>
        <v>0</v>
      </c>
      <c r="P23" s="88" t="str">
        <f>DATABASE!Q606</f>
        <v>AVAILABLE</v>
      </c>
      <c r="Q23" s="79">
        <f>DATABASE!R606</f>
        <v>1227700</v>
      </c>
      <c r="R23" s="79">
        <f>DATABASE!S606</f>
        <v>1298850</v>
      </c>
      <c r="S23" s="79">
        <f>DATABASE!T606</f>
        <v>1370000</v>
      </c>
      <c r="T23" s="79">
        <f>DATABASE!U606</f>
        <v>24600</v>
      </c>
      <c r="U23" s="79">
        <f>DATABASE!V606</f>
        <v>46550</v>
      </c>
      <c r="V23" s="79">
        <f>DATABASE!W606</f>
        <v>1298850</v>
      </c>
      <c r="W23" s="80">
        <f>DATABASE!X606</f>
        <v>0</v>
      </c>
      <c r="X23" s="79">
        <f>DATABASE!Y606</f>
        <v>1370000</v>
      </c>
      <c r="Y23" s="79">
        <f>DATABASE!Z606</f>
        <v>1298850</v>
      </c>
      <c r="Z23" s="79" t="e">
        <f>DATABASE!#REF!</f>
        <v>#REF!</v>
      </c>
      <c r="AA23" s="81">
        <f>DATABASE!AA606</f>
        <v>0</v>
      </c>
      <c r="AB23" s="82">
        <f>DATABASE!AB606</f>
        <v>0</v>
      </c>
    </row>
    <row r="24" spans="1:28">
      <c r="A24" s="71" t="str">
        <f>DATABASE!A607</f>
        <v>TERRACOTA</v>
      </c>
      <c r="B24" s="89" t="str">
        <f>DATABASE!B607</f>
        <v>Vilamoura</v>
      </c>
      <c r="C24" s="89" t="str">
        <f>DATABASE!C607</f>
        <v>AW</v>
      </c>
      <c r="D24" s="75" t="str">
        <f>DATABASE!E607</f>
        <v>T3</v>
      </c>
      <c r="E24" s="91">
        <f>DATABASE!F607</f>
        <v>130.91999999999999</v>
      </c>
      <c r="F24" s="91">
        <f>DATABASE!G607</f>
        <v>0</v>
      </c>
      <c r="G24" s="75" t="str">
        <f>DATABASE!H607</f>
        <v/>
      </c>
      <c r="H24" s="75" t="str">
        <f>DATABASE!I607</f>
        <v/>
      </c>
      <c r="I24" s="91">
        <f>DATABASE!J607</f>
        <v>0</v>
      </c>
      <c r="J24" s="91">
        <f>DATABASE!K607</f>
        <v>0</v>
      </c>
      <c r="K24" s="91">
        <f>DATABASE!L607</f>
        <v>0</v>
      </c>
      <c r="L24" s="72">
        <f>DATABASE!M607</f>
        <v>0</v>
      </c>
      <c r="M24" s="93">
        <f>DATABASE!N607</f>
        <v>0</v>
      </c>
      <c r="N24" s="111">
        <f>DATABASE!O607</f>
        <v>130.91999999999999</v>
      </c>
      <c r="O24" s="78">
        <f>DATABASE!P607</f>
        <v>0</v>
      </c>
      <c r="P24" s="78" t="str">
        <f>DATABASE!Q607</f>
        <v xml:space="preserve">PSPA </v>
      </c>
      <c r="Q24" s="79">
        <f>DATABASE!R607</f>
        <v>710000</v>
      </c>
      <c r="R24" s="79">
        <f>DATABASE!S607</f>
        <v>710000</v>
      </c>
      <c r="S24" s="79">
        <f>DATABASE!T607</f>
        <v>710000</v>
      </c>
      <c r="T24" s="79">
        <f>DATABASE!U607</f>
        <v>0</v>
      </c>
      <c r="U24" s="79">
        <f>DATABASE!V607</f>
        <v>0</v>
      </c>
      <c r="V24" s="79">
        <f>DATABASE!W607</f>
        <v>710000</v>
      </c>
      <c r="W24" s="80">
        <f>DATABASE!X607</f>
        <v>0</v>
      </c>
      <c r="X24" s="79">
        <f>DATABASE!Y607</f>
        <v>710000</v>
      </c>
      <c r="Y24" s="79">
        <f>DATABASE!Z607</f>
        <v>710000</v>
      </c>
      <c r="Z24" s="79" t="e">
        <f>DATABASE!#REF!</f>
        <v>#REF!</v>
      </c>
      <c r="AA24" s="81" t="e">
        <f>DATABASE!#REF!</f>
        <v>#REF!</v>
      </c>
      <c r="AB24" s="82">
        <f>DATABASE!AB607</f>
        <v>0</v>
      </c>
    </row>
    <row r="25" spans="1:28">
      <c r="A25" s="71" t="str">
        <f>DATABASE!A608</f>
        <v>ZESTIA</v>
      </c>
      <c r="B25" s="89" t="str">
        <f>DATABASE!B608</f>
        <v>Vilamoura</v>
      </c>
      <c r="C25" s="89" t="str">
        <f>DATABASE!C608</f>
        <v>AW</v>
      </c>
      <c r="D25" s="75" t="str">
        <f>DATABASE!E608</f>
        <v>T2 LO</v>
      </c>
      <c r="E25" s="91">
        <f>DATABASE!F608</f>
        <v>118.03</v>
      </c>
      <c r="F25" s="91">
        <f>DATABASE!G608</f>
        <v>0</v>
      </c>
      <c r="G25" s="75" t="str">
        <f>DATABASE!H608</f>
        <v/>
      </c>
      <c r="H25" s="75" t="str">
        <f>DATABASE!I608</f>
        <v/>
      </c>
      <c r="I25" s="91">
        <f>DATABASE!J608</f>
        <v>0</v>
      </c>
      <c r="J25" s="91">
        <f>DATABASE!K608</f>
        <v>0</v>
      </c>
      <c r="K25" s="91">
        <f>DATABASE!L608</f>
        <v>0</v>
      </c>
      <c r="L25" s="72">
        <f>DATABASE!M608</f>
        <v>28.84</v>
      </c>
      <c r="M25" s="93">
        <f>DATABASE!N608</f>
        <v>0</v>
      </c>
      <c r="N25" s="111">
        <f>DATABASE!O608</f>
        <v>89.19</v>
      </c>
      <c r="O25" s="78">
        <f>DATABASE!P608</f>
        <v>0</v>
      </c>
      <c r="P25" s="78" t="str">
        <f>DATABASE!Q608</f>
        <v>AVAILABLE</v>
      </c>
      <c r="Q25" s="79">
        <f>DATABASE!R608</f>
        <v>744681.98719999997</v>
      </c>
      <c r="R25" s="79">
        <f>DATABASE!S608</f>
        <v>809281.98719999997</v>
      </c>
      <c r="S25" s="79">
        <f>DATABASE!T608</f>
        <v>890000</v>
      </c>
      <c r="T25" s="79">
        <f>DATABASE!U608</f>
        <v>24600</v>
      </c>
      <c r="U25" s="79">
        <f>DATABASE!V608</f>
        <v>40000</v>
      </c>
      <c r="V25" s="79">
        <f>DATABASE!W608</f>
        <v>825400</v>
      </c>
      <c r="W25" s="80">
        <f>DATABASE!X608</f>
        <v>0</v>
      </c>
      <c r="X25" s="79">
        <f>DATABASE!Y608</f>
        <v>890000</v>
      </c>
      <c r="Y25" s="79">
        <f>DATABASE!Z608</f>
        <v>825400</v>
      </c>
      <c r="Z25" s="79" t="e">
        <f>DATABASE!#REF!</f>
        <v>#REF!</v>
      </c>
      <c r="AA25" s="81">
        <f>DATABASE!AA608</f>
        <v>0</v>
      </c>
      <c r="AB25" s="82">
        <f>DATABASE!AB608</f>
        <v>0</v>
      </c>
    </row>
    <row r="26" spans="1:28">
      <c r="A26" s="71" t="str">
        <f>DATABASE!A609</f>
        <v>BOTÂNICA</v>
      </c>
      <c r="B26" s="89" t="str">
        <f>DATABASE!B609</f>
        <v>Vilamoura</v>
      </c>
      <c r="C26" s="89" t="str">
        <f>DATABASE!C609</f>
        <v>AX</v>
      </c>
      <c r="D26" s="75" t="str">
        <f>DATABASE!E609</f>
        <v>T4</v>
      </c>
      <c r="E26" s="91">
        <f>DATABASE!F609</f>
        <v>389.41</v>
      </c>
      <c r="F26" s="91">
        <f>DATABASE!G609</f>
        <v>0</v>
      </c>
      <c r="G26" s="75" t="str">
        <f>DATABASE!H609</f>
        <v>1</v>
      </c>
      <c r="H26" s="75" t="str">
        <f>DATABASE!I609</f>
        <v/>
      </c>
      <c r="I26" s="91">
        <f>DATABASE!J609</f>
        <v>55.75</v>
      </c>
      <c r="J26" s="91">
        <f>DATABASE!K609</f>
        <v>0</v>
      </c>
      <c r="K26" s="91">
        <f>DATABASE!L609</f>
        <v>0</v>
      </c>
      <c r="L26" s="72">
        <f>DATABASE!M609</f>
        <v>136.30000000000001</v>
      </c>
      <c r="M26" s="93">
        <f>DATABASE!N609</f>
        <v>0</v>
      </c>
      <c r="N26" s="111">
        <f>DATABASE!O609</f>
        <v>197.36</v>
      </c>
      <c r="O26" s="78">
        <f>DATABASE!P609</f>
        <v>0</v>
      </c>
      <c r="P26" s="78" t="str">
        <f>DATABASE!Q609</f>
        <v>PRE-RESERVED</v>
      </c>
      <c r="Q26" s="79">
        <f>DATABASE!R609</f>
        <v>2350904.85</v>
      </c>
      <c r="R26" s="79">
        <f>DATABASE!S609</f>
        <v>2350904.85</v>
      </c>
      <c r="S26" s="79">
        <f>DATABASE!T609</f>
        <v>2360000</v>
      </c>
      <c r="T26" s="79">
        <f>DATABASE!U609</f>
        <v>0</v>
      </c>
      <c r="U26" s="79">
        <f>DATABASE!V609</f>
        <v>0</v>
      </c>
      <c r="V26" s="79">
        <f>DATABASE!W609</f>
        <v>2360000</v>
      </c>
      <c r="W26" s="80">
        <f>DATABASE!X609</f>
        <v>0</v>
      </c>
      <c r="X26" s="79">
        <f>DATABASE!Y609</f>
        <v>2360000</v>
      </c>
      <c r="Y26" s="79">
        <f>DATABASE!Z609</f>
        <v>2360000</v>
      </c>
      <c r="Z26" s="79" t="e">
        <f>DATABASE!#REF!</f>
        <v>#REF!</v>
      </c>
      <c r="AA26" s="81">
        <f>DATABASE!AA609</f>
        <v>0</v>
      </c>
      <c r="AB26" s="82">
        <f>DATABASE!AB609</f>
        <v>0</v>
      </c>
    </row>
    <row r="27" spans="1:28">
      <c r="A27" s="71" t="str">
        <f>DATABASE!A610</f>
        <v>SPRINGS</v>
      </c>
      <c r="B27" s="89" t="str">
        <f>DATABASE!B610</f>
        <v>Vilamoura</v>
      </c>
      <c r="C27" s="89" t="str">
        <f>DATABASE!C610</f>
        <v>AX</v>
      </c>
      <c r="D27" s="75" t="str">
        <f>DATABASE!E610</f>
        <v>V2 Duplex</v>
      </c>
      <c r="E27" s="91">
        <f>DATABASE!F610</f>
        <v>288.99</v>
      </c>
      <c r="F27" s="91">
        <f>DATABASE!G610</f>
        <v>121.69</v>
      </c>
      <c r="G27" s="75" t="str">
        <f>DATABASE!H610</f>
        <v/>
      </c>
      <c r="H27" s="75" t="str">
        <f>DATABASE!I610</f>
        <v/>
      </c>
      <c r="I27" s="91">
        <f>DATABASE!J610</f>
        <v>25.77</v>
      </c>
      <c r="J27" s="91">
        <f>DATABASE!K610</f>
        <v>0</v>
      </c>
      <c r="K27" s="91">
        <f>DATABASE!L610</f>
        <v>0</v>
      </c>
      <c r="L27" s="72">
        <f>DATABASE!M610</f>
        <v>0</v>
      </c>
      <c r="M27" s="93">
        <f>DATABASE!N610</f>
        <v>0</v>
      </c>
      <c r="N27" s="111">
        <f>DATABASE!O610</f>
        <v>141.53</v>
      </c>
      <c r="O27" s="88">
        <f>DATABASE!P610</f>
        <v>0</v>
      </c>
      <c r="P27" s="88" t="str">
        <f>DATABASE!Q610</f>
        <v>AVAILABLE</v>
      </c>
      <c r="Q27" s="79">
        <f>DATABASE!R610</f>
        <v>1327700</v>
      </c>
      <c r="R27" s="79">
        <f>DATABASE!S610</f>
        <v>1398850</v>
      </c>
      <c r="S27" s="79">
        <f>DATABASE!T610</f>
        <v>1470000</v>
      </c>
      <c r="T27" s="79">
        <f>DATABASE!U610</f>
        <v>24600</v>
      </c>
      <c r="U27" s="79">
        <f>DATABASE!V610</f>
        <v>46550</v>
      </c>
      <c r="V27" s="79">
        <f>DATABASE!W610</f>
        <v>1398850</v>
      </c>
      <c r="W27" s="80">
        <f>DATABASE!X610</f>
        <v>0</v>
      </c>
      <c r="X27" s="79">
        <f>DATABASE!Y610</f>
        <v>1470000</v>
      </c>
      <c r="Y27" s="79">
        <f>DATABASE!Z610</f>
        <v>1398850</v>
      </c>
      <c r="Z27" s="79" t="e">
        <f>DATABASE!#REF!</f>
        <v>#REF!</v>
      </c>
      <c r="AA27" s="81">
        <f>DATABASE!AA610</f>
        <v>0</v>
      </c>
      <c r="AB27" s="82">
        <f>DATABASE!AB610</f>
        <v>0</v>
      </c>
    </row>
    <row r="28" spans="1:28">
      <c r="A28" s="71" t="str">
        <f>DATABASE!A611</f>
        <v>TERRACOTA</v>
      </c>
      <c r="B28" s="89" t="str">
        <f>DATABASE!B611</f>
        <v>Vilamoura</v>
      </c>
      <c r="C28" s="89" t="str">
        <f>DATABASE!C611</f>
        <v>AX</v>
      </c>
      <c r="D28" s="75" t="str">
        <f>DATABASE!E611</f>
        <v>T3</v>
      </c>
      <c r="E28" s="91">
        <f>DATABASE!F611</f>
        <v>130.91999999999999</v>
      </c>
      <c r="F28" s="91">
        <f>DATABASE!G611</f>
        <v>0</v>
      </c>
      <c r="G28" s="75" t="str">
        <f>DATABASE!H611</f>
        <v/>
      </c>
      <c r="H28" s="75" t="str">
        <f>DATABASE!I611</f>
        <v/>
      </c>
      <c r="I28" s="91">
        <f>DATABASE!J611</f>
        <v>0</v>
      </c>
      <c r="J28" s="91">
        <f>DATABASE!K611</f>
        <v>0</v>
      </c>
      <c r="K28" s="91">
        <f>DATABASE!L611</f>
        <v>0</v>
      </c>
      <c r="L28" s="72">
        <f>DATABASE!M611</f>
        <v>0</v>
      </c>
      <c r="M28" s="93">
        <f>DATABASE!N611</f>
        <v>0</v>
      </c>
      <c r="N28" s="111">
        <f>DATABASE!O611</f>
        <v>130.91999999999999</v>
      </c>
      <c r="O28" s="78">
        <f>DATABASE!P611</f>
        <v>0</v>
      </c>
      <c r="P28" s="88" t="str">
        <f>DATABASE!Q611</f>
        <v xml:space="preserve">PSPA </v>
      </c>
      <c r="Q28" s="79">
        <f>DATABASE!R611</f>
        <v>710000</v>
      </c>
      <c r="R28" s="79">
        <f>DATABASE!S611</f>
        <v>710000</v>
      </c>
      <c r="S28" s="79">
        <f>DATABASE!T611</f>
        <v>740000</v>
      </c>
      <c r="T28" s="79">
        <f>DATABASE!U611</f>
        <v>0</v>
      </c>
      <c r="U28" s="79">
        <f>DATABASE!V611</f>
        <v>0</v>
      </c>
      <c r="V28" s="79">
        <f>DATABASE!W611</f>
        <v>740000</v>
      </c>
      <c r="W28" s="80">
        <f>DATABASE!X611</f>
        <v>0</v>
      </c>
      <c r="X28" s="79">
        <f>DATABASE!Y611</f>
        <v>740000</v>
      </c>
      <c r="Y28" s="79">
        <f>DATABASE!Z611</f>
        <v>740000</v>
      </c>
      <c r="Z28" s="79" t="e">
        <f>DATABASE!#REF!</f>
        <v>#REF!</v>
      </c>
      <c r="AA28" s="81" t="e">
        <f>DATABASE!#REF!</f>
        <v>#REF!</v>
      </c>
      <c r="AB28" s="82">
        <f>DATABASE!AB611</f>
        <v>0</v>
      </c>
    </row>
    <row r="29" spans="1:28">
      <c r="A29" s="71" t="str">
        <f>DATABASE!A612</f>
        <v>ZESTIA</v>
      </c>
      <c r="B29" s="89" t="str">
        <f>DATABASE!B612</f>
        <v>Vilamoura</v>
      </c>
      <c r="C29" s="89" t="str">
        <f>DATABASE!C612</f>
        <v>AX</v>
      </c>
      <c r="D29" s="75" t="str">
        <f>DATABASE!E612</f>
        <v>T2</v>
      </c>
      <c r="E29" s="91">
        <f>DATABASE!F612</f>
        <v>281.44</v>
      </c>
      <c r="F29" s="91">
        <f>DATABASE!G612</f>
        <v>0</v>
      </c>
      <c r="G29" s="75" t="str">
        <f>DATABASE!H612</f>
        <v/>
      </c>
      <c r="H29" s="75" t="str">
        <f>DATABASE!I612</f>
        <v/>
      </c>
      <c r="I29" s="91">
        <f>DATABASE!J612</f>
        <v>0</v>
      </c>
      <c r="J29" s="91">
        <f>DATABASE!K612</f>
        <v>0</v>
      </c>
      <c r="K29" s="91">
        <f>DATABASE!L612</f>
        <v>0</v>
      </c>
      <c r="L29" s="72">
        <f>DATABASE!M612</f>
        <v>188.97</v>
      </c>
      <c r="M29" s="93">
        <f>DATABASE!N612</f>
        <v>0</v>
      </c>
      <c r="N29" s="111">
        <f>DATABASE!O612</f>
        <v>92.47</v>
      </c>
      <c r="O29" s="78">
        <f>DATABASE!P612</f>
        <v>0</v>
      </c>
      <c r="P29" s="88" t="str">
        <f>DATABASE!Q612</f>
        <v>AVAILABLE</v>
      </c>
      <c r="Q29" s="79">
        <f>DATABASE!R612</f>
        <v>987434.81440000003</v>
      </c>
      <c r="R29" s="79">
        <f>DATABASE!S612</f>
        <v>1062034.8144</v>
      </c>
      <c r="S29" s="79">
        <f>DATABASE!T612</f>
        <v>1200000</v>
      </c>
      <c r="T29" s="79">
        <f>DATABASE!U612</f>
        <v>24600</v>
      </c>
      <c r="U29" s="79">
        <f>DATABASE!V612</f>
        <v>50000</v>
      </c>
      <c r="V29" s="79">
        <f>DATABASE!W612</f>
        <v>1125400</v>
      </c>
      <c r="W29" s="80">
        <f>DATABASE!X612</f>
        <v>0</v>
      </c>
      <c r="X29" s="79">
        <f>DATABASE!Y612</f>
        <v>1200000</v>
      </c>
      <c r="Y29" s="79">
        <f>DATABASE!Z612</f>
        <v>1125400</v>
      </c>
      <c r="Z29" s="79" t="e">
        <f>DATABASE!#REF!</f>
        <v>#REF!</v>
      </c>
      <c r="AA29" s="81">
        <f>DATABASE!AA612</f>
        <v>0</v>
      </c>
      <c r="AB29" s="82">
        <f>DATABASE!AB612</f>
        <v>0</v>
      </c>
    </row>
    <row r="30" spans="1:28">
      <c r="A30" s="71" t="str">
        <f>DATABASE!A613</f>
        <v>BOTÂNICA</v>
      </c>
      <c r="B30" s="89" t="str">
        <f>DATABASE!B613</f>
        <v>Vilamoura</v>
      </c>
      <c r="C30" s="89" t="str">
        <f>DATABASE!C613</f>
        <v>AY</v>
      </c>
      <c r="D30" s="75" t="str">
        <f>DATABASE!E613</f>
        <v>T3</v>
      </c>
      <c r="E30" s="91">
        <f>DATABASE!F613</f>
        <v>224.52</v>
      </c>
      <c r="F30" s="91">
        <f>DATABASE!G613</f>
        <v>0</v>
      </c>
      <c r="G30" s="75" t="str">
        <f>DATABASE!H613</f>
        <v>1</v>
      </c>
      <c r="H30" s="75" t="str">
        <f>DATABASE!I613</f>
        <v/>
      </c>
      <c r="I30" s="91">
        <f>DATABASE!J613</f>
        <v>55.65</v>
      </c>
      <c r="J30" s="91">
        <f>DATABASE!K613</f>
        <v>0</v>
      </c>
      <c r="K30" s="91">
        <f>DATABASE!L613</f>
        <v>0</v>
      </c>
      <c r="L30" s="72">
        <f>DATABASE!M613</f>
        <v>0</v>
      </c>
      <c r="M30" s="93">
        <f>DATABASE!N613</f>
        <v>0</v>
      </c>
      <c r="N30" s="111">
        <f>DATABASE!O613</f>
        <v>168.87</v>
      </c>
      <c r="O30" s="88">
        <f>DATABASE!P613</f>
        <v>0</v>
      </c>
      <c r="P30" s="88" t="str">
        <f>DATABASE!Q613</f>
        <v>AVAILABLE</v>
      </c>
      <c r="Q30" s="79">
        <f>DATABASE!R613</f>
        <v>1638520</v>
      </c>
      <c r="R30" s="79">
        <f>DATABASE!S613</f>
        <v>1638520</v>
      </c>
      <c r="S30" s="79">
        <f>DATABASE!T613</f>
        <v>1725000</v>
      </c>
      <c r="T30" s="79">
        <f>DATABASE!U613</f>
        <v>0</v>
      </c>
      <c r="U30" s="79">
        <f>DATABASE!V613</f>
        <v>0</v>
      </c>
      <c r="V30" s="79">
        <f>DATABASE!W613</f>
        <v>1725000</v>
      </c>
      <c r="W30" s="80">
        <f>DATABASE!X613</f>
        <v>0</v>
      </c>
      <c r="X30" s="79">
        <f>DATABASE!Y613</f>
        <v>1705600</v>
      </c>
      <c r="Y30" s="79">
        <f>DATABASE!Z613</f>
        <v>1705600</v>
      </c>
      <c r="Z30" s="79" t="e">
        <f>DATABASE!#REF!</f>
        <v>#REF!</v>
      </c>
      <c r="AA30" s="81">
        <f>DATABASE!AA613</f>
        <v>0</v>
      </c>
      <c r="AB30" s="82">
        <f>DATABASE!AB613</f>
        <v>0</v>
      </c>
    </row>
    <row r="31" spans="1:28">
      <c r="A31" s="71" t="str">
        <f>DATABASE!A614</f>
        <v>VP - TOWNHOUSES</v>
      </c>
      <c r="B31" s="89" t="str">
        <f>DATABASE!B614</f>
        <v>North</v>
      </c>
      <c r="C31" s="89" t="str">
        <f>DATABASE!C614</f>
        <v>6B</v>
      </c>
      <c r="D31" s="75" t="str">
        <f>DATABASE!E614</f>
        <v>V3</v>
      </c>
      <c r="E31" s="91">
        <f>DATABASE!F614</f>
        <v>335.26</v>
      </c>
      <c r="F31" s="91">
        <f>DATABASE!G614</f>
        <v>0</v>
      </c>
      <c r="G31" s="75" t="str">
        <f>DATABASE!H614</f>
        <v>2</v>
      </c>
      <c r="H31" s="75" t="str">
        <f>DATABASE!I614</f>
        <v>Yes</v>
      </c>
      <c r="I31" s="91">
        <f>DATABASE!J614</f>
        <v>0</v>
      </c>
      <c r="J31" s="91">
        <f>DATABASE!K614</f>
        <v>129.28</v>
      </c>
      <c r="K31" s="91">
        <f>DATABASE!L614</f>
        <v>44.52</v>
      </c>
      <c r="L31" s="72">
        <f>DATABASE!M614</f>
        <v>0</v>
      </c>
      <c r="M31" s="93">
        <f>DATABASE!N614</f>
        <v>0</v>
      </c>
      <c r="N31" s="111">
        <f>DATABASE!O614</f>
        <v>161.46</v>
      </c>
      <c r="O31" s="88">
        <f>DATABASE!P614</f>
        <v>0</v>
      </c>
      <c r="P31" s="88" t="str">
        <f>DATABASE!Q614</f>
        <v>RESERVED</v>
      </c>
      <c r="Q31" s="79">
        <f>DATABASE!R614</f>
        <v>960000</v>
      </c>
      <c r="R31" s="79">
        <f>DATABASE!S614</f>
        <v>960000</v>
      </c>
      <c r="S31" s="79">
        <f>DATABASE!T614</f>
        <v>1000000</v>
      </c>
      <c r="T31" s="79">
        <f>DATABASE!U614</f>
        <v>0</v>
      </c>
      <c r="U31" s="79">
        <f>DATABASE!V614</f>
        <v>0</v>
      </c>
      <c r="V31" s="79">
        <f>DATABASE!W614</f>
        <v>1000000</v>
      </c>
      <c r="W31" s="80">
        <f>DATABASE!X614</f>
        <v>0</v>
      </c>
      <c r="X31" s="79">
        <f>DATABASE!Y614</f>
        <v>860000</v>
      </c>
      <c r="Y31" s="79">
        <f>DATABASE!Z614</f>
        <v>860000</v>
      </c>
      <c r="Z31" s="79" t="e">
        <f>DATABASE!#REF!</f>
        <v>#REF!</v>
      </c>
      <c r="AA31" s="81">
        <f>DATABASE!AA614</f>
        <v>46171</v>
      </c>
      <c r="AB31" s="82">
        <f>DATABASE!AB614</f>
        <v>47208</v>
      </c>
    </row>
    <row r="32" spans="1:28">
      <c r="A32" s="71" t="str">
        <f>DATABASE!A615</f>
        <v>VP - TOWNHOUSES</v>
      </c>
      <c r="B32" s="89" t="str">
        <f>DATABASE!B615</f>
        <v>North</v>
      </c>
      <c r="C32" s="89" t="str">
        <f>DATABASE!C615</f>
        <v>3B</v>
      </c>
      <c r="D32" s="75" t="str">
        <f>DATABASE!E615</f>
        <v>V3</v>
      </c>
      <c r="E32" s="91">
        <f>DATABASE!F615</f>
        <v>323.13</v>
      </c>
      <c r="F32" s="91">
        <f>DATABASE!G615</f>
        <v>0</v>
      </c>
      <c r="G32" s="75" t="str">
        <f>DATABASE!H615</f>
        <v>2</v>
      </c>
      <c r="H32" s="75" t="str">
        <f>DATABASE!I615</f>
        <v>Yes</v>
      </c>
      <c r="I32" s="91">
        <f>DATABASE!J615</f>
        <v>0</v>
      </c>
      <c r="J32" s="91">
        <f>DATABASE!K615</f>
        <v>117.15</v>
      </c>
      <c r="K32" s="91">
        <f>DATABASE!L615</f>
        <v>44.52</v>
      </c>
      <c r="L32" s="72">
        <f>DATABASE!M615</f>
        <v>0</v>
      </c>
      <c r="M32" s="93">
        <f>DATABASE!N615</f>
        <v>0</v>
      </c>
      <c r="N32" s="111">
        <f>DATABASE!O615</f>
        <v>161.46</v>
      </c>
      <c r="O32" s="88">
        <f>DATABASE!P615</f>
        <v>0</v>
      </c>
      <c r="P32" s="88" t="str">
        <f>DATABASE!Q615</f>
        <v>UPON  REQUEST</v>
      </c>
      <c r="Q32" s="79">
        <f>DATABASE!R615</f>
        <v>960000</v>
      </c>
      <c r="R32" s="79">
        <f>DATABASE!S615</f>
        <v>960000</v>
      </c>
      <c r="S32" s="79">
        <f>DATABASE!T615</f>
        <v>980000</v>
      </c>
      <c r="T32" s="79">
        <f>DATABASE!U615</f>
        <v>0</v>
      </c>
      <c r="U32" s="79">
        <f>DATABASE!V615</f>
        <v>0</v>
      </c>
      <c r="V32" s="79">
        <f>DATABASE!W615</f>
        <v>980000</v>
      </c>
      <c r="W32" s="80">
        <f>DATABASE!X615</f>
        <v>0</v>
      </c>
      <c r="X32" s="79">
        <f>DATABASE!Y615</f>
        <v>0</v>
      </c>
      <c r="Y32" s="79">
        <f>DATABASE!Z615</f>
        <v>0</v>
      </c>
      <c r="Z32" s="79" t="e">
        <f>DATABASE!#REF!</f>
        <v>#REF!</v>
      </c>
      <c r="AA32" s="81">
        <f>DATABASE!AA615</f>
        <v>0</v>
      </c>
      <c r="AB32" s="82">
        <f>DATABASE!AB615</f>
        <v>47208</v>
      </c>
    </row>
    <row r="33" spans="1:28">
      <c r="A33" s="71" t="str">
        <f>DATABASE!A616</f>
        <v>SPRINGS</v>
      </c>
      <c r="B33" s="89" t="str">
        <f>DATABASE!B616</f>
        <v>Vilamoura</v>
      </c>
      <c r="C33" s="89" t="str">
        <f>DATABASE!C616</f>
        <v>AY</v>
      </c>
      <c r="D33" s="75" t="str">
        <f>DATABASE!E616</f>
        <v>V2 Duplex</v>
      </c>
      <c r="E33" s="91">
        <f>DATABASE!F616</f>
        <v>334.97</v>
      </c>
      <c r="F33" s="91">
        <f>DATABASE!G616</f>
        <v>170.89</v>
      </c>
      <c r="G33" s="75" t="str">
        <f>DATABASE!H616</f>
        <v/>
      </c>
      <c r="H33" s="75" t="str">
        <f>DATABASE!I616</f>
        <v/>
      </c>
      <c r="I33" s="91">
        <f>DATABASE!J616</f>
        <v>25.77</v>
      </c>
      <c r="J33" s="91">
        <f>DATABASE!K616</f>
        <v>0</v>
      </c>
      <c r="K33" s="91">
        <f>DATABASE!L616</f>
        <v>0</v>
      </c>
      <c r="L33" s="72">
        <f>DATABASE!M616</f>
        <v>0</v>
      </c>
      <c r="M33" s="93">
        <f>DATABASE!N616</f>
        <v>0</v>
      </c>
      <c r="N33" s="111">
        <f>DATABASE!O616</f>
        <v>138.31</v>
      </c>
      <c r="O33" s="88">
        <f>DATABASE!P616</f>
        <v>0</v>
      </c>
      <c r="P33" s="88" t="str">
        <f>DATABASE!Q616</f>
        <v>AVAILABLE</v>
      </c>
      <c r="Q33" s="79">
        <f>DATABASE!R616</f>
        <v>1517700</v>
      </c>
      <c r="R33" s="79">
        <f>DATABASE!S616</f>
        <v>1588850</v>
      </c>
      <c r="S33" s="79">
        <f>DATABASE!T616</f>
        <v>1660000</v>
      </c>
      <c r="T33" s="79">
        <f>DATABASE!U616</f>
        <v>24600</v>
      </c>
      <c r="U33" s="79">
        <f>DATABASE!V616</f>
        <v>46550</v>
      </c>
      <c r="V33" s="79">
        <f>DATABASE!W616</f>
        <v>1588850</v>
      </c>
      <c r="W33" s="80">
        <f>DATABASE!X616</f>
        <v>0</v>
      </c>
      <c r="X33" s="79">
        <f>DATABASE!Y616</f>
        <v>1660000</v>
      </c>
      <c r="Y33" s="79">
        <f>DATABASE!Z616</f>
        <v>1588850</v>
      </c>
      <c r="Z33" s="79" t="e">
        <f>DATABASE!#REF!</f>
        <v>#REF!</v>
      </c>
      <c r="AA33" s="81">
        <f>DATABASE!AA616</f>
        <v>0</v>
      </c>
      <c r="AB33" s="82">
        <f>DATABASE!AB616</f>
        <v>0</v>
      </c>
    </row>
    <row r="34" spans="1:28">
      <c r="A34" s="71" t="str">
        <f>DATABASE!A617</f>
        <v>TERRACOTA</v>
      </c>
      <c r="B34" s="89" t="str">
        <f>DATABASE!B617</f>
        <v>Vilamoura</v>
      </c>
      <c r="C34" s="89" t="str">
        <f>DATABASE!C617</f>
        <v>AY</v>
      </c>
      <c r="D34" s="75" t="str">
        <f>DATABASE!E617</f>
        <v>T2</v>
      </c>
      <c r="E34" s="91">
        <f>DATABASE!F617</f>
        <v>78.3</v>
      </c>
      <c r="F34" s="91">
        <f>DATABASE!G617</f>
        <v>0</v>
      </c>
      <c r="G34" s="75" t="str">
        <f>DATABASE!H617</f>
        <v/>
      </c>
      <c r="H34" s="75" t="str">
        <f>DATABASE!I617</f>
        <v/>
      </c>
      <c r="I34" s="91">
        <f>DATABASE!J617</f>
        <v>0</v>
      </c>
      <c r="J34" s="91">
        <f>DATABASE!K617</f>
        <v>0</v>
      </c>
      <c r="K34" s="91">
        <f>DATABASE!L617</f>
        <v>0</v>
      </c>
      <c r="L34" s="72">
        <f>DATABASE!M617</f>
        <v>0</v>
      </c>
      <c r="M34" s="93">
        <f>DATABASE!N617</f>
        <v>0</v>
      </c>
      <c r="N34" s="111">
        <f>DATABASE!O617</f>
        <v>78.3</v>
      </c>
      <c r="O34" s="78">
        <f>DATABASE!P617</f>
        <v>0</v>
      </c>
      <c r="P34" s="88" t="str">
        <f>DATABASE!Q617</f>
        <v xml:space="preserve">PSPA </v>
      </c>
      <c r="Q34" s="79">
        <f>DATABASE!R617</f>
        <v>470000</v>
      </c>
      <c r="R34" s="79">
        <f>DATABASE!S617</f>
        <v>470000</v>
      </c>
      <c r="S34" s="79">
        <f>DATABASE!T617</f>
        <v>470000</v>
      </c>
      <c r="T34" s="79">
        <f>DATABASE!U617</f>
        <v>0</v>
      </c>
      <c r="U34" s="79">
        <f>DATABASE!V617</f>
        <v>0</v>
      </c>
      <c r="V34" s="79">
        <f>DATABASE!W617</f>
        <v>470000</v>
      </c>
      <c r="W34" s="80">
        <f>DATABASE!X617</f>
        <v>0.05</v>
      </c>
      <c r="X34" s="79">
        <f>DATABASE!Y617</f>
        <v>446500</v>
      </c>
      <c r="Y34" s="79">
        <f>DATABASE!Z617</f>
        <v>446500</v>
      </c>
      <c r="Z34" s="79" t="e">
        <f>DATABASE!#REF!</f>
        <v>#REF!</v>
      </c>
      <c r="AA34" s="81" t="e">
        <f>DATABASE!#REF!</f>
        <v>#REF!</v>
      </c>
      <c r="AB34" s="82">
        <f>DATABASE!AB617</f>
        <v>0</v>
      </c>
    </row>
    <row r="35" spans="1:28">
      <c r="A35" s="71" t="str">
        <f>DATABASE!A618</f>
        <v>ZESTIA</v>
      </c>
      <c r="B35" s="89" t="str">
        <f>DATABASE!B618</f>
        <v>Vilamoura</v>
      </c>
      <c r="C35" s="89" t="str">
        <f>DATABASE!C618</f>
        <v>AY</v>
      </c>
      <c r="D35" s="75" t="str">
        <f>DATABASE!E618</f>
        <v>T1</v>
      </c>
      <c r="E35" s="91">
        <f>DATABASE!F618</f>
        <v>89.42</v>
      </c>
      <c r="F35" s="91">
        <f>DATABASE!G618</f>
        <v>0</v>
      </c>
      <c r="G35" s="75" t="str">
        <f>DATABASE!H618</f>
        <v/>
      </c>
      <c r="H35" s="75" t="str">
        <f>DATABASE!I618</f>
        <v/>
      </c>
      <c r="I35" s="91">
        <f>DATABASE!J618</f>
        <v>0</v>
      </c>
      <c r="J35" s="91">
        <f>DATABASE!K618</f>
        <v>0</v>
      </c>
      <c r="K35" s="91">
        <f>DATABASE!L618</f>
        <v>0</v>
      </c>
      <c r="L35" s="72">
        <f>DATABASE!M618</f>
        <v>26.51</v>
      </c>
      <c r="M35" s="93">
        <f>DATABASE!N618</f>
        <v>0</v>
      </c>
      <c r="N35" s="111">
        <f>DATABASE!O618</f>
        <v>62.91</v>
      </c>
      <c r="O35" s="88">
        <f>DATABASE!P618</f>
        <v>0</v>
      </c>
      <c r="P35" s="88" t="str">
        <f>DATABASE!Q618</f>
        <v>AVAILABLE</v>
      </c>
      <c r="Q35" s="79">
        <f>DATABASE!R618</f>
        <v>571187.51439999999</v>
      </c>
      <c r="R35" s="79">
        <f>DATABASE!S618</f>
        <v>625787.51439999999</v>
      </c>
      <c r="S35" s="79">
        <f>DATABASE!T618</f>
        <v>690000</v>
      </c>
      <c r="T35" s="79">
        <f>DATABASE!U618</f>
        <v>24600</v>
      </c>
      <c r="U35" s="79">
        <f>DATABASE!V618</f>
        <v>30000</v>
      </c>
      <c r="V35" s="79">
        <f>DATABASE!W618</f>
        <v>635400</v>
      </c>
      <c r="W35" s="80">
        <f>DATABASE!X618</f>
        <v>0</v>
      </c>
      <c r="X35" s="79">
        <f>DATABASE!Y618</f>
        <v>690000</v>
      </c>
      <c r="Y35" s="79">
        <f>DATABASE!Z618</f>
        <v>635400</v>
      </c>
      <c r="Z35" s="79" t="e">
        <f>DATABASE!#REF!</f>
        <v>#REF!</v>
      </c>
      <c r="AA35" s="81">
        <f>DATABASE!AA618</f>
        <v>0</v>
      </c>
      <c r="AB35" s="82">
        <f>DATABASE!AB618</f>
        <v>0</v>
      </c>
    </row>
    <row r="36" spans="1:28">
      <c r="A36" s="71" t="str">
        <f>DATABASE!A619</f>
        <v>BOTÂNICA</v>
      </c>
      <c r="B36" s="89" t="str">
        <f>DATABASE!B619</f>
        <v>Vilamoura</v>
      </c>
      <c r="C36" s="89" t="str">
        <f>DATABASE!C619</f>
        <v>AZ</v>
      </c>
      <c r="D36" s="75" t="str">
        <f>DATABASE!E619</f>
        <v>T3</v>
      </c>
      <c r="E36" s="91">
        <f>DATABASE!F619</f>
        <v>319.7</v>
      </c>
      <c r="F36" s="91">
        <f>DATABASE!G619</f>
        <v>0</v>
      </c>
      <c r="G36" s="75" t="str">
        <f>DATABASE!H619</f>
        <v>1</v>
      </c>
      <c r="H36" s="75" t="str">
        <f>DATABASE!I619</f>
        <v/>
      </c>
      <c r="I36" s="91">
        <f>DATABASE!J619</f>
        <v>55.52</v>
      </c>
      <c r="J36" s="91">
        <f>DATABASE!K619</f>
        <v>0</v>
      </c>
      <c r="K36" s="91">
        <f>DATABASE!L619</f>
        <v>0</v>
      </c>
      <c r="L36" s="72">
        <f>DATABASE!M619</f>
        <v>97.96</v>
      </c>
      <c r="M36" s="93">
        <f>DATABASE!N619</f>
        <v>0</v>
      </c>
      <c r="N36" s="111">
        <f>DATABASE!O619</f>
        <v>166.22</v>
      </c>
      <c r="O36" s="88">
        <f>DATABASE!P619</f>
        <v>0</v>
      </c>
      <c r="P36" s="88" t="str">
        <f>DATABASE!Q619</f>
        <v>RESERVED</v>
      </c>
      <c r="Q36" s="79">
        <f>DATABASE!R619</f>
        <v>1873737.58</v>
      </c>
      <c r="R36" s="79">
        <f>DATABASE!S619</f>
        <v>1873737.58</v>
      </c>
      <c r="S36" s="79">
        <f>DATABASE!T619</f>
        <v>1955200</v>
      </c>
      <c r="T36" s="79">
        <f>DATABASE!U619</f>
        <v>0</v>
      </c>
      <c r="U36" s="79">
        <f>DATABASE!V619</f>
        <v>0</v>
      </c>
      <c r="V36" s="79">
        <f>DATABASE!W619</f>
        <v>1955200</v>
      </c>
      <c r="W36" s="80">
        <f>DATABASE!X619</f>
        <v>7.5695581014729703E-3</v>
      </c>
      <c r="X36" s="79">
        <f>DATABASE!Y619</f>
        <v>1940400</v>
      </c>
      <c r="Y36" s="79">
        <f>DATABASE!Z619</f>
        <v>1940400</v>
      </c>
      <c r="Z36" s="79" t="e">
        <f>DATABASE!#REF!</f>
        <v>#REF!</v>
      </c>
      <c r="AA36" s="81">
        <f>DATABASE!AA619</f>
        <v>0</v>
      </c>
      <c r="AB36" s="82">
        <f>DATABASE!AB619</f>
        <v>0</v>
      </c>
    </row>
    <row r="37" spans="1:28">
      <c r="A37" s="71" t="str">
        <f>DATABASE!A620</f>
        <v>SPRINGS</v>
      </c>
      <c r="B37" s="89" t="str">
        <f>DATABASE!B620</f>
        <v>Vilamoura</v>
      </c>
      <c r="C37" s="89" t="str">
        <f>DATABASE!C620</f>
        <v>AZ</v>
      </c>
      <c r="D37" s="75" t="str">
        <f>DATABASE!E620</f>
        <v>V2 Duplex</v>
      </c>
      <c r="E37" s="91">
        <f>DATABASE!F620</f>
        <v>330.51</v>
      </c>
      <c r="F37" s="91">
        <f>DATABASE!G620</f>
        <v>169.3</v>
      </c>
      <c r="G37" s="75" t="str">
        <f>DATABASE!H620</f>
        <v/>
      </c>
      <c r="H37" s="75" t="str">
        <f>DATABASE!I620</f>
        <v/>
      </c>
      <c r="I37" s="91">
        <f>DATABASE!J620</f>
        <v>25.77</v>
      </c>
      <c r="J37" s="91">
        <f>DATABASE!K620</f>
        <v>0</v>
      </c>
      <c r="K37" s="91">
        <f>DATABASE!L620</f>
        <v>0</v>
      </c>
      <c r="L37" s="72">
        <f>DATABASE!M620</f>
        <v>0</v>
      </c>
      <c r="M37" s="93">
        <f>DATABASE!N620</f>
        <v>0</v>
      </c>
      <c r="N37" s="111">
        <f>DATABASE!O620</f>
        <v>135.44</v>
      </c>
      <c r="O37" s="78">
        <f>DATABASE!P620</f>
        <v>0</v>
      </c>
      <c r="P37" s="88" t="str">
        <f>DATABASE!Q620</f>
        <v>AVAILABLE</v>
      </c>
      <c r="Q37" s="79">
        <f>DATABASE!R620</f>
        <v>1517700</v>
      </c>
      <c r="R37" s="79">
        <f>DATABASE!S620</f>
        <v>1588850</v>
      </c>
      <c r="S37" s="79">
        <f>DATABASE!T620</f>
        <v>1660000</v>
      </c>
      <c r="T37" s="79">
        <f>DATABASE!U620</f>
        <v>24600</v>
      </c>
      <c r="U37" s="79">
        <f>DATABASE!V620</f>
        <v>46550</v>
      </c>
      <c r="V37" s="79">
        <f>DATABASE!W620</f>
        <v>1588850</v>
      </c>
      <c r="W37" s="80">
        <f>DATABASE!X620</f>
        <v>0</v>
      </c>
      <c r="X37" s="79">
        <f>DATABASE!Y620</f>
        <v>1660000</v>
      </c>
      <c r="Y37" s="79">
        <f>DATABASE!Z620</f>
        <v>1588850</v>
      </c>
      <c r="Z37" s="79" t="e">
        <f>DATABASE!#REF!</f>
        <v>#REF!</v>
      </c>
      <c r="AA37" s="81">
        <f>DATABASE!AA620</f>
        <v>0</v>
      </c>
      <c r="AB37" s="82">
        <f>DATABASE!AB620</f>
        <v>0</v>
      </c>
    </row>
    <row r="38" spans="1:28">
      <c r="A38" s="71" t="str">
        <f>DATABASE!A621</f>
        <v>TERRACOTA</v>
      </c>
      <c r="B38" s="89" t="str">
        <f>DATABASE!B621</f>
        <v>Vilamoura</v>
      </c>
      <c r="C38" s="89" t="str">
        <f>DATABASE!C621</f>
        <v>AZ</v>
      </c>
      <c r="D38" s="75" t="str">
        <f>DATABASE!E621</f>
        <v>T2</v>
      </c>
      <c r="E38" s="91">
        <f>DATABASE!F621</f>
        <v>78.3</v>
      </c>
      <c r="F38" s="91">
        <f>DATABASE!G621</f>
        <v>0</v>
      </c>
      <c r="G38" s="75" t="str">
        <f>DATABASE!H621</f>
        <v/>
      </c>
      <c r="H38" s="75" t="str">
        <f>DATABASE!I621</f>
        <v/>
      </c>
      <c r="I38" s="91">
        <f>DATABASE!J621</f>
        <v>0</v>
      </c>
      <c r="J38" s="91">
        <f>DATABASE!K621</f>
        <v>0</v>
      </c>
      <c r="K38" s="91">
        <f>DATABASE!L621</f>
        <v>0</v>
      </c>
      <c r="L38" s="72">
        <f>DATABASE!M621</f>
        <v>0</v>
      </c>
      <c r="M38" s="93">
        <f>DATABASE!N621</f>
        <v>0</v>
      </c>
      <c r="N38" s="111">
        <f>DATABASE!O621</f>
        <v>78.3</v>
      </c>
      <c r="O38" s="78">
        <f>DATABASE!P621</f>
        <v>0</v>
      </c>
      <c r="P38" s="88" t="str">
        <f>DATABASE!Q621</f>
        <v xml:space="preserve">PSPA </v>
      </c>
      <c r="Q38" s="79">
        <f>DATABASE!R621</f>
        <v>465000</v>
      </c>
      <c r="R38" s="79">
        <f>DATABASE!S621</f>
        <v>465000</v>
      </c>
      <c r="S38" s="79">
        <f>DATABASE!T621</f>
        <v>465000</v>
      </c>
      <c r="T38" s="79">
        <f>DATABASE!U621</f>
        <v>0</v>
      </c>
      <c r="U38" s="79">
        <f>DATABASE!V621</f>
        <v>0</v>
      </c>
      <c r="V38" s="79">
        <f>DATABASE!W621</f>
        <v>465000</v>
      </c>
      <c r="W38" s="80">
        <f>DATABASE!X621</f>
        <v>0</v>
      </c>
      <c r="X38" s="79">
        <f>DATABASE!Y621</f>
        <v>465000</v>
      </c>
      <c r="Y38" s="79">
        <f>DATABASE!Z621</f>
        <v>465000</v>
      </c>
      <c r="Z38" s="79" t="e">
        <f>DATABASE!#REF!</f>
        <v>#REF!</v>
      </c>
      <c r="AA38" s="81" t="e">
        <f>DATABASE!#REF!</f>
        <v>#REF!</v>
      </c>
      <c r="AB38" s="82">
        <f>DATABASE!AB621</f>
        <v>0</v>
      </c>
    </row>
    <row r="39" spans="1:28">
      <c r="A39" s="71" t="str">
        <f>DATABASE!A622</f>
        <v>Palmares - Plots</v>
      </c>
      <c r="B39" s="89" t="str">
        <f>DATABASE!B622</f>
        <v>Algarve</v>
      </c>
      <c r="C39" s="89" t="str">
        <f>DATABASE!C622</f>
        <v>20</v>
      </c>
      <c r="D39" s="75" t="str">
        <f>DATABASE!E622</f>
        <v>Plot</v>
      </c>
      <c r="E39" s="91">
        <f>DATABASE!F622</f>
        <v>2718</v>
      </c>
      <c r="F39" s="91">
        <f>DATABASE!G622</f>
        <v>0</v>
      </c>
      <c r="G39" s="75" t="str">
        <f>DATABASE!H622</f>
        <v/>
      </c>
      <c r="H39" s="75" t="str">
        <f>DATABASE!I622</f>
        <v/>
      </c>
      <c r="I39" s="91">
        <f>DATABASE!J622</f>
        <v>0</v>
      </c>
      <c r="J39" s="91">
        <f>DATABASE!K622</f>
        <v>0</v>
      </c>
      <c r="K39" s="91">
        <f>DATABASE!L622</f>
        <v>0</v>
      </c>
      <c r="L39" s="72">
        <f>DATABASE!M622</f>
        <v>0</v>
      </c>
      <c r="M39" s="93">
        <f>DATABASE!N622</f>
        <v>0</v>
      </c>
      <c r="N39" s="111">
        <f>DATABASE!O622</f>
        <v>420</v>
      </c>
      <c r="O39" s="88">
        <f>DATABASE!P622</f>
        <v>0</v>
      </c>
      <c r="P39" s="78" t="str">
        <f>DATABASE!Q622</f>
        <v>AVAILABLE</v>
      </c>
      <c r="Q39" s="79">
        <f>DATABASE!R622</f>
        <v>980000</v>
      </c>
      <c r="R39" s="79">
        <f>DATABASE!S622</f>
        <v>980000</v>
      </c>
      <c r="S39" s="79">
        <f>DATABASE!T622</f>
        <v>1750000</v>
      </c>
      <c r="T39" s="79">
        <f>DATABASE!U622</f>
        <v>0</v>
      </c>
      <c r="U39" s="79">
        <f>DATABASE!V622</f>
        <v>0</v>
      </c>
      <c r="V39" s="79">
        <f>DATABASE!W622</f>
        <v>1750000</v>
      </c>
      <c r="W39" s="80">
        <f>DATABASE!X622</f>
        <v>0</v>
      </c>
      <c r="X39" s="79">
        <f>DATABASE!Y622</f>
        <v>1750000</v>
      </c>
      <c r="Y39" s="79">
        <f>DATABASE!Z622</f>
        <v>1750000</v>
      </c>
      <c r="Z39" s="79" t="e">
        <f>DATABASE!#REF!</f>
        <v>#REF!</v>
      </c>
      <c r="AA39" s="81">
        <f>DATABASE!AA622</f>
        <v>0</v>
      </c>
      <c r="AB39" s="82">
        <f>DATABASE!AB622</f>
        <v>46843</v>
      </c>
    </row>
    <row r="40" spans="1:28">
      <c r="A40" s="94" t="str">
        <f>DATABASE!A623</f>
        <v>ZESTIA</v>
      </c>
      <c r="B40" s="95" t="str">
        <f>DATABASE!B623</f>
        <v>Vilamoura</v>
      </c>
      <c r="C40" s="95" t="str">
        <f>DATABASE!C623</f>
        <v>AZ</v>
      </c>
      <c r="D40" s="98" t="str">
        <f>DATABASE!E623</f>
        <v>T1</v>
      </c>
      <c r="E40" s="97">
        <f>DATABASE!F623</f>
        <v>77.86</v>
      </c>
      <c r="F40" s="97">
        <f>DATABASE!G623</f>
        <v>0</v>
      </c>
      <c r="G40" s="98" t="str">
        <f>DATABASE!H623</f>
        <v/>
      </c>
      <c r="H40" s="98" t="str">
        <f>DATABASE!I623</f>
        <v/>
      </c>
      <c r="I40" s="97">
        <f>DATABASE!J623</f>
        <v>0</v>
      </c>
      <c r="J40" s="97">
        <f>DATABASE!K623</f>
        <v>0</v>
      </c>
      <c r="K40" s="97">
        <f>DATABASE!L623</f>
        <v>0</v>
      </c>
      <c r="L40" s="114">
        <f>DATABASE!M623</f>
        <v>19.79</v>
      </c>
      <c r="M40" s="96">
        <f>DATABASE!N623</f>
        <v>0</v>
      </c>
      <c r="N40" s="112">
        <f>DATABASE!O623</f>
        <v>58.07</v>
      </c>
      <c r="O40" s="101">
        <f>DATABASE!P623</f>
        <v>0</v>
      </c>
      <c r="P40" s="100" t="str">
        <f>DATABASE!Q623</f>
        <v xml:space="preserve">PSPA </v>
      </c>
      <c r="Q40" s="102">
        <f>DATABASE!R623</f>
        <v>517232.76879999996</v>
      </c>
      <c r="R40" s="102">
        <f>DATABASE!S623</f>
        <v>571832.76879999996</v>
      </c>
      <c r="S40" s="102">
        <f>DATABASE!T623</f>
        <v>640000</v>
      </c>
      <c r="T40" s="102">
        <f>DATABASE!U623</f>
        <v>24600</v>
      </c>
      <c r="U40" s="102">
        <f>DATABASE!V623</f>
        <v>30000</v>
      </c>
      <c r="V40" s="102">
        <f>DATABASE!W623</f>
        <v>585400</v>
      </c>
      <c r="W40" s="103">
        <f>DATABASE!X623</f>
        <v>0</v>
      </c>
      <c r="X40" s="102">
        <f>DATABASE!Y623</f>
        <v>640000</v>
      </c>
      <c r="Y40" s="102">
        <f>DATABASE!Z623</f>
        <v>585400</v>
      </c>
      <c r="Z40" s="102" t="e">
        <f>DATABASE!#REF!</f>
        <v>#REF!</v>
      </c>
      <c r="AA40" s="104" t="e">
        <f>DATABASE!#REF!</f>
        <v>#REF!</v>
      </c>
      <c r="AB40" s="105">
        <f>DATABASE!AB623</f>
        <v>0</v>
      </c>
    </row>
    <row r="66" spans="16:16">
      <c r="P66" s="24"/>
    </row>
  </sheetData>
  <conditionalFormatting sqref="A1">
    <cfRule type="containsText" dxfId="34" priority="1" operator="containsText" text="Center">
      <formula>NOT(ISERROR(SEARCH("Center",A1)))</formula>
    </cfRule>
    <cfRule type="containsText" dxfId="33" priority="2" operator="containsText" text="North">
      <formula>NOT(ISERROR(SEARCH("North",A1)))</formula>
    </cfRule>
    <cfRule type="containsText" dxfId="32" priority="3" operator="containsText" text="Algarve">
      <formula>NOT(ISERROR(SEARCH("Algarve",A1)))</formula>
    </cfRule>
    <cfRule type="containsText" dxfId="31" priority="4" operator="containsText" text="Vilamoura">
      <formula>NOT(ISERROR(SEARCH("Vilamoura",A1)))</formula>
    </cfRule>
  </conditionalFormatting>
  <pageMargins left="0.7" right="0.7" top="0.75" bottom="0.75" header="0.3" footer="0.3"/>
  <pageSetup paperSize="8" scale="46"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6C3DB-8C2D-481C-B04B-717BA433BFCE}">
  <sheetPr>
    <tabColor rgb="FF9FA891"/>
    <pageSetUpPr fitToPage="1"/>
  </sheetPr>
  <dimension ref="A1:AB25"/>
  <sheetViews>
    <sheetView showGridLines="0" zoomScale="73" zoomScaleNormal="40" zoomScaleSheetLayoutView="70" workbookViewId="0">
      <selection activeCell="B30" sqref="B30"/>
    </sheetView>
  </sheetViews>
  <sheetFormatPr defaultColWidth="8.7109375" defaultRowHeight="15"/>
  <cols>
    <col min="1" max="1" width="27.140625" customWidth="1"/>
    <col min="2" max="2" width="19.7109375" bestFit="1" customWidth="1"/>
    <col min="3" max="3" width="22.28515625" bestFit="1" customWidth="1"/>
    <col min="4" max="4" width="14.7109375" bestFit="1" customWidth="1"/>
    <col min="5" max="5" width="21.7109375" bestFit="1" customWidth="1"/>
    <col min="6" max="6" width="12" customWidth="1"/>
    <col min="7" max="7" width="16.28515625" customWidth="1"/>
    <col min="8" max="8" width="13.140625" customWidth="1"/>
    <col min="9" max="9" width="25.42578125" customWidth="1"/>
    <col min="10" max="10" width="27.7109375" customWidth="1"/>
    <col min="11" max="11" width="18.28515625" customWidth="1"/>
    <col min="12" max="12" width="16" customWidth="1"/>
    <col min="13" max="13" width="19.28515625" customWidth="1"/>
    <col min="14" max="14" width="21.42578125" customWidth="1"/>
    <col min="15" max="15" width="27.7109375" customWidth="1"/>
    <col min="16" max="16" width="27.42578125" customWidth="1"/>
    <col min="17" max="17" width="16.7109375" customWidth="1"/>
    <col min="18" max="18" width="24.42578125" customWidth="1"/>
    <col min="19" max="19" width="21.7109375" customWidth="1"/>
    <col min="20" max="20" width="20.42578125" customWidth="1"/>
    <col min="21" max="21" width="16.7109375" bestFit="1" customWidth="1"/>
    <col min="22" max="22" width="17.7109375" bestFit="1" customWidth="1"/>
  </cols>
  <sheetData>
    <row r="1" spans="1:28" s="1" customFormat="1" ht="40.5">
      <c r="A1" s="58" t="s">
        <v>335</v>
      </c>
      <c r="B1" s="59" t="s">
        <v>687</v>
      </c>
      <c r="C1" s="59" t="s">
        <v>770</v>
      </c>
      <c r="D1" s="59" t="s">
        <v>93</v>
      </c>
      <c r="E1" s="59" t="s">
        <v>766</v>
      </c>
      <c r="F1" s="60" t="s">
        <v>678</v>
      </c>
      <c r="G1" s="60" t="s">
        <v>679</v>
      </c>
      <c r="H1" s="60" t="s">
        <v>680</v>
      </c>
      <c r="I1" s="60" t="s">
        <v>681</v>
      </c>
      <c r="J1" s="60" t="s">
        <v>682</v>
      </c>
      <c r="K1" s="60" t="s">
        <v>785</v>
      </c>
      <c r="L1" s="60" t="s">
        <v>683</v>
      </c>
      <c r="M1" s="59" t="s">
        <v>684</v>
      </c>
      <c r="N1" s="59" t="s">
        <v>94</v>
      </c>
      <c r="O1" s="59" t="s">
        <v>95</v>
      </c>
      <c r="P1" s="59" t="s">
        <v>627</v>
      </c>
      <c r="Q1" s="61" t="s">
        <v>331</v>
      </c>
      <c r="R1" s="61" t="s">
        <v>332</v>
      </c>
      <c r="S1" s="61" t="s">
        <v>333</v>
      </c>
      <c r="T1" s="61" t="s">
        <v>685</v>
      </c>
      <c r="U1" s="61" t="s">
        <v>97</v>
      </c>
      <c r="V1" s="59" t="s">
        <v>330</v>
      </c>
      <c r="W1" s="62" t="s">
        <v>767</v>
      </c>
      <c r="X1" s="61" t="s">
        <v>334</v>
      </c>
      <c r="Y1" s="59" t="s">
        <v>98</v>
      </c>
      <c r="Z1" s="59" t="s">
        <v>771</v>
      </c>
      <c r="AA1" s="63" t="s">
        <v>768</v>
      </c>
      <c r="AB1" s="64" t="s">
        <v>7</v>
      </c>
    </row>
    <row r="2" spans="1:28">
      <c r="A2" s="65" t="str">
        <f>DATABASE!A624</f>
        <v>NATURA VILLAGE 4</v>
      </c>
      <c r="B2" s="53" t="str">
        <f>DATABASE!B624</f>
        <v>Vilamoura</v>
      </c>
      <c r="C2" s="119" t="str">
        <f>DATABASE!C624</f>
        <v>B</v>
      </c>
      <c r="D2" s="72" t="str">
        <f>DATABASE!E624</f>
        <v>V3</v>
      </c>
      <c r="E2" s="73">
        <f>DATABASE!F624</f>
        <v>169.91</v>
      </c>
      <c r="F2" s="74">
        <f>DATABASE!G624</f>
        <v>0</v>
      </c>
      <c r="G2" s="72" t="str">
        <f>DATABASE!H624</f>
        <v/>
      </c>
      <c r="H2" s="73" t="str">
        <f>DATABASE!I624</f>
        <v/>
      </c>
      <c r="I2" s="73">
        <f>DATABASE!J624</f>
        <v>0</v>
      </c>
      <c r="J2" s="73">
        <f>DATABASE!K624</f>
        <v>0</v>
      </c>
      <c r="K2" s="72">
        <f>DATABASE!L624</f>
        <v>0</v>
      </c>
      <c r="L2" s="75">
        <f>DATABASE!M624</f>
        <v>0</v>
      </c>
      <c r="M2" s="72">
        <f>DATABASE!N624</f>
        <v>0</v>
      </c>
      <c r="N2" s="107">
        <f>DATABASE!O624</f>
        <v>169.91</v>
      </c>
      <c r="O2" s="107">
        <f>DATABASE!P624</f>
        <v>0</v>
      </c>
      <c r="P2" s="107" t="str">
        <f>DATABASE!Q624</f>
        <v xml:space="preserve">DEED </v>
      </c>
      <c r="Q2" s="79">
        <f>DATABASE!R624</f>
        <v>850000</v>
      </c>
      <c r="R2" s="79">
        <f>DATABASE!S624</f>
        <v>850000</v>
      </c>
      <c r="S2" s="79">
        <f>DATABASE!T624</f>
        <v>850000</v>
      </c>
      <c r="T2" s="120">
        <f>DATABASE!U624</f>
        <v>0</v>
      </c>
      <c r="U2" s="79">
        <f>DATABASE!V624</f>
        <v>0</v>
      </c>
      <c r="V2" s="79">
        <f>DATABASE!W624</f>
        <v>850000</v>
      </c>
      <c r="W2" s="80">
        <f>DATABASE!X624</f>
        <v>0</v>
      </c>
      <c r="X2" s="79">
        <f>DATABASE!Y624</f>
        <v>850000</v>
      </c>
      <c r="Y2" s="79">
        <f>DATABASE!Z624</f>
        <v>850000</v>
      </c>
      <c r="Z2" s="79" t="e">
        <f>DATABASE!#REF!</f>
        <v>#REF!</v>
      </c>
      <c r="AA2" s="81">
        <f>DATABASE!AA624</f>
        <v>45077</v>
      </c>
      <c r="AB2" s="82">
        <f>DATABASE!AB624</f>
        <v>0</v>
      </c>
    </row>
    <row r="3" spans="1:28">
      <c r="A3" s="65" t="str">
        <f>DATABASE!A625</f>
        <v>NATURA VILLAGE 7</v>
      </c>
      <c r="B3" s="83" t="str">
        <f>DATABASE!B625</f>
        <v>Vilamoura</v>
      </c>
      <c r="C3" s="119" t="str">
        <f>DATABASE!C625</f>
        <v>B</v>
      </c>
      <c r="D3" s="86" t="str">
        <f>DATABASE!E625</f>
        <v>V2</v>
      </c>
      <c r="E3" s="86">
        <f>DATABASE!F625</f>
        <v>146.69</v>
      </c>
      <c r="F3" s="86">
        <f>DATABASE!G625</f>
        <v>0</v>
      </c>
      <c r="G3" s="86" t="str">
        <f>DATABASE!H625</f>
        <v/>
      </c>
      <c r="H3" s="86" t="str">
        <f>DATABASE!I625</f>
        <v/>
      </c>
      <c r="I3" s="86">
        <f>DATABASE!J625</f>
        <v>0</v>
      </c>
      <c r="J3" s="86">
        <f>DATABASE!K625</f>
        <v>0</v>
      </c>
      <c r="K3" s="86">
        <f>DATABASE!L625</f>
        <v>0</v>
      </c>
      <c r="L3" s="75">
        <f>DATABASE!M625</f>
        <v>0</v>
      </c>
      <c r="M3" s="86">
        <f>DATABASE!N625</f>
        <v>0</v>
      </c>
      <c r="N3" s="109">
        <f>DATABASE!O625</f>
        <v>146.69</v>
      </c>
      <c r="O3" s="121">
        <f>DATABASE!P625</f>
        <v>0</v>
      </c>
      <c r="P3" s="121" t="str">
        <f>DATABASE!Q625</f>
        <v xml:space="preserve">DEED </v>
      </c>
      <c r="Q3" s="79">
        <f>DATABASE!R625</f>
        <v>790000</v>
      </c>
      <c r="R3" s="79">
        <f>DATABASE!S625</f>
        <v>790000</v>
      </c>
      <c r="S3" s="79">
        <f>DATABASE!T625</f>
        <v>810000</v>
      </c>
      <c r="T3" s="120">
        <f>DATABASE!U625</f>
        <v>0</v>
      </c>
      <c r="U3" s="79">
        <f>DATABASE!V625</f>
        <v>0</v>
      </c>
      <c r="V3" s="79">
        <f>DATABASE!W625</f>
        <v>810000</v>
      </c>
      <c r="W3" s="80">
        <f>DATABASE!X625</f>
        <v>0</v>
      </c>
      <c r="X3" s="79">
        <f>DATABASE!Y625</f>
        <v>810000</v>
      </c>
      <c r="Y3" s="79">
        <f>DATABASE!Z625</f>
        <v>810000</v>
      </c>
      <c r="Z3" s="79" t="e">
        <f>DATABASE!#REF!</f>
        <v>#REF!</v>
      </c>
      <c r="AA3" s="81">
        <f>DATABASE!AA625</f>
        <v>45771</v>
      </c>
      <c r="AB3" s="82">
        <f>DATABASE!AB625</f>
        <v>0</v>
      </c>
    </row>
    <row r="4" spans="1:28">
      <c r="A4" s="65" t="str">
        <f>DATABASE!A626</f>
        <v>NATURA VILLAGE 9</v>
      </c>
      <c r="B4" s="89" t="str">
        <f>DATABASE!B626</f>
        <v>Vilamoura</v>
      </c>
      <c r="C4" s="119" t="str">
        <f>DATABASE!C626</f>
        <v>B</v>
      </c>
      <c r="D4" s="92" t="str">
        <f>DATABASE!E626</f>
        <v>V3</v>
      </c>
      <c r="E4" s="92">
        <f>DATABASE!F626</f>
        <v>192.99</v>
      </c>
      <c r="F4" s="92">
        <f>DATABASE!G626</f>
        <v>0</v>
      </c>
      <c r="G4" s="92" t="str">
        <f>DATABASE!H626</f>
        <v/>
      </c>
      <c r="H4" s="92" t="str">
        <f>DATABASE!I626</f>
        <v/>
      </c>
      <c r="I4" s="92">
        <f>DATABASE!J626</f>
        <v>0</v>
      </c>
      <c r="J4" s="92">
        <f>DATABASE!K626</f>
        <v>0</v>
      </c>
      <c r="K4" s="92">
        <f>DATABASE!L626</f>
        <v>0</v>
      </c>
      <c r="L4" s="75">
        <f>DATABASE!M626</f>
        <v>0</v>
      </c>
      <c r="M4" s="92">
        <f>DATABASE!N626</f>
        <v>0</v>
      </c>
      <c r="N4" s="110">
        <f>DATABASE!O626</f>
        <v>192.99</v>
      </c>
      <c r="O4" s="121">
        <f>DATABASE!P626</f>
        <v>0</v>
      </c>
      <c r="P4" s="121" t="str">
        <f>DATABASE!Q626</f>
        <v>AVAILABLE</v>
      </c>
      <c r="Q4" s="79">
        <f>DATABASE!R626</f>
        <v>1120000</v>
      </c>
      <c r="R4" s="79">
        <f>DATABASE!S626</f>
        <v>1120000</v>
      </c>
      <c r="S4" s="79">
        <f>DATABASE!T626</f>
        <v>1120000</v>
      </c>
      <c r="T4" s="120">
        <f>DATABASE!U626</f>
        <v>0</v>
      </c>
      <c r="U4" s="79">
        <f>DATABASE!V626</f>
        <v>0</v>
      </c>
      <c r="V4" s="79">
        <f>DATABASE!W626</f>
        <v>1120000</v>
      </c>
      <c r="W4" s="80">
        <f>DATABASE!X626</f>
        <v>0</v>
      </c>
      <c r="X4" s="79">
        <f>DATABASE!Y626</f>
        <v>1120000</v>
      </c>
      <c r="Y4" s="79">
        <f>DATABASE!Z626</f>
        <v>1120000</v>
      </c>
      <c r="Z4" s="79" t="e">
        <f>DATABASE!#REF!</f>
        <v>#REF!</v>
      </c>
      <c r="AA4" s="81">
        <f>DATABASE!AA626</f>
        <v>0</v>
      </c>
      <c r="AB4" s="82">
        <f>DATABASE!AB626</f>
        <v>0</v>
      </c>
    </row>
    <row r="5" spans="1:28">
      <c r="A5" s="65" t="str">
        <f>DATABASE!A627</f>
        <v>NOBILUS</v>
      </c>
      <c r="B5" s="89" t="str">
        <f>DATABASE!B627</f>
        <v>Vilamoura</v>
      </c>
      <c r="C5" s="119" t="str">
        <f>DATABASE!C627</f>
        <v>B</v>
      </c>
      <c r="D5" s="92" t="str">
        <f>DATABASE!E627</f>
        <v>T2</v>
      </c>
      <c r="E5" s="92">
        <f>DATABASE!F627</f>
        <v>112.9</v>
      </c>
      <c r="F5" s="92">
        <f>DATABASE!G627</f>
        <v>0</v>
      </c>
      <c r="G5" s="92" t="str">
        <f>DATABASE!H627</f>
        <v>14-15</v>
      </c>
      <c r="H5" s="92" t="str">
        <f>DATABASE!I627</f>
        <v/>
      </c>
      <c r="I5" s="92">
        <f>DATABASE!J627</f>
        <v>17.59</v>
      </c>
      <c r="J5" s="92">
        <f>DATABASE!K627</f>
        <v>0</v>
      </c>
      <c r="K5" s="92">
        <f>DATABASE!L627</f>
        <v>0</v>
      </c>
      <c r="L5" s="75">
        <f>DATABASE!M627</f>
        <v>0</v>
      </c>
      <c r="M5" s="92">
        <f>DATABASE!N627</f>
        <v>0</v>
      </c>
      <c r="N5" s="79">
        <f>DATABASE!O627</f>
        <v>112.9</v>
      </c>
      <c r="O5" s="121">
        <f>DATABASE!P627</f>
        <v>0</v>
      </c>
      <c r="P5" s="121" t="str">
        <f>DATABASE!Q627</f>
        <v xml:space="preserve">PSPA </v>
      </c>
      <c r="Q5" s="79">
        <f>DATABASE!R627</f>
        <v>685000</v>
      </c>
      <c r="R5" s="79">
        <f>DATABASE!S627</f>
        <v>685000</v>
      </c>
      <c r="S5" s="79">
        <f>DATABASE!T627</f>
        <v>685000</v>
      </c>
      <c r="T5" s="120">
        <f>DATABASE!U627</f>
        <v>0</v>
      </c>
      <c r="U5" s="79">
        <f>DATABASE!V627</f>
        <v>0</v>
      </c>
      <c r="V5" s="79">
        <f>DATABASE!W627</f>
        <v>685000</v>
      </c>
      <c r="W5" s="80">
        <f>DATABASE!X627</f>
        <v>0.01</v>
      </c>
      <c r="X5" s="79">
        <f>DATABASE!Y627</f>
        <v>678150</v>
      </c>
      <c r="Y5" s="79">
        <f>DATABASE!Z627</f>
        <v>678150</v>
      </c>
      <c r="Z5" s="79" t="e">
        <f>DATABASE!#REF!</f>
        <v>#REF!</v>
      </c>
      <c r="AA5" s="81">
        <f>DATABASE!AA627</f>
        <v>46149</v>
      </c>
      <c r="AB5" s="82">
        <f>DATABASE!AB627</f>
        <v>0</v>
      </c>
    </row>
    <row r="6" spans="1:28">
      <c r="A6" s="65" t="str">
        <f>DATABASE!A628</f>
        <v>Rivus</v>
      </c>
      <c r="B6" s="89" t="str">
        <f>DATABASE!B628</f>
        <v>Vilamoura</v>
      </c>
      <c r="C6" s="119" t="str">
        <f>DATABASE!C628</f>
        <v>B</v>
      </c>
      <c r="D6" s="92" t="str">
        <f>DATABASE!E628</f>
        <v>T3</v>
      </c>
      <c r="E6" s="92">
        <f>DATABASE!F628</f>
        <v>0</v>
      </c>
      <c r="F6" s="92">
        <f>DATABASE!G628</f>
        <v>0</v>
      </c>
      <c r="G6" s="92" t="str">
        <f>DATABASE!H628</f>
        <v/>
      </c>
      <c r="H6" s="92" t="str">
        <f>DATABASE!I628</f>
        <v/>
      </c>
      <c r="I6" s="92">
        <f>DATABASE!J628</f>
        <v>0</v>
      </c>
      <c r="J6" s="92">
        <f>DATABASE!K628</f>
        <v>99</v>
      </c>
      <c r="K6" s="92">
        <f>DATABASE!L628</f>
        <v>0</v>
      </c>
      <c r="L6" s="75">
        <f>DATABASE!M628</f>
        <v>0</v>
      </c>
      <c r="M6" s="92">
        <f>DATABASE!N628</f>
        <v>0</v>
      </c>
      <c r="N6" s="79">
        <f>DATABASE!O628</f>
        <v>139</v>
      </c>
      <c r="O6" s="121">
        <f>DATABASE!P628</f>
        <v>0</v>
      </c>
      <c r="P6" s="121" t="str">
        <f>DATABASE!Q628</f>
        <v>AVAILABLE</v>
      </c>
      <c r="Q6" s="79">
        <f>DATABASE!R628</f>
        <v>950000</v>
      </c>
      <c r="R6" s="79">
        <f>DATABASE!S628</f>
        <v>950000</v>
      </c>
      <c r="S6" s="79">
        <f>DATABASE!T628</f>
        <v>950000</v>
      </c>
      <c r="T6" s="120">
        <f>DATABASE!U628</f>
        <v>0</v>
      </c>
      <c r="U6" s="79">
        <f>DATABASE!V628</f>
        <v>0</v>
      </c>
      <c r="V6" s="79">
        <f>DATABASE!W628</f>
        <v>950000</v>
      </c>
      <c r="W6" s="80">
        <f>DATABASE!X628</f>
        <v>0</v>
      </c>
      <c r="X6" s="79">
        <f>DATABASE!Y628</f>
        <v>940000</v>
      </c>
      <c r="Y6" s="79">
        <f>DATABASE!Z628</f>
        <v>940000</v>
      </c>
      <c r="Z6" s="79" t="e">
        <f>DATABASE!#REF!</f>
        <v>#REF!</v>
      </c>
      <c r="AA6" s="81">
        <f>DATABASE!AA628</f>
        <v>0</v>
      </c>
      <c r="AB6" s="82">
        <f>DATABASE!AB628</f>
        <v>0</v>
      </c>
    </row>
    <row r="7" spans="1:28">
      <c r="A7" s="65" t="str">
        <f>DATABASE!A629</f>
        <v>SPRINGS</v>
      </c>
      <c r="B7" s="89" t="str">
        <f>DATABASE!B629</f>
        <v>Vilamoura</v>
      </c>
      <c r="C7" s="119" t="str">
        <f>DATABASE!C629</f>
        <v>B</v>
      </c>
      <c r="D7" s="92" t="str">
        <f>DATABASE!E629</f>
        <v>V3</v>
      </c>
      <c r="E7" s="92">
        <f>DATABASE!F629</f>
        <v>323.58999999999997</v>
      </c>
      <c r="F7" s="92">
        <f>DATABASE!G629</f>
        <v>165.79</v>
      </c>
      <c r="G7" s="92" t="str">
        <f>DATABASE!H629</f>
        <v/>
      </c>
      <c r="H7" s="92" t="str">
        <f>DATABASE!I629</f>
        <v/>
      </c>
      <c r="I7" s="92">
        <f>DATABASE!J629</f>
        <v>0</v>
      </c>
      <c r="J7" s="92">
        <f>DATABASE!K629</f>
        <v>0</v>
      </c>
      <c r="K7" s="92">
        <f>DATABASE!L629</f>
        <v>0</v>
      </c>
      <c r="L7" s="75">
        <f>DATABASE!M629</f>
        <v>0</v>
      </c>
      <c r="M7" s="92">
        <f>DATABASE!N629</f>
        <v>0</v>
      </c>
      <c r="N7" s="111">
        <f>DATABASE!O629</f>
        <v>157.80000000000001</v>
      </c>
      <c r="O7" s="121">
        <f>DATABASE!P629</f>
        <v>0</v>
      </c>
      <c r="P7" s="121" t="str">
        <f>DATABASE!Q629</f>
        <v>AVAILABLE</v>
      </c>
      <c r="Q7" s="79">
        <f>DATABASE!R629</f>
        <v>1652100</v>
      </c>
      <c r="R7" s="79">
        <f>DATABASE!S629</f>
        <v>1741050</v>
      </c>
      <c r="S7" s="79">
        <f>DATABASE!T629</f>
        <v>1830000</v>
      </c>
      <c r="T7" s="120">
        <f>DATABASE!U629</f>
        <v>24600</v>
      </c>
      <c r="U7" s="79">
        <f>DATABASE!V629</f>
        <v>64350</v>
      </c>
      <c r="V7" s="79">
        <f>DATABASE!W629</f>
        <v>1741050</v>
      </c>
      <c r="W7" s="80">
        <f>DATABASE!X629</f>
        <v>0</v>
      </c>
      <c r="X7" s="79">
        <f>DATABASE!Y629</f>
        <v>1830000</v>
      </c>
      <c r="Y7" s="79">
        <f>DATABASE!Z629</f>
        <v>1741050</v>
      </c>
      <c r="Z7" s="79" t="e">
        <f>DATABASE!#REF!</f>
        <v>#REF!</v>
      </c>
      <c r="AA7" s="81">
        <f>DATABASE!AA629</f>
        <v>0</v>
      </c>
      <c r="AB7" s="82">
        <f>DATABASE!AB629</f>
        <v>0</v>
      </c>
    </row>
    <row r="8" spans="1:28">
      <c r="A8" s="65" t="str">
        <f>DATABASE!A630</f>
        <v>VP - TOWNHOUSES</v>
      </c>
      <c r="B8" s="89" t="str">
        <f>DATABASE!B630</f>
        <v>North</v>
      </c>
      <c r="C8" s="119" t="str">
        <f>DATABASE!C630</f>
        <v>7B</v>
      </c>
      <c r="D8" s="92" t="str">
        <f>DATABASE!E630</f>
        <v>V3</v>
      </c>
      <c r="E8" s="92">
        <f>DATABASE!F630</f>
        <v>338.27</v>
      </c>
      <c r="F8" s="92">
        <f>DATABASE!G630</f>
        <v>0</v>
      </c>
      <c r="G8" s="92" t="str">
        <f>DATABASE!H630</f>
        <v>2</v>
      </c>
      <c r="H8" s="92" t="str">
        <f>DATABASE!I630</f>
        <v>Yes</v>
      </c>
      <c r="I8" s="92">
        <f>DATABASE!J630</f>
        <v>0</v>
      </c>
      <c r="J8" s="92">
        <f>DATABASE!K630</f>
        <v>132.29</v>
      </c>
      <c r="K8" s="92">
        <f>DATABASE!L630</f>
        <v>44.52</v>
      </c>
      <c r="L8" s="75">
        <f>DATABASE!M630</f>
        <v>0</v>
      </c>
      <c r="M8" s="92">
        <f>DATABASE!N630</f>
        <v>0</v>
      </c>
      <c r="N8" s="111">
        <f>DATABASE!O630</f>
        <v>161.46</v>
      </c>
      <c r="O8" s="121">
        <f>DATABASE!P630</f>
        <v>0</v>
      </c>
      <c r="P8" s="121" t="str">
        <f>DATABASE!Q630</f>
        <v>AVAILABLE</v>
      </c>
      <c r="Q8" s="79">
        <f>DATABASE!R630</f>
        <v>990000</v>
      </c>
      <c r="R8" s="79">
        <f>DATABASE!S630</f>
        <v>990000</v>
      </c>
      <c r="S8" s="79">
        <f>DATABASE!T630</f>
        <v>1060000</v>
      </c>
      <c r="T8" s="120">
        <f>DATABASE!U630</f>
        <v>0</v>
      </c>
      <c r="U8" s="79">
        <f>DATABASE!V630</f>
        <v>0</v>
      </c>
      <c r="V8" s="79">
        <f>DATABASE!W630</f>
        <v>1060000</v>
      </c>
      <c r="W8" s="80">
        <f>DATABASE!X630</f>
        <v>0</v>
      </c>
      <c r="X8" s="79">
        <f>DATABASE!Y630</f>
        <v>0</v>
      </c>
      <c r="Y8" s="79">
        <f>DATABASE!Z630</f>
        <v>0</v>
      </c>
      <c r="Z8" s="79" t="e">
        <f>DATABASE!#REF!</f>
        <v>#REF!</v>
      </c>
      <c r="AA8" s="81">
        <f>DATABASE!AA630</f>
        <v>0</v>
      </c>
      <c r="AB8" s="82">
        <f>DATABASE!AB630</f>
        <v>47208</v>
      </c>
    </row>
    <row r="9" spans="1:28">
      <c r="A9" s="65" t="str">
        <f>DATABASE!A631</f>
        <v>THE NINE</v>
      </c>
      <c r="B9" s="89" t="str">
        <f>DATABASE!B631</f>
        <v>Vilamoura</v>
      </c>
      <c r="C9" s="119" t="str">
        <f>DATABASE!C631</f>
        <v>B</v>
      </c>
      <c r="D9" s="92" t="str">
        <f>DATABASE!E631</f>
        <v>T2</v>
      </c>
      <c r="E9" s="92">
        <f>DATABASE!F631</f>
        <v>111</v>
      </c>
      <c r="F9" s="92">
        <f>DATABASE!G631</f>
        <v>0</v>
      </c>
      <c r="G9" s="92" t="str">
        <f>DATABASE!H631</f>
        <v/>
      </c>
      <c r="H9" s="92" t="str">
        <f>DATABASE!I631</f>
        <v/>
      </c>
      <c r="I9" s="92">
        <f>DATABASE!J631</f>
        <v>0</v>
      </c>
      <c r="J9" s="92">
        <f>DATABASE!K631</f>
        <v>0</v>
      </c>
      <c r="K9" s="92">
        <f>DATABASE!L631</f>
        <v>0</v>
      </c>
      <c r="L9" s="75">
        <f>DATABASE!M631</f>
        <v>0</v>
      </c>
      <c r="M9" s="92">
        <f>DATABASE!N631</f>
        <v>0</v>
      </c>
      <c r="N9" s="79">
        <f>DATABASE!O631</f>
        <v>111</v>
      </c>
      <c r="O9" s="121">
        <f>DATABASE!P631</f>
        <v>0</v>
      </c>
      <c r="P9" s="121" t="str">
        <f>DATABASE!Q631</f>
        <v xml:space="preserve">DEED </v>
      </c>
      <c r="Q9" s="79">
        <f>DATABASE!R631</f>
        <v>570000</v>
      </c>
      <c r="R9" s="79">
        <f>DATABASE!S631</f>
        <v>570000</v>
      </c>
      <c r="S9" s="79">
        <f>DATABASE!T631</f>
        <v>590000</v>
      </c>
      <c r="T9" s="120">
        <f>DATABASE!U631</f>
        <v>0</v>
      </c>
      <c r="U9" s="79">
        <f>DATABASE!V631</f>
        <v>0</v>
      </c>
      <c r="V9" s="79">
        <f>DATABASE!W631</f>
        <v>590000</v>
      </c>
      <c r="W9" s="80">
        <f>DATABASE!X631</f>
        <v>0</v>
      </c>
      <c r="X9" s="79">
        <f>DATABASE!Y631</f>
        <v>590000</v>
      </c>
      <c r="Y9" s="79">
        <f>DATABASE!Z631</f>
        <v>590000</v>
      </c>
      <c r="Z9" s="79" t="e">
        <f>DATABASE!#REF!</f>
        <v>#REF!</v>
      </c>
      <c r="AA9" s="81">
        <f>DATABASE!AA631</f>
        <v>45187</v>
      </c>
      <c r="AB9" s="82">
        <f>DATABASE!AB631</f>
        <v>0</v>
      </c>
    </row>
    <row r="10" spans="1:28">
      <c r="A10" s="65" t="str">
        <f>DATABASE!A632</f>
        <v>MR -LT da Casa do Campo</v>
      </c>
      <c r="B10" s="89" t="str">
        <f>DATABASE!B632</f>
        <v>Algarve</v>
      </c>
      <c r="C10" s="119" t="str">
        <f>DATABASE!C632</f>
        <v>2</v>
      </c>
      <c r="D10" s="92" t="str">
        <f>DATABASE!E632</f>
        <v>Plot</v>
      </c>
      <c r="E10" s="92">
        <f>DATABASE!F632</f>
        <v>450</v>
      </c>
      <c r="F10" s="92">
        <f>DATABASE!G632</f>
        <v>0</v>
      </c>
      <c r="G10" s="92" t="str">
        <f>DATABASE!H632</f>
        <v/>
      </c>
      <c r="H10" s="92" t="str">
        <f>DATABASE!I632</f>
        <v/>
      </c>
      <c r="I10" s="92">
        <f>DATABASE!J632</f>
        <v>0</v>
      </c>
      <c r="J10" s="92">
        <f>DATABASE!K632</f>
        <v>0</v>
      </c>
      <c r="K10" s="92">
        <f>DATABASE!L632</f>
        <v>0</v>
      </c>
      <c r="L10" s="75">
        <f>DATABASE!M632</f>
        <v>0</v>
      </c>
      <c r="M10" s="92">
        <f>DATABASE!N632</f>
        <v>0</v>
      </c>
      <c r="N10" s="111">
        <f>DATABASE!O632</f>
        <v>450</v>
      </c>
      <c r="O10" s="121">
        <f>DATABASE!P632</f>
        <v>0</v>
      </c>
      <c r="P10" s="121" t="str">
        <f>DATABASE!Q632</f>
        <v>AVAILABLE</v>
      </c>
      <c r="Q10" s="79">
        <f>DATABASE!R632</f>
        <v>997000</v>
      </c>
      <c r="R10" s="79">
        <f>DATABASE!S632</f>
        <v>997000</v>
      </c>
      <c r="S10" s="79">
        <f>DATABASE!T632</f>
        <v>860000</v>
      </c>
      <c r="T10" s="120">
        <f>DATABASE!U632</f>
        <v>0</v>
      </c>
      <c r="U10" s="79">
        <f>DATABASE!V632</f>
        <v>0</v>
      </c>
      <c r="V10" s="79">
        <f>DATABASE!W632</f>
        <v>860000</v>
      </c>
      <c r="W10" s="80">
        <f>DATABASE!X632</f>
        <v>0</v>
      </c>
      <c r="X10" s="79">
        <f>DATABASE!Y632</f>
        <v>0</v>
      </c>
      <c r="Y10" s="79">
        <f>DATABASE!Z632</f>
        <v>0</v>
      </c>
      <c r="Z10" s="79" t="e">
        <f>DATABASE!#REF!</f>
        <v>#REF!</v>
      </c>
      <c r="AA10" s="81">
        <f>DATABASE!AA632</f>
        <v>0</v>
      </c>
      <c r="AB10" s="82" t="str">
        <f>DATABASE!AB632</f>
        <v>TBD</v>
      </c>
    </row>
    <row r="11" spans="1:28">
      <c r="A11" s="65" t="str">
        <f>DATABASE!A633</f>
        <v>VM PARQUE</v>
      </c>
      <c r="B11" s="89" t="str">
        <f>DATABASE!B633</f>
        <v>Vilamoura</v>
      </c>
      <c r="C11" s="119" t="str">
        <f>DATABASE!C633</f>
        <v>B</v>
      </c>
      <c r="D11" s="92" t="str">
        <f>DATABASE!E633</f>
        <v>V2</v>
      </c>
      <c r="E11" s="92">
        <f>DATABASE!F633</f>
        <v>152.73410000000001</v>
      </c>
      <c r="F11" s="92">
        <f>DATABASE!G633</f>
        <v>0</v>
      </c>
      <c r="G11" s="92" t="str">
        <f>DATABASE!H633</f>
        <v/>
      </c>
      <c r="H11" s="92" t="str">
        <f>DATABASE!I633</f>
        <v/>
      </c>
      <c r="I11" s="92">
        <f>DATABASE!J633</f>
        <v>0</v>
      </c>
      <c r="J11" s="92">
        <f>DATABASE!K633</f>
        <v>0</v>
      </c>
      <c r="K11" s="92">
        <f>DATABASE!L633</f>
        <v>0</v>
      </c>
      <c r="L11" s="75">
        <f>DATABASE!M633</f>
        <v>0</v>
      </c>
      <c r="M11" s="92">
        <f>DATABASE!N633</f>
        <v>0</v>
      </c>
      <c r="N11" s="111">
        <f>DATABASE!O633</f>
        <v>152.73410000000001</v>
      </c>
      <c r="O11" s="121">
        <f>DATABASE!P633</f>
        <v>0</v>
      </c>
      <c r="P11" s="121" t="str">
        <f>DATABASE!Q633</f>
        <v xml:space="preserve">DEED </v>
      </c>
      <c r="Q11" s="79">
        <f>DATABASE!R633</f>
        <v>956250</v>
      </c>
      <c r="R11" s="79">
        <f>DATABASE!S633</f>
        <v>956250</v>
      </c>
      <c r="S11" s="79">
        <f>DATABASE!T633</f>
        <v>960000</v>
      </c>
      <c r="T11" s="120">
        <f>DATABASE!U633</f>
        <v>0</v>
      </c>
      <c r="U11" s="79">
        <f>DATABASE!V633</f>
        <v>0</v>
      </c>
      <c r="V11" s="79">
        <f>DATABASE!W633</f>
        <v>960000</v>
      </c>
      <c r="W11" s="80">
        <f>DATABASE!X633</f>
        <v>0</v>
      </c>
      <c r="X11" s="79">
        <f>DATABASE!Y633</f>
        <v>960000</v>
      </c>
      <c r="Y11" s="79">
        <f>DATABASE!Z633</f>
        <v>960000</v>
      </c>
      <c r="Z11" s="79" t="e">
        <f>DATABASE!#REF!</f>
        <v>#REF!</v>
      </c>
      <c r="AA11" s="81">
        <f>DATABASE!AA633</f>
        <v>44658</v>
      </c>
      <c r="AB11" s="82">
        <f>DATABASE!AB633</f>
        <v>0</v>
      </c>
    </row>
    <row r="12" spans="1:28">
      <c r="A12" s="65" t="str">
        <f>DATABASE!A634</f>
        <v>ZESTIA</v>
      </c>
      <c r="B12" s="89" t="str">
        <f>DATABASE!B634</f>
        <v>Vilamoura</v>
      </c>
      <c r="C12" s="119" t="str">
        <f>DATABASE!C634</f>
        <v>B</v>
      </c>
      <c r="D12" s="92" t="str">
        <f>DATABASE!E634</f>
        <v>T2 LO</v>
      </c>
      <c r="E12" s="92">
        <f>DATABASE!F634</f>
        <v>117.3</v>
      </c>
      <c r="F12" s="92">
        <f>DATABASE!G634</f>
        <v>0</v>
      </c>
      <c r="G12" s="92" t="str">
        <f>DATABASE!H634</f>
        <v/>
      </c>
      <c r="H12" s="92" t="str">
        <f>DATABASE!I634</f>
        <v/>
      </c>
      <c r="I12" s="92">
        <f>DATABASE!J634</f>
        <v>28.6</v>
      </c>
      <c r="J12" s="92">
        <f>DATABASE!K634</f>
        <v>0</v>
      </c>
      <c r="K12" s="92">
        <f>DATABASE!L634</f>
        <v>0</v>
      </c>
      <c r="L12" s="75">
        <f>DATABASE!M634</f>
        <v>0</v>
      </c>
      <c r="M12" s="92">
        <f>DATABASE!N634</f>
        <v>0</v>
      </c>
      <c r="N12" s="111">
        <f>DATABASE!O634</f>
        <v>88.7</v>
      </c>
      <c r="O12" s="121">
        <f>DATABASE!P634</f>
        <v>0</v>
      </c>
      <c r="P12" s="121" t="str">
        <f>DATABASE!Q634</f>
        <v>AVAILABLE</v>
      </c>
      <c r="Q12" s="79">
        <f>DATABASE!R634</f>
        <v>660671.80000000005</v>
      </c>
      <c r="R12" s="79">
        <f>DATABASE!S634</f>
        <v>725271.8</v>
      </c>
      <c r="S12" s="79">
        <f>DATABASE!T634</f>
        <v>790000</v>
      </c>
      <c r="T12" s="120">
        <f>DATABASE!U634</f>
        <v>24600</v>
      </c>
      <c r="U12" s="79">
        <f>DATABASE!V634</f>
        <v>40000</v>
      </c>
      <c r="V12" s="79">
        <f>DATABASE!W634</f>
        <v>725400</v>
      </c>
      <c r="W12" s="80">
        <f>DATABASE!X634</f>
        <v>0</v>
      </c>
      <c r="X12" s="79">
        <f>DATABASE!Y634</f>
        <v>790000</v>
      </c>
      <c r="Y12" s="79">
        <f>DATABASE!Z634</f>
        <v>725400</v>
      </c>
      <c r="Z12" s="79" t="e">
        <f>DATABASE!#REF!</f>
        <v>#REF!</v>
      </c>
      <c r="AA12" s="81">
        <f>DATABASE!AA634</f>
        <v>0</v>
      </c>
      <c r="AB12" s="82">
        <f>DATABASE!AB634</f>
        <v>0</v>
      </c>
    </row>
    <row r="13" spans="1:28">
      <c r="A13" s="65" t="str">
        <f>DATABASE!A635</f>
        <v>MR - LT Miradouro Village</v>
      </c>
      <c r="B13" s="89" t="str">
        <f>DATABASE!B635</f>
        <v>Algarve</v>
      </c>
      <c r="C13" s="119" t="str">
        <f>DATABASE!C635</f>
        <v>1</v>
      </c>
      <c r="D13" s="92" t="str">
        <f>DATABASE!E635</f>
        <v>Plot</v>
      </c>
      <c r="E13" s="92">
        <f>DATABASE!F635</f>
        <v>396.9</v>
      </c>
      <c r="F13" s="92">
        <f>DATABASE!G635</f>
        <v>0</v>
      </c>
      <c r="G13" s="92" t="str">
        <f>DATABASE!H635</f>
        <v/>
      </c>
      <c r="H13" s="92" t="str">
        <f>DATABASE!I635</f>
        <v/>
      </c>
      <c r="I13" s="92">
        <f>DATABASE!J635</f>
        <v>0</v>
      </c>
      <c r="J13" s="92">
        <f>DATABASE!K635</f>
        <v>0</v>
      </c>
      <c r="K13" s="92">
        <f>DATABASE!L635</f>
        <v>0</v>
      </c>
      <c r="L13" s="75">
        <f>DATABASE!M635</f>
        <v>0</v>
      </c>
      <c r="M13" s="92">
        <f>DATABASE!N635</f>
        <v>0</v>
      </c>
      <c r="N13" s="111">
        <f>DATABASE!O635</f>
        <v>396.9</v>
      </c>
      <c r="O13" s="121">
        <f>DATABASE!P635</f>
        <v>0</v>
      </c>
      <c r="P13" s="121" t="str">
        <f>DATABASE!Q635</f>
        <v>AVAILABLE</v>
      </c>
      <c r="Q13" s="79">
        <f>DATABASE!R635</f>
        <v>1000000</v>
      </c>
      <c r="R13" s="79">
        <f>DATABASE!S635</f>
        <v>1000000</v>
      </c>
      <c r="S13" s="79">
        <f>DATABASE!T635</f>
        <v>890000</v>
      </c>
      <c r="T13" s="120">
        <f>DATABASE!U635</f>
        <v>0</v>
      </c>
      <c r="U13" s="79">
        <f>DATABASE!V635</f>
        <v>0</v>
      </c>
      <c r="V13" s="79">
        <f>DATABASE!W635</f>
        <v>890000</v>
      </c>
      <c r="W13" s="80">
        <f>DATABASE!X635</f>
        <v>0</v>
      </c>
      <c r="X13" s="79">
        <f>DATABASE!Y635</f>
        <v>0</v>
      </c>
      <c r="Y13" s="79">
        <f>DATABASE!Z635</f>
        <v>0</v>
      </c>
      <c r="Z13" s="79" t="e">
        <f>DATABASE!#REF!</f>
        <v>#REF!</v>
      </c>
      <c r="AA13" s="81">
        <f>DATABASE!AA635</f>
        <v>0</v>
      </c>
      <c r="AB13" s="82" t="str">
        <f>DATABASE!AB635</f>
        <v>TBD</v>
      </c>
    </row>
    <row r="14" spans="1:28">
      <c r="A14" s="65" t="str">
        <f>DATABASE!A636</f>
        <v>MR - LT Miradouro Village</v>
      </c>
      <c r="B14" s="89" t="str">
        <f>DATABASE!B636</f>
        <v>Algarve</v>
      </c>
      <c r="C14" s="119" t="str">
        <f>DATABASE!C636</f>
        <v>2</v>
      </c>
      <c r="D14" s="92" t="str">
        <f>DATABASE!E636</f>
        <v>Plot</v>
      </c>
      <c r="E14" s="92">
        <f>DATABASE!F636</f>
        <v>396.9</v>
      </c>
      <c r="F14" s="92">
        <f>DATABASE!G636</f>
        <v>0</v>
      </c>
      <c r="G14" s="92" t="str">
        <f>DATABASE!H636</f>
        <v/>
      </c>
      <c r="H14" s="92" t="str">
        <f>DATABASE!I636</f>
        <v/>
      </c>
      <c r="I14" s="92">
        <f>DATABASE!J636</f>
        <v>0</v>
      </c>
      <c r="J14" s="92">
        <f>DATABASE!K636</f>
        <v>0</v>
      </c>
      <c r="K14" s="92">
        <f>DATABASE!L636</f>
        <v>0</v>
      </c>
      <c r="L14" s="75">
        <f>DATABASE!M636</f>
        <v>0</v>
      </c>
      <c r="M14" s="92">
        <f>DATABASE!N636</f>
        <v>0</v>
      </c>
      <c r="N14" s="111">
        <f>DATABASE!O636</f>
        <v>396.9</v>
      </c>
      <c r="O14" s="121">
        <f>DATABASE!P636</f>
        <v>0</v>
      </c>
      <c r="P14" s="121" t="str">
        <f>DATABASE!Q636</f>
        <v>AVAILABLE</v>
      </c>
      <c r="Q14" s="79">
        <f>DATABASE!R636</f>
        <v>1000000</v>
      </c>
      <c r="R14" s="79">
        <f>DATABASE!S636</f>
        <v>1000000</v>
      </c>
      <c r="S14" s="79">
        <f>DATABASE!T636</f>
        <v>850000</v>
      </c>
      <c r="T14" s="120">
        <f>DATABASE!U636</f>
        <v>0</v>
      </c>
      <c r="U14" s="79">
        <f>DATABASE!V636</f>
        <v>0</v>
      </c>
      <c r="V14" s="79">
        <f>DATABASE!W636</f>
        <v>850000</v>
      </c>
      <c r="W14" s="80">
        <f>DATABASE!X636</f>
        <v>0</v>
      </c>
      <c r="X14" s="79">
        <f>DATABASE!Y636</f>
        <v>0</v>
      </c>
      <c r="Y14" s="79">
        <f>DATABASE!Z636</f>
        <v>0</v>
      </c>
      <c r="Z14" s="79" t="e">
        <f>DATABASE!#REF!</f>
        <v>#REF!</v>
      </c>
      <c r="AA14" s="81">
        <f>DATABASE!AA636</f>
        <v>0</v>
      </c>
      <c r="AB14" s="82" t="str">
        <f>DATABASE!AB636</f>
        <v>TBD</v>
      </c>
    </row>
    <row r="15" spans="1:28">
      <c r="A15" s="65" t="str">
        <f>DATABASE!A637</f>
        <v>MR - LT Miradouro Village</v>
      </c>
      <c r="B15" s="89" t="str">
        <f>DATABASE!B637</f>
        <v>Algarve</v>
      </c>
      <c r="C15" s="119" t="str">
        <f>DATABASE!C637</f>
        <v>3</v>
      </c>
      <c r="D15" s="92" t="str">
        <f>DATABASE!E637</f>
        <v>Plot</v>
      </c>
      <c r="E15" s="92">
        <f>DATABASE!F637</f>
        <v>373.55</v>
      </c>
      <c r="F15" s="92">
        <f>DATABASE!G637</f>
        <v>0</v>
      </c>
      <c r="G15" s="92" t="str">
        <f>DATABASE!H637</f>
        <v/>
      </c>
      <c r="H15" s="92" t="str">
        <f>DATABASE!I637</f>
        <v/>
      </c>
      <c r="I15" s="92">
        <f>DATABASE!J637</f>
        <v>0</v>
      </c>
      <c r="J15" s="92">
        <f>DATABASE!K637</f>
        <v>0</v>
      </c>
      <c r="K15" s="92">
        <f>DATABASE!L637</f>
        <v>0</v>
      </c>
      <c r="L15" s="75">
        <f>DATABASE!M637</f>
        <v>0</v>
      </c>
      <c r="M15" s="92">
        <f>DATABASE!N637</f>
        <v>0</v>
      </c>
      <c r="N15" s="111">
        <f>DATABASE!O637</f>
        <v>373.55</v>
      </c>
      <c r="O15" s="121">
        <f>DATABASE!P637</f>
        <v>0</v>
      </c>
      <c r="P15" s="121" t="str">
        <f>DATABASE!Q637</f>
        <v>AVAILABLE</v>
      </c>
      <c r="Q15" s="79">
        <f>DATABASE!R637</f>
        <v>1000000</v>
      </c>
      <c r="R15" s="79">
        <f>DATABASE!S637</f>
        <v>1000000</v>
      </c>
      <c r="S15" s="79">
        <f>DATABASE!T637</f>
        <v>800000</v>
      </c>
      <c r="T15" s="120">
        <f>DATABASE!U637</f>
        <v>0</v>
      </c>
      <c r="U15" s="79">
        <f>DATABASE!V637</f>
        <v>0</v>
      </c>
      <c r="V15" s="79">
        <f>DATABASE!W637</f>
        <v>800000</v>
      </c>
      <c r="W15" s="80">
        <f>DATABASE!X637</f>
        <v>0</v>
      </c>
      <c r="X15" s="79">
        <f>DATABASE!Y637</f>
        <v>0</v>
      </c>
      <c r="Y15" s="79">
        <f>DATABASE!Z637</f>
        <v>0</v>
      </c>
      <c r="Z15" s="79" t="e">
        <f>DATABASE!#REF!</f>
        <v>#REF!</v>
      </c>
      <c r="AA15" s="81">
        <f>DATABASE!AA637</f>
        <v>0</v>
      </c>
      <c r="AB15" s="82" t="str">
        <f>DATABASE!AB637</f>
        <v>TBD</v>
      </c>
    </row>
    <row r="16" spans="1:28">
      <c r="A16" s="65" t="str">
        <f>DATABASE!A638</f>
        <v>MR - LT Miradouro Village</v>
      </c>
      <c r="B16" s="89" t="str">
        <f>DATABASE!B638</f>
        <v>Algarve</v>
      </c>
      <c r="C16" s="119" t="str">
        <f>DATABASE!C638</f>
        <v>4</v>
      </c>
      <c r="D16" s="92" t="str">
        <f>DATABASE!E638</f>
        <v>Plot</v>
      </c>
      <c r="E16" s="92">
        <f>DATABASE!F638</f>
        <v>373.55</v>
      </c>
      <c r="F16" s="92">
        <f>DATABASE!G638</f>
        <v>0</v>
      </c>
      <c r="G16" s="92" t="str">
        <f>DATABASE!H638</f>
        <v/>
      </c>
      <c r="H16" s="92" t="str">
        <f>DATABASE!I638</f>
        <v/>
      </c>
      <c r="I16" s="92">
        <f>DATABASE!J638</f>
        <v>0</v>
      </c>
      <c r="J16" s="92">
        <f>DATABASE!K638</f>
        <v>0</v>
      </c>
      <c r="K16" s="92">
        <f>DATABASE!L638</f>
        <v>0</v>
      </c>
      <c r="L16" s="75">
        <f>DATABASE!M638</f>
        <v>0</v>
      </c>
      <c r="M16" s="92">
        <f>DATABASE!N638</f>
        <v>0</v>
      </c>
      <c r="N16" s="111">
        <f>DATABASE!O638</f>
        <v>373.55</v>
      </c>
      <c r="O16" s="121">
        <f>DATABASE!P638</f>
        <v>0</v>
      </c>
      <c r="P16" s="121" t="str">
        <f>DATABASE!Q638</f>
        <v>AVAILABLE</v>
      </c>
      <c r="Q16" s="79">
        <f>DATABASE!R638</f>
        <v>1000000</v>
      </c>
      <c r="R16" s="79">
        <f>DATABASE!S638</f>
        <v>1000000</v>
      </c>
      <c r="S16" s="79">
        <f>DATABASE!T638</f>
        <v>800000</v>
      </c>
      <c r="T16" s="120">
        <f>DATABASE!U638</f>
        <v>0</v>
      </c>
      <c r="U16" s="79">
        <f>DATABASE!V638</f>
        <v>0</v>
      </c>
      <c r="V16" s="79">
        <f>DATABASE!W638</f>
        <v>800000</v>
      </c>
      <c r="W16" s="80">
        <f>DATABASE!X638</f>
        <v>0</v>
      </c>
      <c r="X16" s="79">
        <f>DATABASE!Y638</f>
        <v>0</v>
      </c>
      <c r="Y16" s="79">
        <f>DATABASE!Z638</f>
        <v>0</v>
      </c>
      <c r="Z16" s="79" t="e">
        <f>DATABASE!#REF!</f>
        <v>#REF!</v>
      </c>
      <c r="AA16" s="81">
        <f>DATABASE!AA638</f>
        <v>0</v>
      </c>
      <c r="AB16" s="82" t="str">
        <f>DATABASE!AB638</f>
        <v>TBD</v>
      </c>
    </row>
    <row r="17" spans="1:28">
      <c r="A17" s="68" t="str">
        <f>DATABASE!A639</f>
        <v>MR - LT Miradouro Village</v>
      </c>
      <c r="B17" s="95" t="str">
        <f>DATABASE!B639</f>
        <v>Algarve</v>
      </c>
      <c r="C17" s="122" t="str">
        <f>DATABASE!C639</f>
        <v>5</v>
      </c>
      <c r="D17" s="123" t="str">
        <f>DATABASE!E639</f>
        <v>Plot</v>
      </c>
      <c r="E17" s="123">
        <f>DATABASE!F639</f>
        <v>373.55</v>
      </c>
      <c r="F17" s="123">
        <f>DATABASE!G639</f>
        <v>0</v>
      </c>
      <c r="G17" s="123" t="str">
        <f>DATABASE!H639</f>
        <v/>
      </c>
      <c r="H17" s="123" t="str">
        <f>DATABASE!I639</f>
        <v/>
      </c>
      <c r="I17" s="123">
        <f>DATABASE!J639</f>
        <v>0</v>
      </c>
      <c r="J17" s="123">
        <f>DATABASE!K639</f>
        <v>0</v>
      </c>
      <c r="K17" s="123">
        <f>DATABASE!L639</f>
        <v>0</v>
      </c>
      <c r="L17" s="98">
        <f>DATABASE!M639</f>
        <v>0</v>
      </c>
      <c r="M17" s="123">
        <f>DATABASE!N639</f>
        <v>0</v>
      </c>
      <c r="N17" s="112">
        <f>DATABASE!O639</f>
        <v>373.55</v>
      </c>
      <c r="O17" s="124">
        <f>DATABASE!P639</f>
        <v>0</v>
      </c>
      <c r="P17" s="124" t="str">
        <f>DATABASE!Q639</f>
        <v>AVAILABLE</v>
      </c>
      <c r="Q17" s="102">
        <f>DATABASE!R639</f>
        <v>1000000</v>
      </c>
      <c r="R17" s="102">
        <f>DATABASE!S639</f>
        <v>1000000</v>
      </c>
      <c r="S17" s="102">
        <f>DATABASE!T639</f>
        <v>800000</v>
      </c>
      <c r="T17" s="125">
        <f>DATABASE!U639</f>
        <v>0</v>
      </c>
      <c r="U17" s="102">
        <f>DATABASE!V639</f>
        <v>0</v>
      </c>
      <c r="V17" s="102">
        <f>DATABASE!W639</f>
        <v>800000</v>
      </c>
      <c r="W17" s="103">
        <f>DATABASE!X639</f>
        <v>0</v>
      </c>
      <c r="X17" s="102">
        <f>DATABASE!Y639</f>
        <v>0</v>
      </c>
      <c r="Y17" s="102">
        <f>DATABASE!Z639</f>
        <v>0</v>
      </c>
      <c r="Z17" s="102" t="e">
        <f>DATABASE!#REF!</f>
        <v>#REF!</v>
      </c>
      <c r="AA17" s="104">
        <f>DATABASE!AA639</f>
        <v>0</v>
      </c>
      <c r="AB17" s="105" t="str">
        <f>DATABASE!AB639</f>
        <v>TBD</v>
      </c>
    </row>
    <row r="18" spans="1:28" ht="18" customHeight="1">
      <c r="A18" s="308"/>
      <c r="B18" s="309"/>
      <c r="C18" s="309"/>
      <c r="D18" s="309"/>
      <c r="E18" s="309"/>
      <c r="F18" s="309"/>
      <c r="G18" s="309"/>
      <c r="H18" s="309"/>
      <c r="I18" s="309"/>
      <c r="J18" s="309"/>
      <c r="K18" s="309"/>
      <c r="L18" s="309"/>
      <c r="M18" s="309"/>
      <c r="N18" s="309"/>
    </row>
    <row r="19" spans="1:28" ht="18" customHeight="1">
      <c r="A19" s="309"/>
      <c r="B19" s="309"/>
      <c r="C19" s="309"/>
      <c r="D19" s="309"/>
      <c r="E19" s="309"/>
      <c r="F19" s="309"/>
      <c r="G19" s="309"/>
      <c r="H19" s="309"/>
      <c r="I19" s="309"/>
      <c r="J19" s="309"/>
      <c r="K19" s="309"/>
      <c r="L19" s="309"/>
      <c r="M19" s="309"/>
      <c r="N19" s="309"/>
    </row>
    <row r="20" spans="1:28" ht="18" customHeight="1">
      <c r="A20" s="309"/>
      <c r="B20" s="309"/>
      <c r="C20" s="309"/>
      <c r="D20" s="309"/>
      <c r="E20" s="309"/>
      <c r="F20" s="309"/>
      <c r="G20" s="309"/>
      <c r="H20" s="309"/>
      <c r="I20" s="309"/>
      <c r="J20" s="309"/>
      <c r="K20" s="309"/>
      <c r="L20" s="309"/>
      <c r="M20" s="309"/>
      <c r="N20" s="309"/>
    </row>
    <row r="21" spans="1:28" ht="7.9" customHeight="1"/>
    <row r="22" spans="1:28" ht="25.9" customHeight="1">
      <c r="A22" s="310"/>
      <c r="B22" s="309"/>
      <c r="C22" s="309"/>
      <c r="D22" s="310"/>
      <c r="E22" s="309"/>
      <c r="F22" s="309"/>
      <c r="L22" s="311"/>
      <c r="M22" s="309"/>
      <c r="N22" s="309"/>
    </row>
    <row r="23" spans="1:28" ht="22.15" customHeight="1">
      <c r="A23" s="312"/>
      <c r="B23" s="309"/>
      <c r="C23" s="309"/>
      <c r="D23" s="309"/>
      <c r="E23" s="309"/>
      <c r="F23" s="309"/>
      <c r="G23" s="309"/>
      <c r="H23" s="309"/>
      <c r="I23" s="309"/>
      <c r="J23" s="309"/>
      <c r="K23" s="309"/>
      <c r="L23" s="309"/>
      <c r="M23" s="309"/>
      <c r="N23" s="309"/>
    </row>
    <row r="24" spans="1:28" ht="6" customHeight="1"/>
    <row r="25" spans="1:28" ht="87" customHeight="1"/>
  </sheetData>
  <mergeCells count="5">
    <mergeCell ref="A18:N20"/>
    <mergeCell ref="A22:C22"/>
    <mergeCell ref="D22:F22"/>
    <mergeCell ref="L22:N22"/>
    <mergeCell ref="A23:N23"/>
  </mergeCells>
  <conditionalFormatting sqref="A1">
    <cfRule type="containsText" dxfId="30" priority="1" operator="containsText" text="Center">
      <formula>NOT(ISERROR(SEARCH("Center",A1)))</formula>
    </cfRule>
    <cfRule type="containsText" dxfId="29" priority="2" operator="containsText" text="North">
      <formula>NOT(ISERROR(SEARCH("North",A1)))</formula>
    </cfRule>
    <cfRule type="containsText" dxfId="28" priority="3" operator="containsText" text="Algarve">
      <formula>NOT(ISERROR(SEARCH("Algarve",A1)))</formula>
    </cfRule>
    <cfRule type="containsText" dxfId="27" priority="4" operator="containsText" text="Vilamoura">
      <formula>NOT(ISERROR(SEARCH("Vilamoura",A1)))</formula>
    </cfRule>
  </conditionalFormatting>
  <pageMargins left="0.7" right="0.7" top="0.75" bottom="0.75" header="0.3" footer="0.3"/>
  <pageSetup paperSize="8" scale="55"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98BEB-BCA7-4167-B399-B0694F0D8103}">
  <sheetPr>
    <tabColor rgb="FF9FA891"/>
    <pageSetUpPr fitToPage="1"/>
  </sheetPr>
  <dimension ref="A1:AB25"/>
  <sheetViews>
    <sheetView showGridLines="0" zoomScale="75" zoomScaleNormal="40" zoomScaleSheetLayoutView="70" workbookViewId="0">
      <selection activeCell="F24" sqref="F24"/>
    </sheetView>
  </sheetViews>
  <sheetFormatPr defaultColWidth="8.7109375" defaultRowHeight="15"/>
  <cols>
    <col min="1" max="1" width="27.140625" customWidth="1"/>
    <col min="2" max="2" width="19.7109375" bestFit="1" customWidth="1"/>
    <col min="3" max="3" width="22.28515625" bestFit="1" customWidth="1"/>
    <col min="4" max="4" width="14.7109375" bestFit="1" customWidth="1"/>
    <col min="5" max="5" width="21.7109375" bestFit="1" customWidth="1"/>
    <col min="6" max="6" width="12" customWidth="1"/>
    <col min="7" max="7" width="16.28515625" customWidth="1"/>
    <col min="8" max="8" width="13.140625" customWidth="1"/>
    <col min="9" max="9" width="25.42578125" customWidth="1"/>
    <col min="10" max="10" width="27.7109375" customWidth="1"/>
    <col min="11" max="11" width="18.28515625" customWidth="1"/>
    <col min="12" max="12" width="20.140625" customWidth="1"/>
    <col min="13" max="13" width="16.7109375" customWidth="1"/>
    <col min="14" max="14" width="46.140625" customWidth="1"/>
    <col min="15" max="15" width="37" customWidth="1"/>
    <col min="16" max="16" width="32.42578125" customWidth="1"/>
    <col min="17" max="17" width="19.28515625" bestFit="1" customWidth="1"/>
    <col min="18" max="18" width="19.7109375" customWidth="1"/>
    <col min="19" max="19" width="31.7109375" bestFit="1" customWidth="1"/>
    <col min="20" max="20" width="17" bestFit="1" customWidth="1"/>
    <col min="21" max="21" width="33.42578125" customWidth="1"/>
    <col min="22" max="22" width="21.7109375" bestFit="1" customWidth="1"/>
    <col min="23" max="23" width="17" bestFit="1" customWidth="1"/>
    <col min="24" max="24" width="20.7109375" bestFit="1" customWidth="1"/>
    <col min="25" max="25" width="21.7109375" bestFit="1" customWidth="1"/>
  </cols>
  <sheetData>
    <row r="1" spans="1:28" s="1" customFormat="1" ht="40.5">
      <c r="A1" s="58" t="s">
        <v>335</v>
      </c>
      <c r="B1" s="59" t="s">
        <v>687</v>
      </c>
      <c r="C1" s="59" t="s">
        <v>770</v>
      </c>
      <c r="D1" s="59" t="s">
        <v>93</v>
      </c>
      <c r="E1" s="59" t="s">
        <v>766</v>
      </c>
      <c r="F1" s="60" t="s">
        <v>678</v>
      </c>
      <c r="G1" s="60" t="s">
        <v>679</v>
      </c>
      <c r="H1" s="60" t="s">
        <v>680</v>
      </c>
      <c r="I1" s="60" t="s">
        <v>681</v>
      </c>
      <c r="J1" s="60" t="s">
        <v>682</v>
      </c>
      <c r="K1" s="60" t="s">
        <v>785</v>
      </c>
      <c r="L1" s="60" t="s">
        <v>683</v>
      </c>
      <c r="M1" s="59" t="s">
        <v>684</v>
      </c>
      <c r="N1" s="59" t="s">
        <v>94</v>
      </c>
      <c r="O1" s="59" t="s">
        <v>95</v>
      </c>
      <c r="P1" s="59" t="s">
        <v>627</v>
      </c>
      <c r="Q1" s="61" t="s">
        <v>331</v>
      </c>
      <c r="R1" s="61" t="s">
        <v>332</v>
      </c>
      <c r="S1" s="61" t="s">
        <v>333</v>
      </c>
      <c r="T1" s="61" t="s">
        <v>685</v>
      </c>
      <c r="U1" s="61" t="s">
        <v>97</v>
      </c>
      <c r="V1" s="59" t="s">
        <v>330</v>
      </c>
      <c r="W1" s="62" t="s">
        <v>767</v>
      </c>
      <c r="X1" s="61" t="s">
        <v>334</v>
      </c>
      <c r="Y1" s="59" t="s">
        <v>98</v>
      </c>
      <c r="Z1" s="59" t="s">
        <v>771</v>
      </c>
      <c r="AA1" s="63" t="s">
        <v>768</v>
      </c>
      <c r="AB1" s="64" t="s">
        <v>7</v>
      </c>
    </row>
    <row r="2" spans="1:28">
      <c r="A2" s="106" t="str">
        <f>DATABASE!A640</f>
        <v>MR - LT Miradouro Village</v>
      </c>
      <c r="B2" s="53" t="str">
        <f>DATABASE!B640</f>
        <v>Algarve</v>
      </c>
      <c r="C2" s="126" t="str">
        <f>DATABASE!C640</f>
        <v>6</v>
      </c>
      <c r="D2" s="127" t="str">
        <f>DATABASE!E640</f>
        <v>Plot</v>
      </c>
      <c r="E2" s="72">
        <f>DATABASE!F640</f>
        <v>373.55</v>
      </c>
      <c r="F2" s="73">
        <f>DATABASE!G640</f>
        <v>0</v>
      </c>
      <c r="G2" s="73" t="str">
        <f>DATABASE!H640</f>
        <v/>
      </c>
      <c r="H2" s="73" t="str">
        <f>DATABASE!I640</f>
        <v/>
      </c>
      <c r="I2" s="72">
        <f>DATABASE!J640</f>
        <v>0</v>
      </c>
      <c r="J2" s="75">
        <f>DATABASE!K640</f>
        <v>0</v>
      </c>
      <c r="K2" s="75">
        <f>DATABASE!L640</f>
        <v>0</v>
      </c>
      <c r="L2" s="75">
        <f>DATABASE!M640</f>
        <v>0</v>
      </c>
      <c r="M2" s="72">
        <f>DATABASE!N640</f>
        <v>0</v>
      </c>
      <c r="N2" s="107">
        <f>DATABASE!O640</f>
        <v>373.55</v>
      </c>
      <c r="O2" s="78">
        <f>DATABASE!P640</f>
        <v>0</v>
      </c>
      <c r="P2" s="77" t="str">
        <f>DATABASE!Q640</f>
        <v>AVAILABLE</v>
      </c>
      <c r="Q2" s="79">
        <f>DATABASE!R640</f>
        <v>1000000</v>
      </c>
      <c r="R2" s="79">
        <f>DATABASE!S640</f>
        <v>1000000</v>
      </c>
      <c r="S2" s="79">
        <f>DATABASE!T640</f>
        <v>810000</v>
      </c>
      <c r="T2" s="78">
        <f>DATABASE!U640</f>
        <v>0</v>
      </c>
      <c r="U2" s="79">
        <f>DATABASE!V640</f>
        <v>0</v>
      </c>
      <c r="V2" s="79">
        <f>DATABASE!W640</f>
        <v>810000</v>
      </c>
      <c r="W2" s="80">
        <f>DATABASE!X640</f>
        <v>0</v>
      </c>
      <c r="X2" s="79">
        <f>DATABASE!Y640</f>
        <v>0</v>
      </c>
      <c r="Y2" s="79">
        <f>DATABASE!Z640</f>
        <v>0</v>
      </c>
      <c r="Z2" s="79" t="e">
        <f>DATABASE!#REF!</f>
        <v>#REF!</v>
      </c>
      <c r="AA2" s="81">
        <f>DATABASE!AA640</f>
        <v>0</v>
      </c>
      <c r="AB2" s="82" t="str">
        <f>DATABASE!AB640</f>
        <v>TBD</v>
      </c>
    </row>
    <row r="3" spans="1:28" s="23" customFormat="1" ht="13.5">
      <c r="A3" s="128" t="str">
        <f>DATABASE!A641</f>
        <v>MR - LT Miradouro Village</v>
      </c>
      <c r="B3" s="129" t="str">
        <f>DATABASE!B641</f>
        <v>Algarve</v>
      </c>
      <c r="C3" s="130" t="str">
        <f>DATABASE!C641</f>
        <v>7</v>
      </c>
      <c r="D3" s="73" t="str">
        <f>DATABASE!E641</f>
        <v>Plot</v>
      </c>
      <c r="E3" s="73">
        <f>DATABASE!F641</f>
        <v>373.55</v>
      </c>
      <c r="F3" s="73">
        <f>DATABASE!G641</f>
        <v>0</v>
      </c>
      <c r="G3" s="73" t="str">
        <f>DATABASE!H641</f>
        <v/>
      </c>
      <c r="H3" s="73" t="str">
        <f>DATABASE!I641</f>
        <v/>
      </c>
      <c r="I3" s="73">
        <f>DATABASE!J641</f>
        <v>0</v>
      </c>
      <c r="J3" s="131">
        <f>DATABASE!K641</f>
        <v>0</v>
      </c>
      <c r="K3" s="131">
        <f>DATABASE!L641</f>
        <v>0</v>
      </c>
      <c r="L3" s="131">
        <f>DATABASE!M641</f>
        <v>0</v>
      </c>
      <c r="M3" s="73">
        <f>DATABASE!N641</f>
        <v>0</v>
      </c>
      <c r="N3" s="107">
        <f>DATABASE!O641</f>
        <v>373.55</v>
      </c>
      <c r="O3" s="132">
        <f>DATABASE!P641</f>
        <v>0</v>
      </c>
      <c r="P3" s="133" t="str">
        <f>DATABASE!Q641</f>
        <v>AVAILABLE</v>
      </c>
      <c r="Q3" s="134">
        <f>DATABASE!R641</f>
        <v>1000000</v>
      </c>
      <c r="R3" s="134">
        <f>DATABASE!S641</f>
        <v>1000000</v>
      </c>
      <c r="S3" s="134">
        <f>DATABASE!T641</f>
        <v>790000</v>
      </c>
      <c r="T3" s="132">
        <f>DATABASE!U641</f>
        <v>0</v>
      </c>
      <c r="U3" s="134">
        <f>DATABASE!V641</f>
        <v>0</v>
      </c>
      <c r="V3" s="134">
        <f>DATABASE!W641</f>
        <v>790000</v>
      </c>
      <c r="W3" s="135">
        <f>DATABASE!X641</f>
        <v>0</v>
      </c>
      <c r="X3" s="134">
        <f>DATABASE!Y641</f>
        <v>0</v>
      </c>
      <c r="Y3" s="134">
        <f>DATABASE!Z641</f>
        <v>0</v>
      </c>
      <c r="Z3" s="134" t="e">
        <f>DATABASE!#REF!</f>
        <v>#REF!</v>
      </c>
      <c r="AA3" s="136">
        <f>DATABASE!AA641</f>
        <v>0</v>
      </c>
      <c r="AB3" s="137" t="str">
        <f>DATABASE!AB641</f>
        <v>TBD</v>
      </c>
    </row>
    <row r="4" spans="1:28">
      <c r="A4" s="71" t="str">
        <f>DATABASE!A642</f>
        <v>MR - LT Miradouro Village</v>
      </c>
      <c r="B4" s="89" t="str">
        <f>DATABASE!B642</f>
        <v>Algarve</v>
      </c>
      <c r="C4" s="130" t="str">
        <f>DATABASE!C642</f>
        <v>8</v>
      </c>
      <c r="D4" s="138" t="str">
        <f>DATABASE!E642</f>
        <v>Plot</v>
      </c>
      <c r="E4" s="92">
        <f>DATABASE!F642</f>
        <v>373.55</v>
      </c>
      <c r="F4" s="92">
        <f>DATABASE!G642</f>
        <v>0</v>
      </c>
      <c r="G4" s="92" t="str">
        <f>DATABASE!H642</f>
        <v/>
      </c>
      <c r="H4" s="92" t="str">
        <f>DATABASE!I642</f>
        <v/>
      </c>
      <c r="I4" s="92">
        <f>DATABASE!J642</f>
        <v>0</v>
      </c>
      <c r="J4" s="75">
        <f>DATABASE!K642</f>
        <v>0</v>
      </c>
      <c r="K4" s="75">
        <f>DATABASE!L642</f>
        <v>0</v>
      </c>
      <c r="L4" s="75">
        <f>DATABASE!M642</f>
        <v>0</v>
      </c>
      <c r="M4" s="92">
        <f>DATABASE!N642</f>
        <v>0</v>
      </c>
      <c r="N4" s="110">
        <f>DATABASE!O642</f>
        <v>373.55</v>
      </c>
      <c r="O4" s="78">
        <f>DATABASE!P642</f>
        <v>0</v>
      </c>
      <c r="P4" s="88" t="str">
        <f>DATABASE!Q642</f>
        <v>AVAILABLE</v>
      </c>
      <c r="Q4" s="79">
        <f>DATABASE!R642</f>
        <v>1000000</v>
      </c>
      <c r="R4" s="79">
        <f>DATABASE!S642</f>
        <v>1000000</v>
      </c>
      <c r="S4" s="79">
        <f>DATABASE!T642</f>
        <v>770000</v>
      </c>
      <c r="T4" s="78">
        <f>DATABASE!U642</f>
        <v>0</v>
      </c>
      <c r="U4" s="79">
        <f>DATABASE!V642</f>
        <v>0</v>
      </c>
      <c r="V4" s="79">
        <f>DATABASE!W642</f>
        <v>770000</v>
      </c>
      <c r="W4" s="80">
        <f>DATABASE!X642</f>
        <v>0</v>
      </c>
      <c r="X4" s="79">
        <f>DATABASE!Y642</f>
        <v>0</v>
      </c>
      <c r="Y4" s="79">
        <f>DATABASE!Z642</f>
        <v>0</v>
      </c>
      <c r="Z4" s="79" t="e">
        <f>DATABASE!#REF!</f>
        <v>#REF!</v>
      </c>
      <c r="AA4" s="81">
        <f>DATABASE!AA642</f>
        <v>0</v>
      </c>
      <c r="AB4" s="82" t="str">
        <f>DATABASE!AB642</f>
        <v>TBD</v>
      </c>
    </row>
    <row r="5" spans="1:28">
      <c r="A5" s="71" t="str">
        <f>DATABASE!A643</f>
        <v>MR - LT Miradouro Village</v>
      </c>
      <c r="B5" s="89" t="str">
        <f>DATABASE!B643</f>
        <v>Algarve</v>
      </c>
      <c r="C5" s="130" t="str">
        <f>DATABASE!C643</f>
        <v>9</v>
      </c>
      <c r="D5" s="139" t="str">
        <f>DATABASE!E643</f>
        <v>Plot</v>
      </c>
      <c r="E5" s="92">
        <f>DATABASE!F643</f>
        <v>373.55</v>
      </c>
      <c r="F5" s="92">
        <f>DATABASE!G643</f>
        <v>0</v>
      </c>
      <c r="G5" s="92" t="str">
        <f>DATABASE!H643</f>
        <v/>
      </c>
      <c r="H5" s="92" t="str">
        <f>DATABASE!I643</f>
        <v/>
      </c>
      <c r="I5" s="92">
        <f>DATABASE!J643</f>
        <v>0</v>
      </c>
      <c r="J5" s="75">
        <f>DATABASE!K643</f>
        <v>0</v>
      </c>
      <c r="K5" s="75">
        <f>DATABASE!L643</f>
        <v>0</v>
      </c>
      <c r="L5" s="75">
        <f>DATABASE!M643</f>
        <v>0</v>
      </c>
      <c r="M5" s="92">
        <f>DATABASE!N643</f>
        <v>0</v>
      </c>
      <c r="N5" s="111">
        <f>DATABASE!O643</f>
        <v>373.55</v>
      </c>
      <c r="O5" s="78">
        <f>DATABASE!P643</f>
        <v>0</v>
      </c>
      <c r="P5" s="88" t="str">
        <f>DATABASE!Q643</f>
        <v>AVAILABLE</v>
      </c>
      <c r="Q5" s="79">
        <f>DATABASE!R643</f>
        <v>1000000</v>
      </c>
      <c r="R5" s="79">
        <f>DATABASE!S643</f>
        <v>1000000</v>
      </c>
      <c r="S5" s="79">
        <f>DATABASE!T643</f>
        <v>780000</v>
      </c>
      <c r="T5" s="78">
        <f>DATABASE!U643</f>
        <v>0</v>
      </c>
      <c r="U5" s="79">
        <f>DATABASE!V643</f>
        <v>0</v>
      </c>
      <c r="V5" s="79">
        <f>DATABASE!W643</f>
        <v>780000</v>
      </c>
      <c r="W5" s="80">
        <f>DATABASE!X643</f>
        <v>0</v>
      </c>
      <c r="X5" s="79">
        <f>DATABASE!Y643</f>
        <v>0</v>
      </c>
      <c r="Y5" s="79">
        <f>DATABASE!Z643</f>
        <v>0</v>
      </c>
      <c r="Z5" s="79" t="e">
        <f>DATABASE!#REF!</f>
        <v>#REF!</v>
      </c>
      <c r="AA5" s="81">
        <f>DATABASE!AA643</f>
        <v>0</v>
      </c>
      <c r="AB5" s="82" t="str">
        <f>DATABASE!AB643</f>
        <v>TBD</v>
      </c>
    </row>
    <row r="6" spans="1:28">
      <c r="A6" s="71" t="str">
        <f>DATABASE!A644</f>
        <v>MR - LT Miradouro Village</v>
      </c>
      <c r="B6" s="89" t="str">
        <f>DATABASE!B644</f>
        <v>Algarve</v>
      </c>
      <c r="C6" s="130" t="str">
        <f>DATABASE!C644</f>
        <v>10</v>
      </c>
      <c r="D6" s="139" t="str">
        <f>DATABASE!E644</f>
        <v>Plot</v>
      </c>
      <c r="E6" s="92">
        <f>DATABASE!F644</f>
        <v>373.55</v>
      </c>
      <c r="F6" s="92">
        <f>DATABASE!G644</f>
        <v>0</v>
      </c>
      <c r="G6" s="92" t="str">
        <f>DATABASE!H644</f>
        <v/>
      </c>
      <c r="H6" s="92" t="str">
        <f>DATABASE!I644</f>
        <v/>
      </c>
      <c r="I6" s="92">
        <f>DATABASE!J644</f>
        <v>0</v>
      </c>
      <c r="J6" s="75">
        <f>DATABASE!K644</f>
        <v>0</v>
      </c>
      <c r="K6" s="75">
        <f>DATABASE!L644</f>
        <v>0</v>
      </c>
      <c r="L6" s="75">
        <f>DATABASE!M644</f>
        <v>0</v>
      </c>
      <c r="M6" s="92">
        <f>DATABASE!N644</f>
        <v>0</v>
      </c>
      <c r="N6" s="111">
        <f>DATABASE!O644</f>
        <v>373.55</v>
      </c>
      <c r="O6" s="78">
        <f>DATABASE!P644</f>
        <v>0</v>
      </c>
      <c r="P6" s="88" t="str">
        <f>DATABASE!Q644</f>
        <v>AVAILABLE</v>
      </c>
      <c r="Q6" s="79">
        <f>DATABASE!R644</f>
        <v>1000000</v>
      </c>
      <c r="R6" s="79">
        <f>DATABASE!S644</f>
        <v>1000000</v>
      </c>
      <c r="S6" s="79">
        <f>DATABASE!T644</f>
        <v>770000</v>
      </c>
      <c r="T6" s="78">
        <f>DATABASE!U644</f>
        <v>0</v>
      </c>
      <c r="U6" s="79">
        <f>DATABASE!V644</f>
        <v>0</v>
      </c>
      <c r="V6" s="79">
        <f>DATABASE!W644</f>
        <v>770000</v>
      </c>
      <c r="W6" s="80">
        <f>DATABASE!X644</f>
        <v>0</v>
      </c>
      <c r="X6" s="79">
        <f>DATABASE!Y644</f>
        <v>0</v>
      </c>
      <c r="Y6" s="79">
        <f>DATABASE!Z644</f>
        <v>0</v>
      </c>
      <c r="Z6" s="79" t="e">
        <f>DATABASE!#REF!</f>
        <v>#REF!</v>
      </c>
      <c r="AA6" s="81">
        <f>DATABASE!AA644</f>
        <v>0</v>
      </c>
      <c r="AB6" s="82" t="str">
        <f>DATABASE!AB644</f>
        <v>TBD</v>
      </c>
    </row>
    <row r="7" spans="1:28">
      <c r="A7" s="71" t="str">
        <f>DATABASE!A645</f>
        <v>MR - LT Miradouro Village</v>
      </c>
      <c r="B7" s="89" t="str">
        <f>DATABASE!B645</f>
        <v>Algarve</v>
      </c>
      <c r="C7" s="130" t="str">
        <f>DATABASE!C645</f>
        <v>11</v>
      </c>
      <c r="D7" s="139" t="str">
        <f>DATABASE!E645</f>
        <v>Plot</v>
      </c>
      <c r="E7" s="92">
        <f>DATABASE!F645</f>
        <v>373.55</v>
      </c>
      <c r="F7" s="92">
        <f>DATABASE!G645</f>
        <v>0</v>
      </c>
      <c r="G7" s="92" t="str">
        <f>DATABASE!H645</f>
        <v/>
      </c>
      <c r="H7" s="92" t="str">
        <f>DATABASE!I645</f>
        <v/>
      </c>
      <c r="I7" s="92">
        <f>DATABASE!J645</f>
        <v>0</v>
      </c>
      <c r="J7" s="75">
        <f>DATABASE!K645</f>
        <v>0</v>
      </c>
      <c r="K7" s="75">
        <f>DATABASE!L645</f>
        <v>0</v>
      </c>
      <c r="L7" s="75">
        <f>DATABASE!M645</f>
        <v>0</v>
      </c>
      <c r="M7" s="92">
        <f>DATABASE!N645</f>
        <v>0</v>
      </c>
      <c r="N7" s="111">
        <f>DATABASE!O645</f>
        <v>373.55</v>
      </c>
      <c r="O7" s="78">
        <f>DATABASE!P645</f>
        <v>0</v>
      </c>
      <c r="P7" s="88" t="str">
        <f>DATABASE!Q645</f>
        <v>AVAILABLE</v>
      </c>
      <c r="Q7" s="79">
        <f>DATABASE!R645</f>
        <v>1000000</v>
      </c>
      <c r="R7" s="79">
        <f>DATABASE!S645</f>
        <v>1000000</v>
      </c>
      <c r="S7" s="79">
        <f>DATABASE!T645</f>
        <v>710000</v>
      </c>
      <c r="T7" s="78">
        <f>DATABASE!U645</f>
        <v>0</v>
      </c>
      <c r="U7" s="79">
        <f>DATABASE!V645</f>
        <v>0</v>
      </c>
      <c r="V7" s="79">
        <f>DATABASE!W645</f>
        <v>710000</v>
      </c>
      <c r="W7" s="80">
        <f>DATABASE!X645</f>
        <v>0</v>
      </c>
      <c r="X7" s="79">
        <f>DATABASE!Y645</f>
        <v>0</v>
      </c>
      <c r="Y7" s="79">
        <f>DATABASE!Z645</f>
        <v>0</v>
      </c>
      <c r="Z7" s="79" t="e">
        <f>DATABASE!#REF!</f>
        <v>#REF!</v>
      </c>
      <c r="AA7" s="81">
        <f>DATABASE!AA645</f>
        <v>0</v>
      </c>
      <c r="AB7" s="82" t="str">
        <f>DATABASE!AB645</f>
        <v>TBD</v>
      </c>
    </row>
    <row r="8" spans="1:28">
      <c r="A8" s="71" t="str">
        <f>DATABASE!A646</f>
        <v>MR - LT Miradouro Village</v>
      </c>
      <c r="B8" s="89" t="str">
        <f>DATABASE!B646</f>
        <v>Algarve</v>
      </c>
      <c r="C8" s="130" t="str">
        <f>DATABASE!C646</f>
        <v>16</v>
      </c>
      <c r="D8" s="139" t="str">
        <f>DATABASE!E646</f>
        <v>Plot</v>
      </c>
      <c r="E8" s="92">
        <f>DATABASE!F646</f>
        <v>396.9</v>
      </c>
      <c r="F8" s="92">
        <f>DATABASE!G646</f>
        <v>0</v>
      </c>
      <c r="G8" s="92" t="str">
        <f>DATABASE!H646</f>
        <v/>
      </c>
      <c r="H8" s="92" t="str">
        <f>DATABASE!I646</f>
        <v/>
      </c>
      <c r="I8" s="92">
        <f>DATABASE!J646</f>
        <v>0</v>
      </c>
      <c r="J8" s="75">
        <f>DATABASE!K646</f>
        <v>0</v>
      </c>
      <c r="K8" s="75">
        <f>DATABASE!L646</f>
        <v>0</v>
      </c>
      <c r="L8" s="75">
        <f>DATABASE!M646</f>
        <v>0</v>
      </c>
      <c r="M8" s="92">
        <f>DATABASE!N646</f>
        <v>0</v>
      </c>
      <c r="N8" s="111">
        <f>DATABASE!O646</f>
        <v>396.9</v>
      </c>
      <c r="O8" s="78">
        <f>DATABASE!P646</f>
        <v>0</v>
      </c>
      <c r="P8" s="88" t="str">
        <f>DATABASE!Q646</f>
        <v>AVAILABLE</v>
      </c>
      <c r="Q8" s="79">
        <f>DATABASE!R646</f>
        <v>1000000</v>
      </c>
      <c r="R8" s="79">
        <f>DATABASE!S646</f>
        <v>1000000</v>
      </c>
      <c r="S8" s="79">
        <f>DATABASE!T646</f>
        <v>820000</v>
      </c>
      <c r="T8" s="78">
        <f>DATABASE!U646</f>
        <v>0</v>
      </c>
      <c r="U8" s="79">
        <f>DATABASE!V646</f>
        <v>0</v>
      </c>
      <c r="V8" s="79">
        <f>DATABASE!W646</f>
        <v>820000</v>
      </c>
      <c r="W8" s="80">
        <f>DATABASE!X646</f>
        <v>0</v>
      </c>
      <c r="X8" s="79">
        <f>DATABASE!Y646</f>
        <v>0</v>
      </c>
      <c r="Y8" s="79">
        <f>DATABASE!Z646</f>
        <v>0</v>
      </c>
      <c r="Z8" s="79" t="e">
        <f>DATABASE!#REF!</f>
        <v>#REF!</v>
      </c>
      <c r="AA8" s="81">
        <f>DATABASE!AA646</f>
        <v>0</v>
      </c>
      <c r="AB8" s="82" t="str">
        <f>DATABASE!AB646</f>
        <v>TBD</v>
      </c>
    </row>
    <row r="9" spans="1:28">
      <c r="A9" s="71" t="str">
        <f>DATABASE!A647</f>
        <v>MR - LT Miradouro Village</v>
      </c>
      <c r="B9" s="89" t="str">
        <f>DATABASE!B647</f>
        <v>Algarve</v>
      </c>
      <c r="C9" s="130" t="str">
        <f>DATABASE!C647</f>
        <v>17</v>
      </c>
      <c r="D9" s="139" t="str">
        <f>DATABASE!E647</f>
        <v>Plot</v>
      </c>
      <c r="E9" s="92">
        <f>DATABASE!F647</f>
        <v>396.9</v>
      </c>
      <c r="F9" s="92">
        <f>DATABASE!G647</f>
        <v>0</v>
      </c>
      <c r="G9" s="92" t="str">
        <f>DATABASE!H647</f>
        <v/>
      </c>
      <c r="H9" s="92" t="str">
        <f>DATABASE!I647</f>
        <v/>
      </c>
      <c r="I9" s="92">
        <f>DATABASE!J647</f>
        <v>0</v>
      </c>
      <c r="J9" s="75">
        <f>DATABASE!K647</f>
        <v>0</v>
      </c>
      <c r="K9" s="75">
        <f>DATABASE!L647</f>
        <v>0</v>
      </c>
      <c r="L9" s="75">
        <f>DATABASE!M647</f>
        <v>0</v>
      </c>
      <c r="M9" s="92">
        <f>DATABASE!N647</f>
        <v>0</v>
      </c>
      <c r="N9" s="111">
        <f>DATABASE!O647</f>
        <v>396.9</v>
      </c>
      <c r="O9" s="78">
        <f>DATABASE!P647</f>
        <v>0</v>
      </c>
      <c r="P9" s="88" t="str">
        <f>DATABASE!Q647</f>
        <v>AVAILABLE</v>
      </c>
      <c r="Q9" s="79">
        <f>DATABASE!R647</f>
        <v>1000000</v>
      </c>
      <c r="R9" s="79">
        <f>DATABASE!S647</f>
        <v>1000000</v>
      </c>
      <c r="S9" s="79">
        <f>DATABASE!T647</f>
        <v>840000</v>
      </c>
      <c r="T9" s="78">
        <f>DATABASE!U647</f>
        <v>0</v>
      </c>
      <c r="U9" s="79">
        <f>DATABASE!V647</f>
        <v>0</v>
      </c>
      <c r="V9" s="79">
        <f>DATABASE!W647</f>
        <v>840000</v>
      </c>
      <c r="W9" s="80">
        <f>DATABASE!X647</f>
        <v>0</v>
      </c>
      <c r="X9" s="79">
        <f>DATABASE!Y647</f>
        <v>0</v>
      </c>
      <c r="Y9" s="79">
        <f>DATABASE!Z647</f>
        <v>0</v>
      </c>
      <c r="Z9" s="79" t="e">
        <f>DATABASE!#REF!</f>
        <v>#REF!</v>
      </c>
      <c r="AA9" s="81">
        <f>DATABASE!AA647</f>
        <v>0</v>
      </c>
      <c r="AB9" s="82" t="str">
        <f>DATABASE!AB647</f>
        <v>TBD</v>
      </c>
    </row>
    <row r="10" spans="1:28">
      <c r="A10" s="71" t="str">
        <f>DATABASE!A648</f>
        <v>MR - LT Miradouro Village</v>
      </c>
      <c r="B10" s="89" t="str">
        <f>DATABASE!B648</f>
        <v>Algarve</v>
      </c>
      <c r="C10" s="130" t="str">
        <f>DATABASE!C648</f>
        <v>22</v>
      </c>
      <c r="D10" s="139" t="str">
        <f>DATABASE!E648</f>
        <v>Plot</v>
      </c>
      <c r="E10" s="92">
        <f>DATABASE!F648</f>
        <v>396.9</v>
      </c>
      <c r="F10" s="92">
        <f>DATABASE!G648</f>
        <v>0</v>
      </c>
      <c r="G10" s="92" t="str">
        <f>DATABASE!H648</f>
        <v/>
      </c>
      <c r="H10" s="92" t="str">
        <f>DATABASE!I648</f>
        <v/>
      </c>
      <c r="I10" s="92">
        <f>DATABASE!J648</f>
        <v>0</v>
      </c>
      <c r="J10" s="75">
        <f>DATABASE!K648</f>
        <v>0</v>
      </c>
      <c r="K10" s="75">
        <f>DATABASE!L648</f>
        <v>0</v>
      </c>
      <c r="L10" s="75">
        <f>DATABASE!M648</f>
        <v>0</v>
      </c>
      <c r="M10" s="92">
        <f>DATABASE!N648</f>
        <v>0</v>
      </c>
      <c r="N10" s="111">
        <f>DATABASE!O648</f>
        <v>396.9</v>
      </c>
      <c r="O10" s="78">
        <f>DATABASE!P648</f>
        <v>0</v>
      </c>
      <c r="P10" s="88" t="str">
        <f>DATABASE!Q648</f>
        <v>AVAILABLE</v>
      </c>
      <c r="Q10" s="79">
        <f>DATABASE!R648</f>
        <v>1000000</v>
      </c>
      <c r="R10" s="79">
        <f>DATABASE!S648</f>
        <v>1000000</v>
      </c>
      <c r="S10" s="79">
        <f>DATABASE!T648</f>
        <v>860000</v>
      </c>
      <c r="T10" s="78">
        <f>DATABASE!U648</f>
        <v>0</v>
      </c>
      <c r="U10" s="79">
        <f>DATABASE!V648</f>
        <v>0</v>
      </c>
      <c r="V10" s="79">
        <f>DATABASE!W648</f>
        <v>860000</v>
      </c>
      <c r="W10" s="80">
        <f>DATABASE!X648</f>
        <v>0</v>
      </c>
      <c r="X10" s="79">
        <f>DATABASE!Y648</f>
        <v>0</v>
      </c>
      <c r="Y10" s="79">
        <f>DATABASE!Z648</f>
        <v>0</v>
      </c>
      <c r="Z10" s="79" t="e">
        <f>DATABASE!#REF!</f>
        <v>#REF!</v>
      </c>
      <c r="AA10" s="81">
        <f>DATABASE!AA648</f>
        <v>0</v>
      </c>
      <c r="AB10" s="82" t="str">
        <f>DATABASE!AB648</f>
        <v>TBD</v>
      </c>
    </row>
    <row r="11" spans="1:28">
      <c r="A11" s="71" t="str">
        <f>DATABASE!A649</f>
        <v>Palmares - Plots</v>
      </c>
      <c r="B11" s="89" t="str">
        <f>DATABASE!B649</f>
        <v>Algarve</v>
      </c>
      <c r="C11" s="130" t="str">
        <f>DATABASE!C649</f>
        <v>99</v>
      </c>
      <c r="D11" s="139" t="str">
        <f>DATABASE!E649</f>
        <v>Plot</v>
      </c>
      <c r="E11" s="92">
        <f>DATABASE!F649</f>
        <v>420</v>
      </c>
      <c r="F11" s="92">
        <f>DATABASE!G649</f>
        <v>0</v>
      </c>
      <c r="G11" s="92" t="str">
        <f>DATABASE!H649</f>
        <v/>
      </c>
      <c r="H11" s="92" t="str">
        <f>DATABASE!I649</f>
        <v/>
      </c>
      <c r="I11" s="92">
        <f>DATABASE!J649</f>
        <v>0</v>
      </c>
      <c r="J11" s="75">
        <f>DATABASE!K649</f>
        <v>0</v>
      </c>
      <c r="K11" s="75">
        <f>DATABASE!L649</f>
        <v>0</v>
      </c>
      <c r="L11" s="75">
        <f>DATABASE!M649</f>
        <v>0</v>
      </c>
      <c r="M11" s="92">
        <f>DATABASE!N649</f>
        <v>0</v>
      </c>
      <c r="N11" s="111">
        <f>DATABASE!O649</f>
        <v>420</v>
      </c>
      <c r="O11" s="78">
        <f>DATABASE!P649</f>
        <v>0</v>
      </c>
      <c r="P11" s="88" t="str">
        <f>DATABASE!Q649</f>
        <v>AVAILABLE</v>
      </c>
      <c r="Q11" s="79">
        <f>DATABASE!R649</f>
        <v>1000000</v>
      </c>
      <c r="R11" s="79">
        <f>DATABASE!S649</f>
        <v>1000000</v>
      </c>
      <c r="S11" s="79">
        <f>DATABASE!T649</f>
        <v>1300000</v>
      </c>
      <c r="T11" s="78">
        <f>DATABASE!U649</f>
        <v>0</v>
      </c>
      <c r="U11" s="79">
        <f>DATABASE!V649</f>
        <v>0</v>
      </c>
      <c r="V11" s="79">
        <f>DATABASE!W649</f>
        <v>1300000</v>
      </c>
      <c r="W11" s="80">
        <f>DATABASE!X649</f>
        <v>0</v>
      </c>
      <c r="X11" s="79">
        <f>DATABASE!Y649</f>
        <v>1300000</v>
      </c>
      <c r="Y11" s="79">
        <f>DATABASE!Z649</f>
        <v>1300000</v>
      </c>
      <c r="Z11" s="79" t="e">
        <f>DATABASE!#REF!</f>
        <v>#REF!</v>
      </c>
      <c r="AA11" s="81">
        <f>DATABASE!AA649</f>
        <v>0</v>
      </c>
      <c r="AB11" s="82">
        <f>DATABASE!AB649</f>
        <v>46843</v>
      </c>
    </row>
    <row r="12" spans="1:28">
      <c r="A12" s="71" t="str">
        <f>DATABASE!A650</f>
        <v>BOTÂNICA</v>
      </c>
      <c r="B12" s="89" t="str">
        <f>DATABASE!B650</f>
        <v>Vilamoura</v>
      </c>
      <c r="C12" s="130" t="str">
        <f>DATABASE!C650</f>
        <v>BA</v>
      </c>
      <c r="D12" s="139" t="str">
        <f>DATABASE!E650</f>
        <v>T3</v>
      </c>
      <c r="E12" s="92">
        <f>DATABASE!F650</f>
        <v>195.86</v>
      </c>
      <c r="F12" s="92">
        <f>DATABASE!G650</f>
        <v>0</v>
      </c>
      <c r="G12" s="92" t="str">
        <f>DATABASE!H650</f>
        <v>1</v>
      </c>
      <c r="H12" s="92" t="str">
        <f>DATABASE!I650</f>
        <v/>
      </c>
      <c r="I12" s="92">
        <f>DATABASE!J650</f>
        <v>33</v>
      </c>
      <c r="J12" s="75">
        <f>DATABASE!K650</f>
        <v>0</v>
      </c>
      <c r="K12" s="75">
        <f>DATABASE!L650</f>
        <v>0</v>
      </c>
      <c r="L12" s="75">
        <f>DATABASE!M650</f>
        <v>0</v>
      </c>
      <c r="M12" s="92">
        <f>DATABASE!N650</f>
        <v>0</v>
      </c>
      <c r="N12" s="111">
        <f>DATABASE!O650</f>
        <v>162.86000000000001</v>
      </c>
      <c r="O12" s="78">
        <f>DATABASE!P650</f>
        <v>0</v>
      </c>
      <c r="P12" s="88" t="str">
        <f>DATABASE!Q650</f>
        <v>AVAILABLE</v>
      </c>
      <c r="Q12" s="79">
        <f>DATABASE!R650</f>
        <v>1493510.2</v>
      </c>
      <c r="R12" s="79">
        <f>DATABASE!S650</f>
        <v>1493510.2</v>
      </c>
      <c r="S12" s="79">
        <f>DATABASE!T650</f>
        <v>1575000</v>
      </c>
      <c r="T12" s="78">
        <f>DATABASE!U650</f>
        <v>0</v>
      </c>
      <c r="U12" s="79">
        <f>DATABASE!V650</f>
        <v>0</v>
      </c>
      <c r="V12" s="79">
        <f>DATABASE!W650</f>
        <v>1575000</v>
      </c>
      <c r="W12" s="80">
        <f>DATABASE!X650</f>
        <v>0</v>
      </c>
      <c r="X12" s="79">
        <f>DATABASE!Y650</f>
        <v>1560000</v>
      </c>
      <c r="Y12" s="79">
        <f>DATABASE!Z650</f>
        <v>1560000</v>
      </c>
      <c r="Z12" s="79" t="e">
        <f>DATABASE!#REF!</f>
        <v>#REF!</v>
      </c>
      <c r="AA12" s="81">
        <f>DATABASE!AA650</f>
        <v>0</v>
      </c>
      <c r="AB12" s="82">
        <f>DATABASE!AB650</f>
        <v>0</v>
      </c>
    </row>
    <row r="13" spans="1:28">
      <c r="A13" s="71" t="str">
        <f>DATABASE!A651</f>
        <v>SPRINGS</v>
      </c>
      <c r="B13" s="89" t="str">
        <f>DATABASE!B651</f>
        <v>Vilamoura</v>
      </c>
      <c r="C13" s="130" t="str">
        <f>DATABASE!C651</f>
        <v>BA</v>
      </c>
      <c r="D13" s="139" t="str">
        <f>DATABASE!E651</f>
        <v>V2 Duplex</v>
      </c>
      <c r="E13" s="92">
        <f>DATABASE!F651</f>
        <v>330.51</v>
      </c>
      <c r="F13" s="92">
        <f>DATABASE!G651</f>
        <v>169.3</v>
      </c>
      <c r="G13" s="92" t="str">
        <f>DATABASE!H651</f>
        <v/>
      </c>
      <c r="H13" s="92" t="str">
        <f>DATABASE!I651</f>
        <v/>
      </c>
      <c r="I13" s="92">
        <f>DATABASE!J651</f>
        <v>25.77</v>
      </c>
      <c r="J13" s="75">
        <f>DATABASE!K651</f>
        <v>0</v>
      </c>
      <c r="K13" s="75">
        <f>DATABASE!L651</f>
        <v>0</v>
      </c>
      <c r="L13" s="75">
        <f>DATABASE!M651</f>
        <v>0</v>
      </c>
      <c r="M13" s="92">
        <f>DATABASE!N651</f>
        <v>0</v>
      </c>
      <c r="N13" s="111">
        <f>DATABASE!O651</f>
        <v>135.44</v>
      </c>
      <c r="O13" s="78">
        <f>DATABASE!P651</f>
        <v>0</v>
      </c>
      <c r="P13" s="88" t="str">
        <f>DATABASE!Q651</f>
        <v>AVAILABLE</v>
      </c>
      <c r="Q13" s="79">
        <f>DATABASE!R651</f>
        <v>1537700</v>
      </c>
      <c r="R13" s="79">
        <f>DATABASE!S651</f>
        <v>1608850</v>
      </c>
      <c r="S13" s="79">
        <f>DATABASE!T651</f>
        <v>1680000</v>
      </c>
      <c r="T13" s="78">
        <f>DATABASE!U651</f>
        <v>24600</v>
      </c>
      <c r="U13" s="79">
        <f>DATABASE!V651</f>
        <v>46550</v>
      </c>
      <c r="V13" s="79">
        <f>DATABASE!W651</f>
        <v>1608850</v>
      </c>
      <c r="W13" s="80">
        <f>DATABASE!X651</f>
        <v>0</v>
      </c>
      <c r="X13" s="79">
        <f>DATABASE!Y651</f>
        <v>1680000</v>
      </c>
      <c r="Y13" s="79">
        <f>DATABASE!Z651</f>
        <v>1608850</v>
      </c>
      <c r="Z13" s="79" t="e">
        <f>DATABASE!#REF!</f>
        <v>#REF!</v>
      </c>
      <c r="AA13" s="81">
        <f>DATABASE!AA651</f>
        <v>0</v>
      </c>
      <c r="AB13" s="82">
        <f>DATABASE!AB651</f>
        <v>0</v>
      </c>
    </row>
    <row r="14" spans="1:28">
      <c r="A14" s="71" t="str">
        <f>DATABASE!A652</f>
        <v>TERRACOTA</v>
      </c>
      <c r="B14" s="89" t="str">
        <f>DATABASE!B652</f>
        <v>Vilamoura</v>
      </c>
      <c r="C14" s="130" t="str">
        <f>DATABASE!C652</f>
        <v>BA</v>
      </c>
      <c r="D14" s="139" t="str">
        <f>DATABASE!E652</f>
        <v>T2</v>
      </c>
      <c r="E14" s="92">
        <f>DATABASE!F652</f>
        <v>78.3</v>
      </c>
      <c r="F14" s="92">
        <f>DATABASE!G652</f>
        <v>0</v>
      </c>
      <c r="G14" s="92" t="str">
        <f>DATABASE!H652</f>
        <v/>
      </c>
      <c r="H14" s="92" t="str">
        <f>DATABASE!I652</f>
        <v/>
      </c>
      <c r="I14" s="92">
        <f>DATABASE!J652</f>
        <v>0</v>
      </c>
      <c r="J14" s="75">
        <f>DATABASE!K652</f>
        <v>0</v>
      </c>
      <c r="K14" s="75">
        <f>DATABASE!L652</f>
        <v>0</v>
      </c>
      <c r="L14" s="75">
        <f>DATABASE!M652</f>
        <v>0</v>
      </c>
      <c r="M14" s="92">
        <f>DATABASE!N652</f>
        <v>0</v>
      </c>
      <c r="N14" s="111">
        <f>DATABASE!O652</f>
        <v>78.3</v>
      </c>
      <c r="O14" s="78">
        <f>DATABASE!P652</f>
        <v>0</v>
      </c>
      <c r="P14" s="88" t="str">
        <f>DATABASE!Q652</f>
        <v xml:space="preserve">PSPA </v>
      </c>
      <c r="Q14" s="79">
        <f>DATABASE!R652</f>
        <v>465000</v>
      </c>
      <c r="R14" s="79">
        <f>DATABASE!S652</f>
        <v>465000</v>
      </c>
      <c r="S14" s="79">
        <f>DATABASE!T652</f>
        <v>465000</v>
      </c>
      <c r="T14" s="78">
        <f>DATABASE!U652</f>
        <v>0</v>
      </c>
      <c r="U14" s="79">
        <f>DATABASE!V652</f>
        <v>0</v>
      </c>
      <c r="V14" s="79">
        <f>DATABASE!W652</f>
        <v>465000</v>
      </c>
      <c r="W14" s="80">
        <f>DATABASE!X652</f>
        <v>0</v>
      </c>
      <c r="X14" s="79">
        <f>DATABASE!Y652</f>
        <v>465000</v>
      </c>
      <c r="Y14" s="79">
        <f>DATABASE!Z652</f>
        <v>465000</v>
      </c>
      <c r="Z14" s="79" t="e">
        <f>DATABASE!#REF!</f>
        <v>#REF!</v>
      </c>
      <c r="AA14" s="81" t="e">
        <f>DATABASE!#REF!</f>
        <v>#REF!</v>
      </c>
      <c r="AB14" s="82">
        <f>DATABASE!AB652</f>
        <v>0</v>
      </c>
    </row>
    <row r="15" spans="1:28">
      <c r="A15" s="71" t="str">
        <f>DATABASE!A653</f>
        <v>ZESTIA</v>
      </c>
      <c r="B15" s="89" t="str">
        <f>DATABASE!B653</f>
        <v>Vilamoura</v>
      </c>
      <c r="C15" s="130" t="str">
        <f>DATABASE!C653</f>
        <v>BA</v>
      </c>
      <c r="D15" s="139" t="str">
        <f>DATABASE!E653</f>
        <v>T2</v>
      </c>
      <c r="E15" s="92">
        <f>DATABASE!F653</f>
        <v>138.88</v>
      </c>
      <c r="F15" s="92">
        <f>DATABASE!G653</f>
        <v>0</v>
      </c>
      <c r="G15" s="92" t="str">
        <f>DATABASE!H653</f>
        <v/>
      </c>
      <c r="H15" s="92" t="str">
        <f>DATABASE!I653</f>
        <v/>
      </c>
      <c r="I15" s="92">
        <f>DATABASE!J653</f>
        <v>0</v>
      </c>
      <c r="J15" s="75">
        <f>DATABASE!K653</f>
        <v>0</v>
      </c>
      <c r="K15" s="75">
        <f>DATABASE!L653</f>
        <v>0</v>
      </c>
      <c r="L15" s="75">
        <f>DATABASE!M653</f>
        <v>48.41</v>
      </c>
      <c r="M15" s="92">
        <f>DATABASE!N653</f>
        <v>0</v>
      </c>
      <c r="N15" s="111">
        <f>DATABASE!O653</f>
        <v>90.47</v>
      </c>
      <c r="O15" s="78">
        <f>DATABASE!P653</f>
        <v>0</v>
      </c>
      <c r="P15" s="88" t="str">
        <f>DATABASE!Q653</f>
        <v>AVAILABLE</v>
      </c>
      <c r="Q15" s="79">
        <f>DATABASE!R653</f>
        <v>807541.228</v>
      </c>
      <c r="R15" s="79">
        <f>DATABASE!S653</f>
        <v>872141.228</v>
      </c>
      <c r="S15" s="79">
        <f>DATABASE!T653</f>
        <v>940000</v>
      </c>
      <c r="T15" s="78">
        <f>DATABASE!U653</f>
        <v>24600</v>
      </c>
      <c r="U15" s="79">
        <f>DATABASE!V653</f>
        <v>40000</v>
      </c>
      <c r="V15" s="79">
        <f>DATABASE!W653</f>
        <v>875400</v>
      </c>
      <c r="W15" s="80">
        <f>DATABASE!X653</f>
        <v>0</v>
      </c>
      <c r="X15" s="79">
        <f>DATABASE!Y653</f>
        <v>940000</v>
      </c>
      <c r="Y15" s="79">
        <f>DATABASE!Z653</f>
        <v>875400</v>
      </c>
      <c r="Z15" s="79" t="e">
        <f>DATABASE!#REF!</f>
        <v>#REF!</v>
      </c>
      <c r="AA15" s="81">
        <f>DATABASE!AA653</f>
        <v>0</v>
      </c>
      <c r="AB15" s="82">
        <f>DATABASE!AB653</f>
        <v>0</v>
      </c>
    </row>
    <row r="16" spans="1:28">
      <c r="A16" s="71" t="str">
        <f>DATABASE!A654</f>
        <v>BOTÂNICA</v>
      </c>
      <c r="B16" s="89" t="str">
        <f>DATABASE!B654</f>
        <v>Vilamoura</v>
      </c>
      <c r="C16" s="130" t="str">
        <f>DATABASE!C654</f>
        <v>BB</v>
      </c>
      <c r="D16" s="139" t="str">
        <f>DATABASE!E654</f>
        <v>T2</v>
      </c>
      <c r="E16" s="92">
        <f>DATABASE!F654</f>
        <v>151.27000000000001</v>
      </c>
      <c r="F16" s="92">
        <f>DATABASE!G654</f>
        <v>0</v>
      </c>
      <c r="G16" s="92" t="str">
        <f>DATABASE!H654</f>
        <v>1</v>
      </c>
      <c r="H16" s="92" t="str">
        <f>DATABASE!I654</f>
        <v/>
      </c>
      <c r="I16" s="92">
        <f>DATABASE!J654</f>
        <v>27.59</v>
      </c>
      <c r="J16" s="75">
        <f>DATABASE!K654</f>
        <v>0</v>
      </c>
      <c r="K16" s="75">
        <f>DATABASE!L654</f>
        <v>0</v>
      </c>
      <c r="L16" s="75">
        <f>DATABASE!M654</f>
        <v>0</v>
      </c>
      <c r="M16" s="92">
        <f>DATABASE!N654</f>
        <v>0</v>
      </c>
      <c r="N16" s="111">
        <f>DATABASE!O654</f>
        <v>123.68</v>
      </c>
      <c r="O16" s="78">
        <f>DATABASE!P654</f>
        <v>0</v>
      </c>
      <c r="P16" s="88" t="str">
        <f>DATABASE!Q654</f>
        <v>RESERVED</v>
      </c>
      <c r="Q16" s="79">
        <f>DATABASE!R654</f>
        <v>1158318.5460000001</v>
      </c>
      <c r="R16" s="79">
        <f>DATABASE!S654</f>
        <v>1158318.5460000001</v>
      </c>
      <c r="S16" s="79">
        <f>DATABASE!T654</f>
        <v>1160000</v>
      </c>
      <c r="T16" s="78">
        <f>DATABASE!U654</f>
        <v>0</v>
      </c>
      <c r="U16" s="79">
        <f>DATABASE!V654</f>
        <v>0</v>
      </c>
      <c r="V16" s="79">
        <f>DATABASE!W654</f>
        <v>1160000</v>
      </c>
      <c r="W16" s="80">
        <f>DATABASE!X654</f>
        <v>0.10958275862069</v>
      </c>
      <c r="X16" s="79">
        <f>DATABASE!Y654</f>
        <v>1032884</v>
      </c>
      <c r="Y16" s="79">
        <f>DATABASE!Z654</f>
        <v>1032884</v>
      </c>
      <c r="Z16" s="79" t="e">
        <f>DATABASE!#REF!</f>
        <v>#REF!</v>
      </c>
      <c r="AA16" s="81">
        <f>DATABASE!AA654</f>
        <v>0</v>
      </c>
      <c r="AB16" s="82">
        <f>DATABASE!AB654</f>
        <v>0</v>
      </c>
    </row>
    <row r="17" spans="1:28">
      <c r="A17" s="94" t="str">
        <f>DATABASE!A655</f>
        <v>SPRINGS</v>
      </c>
      <c r="B17" s="95" t="str">
        <f>DATABASE!B655</f>
        <v>Vilamoura</v>
      </c>
      <c r="C17" s="140" t="str">
        <f>DATABASE!C655</f>
        <v>BB</v>
      </c>
      <c r="D17" s="141" t="str">
        <f>DATABASE!E655</f>
        <v>V3 Duplex</v>
      </c>
      <c r="E17" s="123">
        <f>DATABASE!F655</f>
        <v>485.91</v>
      </c>
      <c r="F17" s="123">
        <f>DATABASE!G655</f>
        <v>289.99</v>
      </c>
      <c r="G17" s="123" t="str">
        <f>DATABASE!H655</f>
        <v/>
      </c>
      <c r="H17" s="123" t="str">
        <f>DATABASE!I655</f>
        <v/>
      </c>
      <c r="I17" s="123">
        <f>DATABASE!J655</f>
        <v>32.840000000000003</v>
      </c>
      <c r="J17" s="98">
        <f>DATABASE!K655</f>
        <v>0</v>
      </c>
      <c r="K17" s="98">
        <f>DATABASE!L655</f>
        <v>0</v>
      </c>
      <c r="L17" s="98">
        <f>DATABASE!M655</f>
        <v>0</v>
      </c>
      <c r="M17" s="123">
        <f>DATABASE!N655</f>
        <v>0</v>
      </c>
      <c r="N17" s="112">
        <f>DATABASE!O655</f>
        <v>163.08000000000001</v>
      </c>
      <c r="O17" s="101">
        <f>DATABASE!P655</f>
        <v>0</v>
      </c>
      <c r="P17" s="100" t="str">
        <f>DATABASE!Q655</f>
        <v>AVAILABLE</v>
      </c>
      <c r="Q17" s="102">
        <f>DATABASE!R655</f>
        <v>1758200</v>
      </c>
      <c r="R17" s="102">
        <f>DATABASE!S655</f>
        <v>1844100</v>
      </c>
      <c r="S17" s="102">
        <f>DATABASE!T655</f>
        <v>1930000</v>
      </c>
      <c r="T17" s="101">
        <f>DATABASE!U655</f>
        <v>24600</v>
      </c>
      <c r="U17" s="102">
        <f>DATABASE!V655</f>
        <v>61300</v>
      </c>
      <c r="V17" s="102">
        <f>DATABASE!W655</f>
        <v>1844100</v>
      </c>
      <c r="W17" s="103">
        <f>DATABASE!X655</f>
        <v>0</v>
      </c>
      <c r="X17" s="102">
        <f>DATABASE!Y655</f>
        <v>1930000</v>
      </c>
      <c r="Y17" s="102">
        <f>DATABASE!Z655</f>
        <v>1844100</v>
      </c>
      <c r="Z17" s="102" t="e">
        <f>DATABASE!#REF!</f>
        <v>#REF!</v>
      </c>
      <c r="AA17" s="104">
        <f>DATABASE!AA655</f>
        <v>0</v>
      </c>
      <c r="AB17" s="105">
        <f>DATABASE!AB655</f>
        <v>0</v>
      </c>
    </row>
    <row r="18" spans="1:28" ht="18" customHeight="1">
      <c r="A18" s="31"/>
    </row>
    <row r="19" spans="1:28" ht="18" customHeight="1"/>
    <row r="20" spans="1:28" ht="18" customHeight="1"/>
    <row r="21" spans="1:28" ht="7.9" customHeight="1"/>
    <row r="22" spans="1:28" ht="25.9" customHeight="1">
      <c r="A22" s="32"/>
      <c r="D22" s="32"/>
      <c r="L22" s="32"/>
    </row>
    <row r="23" spans="1:28" ht="22.15" customHeight="1">
      <c r="A23" s="33"/>
    </row>
    <row r="24" spans="1:28" ht="6" customHeight="1"/>
    <row r="25" spans="1:28" ht="87" customHeight="1"/>
  </sheetData>
  <conditionalFormatting sqref="A1">
    <cfRule type="containsText" dxfId="26" priority="1" operator="containsText" text="Center">
      <formula>NOT(ISERROR(SEARCH("Center",A1)))</formula>
    </cfRule>
    <cfRule type="containsText" dxfId="25" priority="2" operator="containsText" text="North">
      <formula>NOT(ISERROR(SEARCH("North",A1)))</formula>
    </cfRule>
    <cfRule type="containsText" dxfId="24" priority="3" operator="containsText" text="Algarve">
      <formula>NOT(ISERROR(SEARCH("Algarve",A1)))</formula>
    </cfRule>
    <cfRule type="containsText" dxfId="23" priority="4" operator="containsText" text="Vilamoura">
      <formula>NOT(ISERROR(SEARCH("Vilamoura",A1)))</formula>
    </cfRule>
  </conditionalFormatting>
  <pageMargins left="0.7" right="0.7" top="0.75" bottom="0.75" header="0.3" footer="0.3"/>
  <pageSetup paperSize="8" scale="49"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83869-9D23-4FEC-9B74-F444FF2E9F58}">
  <sheetPr>
    <tabColor rgb="FF9FA891"/>
    <pageSetUpPr fitToPage="1"/>
  </sheetPr>
  <dimension ref="A1:AB114"/>
  <sheetViews>
    <sheetView showGridLines="0" zoomScale="63" zoomScaleNormal="40" zoomScaleSheetLayoutView="70" workbookViewId="0">
      <selection activeCell="H15" sqref="H15"/>
    </sheetView>
  </sheetViews>
  <sheetFormatPr defaultColWidth="8.7109375" defaultRowHeight="15"/>
  <cols>
    <col min="1" max="1" width="27.140625" customWidth="1"/>
    <col min="2" max="2" width="19.7109375" bestFit="1" customWidth="1"/>
    <col min="3" max="3" width="22.28515625" bestFit="1" customWidth="1"/>
    <col min="4" max="4" width="14.7109375" bestFit="1" customWidth="1"/>
    <col min="5" max="5" width="21.7109375" bestFit="1" customWidth="1"/>
    <col min="6" max="6" width="12" customWidth="1"/>
    <col min="7" max="7" width="16.28515625" customWidth="1"/>
    <col min="8" max="8" width="13.140625" customWidth="1"/>
    <col min="9" max="9" width="25.42578125" customWidth="1"/>
    <col min="10" max="10" width="27.7109375" customWidth="1"/>
    <col min="11" max="11" width="18.28515625" customWidth="1"/>
    <col min="12" max="12" width="25.28515625" customWidth="1"/>
    <col min="13" max="13" width="21.42578125" style="23" customWidth="1"/>
    <col min="14" max="14" width="33.28515625" bestFit="1" customWidth="1"/>
    <col min="15" max="15" width="29.7109375" bestFit="1" customWidth="1"/>
    <col min="16" max="16" width="28" bestFit="1" customWidth="1"/>
    <col min="17" max="17" width="19.28515625" bestFit="1" customWidth="1"/>
    <col min="18" max="18" width="6.140625" bestFit="1" customWidth="1"/>
    <col min="19" max="19" width="31.42578125" bestFit="1" customWidth="1"/>
    <col min="20" max="20" width="18.42578125" customWidth="1"/>
    <col min="21" max="21" width="36.28515625" customWidth="1"/>
    <col min="22" max="22" width="24" customWidth="1"/>
  </cols>
  <sheetData>
    <row r="1" spans="1:28" s="1" customFormat="1" ht="81">
      <c r="A1" s="58" t="s">
        <v>335</v>
      </c>
      <c r="B1" s="59" t="s">
        <v>687</v>
      </c>
      <c r="C1" s="59" t="s">
        <v>770</v>
      </c>
      <c r="D1" s="59" t="s">
        <v>93</v>
      </c>
      <c r="E1" s="59" t="s">
        <v>766</v>
      </c>
      <c r="F1" s="60" t="s">
        <v>678</v>
      </c>
      <c r="G1" s="60" t="s">
        <v>679</v>
      </c>
      <c r="H1" s="60" t="s">
        <v>680</v>
      </c>
      <c r="I1" s="60" t="s">
        <v>681</v>
      </c>
      <c r="J1" s="60" t="s">
        <v>682</v>
      </c>
      <c r="K1" s="60" t="s">
        <v>785</v>
      </c>
      <c r="L1" s="60" t="s">
        <v>683</v>
      </c>
      <c r="M1" s="59" t="s">
        <v>684</v>
      </c>
      <c r="N1" s="59" t="s">
        <v>94</v>
      </c>
      <c r="O1" s="59" t="s">
        <v>95</v>
      </c>
      <c r="P1" s="59" t="s">
        <v>627</v>
      </c>
      <c r="Q1" s="61" t="s">
        <v>331</v>
      </c>
      <c r="R1" s="61" t="s">
        <v>332</v>
      </c>
      <c r="S1" s="61" t="s">
        <v>333</v>
      </c>
      <c r="T1" s="61" t="s">
        <v>685</v>
      </c>
      <c r="U1" s="61" t="s">
        <v>97</v>
      </c>
      <c r="V1" s="59" t="s">
        <v>330</v>
      </c>
      <c r="W1" s="62" t="s">
        <v>767</v>
      </c>
      <c r="X1" s="61" t="s">
        <v>334</v>
      </c>
      <c r="Y1" s="59" t="s">
        <v>98</v>
      </c>
      <c r="Z1" s="59" t="s">
        <v>771</v>
      </c>
      <c r="AA1" s="63" t="s">
        <v>768</v>
      </c>
      <c r="AB1" s="64" t="s">
        <v>7</v>
      </c>
    </row>
    <row r="2" spans="1:28">
      <c r="A2" s="52" t="str">
        <f>DATABASE!A656</f>
        <v>TERRACOTA</v>
      </c>
      <c r="B2" s="53" t="str">
        <f>DATABASE!B656</f>
        <v>Vilamoura</v>
      </c>
      <c r="C2" s="53" t="str">
        <f>DATABASE!C656</f>
        <v>BB</v>
      </c>
      <c r="D2" s="73" t="str">
        <f>DATABASE!E656</f>
        <v>T2</v>
      </c>
      <c r="E2" s="73">
        <f>DATABASE!F656</f>
        <v>78.3</v>
      </c>
      <c r="F2" s="74">
        <f>DATABASE!G656</f>
        <v>0</v>
      </c>
      <c r="G2" s="72" t="str">
        <f>DATABASE!H656</f>
        <v/>
      </c>
      <c r="H2" s="73" t="str">
        <f>DATABASE!I656</f>
        <v/>
      </c>
      <c r="I2" s="73">
        <f>DATABASE!J656</f>
        <v>0</v>
      </c>
      <c r="J2" s="73">
        <f>DATABASE!K656</f>
        <v>0</v>
      </c>
      <c r="K2" s="72">
        <f>DATABASE!L656</f>
        <v>0</v>
      </c>
      <c r="L2" s="72">
        <f>DATABASE!M656</f>
        <v>0</v>
      </c>
      <c r="M2" s="72">
        <f>DATABASE!N656</f>
        <v>0</v>
      </c>
      <c r="N2" s="107">
        <f>DATABASE!O656</f>
        <v>78.3</v>
      </c>
      <c r="O2" s="78">
        <f>DATABASE!P656</f>
        <v>0</v>
      </c>
      <c r="P2" s="77" t="str">
        <f>DATABASE!Q656</f>
        <v xml:space="preserve">PSPA </v>
      </c>
      <c r="Q2" s="78">
        <f>DATABASE!R656</f>
        <v>465000</v>
      </c>
      <c r="R2" s="78">
        <f>DATABASE!S656</f>
        <v>465000</v>
      </c>
      <c r="S2" s="78">
        <f>DATABASE!T656</f>
        <v>465000</v>
      </c>
      <c r="T2" s="78">
        <f>DATABASE!U656</f>
        <v>0</v>
      </c>
      <c r="U2" s="79">
        <f>DATABASE!V656</f>
        <v>0</v>
      </c>
      <c r="V2" s="79">
        <f>DATABASE!W656</f>
        <v>465000</v>
      </c>
      <c r="W2" s="80">
        <f>DATABASE!X656</f>
        <v>0</v>
      </c>
      <c r="X2" s="79">
        <f>DATABASE!Y656</f>
        <v>465000</v>
      </c>
      <c r="Y2" s="79">
        <f>DATABASE!Z656</f>
        <v>465000</v>
      </c>
      <c r="Z2" s="79" t="e">
        <f>DATABASE!#REF!</f>
        <v>#REF!</v>
      </c>
      <c r="AA2" s="81" t="e">
        <f>DATABASE!#REF!</f>
        <v>#REF!</v>
      </c>
      <c r="AB2" s="82">
        <f>DATABASE!AB656</f>
        <v>0</v>
      </c>
    </row>
    <row r="3" spans="1:28">
      <c r="A3" s="128" t="str">
        <f>DATABASE!A657</f>
        <v>MR -LT da Casa do Campo</v>
      </c>
      <c r="B3" s="129" t="str">
        <f>DATABASE!B657</f>
        <v>Algarve</v>
      </c>
      <c r="C3" s="129" t="str">
        <f>DATABASE!C657</f>
        <v>3</v>
      </c>
      <c r="D3" s="130" t="str">
        <f>DATABASE!E657</f>
        <v>Plot</v>
      </c>
      <c r="E3" s="130">
        <f>DATABASE!F657</f>
        <v>450</v>
      </c>
      <c r="F3" s="130">
        <f>DATABASE!G657</f>
        <v>0</v>
      </c>
      <c r="G3" s="130" t="str">
        <f>DATABASE!H657</f>
        <v/>
      </c>
      <c r="H3" s="73" t="str">
        <f>DATABASE!I657</f>
        <v/>
      </c>
      <c r="I3" s="73">
        <f>DATABASE!J657</f>
        <v>0</v>
      </c>
      <c r="J3" s="73">
        <f>DATABASE!K657</f>
        <v>0</v>
      </c>
      <c r="K3" s="73">
        <f>DATABASE!L657</f>
        <v>0</v>
      </c>
      <c r="L3" s="72">
        <f>DATABASE!M657</f>
        <v>0</v>
      </c>
      <c r="M3" s="73">
        <f>DATABASE!N657</f>
        <v>0</v>
      </c>
      <c r="N3" s="109">
        <f>DATABASE!O657</f>
        <v>450</v>
      </c>
      <c r="O3" s="78">
        <f>DATABASE!P657</f>
        <v>0</v>
      </c>
      <c r="P3" s="88" t="str">
        <f>DATABASE!Q657</f>
        <v>AVAILABLE</v>
      </c>
      <c r="Q3" s="78">
        <f>DATABASE!R657</f>
        <v>1010000</v>
      </c>
      <c r="R3" s="78">
        <f>DATABASE!S657</f>
        <v>1010000</v>
      </c>
      <c r="S3" s="78">
        <f>DATABASE!T657</f>
        <v>860000</v>
      </c>
      <c r="T3" s="78">
        <f>DATABASE!U657</f>
        <v>0</v>
      </c>
      <c r="U3" s="79">
        <f>DATABASE!V657</f>
        <v>0</v>
      </c>
      <c r="V3" s="79">
        <f>DATABASE!W657</f>
        <v>860000</v>
      </c>
      <c r="W3" s="80">
        <f>DATABASE!X657</f>
        <v>0</v>
      </c>
      <c r="X3" s="79">
        <f>DATABASE!Y657</f>
        <v>0</v>
      </c>
      <c r="Y3" s="79">
        <f>DATABASE!Z657</f>
        <v>0</v>
      </c>
      <c r="Z3" s="79" t="e">
        <f>DATABASE!#REF!</f>
        <v>#REF!</v>
      </c>
      <c r="AA3" s="81">
        <f>DATABASE!AA657</f>
        <v>0</v>
      </c>
      <c r="AB3" s="82" t="str">
        <f>DATABASE!AB657</f>
        <v>TBD</v>
      </c>
    </row>
    <row r="4" spans="1:28">
      <c r="A4" s="128" t="str">
        <f>DATABASE!A658</f>
        <v>ZESTIA</v>
      </c>
      <c r="B4" s="129" t="str">
        <f>DATABASE!B658</f>
        <v>Vilamoura</v>
      </c>
      <c r="C4" s="129" t="str">
        <f>DATABASE!C658</f>
        <v>BB</v>
      </c>
      <c r="D4" s="130" t="str">
        <f>DATABASE!E658</f>
        <v>T2 LO</v>
      </c>
      <c r="E4" s="130">
        <f>DATABASE!F658</f>
        <v>131.33000000000001</v>
      </c>
      <c r="F4" s="130">
        <f>DATABASE!G658</f>
        <v>0</v>
      </c>
      <c r="G4" s="130" t="str">
        <f>DATABASE!H658</f>
        <v/>
      </c>
      <c r="H4" s="73" t="str">
        <f>DATABASE!I658</f>
        <v/>
      </c>
      <c r="I4" s="73">
        <f>DATABASE!J658</f>
        <v>0</v>
      </c>
      <c r="J4" s="73">
        <f>DATABASE!K658</f>
        <v>0</v>
      </c>
      <c r="K4" s="73">
        <f>DATABASE!L658</f>
        <v>0</v>
      </c>
      <c r="L4" s="72">
        <f>DATABASE!M658</f>
        <v>34.020000000000003</v>
      </c>
      <c r="M4" s="73">
        <f>DATABASE!N658</f>
        <v>0</v>
      </c>
      <c r="N4" s="110">
        <f>DATABASE!O658</f>
        <v>97.31</v>
      </c>
      <c r="O4" s="78">
        <f>DATABASE!P658</f>
        <v>0</v>
      </c>
      <c r="P4" s="88" t="str">
        <f>DATABASE!Q658</f>
        <v>AVAILABLE</v>
      </c>
      <c r="Q4" s="78">
        <f>DATABASE!R658</f>
        <v>826897.58559999999</v>
      </c>
      <c r="R4" s="78">
        <f>DATABASE!S658</f>
        <v>891497.58559999999</v>
      </c>
      <c r="S4" s="78">
        <f>DATABASE!T658</f>
        <v>960000</v>
      </c>
      <c r="T4" s="78">
        <f>DATABASE!U658</f>
        <v>24600</v>
      </c>
      <c r="U4" s="79">
        <f>DATABASE!V658</f>
        <v>40000</v>
      </c>
      <c r="V4" s="79">
        <f>DATABASE!W658</f>
        <v>895400</v>
      </c>
      <c r="W4" s="80">
        <f>DATABASE!X658</f>
        <v>0</v>
      </c>
      <c r="X4" s="79">
        <f>DATABASE!Y658</f>
        <v>960000</v>
      </c>
      <c r="Y4" s="79">
        <f>DATABASE!Z658</f>
        <v>895400</v>
      </c>
      <c r="Z4" s="79" t="e">
        <f>DATABASE!#REF!</f>
        <v>#REF!</v>
      </c>
      <c r="AA4" s="81">
        <f>DATABASE!AA658</f>
        <v>0</v>
      </c>
      <c r="AB4" s="82">
        <f>DATABASE!AB658</f>
        <v>0</v>
      </c>
    </row>
    <row r="5" spans="1:28">
      <c r="A5" s="128" t="str">
        <f>DATABASE!A659</f>
        <v>BOTÂNICA</v>
      </c>
      <c r="B5" s="129" t="str">
        <f>DATABASE!B659</f>
        <v>Vilamoura</v>
      </c>
      <c r="C5" s="129" t="str">
        <f>DATABASE!C659</f>
        <v>BC</v>
      </c>
      <c r="D5" s="130" t="str">
        <f>DATABASE!E659</f>
        <v>T3</v>
      </c>
      <c r="E5" s="130">
        <f>DATABASE!F659</f>
        <v>319.63</v>
      </c>
      <c r="F5" s="130">
        <f>DATABASE!G659</f>
        <v>0</v>
      </c>
      <c r="G5" s="130" t="str">
        <f>DATABASE!H659</f>
        <v>1</v>
      </c>
      <c r="H5" s="130" t="str">
        <f>DATABASE!I659</f>
        <v/>
      </c>
      <c r="I5" s="130">
        <f>DATABASE!J659</f>
        <v>55.5</v>
      </c>
      <c r="J5" s="130">
        <f>DATABASE!K659</f>
        <v>0</v>
      </c>
      <c r="K5" s="130">
        <f>DATABASE!L659</f>
        <v>0</v>
      </c>
      <c r="L5" s="72">
        <f>DATABASE!M659</f>
        <v>101.74</v>
      </c>
      <c r="M5" s="130">
        <f>DATABASE!N659</f>
        <v>0</v>
      </c>
      <c r="N5" s="111">
        <f>DATABASE!O659</f>
        <v>162.38999999999999</v>
      </c>
      <c r="O5" s="78">
        <f>DATABASE!P659</f>
        <v>0</v>
      </c>
      <c r="P5" s="88" t="str">
        <f>DATABASE!Q659</f>
        <v>RESERVED</v>
      </c>
      <c r="Q5" s="78">
        <f>DATABASE!R659</f>
        <v>1790881.95</v>
      </c>
      <c r="R5" s="78">
        <f>DATABASE!S659</f>
        <v>1790881.95</v>
      </c>
      <c r="S5" s="78">
        <f>DATABASE!T659</f>
        <v>1800000</v>
      </c>
      <c r="T5" s="78">
        <f>DATABASE!U659</f>
        <v>0</v>
      </c>
      <c r="U5" s="79">
        <f>DATABASE!V659</f>
        <v>0</v>
      </c>
      <c r="V5" s="79">
        <f>DATABASE!W659</f>
        <v>1800000</v>
      </c>
      <c r="W5" s="80">
        <f>DATABASE!X659</f>
        <v>0.04</v>
      </c>
      <c r="X5" s="79">
        <f>DATABASE!Y659</f>
        <v>1728000</v>
      </c>
      <c r="Y5" s="79">
        <f>DATABASE!Z659</f>
        <v>1728000</v>
      </c>
      <c r="Z5" s="79" t="e">
        <f>DATABASE!#REF!</f>
        <v>#REF!</v>
      </c>
      <c r="AA5" s="81">
        <f>DATABASE!AA659</f>
        <v>0</v>
      </c>
      <c r="AB5" s="82">
        <f>DATABASE!AB659</f>
        <v>0</v>
      </c>
    </row>
    <row r="6" spans="1:28">
      <c r="A6" s="128" t="str">
        <f>DATABASE!A660</f>
        <v>SPRINGS</v>
      </c>
      <c r="B6" s="129" t="str">
        <f>DATABASE!B660</f>
        <v>Vilamoura</v>
      </c>
      <c r="C6" s="129" t="str">
        <f>DATABASE!C660</f>
        <v>BC</v>
      </c>
      <c r="D6" s="130" t="str">
        <f>DATABASE!E660</f>
        <v>V3 Duplex</v>
      </c>
      <c r="E6" s="130">
        <f>DATABASE!F660</f>
        <v>577.83000000000004</v>
      </c>
      <c r="F6" s="130">
        <f>DATABASE!G660</f>
        <v>382.85</v>
      </c>
      <c r="G6" s="130" t="str">
        <f>DATABASE!H660</f>
        <v/>
      </c>
      <c r="H6" s="130" t="str">
        <f>DATABASE!I660</f>
        <v/>
      </c>
      <c r="I6" s="130">
        <f>DATABASE!J660</f>
        <v>32.840000000000003</v>
      </c>
      <c r="J6" s="130">
        <f>DATABASE!K660</f>
        <v>0</v>
      </c>
      <c r="K6" s="130">
        <f>DATABASE!L660</f>
        <v>0</v>
      </c>
      <c r="L6" s="72">
        <f>DATABASE!M660</f>
        <v>0</v>
      </c>
      <c r="M6" s="130">
        <f>DATABASE!N660</f>
        <v>0</v>
      </c>
      <c r="N6" s="111">
        <f>DATABASE!O660</f>
        <v>162.13999999999999</v>
      </c>
      <c r="O6" s="78">
        <f>DATABASE!P660</f>
        <v>0</v>
      </c>
      <c r="P6" s="88" t="str">
        <f>DATABASE!Q660</f>
        <v>AVAILABLE</v>
      </c>
      <c r="Q6" s="78">
        <f>DATABASE!R660</f>
        <v>1818200</v>
      </c>
      <c r="R6" s="78">
        <f>DATABASE!S660</f>
        <v>1904100</v>
      </c>
      <c r="S6" s="78">
        <f>DATABASE!T660</f>
        <v>1990000</v>
      </c>
      <c r="T6" s="78">
        <f>DATABASE!U660</f>
        <v>24600</v>
      </c>
      <c r="U6" s="79">
        <f>DATABASE!V660</f>
        <v>61300</v>
      </c>
      <c r="V6" s="79">
        <f>DATABASE!W660</f>
        <v>1904100</v>
      </c>
      <c r="W6" s="80">
        <f>DATABASE!X660</f>
        <v>0</v>
      </c>
      <c r="X6" s="79">
        <f>DATABASE!Y660</f>
        <v>1990000</v>
      </c>
      <c r="Y6" s="79">
        <f>DATABASE!Z660</f>
        <v>1904100</v>
      </c>
      <c r="Z6" s="79" t="e">
        <f>DATABASE!#REF!</f>
        <v>#REF!</v>
      </c>
      <c r="AA6" s="81">
        <f>DATABASE!AA660</f>
        <v>0</v>
      </c>
      <c r="AB6" s="82">
        <f>DATABASE!AB660</f>
        <v>0</v>
      </c>
    </row>
    <row r="7" spans="1:28">
      <c r="A7" s="128" t="str">
        <f>DATABASE!A661</f>
        <v>TERRACOTA</v>
      </c>
      <c r="B7" s="129" t="str">
        <f>DATABASE!B661</f>
        <v>Vilamoura</v>
      </c>
      <c r="C7" s="129" t="str">
        <f>DATABASE!C661</f>
        <v>BC</v>
      </c>
      <c r="D7" s="130" t="str">
        <f>DATABASE!E661</f>
        <v>T2</v>
      </c>
      <c r="E7" s="130">
        <f>DATABASE!F661</f>
        <v>104.7</v>
      </c>
      <c r="F7" s="130">
        <f>DATABASE!G661</f>
        <v>0</v>
      </c>
      <c r="G7" s="130" t="str">
        <f>DATABASE!H661</f>
        <v/>
      </c>
      <c r="H7" s="130" t="str">
        <f>DATABASE!I661</f>
        <v/>
      </c>
      <c r="I7" s="130">
        <f>DATABASE!J661</f>
        <v>0</v>
      </c>
      <c r="J7" s="130">
        <f>DATABASE!K661</f>
        <v>0</v>
      </c>
      <c r="K7" s="130">
        <f>DATABASE!L661</f>
        <v>0</v>
      </c>
      <c r="L7" s="72">
        <f>DATABASE!M661</f>
        <v>0</v>
      </c>
      <c r="M7" s="130">
        <f>DATABASE!N661</f>
        <v>0</v>
      </c>
      <c r="N7" s="111">
        <f>DATABASE!O661</f>
        <v>104.7</v>
      </c>
      <c r="O7" s="78">
        <f>DATABASE!P661</f>
        <v>0</v>
      </c>
      <c r="P7" s="88" t="str">
        <f>DATABASE!Q661</f>
        <v xml:space="preserve">PSPA </v>
      </c>
      <c r="Q7" s="78">
        <f>DATABASE!R661</f>
        <v>570000</v>
      </c>
      <c r="R7" s="78">
        <f>DATABASE!S661</f>
        <v>570000</v>
      </c>
      <c r="S7" s="78">
        <f>DATABASE!T661</f>
        <v>585000</v>
      </c>
      <c r="T7" s="78">
        <f>DATABASE!U661</f>
        <v>0</v>
      </c>
      <c r="U7" s="79">
        <f>DATABASE!V661</f>
        <v>0</v>
      </c>
      <c r="V7" s="79">
        <f>DATABASE!W661</f>
        <v>585000</v>
      </c>
      <c r="W7" s="80">
        <f>DATABASE!X661</f>
        <v>0</v>
      </c>
      <c r="X7" s="79">
        <f>DATABASE!Y661</f>
        <v>585000</v>
      </c>
      <c r="Y7" s="79">
        <f>DATABASE!Z661</f>
        <v>585000</v>
      </c>
      <c r="Z7" s="79" t="e">
        <f>DATABASE!#REF!</f>
        <v>#REF!</v>
      </c>
      <c r="AA7" s="81" t="e">
        <f>DATABASE!#REF!</f>
        <v>#REF!</v>
      </c>
      <c r="AB7" s="82">
        <f>DATABASE!AB661</f>
        <v>0</v>
      </c>
    </row>
    <row r="8" spans="1:28">
      <c r="A8" s="128" t="str">
        <f>DATABASE!A662</f>
        <v>MR -LT da Casa do Campo</v>
      </c>
      <c r="B8" s="129" t="str">
        <f>DATABASE!B662</f>
        <v>Algarve</v>
      </c>
      <c r="C8" s="129" t="str">
        <f>DATABASE!C662</f>
        <v>4</v>
      </c>
      <c r="D8" s="130" t="str">
        <f>DATABASE!E662</f>
        <v>Plot</v>
      </c>
      <c r="E8" s="130">
        <f>DATABASE!F662</f>
        <v>450</v>
      </c>
      <c r="F8" s="130">
        <f>DATABASE!G662</f>
        <v>0</v>
      </c>
      <c r="G8" s="130" t="str">
        <f>DATABASE!H662</f>
        <v/>
      </c>
      <c r="H8" s="130" t="str">
        <f>DATABASE!I662</f>
        <v/>
      </c>
      <c r="I8" s="130">
        <f>DATABASE!J662</f>
        <v>0</v>
      </c>
      <c r="J8" s="130">
        <f>DATABASE!K662</f>
        <v>0</v>
      </c>
      <c r="K8" s="130">
        <f>DATABASE!L662</f>
        <v>0</v>
      </c>
      <c r="L8" s="72">
        <f>DATABASE!M662</f>
        <v>0</v>
      </c>
      <c r="M8" s="130">
        <f>DATABASE!N662</f>
        <v>0</v>
      </c>
      <c r="N8" s="111">
        <f>DATABASE!O662</f>
        <v>450</v>
      </c>
      <c r="O8" s="78">
        <f>DATABASE!P662</f>
        <v>0</v>
      </c>
      <c r="P8" s="88" t="str">
        <f>DATABASE!Q662</f>
        <v>AVAILABLE</v>
      </c>
      <c r="Q8" s="78">
        <f>DATABASE!R662</f>
        <v>1017000</v>
      </c>
      <c r="R8" s="78">
        <f>DATABASE!S662</f>
        <v>1017000</v>
      </c>
      <c r="S8" s="78">
        <f>DATABASE!T662</f>
        <v>860000</v>
      </c>
      <c r="T8" s="78">
        <f>DATABASE!U662</f>
        <v>0</v>
      </c>
      <c r="U8" s="79">
        <f>DATABASE!V662</f>
        <v>0</v>
      </c>
      <c r="V8" s="79">
        <f>DATABASE!W662</f>
        <v>860000</v>
      </c>
      <c r="W8" s="80">
        <f>DATABASE!X662</f>
        <v>0</v>
      </c>
      <c r="X8" s="79">
        <f>DATABASE!Y662</f>
        <v>0</v>
      </c>
      <c r="Y8" s="79">
        <f>DATABASE!Z662</f>
        <v>0</v>
      </c>
      <c r="Z8" s="79" t="e">
        <f>DATABASE!#REF!</f>
        <v>#REF!</v>
      </c>
      <c r="AA8" s="81">
        <f>DATABASE!AA662</f>
        <v>0</v>
      </c>
      <c r="AB8" s="82" t="str">
        <f>DATABASE!AB662</f>
        <v>TBD</v>
      </c>
    </row>
    <row r="9" spans="1:28">
      <c r="A9" s="128" t="str">
        <f>DATABASE!A663</f>
        <v>ZESTIA</v>
      </c>
      <c r="B9" s="129" t="str">
        <f>DATABASE!B663</f>
        <v>Vilamoura</v>
      </c>
      <c r="C9" s="129" t="str">
        <f>DATABASE!C663</f>
        <v>BC</v>
      </c>
      <c r="D9" s="130" t="str">
        <f>DATABASE!E663</f>
        <v>T2</v>
      </c>
      <c r="E9" s="130">
        <f>DATABASE!F663</f>
        <v>281.45999999999998</v>
      </c>
      <c r="F9" s="130">
        <f>DATABASE!G663</f>
        <v>0</v>
      </c>
      <c r="G9" s="130" t="str">
        <f>DATABASE!H663</f>
        <v/>
      </c>
      <c r="H9" s="130" t="str">
        <f>DATABASE!I663</f>
        <v/>
      </c>
      <c r="I9" s="130">
        <f>DATABASE!J663</f>
        <v>0</v>
      </c>
      <c r="J9" s="130">
        <f>DATABASE!K663</f>
        <v>0</v>
      </c>
      <c r="K9" s="130">
        <f>DATABASE!L663</f>
        <v>0</v>
      </c>
      <c r="L9" s="72">
        <f>DATABASE!M663</f>
        <v>188.97</v>
      </c>
      <c r="M9" s="130">
        <f>DATABASE!N663</f>
        <v>0</v>
      </c>
      <c r="N9" s="111">
        <f>DATABASE!O663</f>
        <v>92.49</v>
      </c>
      <c r="O9" s="78">
        <f>DATABASE!P663</f>
        <v>0</v>
      </c>
      <c r="P9" s="88" t="str">
        <f>DATABASE!Q663</f>
        <v xml:space="preserve">PSPA </v>
      </c>
      <c r="Q9" s="78">
        <f>DATABASE!R663</f>
        <v>995272.77600000007</v>
      </c>
      <c r="R9" s="78">
        <f>DATABASE!S663</f>
        <v>1069872.7760000001</v>
      </c>
      <c r="S9" s="78">
        <f>DATABASE!T663</f>
        <v>1240000</v>
      </c>
      <c r="T9" s="78">
        <f>DATABASE!U663</f>
        <v>24600</v>
      </c>
      <c r="U9" s="79">
        <f>DATABASE!V663</f>
        <v>50000</v>
      </c>
      <c r="V9" s="79">
        <f>DATABASE!W663</f>
        <v>1165400</v>
      </c>
      <c r="W9" s="80">
        <f>DATABASE!X663</f>
        <v>0</v>
      </c>
      <c r="X9" s="79">
        <f>DATABASE!Y663</f>
        <v>1240000</v>
      </c>
      <c r="Y9" s="79">
        <f>DATABASE!Z663</f>
        <v>1165400</v>
      </c>
      <c r="Z9" s="79" t="e">
        <f>DATABASE!#REF!</f>
        <v>#REF!</v>
      </c>
      <c r="AA9" s="81" t="e">
        <f>DATABASE!#REF!</f>
        <v>#REF!</v>
      </c>
      <c r="AB9" s="82">
        <f>DATABASE!AB663</f>
        <v>0</v>
      </c>
    </row>
    <row r="10" spans="1:28">
      <c r="A10" s="128" t="str">
        <f>DATABASE!A664</f>
        <v>BOTÂNICA</v>
      </c>
      <c r="B10" s="129" t="str">
        <f>DATABASE!B664</f>
        <v>Vilamoura</v>
      </c>
      <c r="C10" s="129" t="str">
        <f>DATABASE!C664</f>
        <v>BD</v>
      </c>
      <c r="D10" s="130" t="str">
        <f>DATABASE!E664</f>
        <v>T2</v>
      </c>
      <c r="E10" s="130">
        <f>DATABASE!F664</f>
        <v>215.97</v>
      </c>
      <c r="F10" s="130">
        <f>DATABASE!G664</f>
        <v>0</v>
      </c>
      <c r="G10" s="130" t="str">
        <f>DATABASE!H664</f>
        <v>1</v>
      </c>
      <c r="H10" s="130" t="str">
        <f>DATABASE!I664</f>
        <v/>
      </c>
      <c r="I10" s="130">
        <f>DATABASE!J664</f>
        <v>26.62</v>
      </c>
      <c r="J10" s="130">
        <f>DATABASE!K664</f>
        <v>0</v>
      </c>
      <c r="K10" s="130">
        <f>DATABASE!L664</f>
        <v>0</v>
      </c>
      <c r="L10" s="72">
        <f>DATABASE!M664</f>
        <v>73.11</v>
      </c>
      <c r="M10" s="130">
        <f>DATABASE!N664</f>
        <v>0</v>
      </c>
      <c r="N10" s="111">
        <f>DATABASE!O664</f>
        <v>116.24</v>
      </c>
      <c r="O10" s="78">
        <f>DATABASE!P664</f>
        <v>0</v>
      </c>
      <c r="P10" s="88" t="str">
        <f>DATABASE!Q664</f>
        <v>AVAILABLE</v>
      </c>
      <c r="Q10" s="78">
        <f>DATABASE!R664</f>
        <v>1166778.6240000001</v>
      </c>
      <c r="R10" s="78">
        <f>DATABASE!S664</f>
        <v>1166778.6240000001</v>
      </c>
      <c r="S10" s="78">
        <f>DATABASE!T664</f>
        <v>1225000</v>
      </c>
      <c r="T10" s="78">
        <f>DATABASE!U664</f>
        <v>0</v>
      </c>
      <c r="U10" s="79">
        <f>DATABASE!V664</f>
        <v>0</v>
      </c>
      <c r="V10" s="79">
        <f>DATABASE!W664</f>
        <v>1225000</v>
      </c>
      <c r="W10" s="80">
        <f>DATABASE!X664</f>
        <v>0</v>
      </c>
      <c r="X10" s="79">
        <f>DATABASE!Y664</f>
        <v>1205100</v>
      </c>
      <c r="Y10" s="79">
        <f>DATABASE!Z664</f>
        <v>1205100</v>
      </c>
      <c r="Z10" s="79" t="e">
        <f>DATABASE!#REF!</f>
        <v>#REF!</v>
      </c>
      <c r="AA10" s="81">
        <f>DATABASE!AA664</f>
        <v>0</v>
      </c>
      <c r="AB10" s="82">
        <f>DATABASE!AB664</f>
        <v>0</v>
      </c>
    </row>
    <row r="11" spans="1:28">
      <c r="A11" s="128" t="str">
        <f>DATABASE!A665</f>
        <v>SPRINGS</v>
      </c>
      <c r="B11" s="129" t="str">
        <f>DATABASE!B665</f>
        <v>Vilamoura</v>
      </c>
      <c r="C11" s="129" t="str">
        <f>DATABASE!C665</f>
        <v>BD</v>
      </c>
      <c r="D11" s="130" t="str">
        <f>DATABASE!E665</f>
        <v>V3 Duplex</v>
      </c>
      <c r="E11" s="130">
        <f>DATABASE!F665</f>
        <v>449.88</v>
      </c>
      <c r="F11" s="130">
        <f>DATABASE!G665</f>
        <v>254.9</v>
      </c>
      <c r="G11" s="130" t="str">
        <f>DATABASE!H665</f>
        <v/>
      </c>
      <c r="H11" s="130" t="str">
        <f>DATABASE!I665</f>
        <v/>
      </c>
      <c r="I11" s="130">
        <f>DATABASE!J665</f>
        <v>32.840000000000003</v>
      </c>
      <c r="J11" s="130">
        <f>DATABASE!K665</f>
        <v>0</v>
      </c>
      <c r="K11" s="130">
        <f>DATABASE!L665</f>
        <v>0</v>
      </c>
      <c r="L11" s="72">
        <f>DATABASE!M665</f>
        <v>0</v>
      </c>
      <c r="M11" s="130">
        <f>DATABASE!N665</f>
        <v>0</v>
      </c>
      <c r="N11" s="111">
        <f>DATABASE!O665</f>
        <v>162.13999999999999</v>
      </c>
      <c r="O11" s="78">
        <f>DATABASE!P665</f>
        <v>0</v>
      </c>
      <c r="P11" s="88" t="str">
        <f>DATABASE!Q665</f>
        <v>AVAILABLE</v>
      </c>
      <c r="Q11" s="78">
        <f>DATABASE!R665</f>
        <v>1908200</v>
      </c>
      <c r="R11" s="78">
        <f>DATABASE!S665</f>
        <v>1994100</v>
      </c>
      <c r="S11" s="78">
        <f>DATABASE!T665</f>
        <v>2080000</v>
      </c>
      <c r="T11" s="78">
        <f>DATABASE!U665</f>
        <v>24600</v>
      </c>
      <c r="U11" s="79">
        <f>DATABASE!V665</f>
        <v>61300</v>
      </c>
      <c r="V11" s="79">
        <f>DATABASE!W665</f>
        <v>1994100</v>
      </c>
      <c r="W11" s="80">
        <f>DATABASE!X665</f>
        <v>0</v>
      </c>
      <c r="X11" s="79">
        <f>DATABASE!Y665</f>
        <v>2080000</v>
      </c>
      <c r="Y11" s="79">
        <f>DATABASE!Z665</f>
        <v>1994100</v>
      </c>
      <c r="Z11" s="79" t="e">
        <f>DATABASE!#REF!</f>
        <v>#REF!</v>
      </c>
      <c r="AA11" s="81">
        <f>DATABASE!AA665</f>
        <v>0</v>
      </c>
      <c r="AB11" s="82">
        <f>DATABASE!AB665</f>
        <v>0</v>
      </c>
    </row>
    <row r="12" spans="1:28">
      <c r="A12" s="128" t="str">
        <f>DATABASE!A666</f>
        <v>TERRACOTA</v>
      </c>
      <c r="B12" s="129" t="str">
        <f>DATABASE!B666</f>
        <v>Vilamoura</v>
      </c>
      <c r="C12" s="129" t="str">
        <f>DATABASE!C666</f>
        <v>BD</v>
      </c>
      <c r="D12" s="130" t="str">
        <f>DATABASE!E666</f>
        <v>T3</v>
      </c>
      <c r="E12" s="130">
        <f>DATABASE!F666</f>
        <v>130.91999999999999</v>
      </c>
      <c r="F12" s="130">
        <f>DATABASE!G666</f>
        <v>0</v>
      </c>
      <c r="G12" s="130" t="str">
        <f>DATABASE!H666</f>
        <v/>
      </c>
      <c r="H12" s="130" t="str">
        <f>DATABASE!I666</f>
        <v/>
      </c>
      <c r="I12" s="130">
        <f>DATABASE!J666</f>
        <v>0</v>
      </c>
      <c r="J12" s="130">
        <f>DATABASE!K666</f>
        <v>0</v>
      </c>
      <c r="K12" s="130">
        <f>DATABASE!L666</f>
        <v>0</v>
      </c>
      <c r="L12" s="72">
        <f>DATABASE!M666</f>
        <v>0</v>
      </c>
      <c r="M12" s="130">
        <f>DATABASE!N666</f>
        <v>0</v>
      </c>
      <c r="N12" s="111">
        <f>DATABASE!O666</f>
        <v>130.91999999999999</v>
      </c>
      <c r="O12" s="78">
        <f>DATABASE!P666</f>
        <v>0</v>
      </c>
      <c r="P12" s="88" t="str">
        <f>DATABASE!Q666</f>
        <v xml:space="preserve">PSPA </v>
      </c>
      <c r="Q12" s="78">
        <f>DATABASE!R666</f>
        <v>720000</v>
      </c>
      <c r="R12" s="78">
        <f>DATABASE!S666</f>
        <v>720000</v>
      </c>
      <c r="S12" s="78">
        <f>DATABASE!T666</f>
        <v>720000</v>
      </c>
      <c r="T12" s="78">
        <f>DATABASE!U666</f>
        <v>0</v>
      </c>
      <c r="U12" s="79">
        <f>DATABASE!V666</f>
        <v>0</v>
      </c>
      <c r="V12" s="79">
        <f>DATABASE!W666</f>
        <v>720000</v>
      </c>
      <c r="W12" s="80">
        <f>DATABASE!X666</f>
        <v>0</v>
      </c>
      <c r="X12" s="79">
        <f>DATABASE!Y666</f>
        <v>720000</v>
      </c>
      <c r="Y12" s="79">
        <f>DATABASE!Z666</f>
        <v>720000</v>
      </c>
      <c r="Z12" s="79" t="e">
        <f>DATABASE!#REF!</f>
        <v>#REF!</v>
      </c>
      <c r="AA12" s="81" t="e">
        <f>DATABASE!#REF!</f>
        <v>#REF!</v>
      </c>
      <c r="AB12" s="82">
        <f>DATABASE!AB666</f>
        <v>0</v>
      </c>
    </row>
    <row r="13" spans="1:28">
      <c r="A13" s="128" t="str">
        <f>DATABASE!A667</f>
        <v>ZESTIA</v>
      </c>
      <c r="B13" s="129" t="str">
        <f>DATABASE!B667</f>
        <v>Vilamoura</v>
      </c>
      <c r="C13" s="129" t="str">
        <f>DATABASE!C667</f>
        <v>BD</v>
      </c>
      <c r="D13" s="130" t="str">
        <f>DATABASE!E667</f>
        <v>T2 LO</v>
      </c>
      <c r="E13" s="130">
        <f>DATABASE!F667</f>
        <v>121.24</v>
      </c>
      <c r="F13" s="130">
        <f>DATABASE!G667</f>
        <v>0</v>
      </c>
      <c r="G13" s="130" t="str">
        <f>DATABASE!H667</f>
        <v/>
      </c>
      <c r="H13" s="130" t="str">
        <f>DATABASE!I667</f>
        <v/>
      </c>
      <c r="I13" s="130">
        <f>DATABASE!J667</f>
        <v>0</v>
      </c>
      <c r="J13" s="130">
        <f>DATABASE!K667</f>
        <v>0</v>
      </c>
      <c r="K13" s="130">
        <f>DATABASE!L667</f>
        <v>0</v>
      </c>
      <c r="L13" s="72">
        <f>DATABASE!M667</f>
        <v>31.74</v>
      </c>
      <c r="M13" s="130">
        <f>DATABASE!N667</f>
        <v>0</v>
      </c>
      <c r="N13" s="111">
        <f>DATABASE!O667</f>
        <v>89.5</v>
      </c>
      <c r="O13" s="78">
        <f>DATABASE!P667</f>
        <v>0</v>
      </c>
      <c r="P13" s="88" t="str">
        <f>DATABASE!Q667</f>
        <v>AVAILABLE</v>
      </c>
      <c r="Q13" s="78">
        <f>DATABASE!R667</f>
        <v>750925.16</v>
      </c>
      <c r="R13" s="78">
        <f>DATABASE!S667</f>
        <v>815525.16</v>
      </c>
      <c r="S13" s="78">
        <f>DATABASE!T667</f>
        <v>890000</v>
      </c>
      <c r="T13" s="78">
        <f>DATABASE!U667</f>
        <v>24600</v>
      </c>
      <c r="U13" s="79">
        <f>DATABASE!V667</f>
        <v>40000</v>
      </c>
      <c r="V13" s="79">
        <f>DATABASE!W667</f>
        <v>825400</v>
      </c>
      <c r="W13" s="80">
        <f>DATABASE!X667</f>
        <v>0</v>
      </c>
      <c r="X13" s="79">
        <f>DATABASE!Y667</f>
        <v>890000</v>
      </c>
      <c r="Y13" s="79">
        <f>DATABASE!Z667</f>
        <v>825400</v>
      </c>
      <c r="Z13" s="79" t="e">
        <f>DATABASE!#REF!</f>
        <v>#REF!</v>
      </c>
      <c r="AA13" s="81">
        <f>DATABASE!AA667</f>
        <v>0</v>
      </c>
      <c r="AB13" s="82">
        <f>DATABASE!AB667</f>
        <v>0</v>
      </c>
    </row>
    <row r="14" spans="1:28">
      <c r="A14" s="128" t="str">
        <f>DATABASE!A668</f>
        <v>BOTÂNICA</v>
      </c>
      <c r="B14" s="129" t="str">
        <f>DATABASE!B668</f>
        <v>Vilamoura</v>
      </c>
      <c r="C14" s="129" t="str">
        <f>DATABASE!C668</f>
        <v>BE</v>
      </c>
      <c r="D14" s="130" t="str">
        <f>DATABASE!E668</f>
        <v>T2</v>
      </c>
      <c r="E14" s="130">
        <f>DATABASE!F668</f>
        <v>212.48</v>
      </c>
      <c r="F14" s="130">
        <f>DATABASE!G668</f>
        <v>0</v>
      </c>
      <c r="G14" s="130" t="str">
        <f>DATABASE!H668</f>
        <v>1</v>
      </c>
      <c r="H14" s="130" t="str">
        <f>DATABASE!I668</f>
        <v/>
      </c>
      <c r="I14" s="130">
        <f>DATABASE!J668</f>
        <v>26.62</v>
      </c>
      <c r="J14" s="130">
        <f>DATABASE!K668</f>
        <v>0</v>
      </c>
      <c r="K14" s="130">
        <f>DATABASE!L668</f>
        <v>0</v>
      </c>
      <c r="L14" s="72">
        <f>DATABASE!M668</f>
        <v>72.89</v>
      </c>
      <c r="M14" s="130">
        <f>DATABASE!N668</f>
        <v>0</v>
      </c>
      <c r="N14" s="111">
        <f>DATABASE!O668</f>
        <v>112.97</v>
      </c>
      <c r="O14" s="78">
        <f>DATABASE!P668</f>
        <v>0</v>
      </c>
      <c r="P14" s="88" t="str">
        <f>DATABASE!Q668</f>
        <v>AVAILABLE</v>
      </c>
      <c r="Q14" s="78">
        <f>DATABASE!R668</f>
        <v>1192356.9240000001</v>
      </c>
      <c r="R14" s="78">
        <f>DATABASE!S668</f>
        <v>1192356.9240000001</v>
      </c>
      <c r="S14" s="78">
        <f>DATABASE!T668</f>
        <v>1250000</v>
      </c>
      <c r="T14" s="78">
        <f>DATABASE!U668</f>
        <v>0</v>
      </c>
      <c r="U14" s="79">
        <f>DATABASE!V668</f>
        <v>0</v>
      </c>
      <c r="V14" s="79">
        <f>DATABASE!W668</f>
        <v>1250000</v>
      </c>
      <c r="W14" s="80">
        <f>DATABASE!X668</f>
        <v>0</v>
      </c>
      <c r="X14" s="79">
        <f>DATABASE!Y668</f>
        <v>1248000</v>
      </c>
      <c r="Y14" s="79">
        <f>DATABASE!Z668</f>
        <v>1248000</v>
      </c>
      <c r="Z14" s="79" t="e">
        <f>DATABASE!#REF!</f>
        <v>#REF!</v>
      </c>
      <c r="AA14" s="81">
        <f>DATABASE!AA668</f>
        <v>0</v>
      </c>
      <c r="AB14" s="82">
        <f>DATABASE!AB668</f>
        <v>0</v>
      </c>
    </row>
    <row r="15" spans="1:28">
      <c r="A15" s="128" t="str">
        <f>DATABASE!A669</f>
        <v>SPRINGS</v>
      </c>
      <c r="B15" s="129" t="str">
        <f>DATABASE!B669</f>
        <v>Vilamoura</v>
      </c>
      <c r="C15" s="129" t="str">
        <f>DATABASE!C669</f>
        <v>BE</v>
      </c>
      <c r="D15" s="130" t="str">
        <f>DATABASE!E669</f>
        <v>V3 Duplex</v>
      </c>
      <c r="E15" s="130">
        <f>DATABASE!F669</f>
        <v>414.3</v>
      </c>
      <c r="F15" s="130">
        <f>DATABASE!G669</f>
        <v>218.38</v>
      </c>
      <c r="G15" s="130" t="str">
        <f>DATABASE!H669</f>
        <v/>
      </c>
      <c r="H15" s="130" t="str">
        <f>DATABASE!I669</f>
        <v/>
      </c>
      <c r="I15" s="130">
        <f>DATABASE!J669</f>
        <v>32.840000000000003</v>
      </c>
      <c r="J15" s="130">
        <f>DATABASE!K669</f>
        <v>0</v>
      </c>
      <c r="K15" s="130">
        <f>DATABASE!L669</f>
        <v>0</v>
      </c>
      <c r="L15" s="72">
        <f>DATABASE!M669</f>
        <v>0</v>
      </c>
      <c r="M15" s="130">
        <f>DATABASE!N669</f>
        <v>0</v>
      </c>
      <c r="N15" s="111">
        <f>DATABASE!O669</f>
        <v>163.08000000000001</v>
      </c>
      <c r="O15" s="78">
        <f>DATABASE!P669</f>
        <v>0</v>
      </c>
      <c r="P15" s="88" t="str">
        <f>DATABASE!Q669</f>
        <v>AVAILABLE</v>
      </c>
      <c r="Q15" s="78">
        <f>DATABASE!R669</f>
        <v>1878200</v>
      </c>
      <c r="R15" s="78">
        <f>DATABASE!S669</f>
        <v>1964100</v>
      </c>
      <c r="S15" s="78">
        <f>DATABASE!T669</f>
        <v>2050000</v>
      </c>
      <c r="T15" s="78">
        <f>DATABASE!U669</f>
        <v>24600</v>
      </c>
      <c r="U15" s="79">
        <f>DATABASE!V669</f>
        <v>61300</v>
      </c>
      <c r="V15" s="79">
        <f>DATABASE!W669</f>
        <v>1964100</v>
      </c>
      <c r="W15" s="80">
        <f>DATABASE!X669</f>
        <v>0</v>
      </c>
      <c r="X15" s="79">
        <f>DATABASE!Y669</f>
        <v>2050000</v>
      </c>
      <c r="Y15" s="79">
        <f>DATABASE!Z669</f>
        <v>1964100</v>
      </c>
      <c r="Z15" s="79" t="e">
        <f>DATABASE!#REF!</f>
        <v>#REF!</v>
      </c>
      <c r="AA15" s="81">
        <f>DATABASE!AA669</f>
        <v>0</v>
      </c>
      <c r="AB15" s="82">
        <f>DATABASE!AB669</f>
        <v>0</v>
      </c>
    </row>
    <row r="16" spans="1:28">
      <c r="A16" s="128" t="str">
        <f>DATABASE!A670</f>
        <v>TERRACOTA</v>
      </c>
      <c r="B16" s="129" t="str">
        <f>DATABASE!B670</f>
        <v>Vilamoura</v>
      </c>
      <c r="C16" s="129" t="str">
        <f>DATABASE!C670</f>
        <v>BE</v>
      </c>
      <c r="D16" s="130" t="str">
        <f>DATABASE!E670</f>
        <v>T4</v>
      </c>
      <c r="E16" s="130">
        <f>DATABASE!F670</f>
        <v>157.13999999999999</v>
      </c>
      <c r="F16" s="130">
        <f>DATABASE!G670</f>
        <v>0</v>
      </c>
      <c r="G16" s="130" t="str">
        <f>DATABASE!H670</f>
        <v/>
      </c>
      <c r="H16" s="130" t="str">
        <f>DATABASE!I670</f>
        <v/>
      </c>
      <c r="I16" s="130">
        <f>DATABASE!J670</f>
        <v>0</v>
      </c>
      <c r="J16" s="130">
        <f>DATABASE!K670</f>
        <v>0</v>
      </c>
      <c r="K16" s="130">
        <f>DATABASE!L670</f>
        <v>0</v>
      </c>
      <c r="L16" s="72">
        <f>DATABASE!M670</f>
        <v>0</v>
      </c>
      <c r="M16" s="130">
        <f>DATABASE!N670</f>
        <v>0</v>
      </c>
      <c r="N16" s="111">
        <f>DATABASE!O670</f>
        <v>157.13999999999999</v>
      </c>
      <c r="O16" s="78">
        <f>DATABASE!P670</f>
        <v>0</v>
      </c>
      <c r="P16" s="88" t="str">
        <f>DATABASE!Q670</f>
        <v>AVAILABLE</v>
      </c>
      <c r="Q16" s="78">
        <f>DATABASE!R670</f>
        <v>925000</v>
      </c>
      <c r="R16" s="78">
        <f>DATABASE!S670</f>
        <v>925000</v>
      </c>
      <c r="S16" s="78">
        <f>DATABASE!T670</f>
        <v>925000</v>
      </c>
      <c r="T16" s="78">
        <f>DATABASE!U670</f>
        <v>0</v>
      </c>
      <c r="U16" s="79">
        <f>DATABASE!V670</f>
        <v>0</v>
      </c>
      <c r="V16" s="79">
        <f>DATABASE!W670</f>
        <v>925000</v>
      </c>
      <c r="W16" s="80">
        <f>DATABASE!X670</f>
        <v>0</v>
      </c>
      <c r="X16" s="79">
        <f>DATABASE!Y670</f>
        <v>925000</v>
      </c>
      <c r="Y16" s="79">
        <f>DATABASE!Z670</f>
        <v>925000</v>
      </c>
      <c r="Z16" s="79" t="e">
        <f>DATABASE!#REF!</f>
        <v>#REF!</v>
      </c>
      <c r="AA16" s="81">
        <f>DATABASE!AA670</f>
        <v>0</v>
      </c>
      <c r="AB16" s="82">
        <f>DATABASE!AB670</f>
        <v>0</v>
      </c>
    </row>
    <row r="17" spans="1:28">
      <c r="A17" s="128" t="str">
        <f>DATABASE!A671</f>
        <v>ZESTIA</v>
      </c>
      <c r="B17" s="129" t="str">
        <f>DATABASE!B671</f>
        <v>Vilamoura</v>
      </c>
      <c r="C17" s="129" t="str">
        <f>DATABASE!C671</f>
        <v>BE</v>
      </c>
      <c r="D17" s="130" t="str">
        <f>DATABASE!E671</f>
        <v>T2 LO</v>
      </c>
      <c r="E17" s="130">
        <f>DATABASE!F671</f>
        <v>117.38</v>
      </c>
      <c r="F17" s="130">
        <f>DATABASE!G671</f>
        <v>0</v>
      </c>
      <c r="G17" s="130" t="str">
        <f>DATABASE!H671</f>
        <v/>
      </c>
      <c r="H17" s="130" t="str">
        <f>DATABASE!I671</f>
        <v/>
      </c>
      <c r="I17" s="130">
        <f>DATABASE!J671</f>
        <v>0</v>
      </c>
      <c r="J17" s="130">
        <f>DATABASE!K671</f>
        <v>0</v>
      </c>
      <c r="K17" s="130">
        <f>DATABASE!L671</f>
        <v>0</v>
      </c>
      <c r="L17" s="72">
        <f>DATABASE!M671</f>
        <v>28.5</v>
      </c>
      <c r="M17" s="130">
        <f>DATABASE!N671</f>
        <v>0</v>
      </c>
      <c r="N17" s="111">
        <f>DATABASE!O671</f>
        <v>88.88</v>
      </c>
      <c r="O17" s="78">
        <f>DATABASE!P671</f>
        <v>0</v>
      </c>
      <c r="P17" s="88" t="str">
        <f>DATABASE!Q671</f>
        <v>AVAILABLE</v>
      </c>
      <c r="Q17" s="78">
        <f>DATABASE!R671</f>
        <v>741583.81440000003</v>
      </c>
      <c r="R17" s="78">
        <f>DATABASE!S671</f>
        <v>806183.81440000003</v>
      </c>
      <c r="S17" s="78">
        <f>DATABASE!T671</f>
        <v>890000</v>
      </c>
      <c r="T17" s="78">
        <f>DATABASE!U671</f>
        <v>24600</v>
      </c>
      <c r="U17" s="79">
        <f>DATABASE!V671</f>
        <v>40000</v>
      </c>
      <c r="V17" s="79">
        <f>DATABASE!W671</f>
        <v>825400</v>
      </c>
      <c r="W17" s="80">
        <f>DATABASE!X671</f>
        <v>0</v>
      </c>
      <c r="X17" s="79">
        <f>DATABASE!Y671</f>
        <v>890000</v>
      </c>
      <c r="Y17" s="79">
        <f>DATABASE!Z671</f>
        <v>825400</v>
      </c>
      <c r="Z17" s="79" t="e">
        <f>DATABASE!#REF!</f>
        <v>#REF!</v>
      </c>
      <c r="AA17" s="81">
        <f>DATABASE!AA671</f>
        <v>0</v>
      </c>
      <c r="AB17" s="82">
        <f>DATABASE!AB671</f>
        <v>0</v>
      </c>
    </row>
    <row r="18" spans="1:28">
      <c r="A18" s="128" t="str">
        <f>DATABASE!A672</f>
        <v>BOTÂNICA</v>
      </c>
      <c r="B18" s="129" t="str">
        <f>DATABASE!B672</f>
        <v>Vilamoura</v>
      </c>
      <c r="C18" s="129" t="str">
        <f>DATABASE!C672</f>
        <v>BF</v>
      </c>
      <c r="D18" s="130" t="str">
        <f>DATABASE!E672</f>
        <v>T2</v>
      </c>
      <c r="E18" s="130">
        <f>DATABASE!F672</f>
        <v>151.22999999999999</v>
      </c>
      <c r="F18" s="130">
        <f>DATABASE!G672</f>
        <v>0</v>
      </c>
      <c r="G18" s="130" t="str">
        <f>DATABASE!H672</f>
        <v>1</v>
      </c>
      <c r="H18" s="130" t="str">
        <f>DATABASE!I672</f>
        <v/>
      </c>
      <c r="I18" s="130">
        <f>DATABASE!J672</f>
        <v>27.59</v>
      </c>
      <c r="J18" s="130">
        <f>DATABASE!K672</f>
        <v>0</v>
      </c>
      <c r="K18" s="130">
        <f>DATABASE!L672</f>
        <v>0</v>
      </c>
      <c r="L18" s="72">
        <f>DATABASE!M672</f>
        <v>0</v>
      </c>
      <c r="M18" s="130">
        <f>DATABASE!N672</f>
        <v>0</v>
      </c>
      <c r="N18" s="111">
        <f>DATABASE!O672</f>
        <v>123.64</v>
      </c>
      <c r="O18" s="78">
        <f>DATABASE!P672</f>
        <v>0</v>
      </c>
      <c r="P18" s="88" t="str">
        <f>DATABASE!Q672</f>
        <v>RESERVED</v>
      </c>
      <c r="Q18" s="78">
        <f>DATABASE!R672</f>
        <v>1044782.64</v>
      </c>
      <c r="R18" s="78">
        <f>DATABASE!S672</f>
        <v>1044782.64</v>
      </c>
      <c r="S18" s="78">
        <f>DATABASE!T672</f>
        <v>1050000</v>
      </c>
      <c r="T18" s="78">
        <f>DATABASE!U672</f>
        <v>0</v>
      </c>
      <c r="U18" s="79">
        <f>DATABASE!V672</f>
        <v>0</v>
      </c>
      <c r="V18" s="79">
        <f>DATABASE!W672</f>
        <v>1050000</v>
      </c>
      <c r="W18" s="80">
        <f>DATABASE!X672</f>
        <v>5.2400000000000002E-2</v>
      </c>
      <c r="X18" s="79">
        <f>DATABASE!Y672</f>
        <v>994980</v>
      </c>
      <c r="Y18" s="79">
        <f>DATABASE!Z672</f>
        <v>994980</v>
      </c>
      <c r="Z18" s="79" t="e">
        <f>DATABASE!#REF!</f>
        <v>#REF!</v>
      </c>
      <c r="AA18" s="81">
        <f>DATABASE!AA672</f>
        <v>0</v>
      </c>
      <c r="AB18" s="82">
        <f>DATABASE!AB672</f>
        <v>0</v>
      </c>
    </row>
    <row r="19" spans="1:28">
      <c r="A19" s="128" t="str">
        <f>DATABASE!A673</f>
        <v>SPRINGS</v>
      </c>
      <c r="B19" s="129" t="str">
        <f>DATABASE!B673</f>
        <v>Vilamoura</v>
      </c>
      <c r="C19" s="129" t="str">
        <f>DATABASE!C673</f>
        <v>BF</v>
      </c>
      <c r="D19" s="130" t="str">
        <f>DATABASE!E673</f>
        <v>V2 Duplex</v>
      </c>
      <c r="E19" s="130">
        <f>DATABASE!F673</f>
        <v>324.14999999999998</v>
      </c>
      <c r="F19" s="130">
        <f>DATABASE!G673</f>
        <v>162.94</v>
      </c>
      <c r="G19" s="130" t="str">
        <f>DATABASE!H673</f>
        <v/>
      </c>
      <c r="H19" s="130" t="str">
        <f>DATABASE!I673</f>
        <v/>
      </c>
      <c r="I19" s="130">
        <f>DATABASE!J673</f>
        <v>25.77</v>
      </c>
      <c r="J19" s="130">
        <f>DATABASE!K673</f>
        <v>0</v>
      </c>
      <c r="K19" s="130">
        <f>DATABASE!L673</f>
        <v>0</v>
      </c>
      <c r="L19" s="72">
        <f>DATABASE!M673</f>
        <v>0</v>
      </c>
      <c r="M19" s="130">
        <f>DATABASE!N673</f>
        <v>0</v>
      </c>
      <c r="N19" s="111">
        <f>DATABASE!O673</f>
        <v>135.44</v>
      </c>
      <c r="O19" s="78">
        <f>DATABASE!P673</f>
        <v>0</v>
      </c>
      <c r="P19" s="88" t="str">
        <f>DATABASE!Q673</f>
        <v>AVAILABLE</v>
      </c>
      <c r="Q19" s="78">
        <f>DATABASE!R673</f>
        <v>1687700</v>
      </c>
      <c r="R19" s="78">
        <f>DATABASE!S673</f>
        <v>1758850</v>
      </c>
      <c r="S19" s="78">
        <f>DATABASE!T673</f>
        <v>1830000</v>
      </c>
      <c r="T19" s="78">
        <f>DATABASE!U673</f>
        <v>24600</v>
      </c>
      <c r="U19" s="79">
        <f>DATABASE!V673</f>
        <v>46550</v>
      </c>
      <c r="V19" s="79">
        <f>DATABASE!W673</f>
        <v>1758850</v>
      </c>
      <c r="W19" s="80">
        <f>DATABASE!X673</f>
        <v>0</v>
      </c>
      <c r="X19" s="79">
        <f>DATABASE!Y673</f>
        <v>1830000</v>
      </c>
      <c r="Y19" s="79">
        <f>DATABASE!Z673</f>
        <v>1758850</v>
      </c>
      <c r="Z19" s="79" t="e">
        <f>DATABASE!#REF!</f>
        <v>#REF!</v>
      </c>
      <c r="AA19" s="81">
        <f>DATABASE!AA673</f>
        <v>0</v>
      </c>
      <c r="AB19" s="82">
        <f>DATABASE!AB673</f>
        <v>0</v>
      </c>
    </row>
    <row r="20" spans="1:28">
      <c r="A20" s="128" t="str">
        <f>DATABASE!A674</f>
        <v>TERRACOTA</v>
      </c>
      <c r="B20" s="129" t="str">
        <f>DATABASE!B674</f>
        <v>Vilamoura</v>
      </c>
      <c r="C20" s="129" t="str">
        <f>DATABASE!C674</f>
        <v>BF</v>
      </c>
      <c r="D20" s="130" t="str">
        <f>DATABASE!E674</f>
        <v>T2</v>
      </c>
      <c r="E20" s="130">
        <f>DATABASE!F674</f>
        <v>104.7</v>
      </c>
      <c r="F20" s="130">
        <f>DATABASE!G674</f>
        <v>0</v>
      </c>
      <c r="G20" s="130" t="str">
        <f>DATABASE!H674</f>
        <v/>
      </c>
      <c r="H20" s="130" t="str">
        <f>DATABASE!I674</f>
        <v/>
      </c>
      <c r="I20" s="130">
        <f>DATABASE!J674</f>
        <v>0</v>
      </c>
      <c r="J20" s="130">
        <f>DATABASE!K674</f>
        <v>0</v>
      </c>
      <c r="K20" s="130">
        <f>DATABASE!L674</f>
        <v>0</v>
      </c>
      <c r="L20" s="72">
        <f>DATABASE!M674</f>
        <v>0</v>
      </c>
      <c r="M20" s="130">
        <f>DATABASE!N674</f>
        <v>0</v>
      </c>
      <c r="N20" s="111">
        <f>DATABASE!O674</f>
        <v>104.7</v>
      </c>
      <c r="O20" s="78">
        <f>DATABASE!P674</f>
        <v>0</v>
      </c>
      <c r="P20" s="88" t="str">
        <f>DATABASE!Q674</f>
        <v xml:space="preserve">PSPA </v>
      </c>
      <c r="Q20" s="78">
        <f>DATABASE!R674</f>
        <v>570000</v>
      </c>
      <c r="R20" s="78">
        <f>DATABASE!S674</f>
        <v>570000</v>
      </c>
      <c r="S20" s="78">
        <f>DATABASE!T674</f>
        <v>587100</v>
      </c>
      <c r="T20" s="78">
        <f>DATABASE!U674</f>
        <v>0</v>
      </c>
      <c r="U20" s="79">
        <f>DATABASE!V674</f>
        <v>0</v>
      </c>
      <c r="V20" s="79">
        <f>DATABASE!W674</f>
        <v>587100</v>
      </c>
      <c r="W20" s="80">
        <f>DATABASE!X674</f>
        <v>0</v>
      </c>
      <c r="X20" s="79">
        <f>DATABASE!Y674</f>
        <v>587100</v>
      </c>
      <c r="Y20" s="79">
        <f>DATABASE!Z674</f>
        <v>587100</v>
      </c>
      <c r="Z20" s="79" t="e">
        <f>DATABASE!#REF!</f>
        <v>#REF!</v>
      </c>
      <c r="AA20" s="81" t="e">
        <f>DATABASE!#REF!</f>
        <v>#REF!</v>
      </c>
      <c r="AB20" s="82">
        <f>DATABASE!AB674</f>
        <v>0</v>
      </c>
    </row>
    <row r="21" spans="1:28">
      <c r="A21" s="128" t="str">
        <f>DATABASE!A675</f>
        <v>ZESTIA</v>
      </c>
      <c r="B21" s="129" t="str">
        <f>DATABASE!B675</f>
        <v>Vilamoura</v>
      </c>
      <c r="C21" s="129" t="str">
        <f>DATABASE!C675</f>
        <v>BF</v>
      </c>
      <c r="D21" s="130" t="str">
        <f>DATABASE!E675</f>
        <v>T3 LO</v>
      </c>
      <c r="E21" s="130">
        <f>DATABASE!F675</f>
        <v>477.84</v>
      </c>
      <c r="F21" s="130">
        <f>DATABASE!G675</f>
        <v>0</v>
      </c>
      <c r="G21" s="130" t="str">
        <f>DATABASE!H675</f>
        <v/>
      </c>
      <c r="H21" s="130" t="str">
        <f>DATABASE!I675</f>
        <v/>
      </c>
      <c r="I21" s="130">
        <f>DATABASE!J675</f>
        <v>0</v>
      </c>
      <c r="J21" s="130">
        <f>DATABASE!K675</f>
        <v>0</v>
      </c>
      <c r="K21" s="130">
        <f>DATABASE!L675</f>
        <v>0</v>
      </c>
      <c r="L21" s="72">
        <f>DATABASE!M675</f>
        <v>295.16000000000003</v>
      </c>
      <c r="M21" s="130">
        <f>DATABASE!N675</f>
        <v>0</v>
      </c>
      <c r="N21" s="111">
        <f>DATABASE!O675</f>
        <v>182.68</v>
      </c>
      <c r="O21" s="78">
        <f>DATABASE!P675</f>
        <v>0</v>
      </c>
      <c r="P21" s="88" t="str">
        <f>DATABASE!Q675</f>
        <v>AVAILABLE</v>
      </c>
      <c r="Q21" s="78">
        <f>DATABASE!R675</f>
        <v>2125235.7856000001</v>
      </c>
      <c r="R21" s="78">
        <f>DATABASE!S675</f>
        <v>2249835.7856000001</v>
      </c>
      <c r="S21" s="78">
        <f>DATABASE!T675</f>
        <v>2380000</v>
      </c>
      <c r="T21" s="78">
        <f>DATABASE!U675</f>
        <v>24600</v>
      </c>
      <c r="U21" s="79">
        <f>DATABASE!V675</f>
        <v>100000</v>
      </c>
      <c r="V21" s="79">
        <f>DATABASE!W675</f>
        <v>2255400</v>
      </c>
      <c r="W21" s="80">
        <f>DATABASE!X675</f>
        <v>0</v>
      </c>
      <c r="X21" s="79">
        <f>DATABASE!Y675</f>
        <v>2380000</v>
      </c>
      <c r="Y21" s="79">
        <f>DATABASE!Z675</f>
        <v>2255400</v>
      </c>
      <c r="Z21" s="79" t="e">
        <f>DATABASE!#REF!</f>
        <v>#REF!</v>
      </c>
      <c r="AA21" s="81">
        <f>DATABASE!AA675</f>
        <v>0</v>
      </c>
      <c r="AB21" s="82">
        <f>DATABASE!AB675</f>
        <v>0</v>
      </c>
    </row>
    <row r="22" spans="1:28">
      <c r="A22" s="128" t="str">
        <f>DATABASE!A676</f>
        <v>BOTÂNICA</v>
      </c>
      <c r="B22" s="129" t="str">
        <f>DATABASE!B676</f>
        <v>Vilamoura</v>
      </c>
      <c r="C22" s="129" t="str">
        <f>DATABASE!C676</f>
        <v>BG</v>
      </c>
      <c r="D22" s="130" t="str">
        <f>DATABASE!E676</f>
        <v>T2</v>
      </c>
      <c r="E22" s="130">
        <f>DATABASE!F676</f>
        <v>151.22999999999999</v>
      </c>
      <c r="F22" s="130">
        <f>DATABASE!G676</f>
        <v>0</v>
      </c>
      <c r="G22" s="130" t="str">
        <f>DATABASE!H676</f>
        <v>1</v>
      </c>
      <c r="H22" s="130" t="str">
        <f>DATABASE!I676</f>
        <v/>
      </c>
      <c r="I22" s="130">
        <f>DATABASE!J676</f>
        <v>27.59</v>
      </c>
      <c r="J22" s="130">
        <f>DATABASE!K676</f>
        <v>0</v>
      </c>
      <c r="K22" s="130">
        <f>DATABASE!L676</f>
        <v>0</v>
      </c>
      <c r="L22" s="72">
        <f>DATABASE!M676</f>
        <v>0</v>
      </c>
      <c r="M22" s="130">
        <f>DATABASE!N676</f>
        <v>0</v>
      </c>
      <c r="N22" s="111">
        <f>DATABASE!O676</f>
        <v>123.64</v>
      </c>
      <c r="O22" s="78">
        <f>DATABASE!P676</f>
        <v>0</v>
      </c>
      <c r="P22" s="88" t="str">
        <f>DATABASE!Q676</f>
        <v xml:space="preserve">PSPA </v>
      </c>
      <c r="Q22" s="78">
        <f>DATABASE!R676</f>
        <v>1044782.64</v>
      </c>
      <c r="R22" s="78">
        <f>DATABASE!S676</f>
        <v>1044782.64</v>
      </c>
      <c r="S22" s="78">
        <f>DATABASE!T676</f>
        <v>1050000</v>
      </c>
      <c r="T22" s="78">
        <f>DATABASE!U676</f>
        <v>0</v>
      </c>
      <c r="U22" s="79">
        <f>DATABASE!V676</f>
        <v>0</v>
      </c>
      <c r="V22" s="79">
        <f>DATABASE!W676</f>
        <v>1050000</v>
      </c>
      <c r="W22" s="80">
        <f>DATABASE!X676</f>
        <v>0</v>
      </c>
      <c r="X22" s="79">
        <f>DATABASE!Y676</f>
        <v>1050000</v>
      </c>
      <c r="Y22" s="79">
        <f>DATABASE!Z676</f>
        <v>1050000</v>
      </c>
      <c r="Z22" s="79" t="e">
        <f>DATABASE!#REF!</f>
        <v>#REF!</v>
      </c>
      <c r="AA22" s="81">
        <f>DATABASE!AA676</f>
        <v>46139</v>
      </c>
      <c r="AB22" s="82">
        <f>DATABASE!AB676</f>
        <v>0</v>
      </c>
    </row>
    <row r="23" spans="1:28">
      <c r="A23" s="128" t="str">
        <f>DATABASE!A677</f>
        <v>SPRINGS</v>
      </c>
      <c r="B23" s="129" t="str">
        <f>DATABASE!B677</f>
        <v>Vilamoura</v>
      </c>
      <c r="C23" s="129" t="str">
        <f>DATABASE!C677</f>
        <v>BG</v>
      </c>
      <c r="D23" s="130" t="str">
        <f>DATABASE!E677</f>
        <v>V2 Duplex</v>
      </c>
      <c r="E23" s="130">
        <f>DATABASE!F677</f>
        <v>333.99</v>
      </c>
      <c r="F23" s="130">
        <f>DATABASE!G677</f>
        <v>172.78</v>
      </c>
      <c r="G23" s="130" t="str">
        <f>DATABASE!H677</f>
        <v/>
      </c>
      <c r="H23" s="130" t="str">
        <f>DATABASE!I677</f>
        <v/>
      </c>
      <c r="I23" s="130">
        <f>DATABASE!J677</f>
        <v>25.77</v>
      </c>
      <c r="J23" s="130">
        <f>DATABASE!K677</f>
        <v>0</v>
      </c>
      <c r="K23" s="130">
        <f>DATABASE!L677</f>
        <v>0</v>
      </c>
      <c r="L23" s="72">
        <f>DATABASE!M677</f>
        <v>0</v>
      </c>
      <c r="M23" s="130">
        <f>DATABASE!N677</f>
        <v>0</v>
      </c>
      <c r="N23" s="111">
        <f>DATABASE!O677</f>
        <v>135.44</v>
      </c>
      <c r="O23" s="78">
        <f>DATABASE!P677</f>
        <v>0</v>
      </c>
      <c r="P23" s="88" t="str">
        <f>DATABASE!Q677</f>
        <v>AVAILABLE</v>
      </c>
      <c r="Q23" s="78">
        <f>DATABASE!R677</f>
        <v>1667700</v>
      </c>
      <c r="R23" s="78">
        <f>DATABASE!S677</f>
        <v>1738850</v>
      </c>
      <c r="S23" s="78">
        <f>DATABASE!T677</f>
        <v>1810000</v>
      </c>
      <c r="T23" s="78">
        <f>DATABASE!U677</f>
        <v>24600</v>
      </c>
      <c r="U23" s="79">
        <f>DATABASE!V677</f>
        <v>46550</v>
      </c>
      <c r="V23" s="79">
        <f>DATABASE!W677</f>
        <v>1738850</v>
      </c>
      <c r="W23" s="80">
        <f>DATABASE!X677</f>
        <v>0</v>
      </c>
      <c r="X23" s="79">
        <f>DATABASE!Y677</f>
        <v>1810000</v>
      </c>
      <c r="Y23" s="79">
        <f>DATABASE!Z677</f>
        <v>1738850</v>
      </c>
      <c r="Z23" s="79" t="e">
        <f>DATABASE!#REF!</f>
        <v>#REF!</v>
      </c>
      <c r="AA23" s="81">
        <f>DATABASE!AA677</f>
        <v>0</v>
      </c>
      <c r="AB23" s="82">
        <f>DATABASE!AB677</f>
        <v>0</v>
      </c>
    </row>
    <row r="24" spans="1:28">
      <c r="A24" s="128" t="str">
        <f>DATABASE!A678</f>
        <v>TERRACOTA</v>
      </c>
      <c r="B24" s="129" t="str">
        <f>DATABASE!B678</f>
        <v>Vilamoura</v>
      </c>
      <c r="C24" s="129" t="str">
        <f>DATABASE!C678</f>
        <v>BG</v>
      </c>
      <c r="D24" s="130" t="str">
        <f>DATABASE!E678</f>
        <v>T4</v>
      </c>
      <c r="E24" s="130">
        <f>DATABASE!F678</f>
        <v>157.13999999999999</v>
      </c>
      <c r="F24" s="130">
        <f>DATABASE!G678</f>
        <v>0</v>
      </c>
      <c r="G24" s="130" t="str">
        <f>DATABASE!H678</f>
        <v/>
      </c>
      <c r="H24" s="130" t="str">
        <f>DATABASE!I678</f>
        <v/>
      </c>
      <c r="I24" s="130">
        <f>DATABASE!J678</f>
        <v>0</v>
      </c>
      <c r="J24" s="130">
        <f>DATABASE!K678</f>
        <v>0</v>
      </c>
      <c r="K24" s="130">
        <f>DATABASE!L678</f>
        <v>0</v>
      </c>
      <c r="L24" s="72">
        <f>DATABASE!M678</f>
        <v>0</v>
      </c>
      <c r="M24" s="130">
        <f>DATABASE!N678</f>
        <v>0</v>
      </c>
      <c r="N24" s="111">
        <f>DATABASE!O678</f>
        <v>157.13999999999999</v>
      </c>
      <c r="O24" s="78">
        <f>DATABASE!P678</f>
        <v>0</v>
      </c>
      <c r="P24" s="88" t="str">
        <f>DATABASE!Q678</f>
        <v>AVAILABLE</v>
      </c>
      <c r="Q24" s="78">
        <f>DATABASE!R678</f>
        <v>925000</v>
      </c>
      <c r="R24" s="78">
        <f>DATABASE!S678</f>
        <v>925000</v>
      </c>
      <c r="S24" s="78">
        <f>DATABASE!T678</f>
        <v>925000</v>
      </c>
      <c r="T24" s="78">
        <f>DATABASE!U678</f>
        <v>0</v>
      </c>
      <c r="U24" s="79">
        <f>DATABASE!V678</f>
        <v>0</v>
      </c>
      <c r="V24" s="79">
        <f>DATABASE!W678</f>
        <v>925000</v>
      </c>
      <c r="W24" s="80">
        <f>DATABASE!X678</f>
        <v>0</v>
      </c>
      <c r="X24" s="79">
        <f>DATABASE!Y678</f>
        <v>925000</v>
      </c>
      <c r="Y24" s="79">
        <f>DATABASE!Z678</f>
        <v>925000</v>
      </c>
      <c r="Z24" s="79" t="e">
        <f>DATABASE!#REF!</f>
        <v>#REF!</v>
      </c>
      <c r="AA24" s="81">
        <f>DATABASE!AA678</f>
        <v>0</v>
      </c>
      <c r="AB24" s="82">
        <f>DATABASE!AB678</f>
        <v>0</v>
      </c>
    </row>
    <row r="25" spans="1:28">
      <c r="A25" s="128" t="str">
        <f>DATABASE!A679</f>
        <v>ZESTIA</v>
      </c>
      <c r="B25" s="129" t="str">
        <f>DATABASE!B679</f>
        <v>Vilamoura</v>
      </c>
      <c r="C25" s="129" t="str">
        <f>DATABASE!C679</f>
        <v>BG</v>
      </c>
      <c r="D25" s="130" t="str">
        <f>DATABASE!E679</f>
        <v>T2 LO</v>
      </c>
      <c r="E25" s="130">
        <f>DATABASE!F679</f>
        <v>127.58</v>
      </c>
      <c r="F25" s="130">
        <f>DATABASE!G679</f>
        <v>0</v>
      </c>
      <c r="G25" s="130" t="str">
        <f>DATABASE!H679</f>
        <v/>
      </c>
      <c r="H25" s="130" t="str">
        <f>DATABASE!I679</f>
        <v/>
      </c>
      <c r="I25" s="130">
        <f>DATABASE!J679</f>
        <v>0</v>
      </c>
      <c r="J25" s="130">
        <f>DATABASE!K679</f>
        <v>0</v>
      </c>
      <c r="K25" s="130">
        <f>DATABASE!L679</f>
        <v>0</v>
      </c>
      <c r="L25" s="72">
        <f>DATABASE!M679</f>
        <v>38.020000000000003</v>
      </c>
      <c r="M25" s="130">
        <f>DATABASE!N679</f>
        <v>0</v>
      </c>
      <c r="N25" s="111">
        <f>DATABASE!O679</f>
        <v>89.56</v>
      </c>
      <c r="O25" s="78">
        <f>DATABASE!P679</f>
        <v>0</v>
      </c>
      <c r="P25" s="88" t="str">
        <f>DATABASE!Q679</f>
        <v>AVAILABLE</v>
      </c>
      <c r="Q25" s="78">
        <f>DATABASE!R679</f>
        <v>765820.94559999998</v>
      </c>
      <c r="R25" s="78">
        <f>DATABASE!S679</f>
        <v>830420.94559999998</v>
      </c>
      <c r="S25" s="78">
        <f>DATABASE!T679</f>
        <v>900000</v>
      </c>
      <c r="T25" s="78">
        <f>DATABASE!U679</f>
        <v>24600</v>
      </c>
      <c r="U25" s="79">
        <f>DATABASE!V679</f>
        <v>40000</v>
      </c>
      <c r="V25" s="79">
        <f>DATABASE!W679</f>
        <v>835400</v>
      </c>
      <c r="W25" s="80">
        <f>DATABASE!X679</f>
        <v>0</v>
      </c>
      <c r="X25" s="79">
        <f>DATABASE!Y679</f>
        <v>900000</v>
      </c>
      <c r="Y25" s="79">
        <f>DATABASE!Z679</f>
        <v>835400</v>
      </c>
      <c r="Z25" s="79" t="e">
        <f>DATABASE!#REF!</f>
        <v>#REF!</v>
      </c>
      <c r="AA25" s="81">
        <f>DATABASE!AA679</f>
        <v>0</v>
      </c>
      <c r="AB25" s="82">
        <f>DATABASE!AB679</f>
        <v>0</v>
      </c>
    </row>
    <row r="26" spans="1:28">
      <c r="A26" s="128" t="str">
        <f>DATABASE!A680</f>
        <v>BOTÂNICA</v>
      </c>
      <c r="B26" s="129" t="str">
        <f>DATABASE!B680</f>
        <v>Vilamoura</v>
      </c>
      <c r="C26" s="129" t="str">
        <f>DATABASE!C680</f>
        <v>BH</v>
      </c>
      <c r="D26" s="130" t="str">
        <f>DATABASE!E680</f>
        <v>T3</v>
      </c>
      <c r="E26" s="130">
        <f>DATABASE!F680</f>
        <v>318.70999999999998</v>
      </c>
      <c r="F26" s="130">
        <f>DATABASE!G680</f>
        <v>0</v>
      </c>
      <c r="G26" s="130" t="str">
        <f>DATABASE!H680</f>
        <v>1</v>
      </c>
      <c r="H26" s="130" t="str">
        <f>DATABASE!I680</f>
        <v/>
      </c>
      <c r="I26" s="130">
        <f>DATABASE!J680</f>
        <v>55.52</v>
      </c>
      <c r="J26" s="130">
        <f>DATABASE!K680</f>
        <v>0</v>
      </c>
      <c r="K26" s="130">
        <f>DATABASE!L680</f>
        <v>0</v>
      </c>
      <c r="L26" s="72">
        <f>DATABASE!M680</f>
        <v>102</v>
      </c>
      <c r="M26" s="130">
        <f>DATABASE!N680</f>
        <v>0</v>
      </c>
      <c r="N26" s="111">
        <f>DATABASE!O680</f>
        <v>161.19</v>
      </c>
      <c r="O26" s="78">
        <f>DATABASE!P680</f>
        <v>0</v>
      </c>
      <c r="P26" s="88" t="str">
        <f>DATABASE!Q680</f>
        <v xml:space="preserve">PSPA </v>
      </c>
      <c r="Q26" s="78">
        <f>DATABASE!R680</f>
        <v>1804385.31</v>
      </c>
      <c r="R26" s="78">
        <f>DATABASE!S680</f>
        <v>1804385.31</v>
      </c>
      <c r="S26" s="78">
        <f>DATABASE!T680</f>
        <v>1810000</v>
      </c>
      <c r="T26" s="78">
        <f>DATABASE!U680</f>
        <v>0</v>
      </c>
      <c r="U26" s="79">
        <f>DATABASE!V680</f>
        <v>0</v>
      </c>
      <c r="V26" s="79">
        <f>DATABASE!W680</f>
        <v>1810000</v>
      </c>
      <c r="W26" s="80">
        <f>DATABASE!X680</f>
        <v>0</v>
      </c>
      <c r="X26" s="79">
        <f>DATABASE!Y680</f>
        <v>1810000</v>
      </c>
      <c r="Y26" s="79">
        <f>DATABASE!Z680</f>
        <v>1810000</v>
      </c>
      <c r="Z26" s="79" t="e">
        <f>DATABASE!#REF!</f>
        <v>#REF!</v>
      </c>
      <c r="AA26" s="81">
        <f>DATABASE!AA680</f>
        <v>46093</v>
      </c>
      <c r="AB26" s="82">
        <f>DATABASE!AB680</f>
        <v>0</v>
      </c>
    </row>
    <row r="27" spans="1:28">
      <c r="A27" s="128" t="str">
        <f>DATABASE!A681</f>
        <v>Aroeira - HOUSES</v>
      </c>
      <c r="B27" s="129" t="str">
        <f>DATABASE!B681</f>
        <v>Center</v>
      </c>
      <c r="C27" s="129" t="str">
        <f>DATABASE!C681</f>
        <v>23B</v>
      </c>
      <c r="D27" s="130" t="str">
        <f>DATABASE!E681</f>
        <v>T2</v>
      </c>
      <c r="E27" s="130">
        <f>DATABASE!F681</f>
        <v>196.8</v>
      </c>
      <c r="F27" s="130">
        <f>DATABASE!G681</f>
        <v>0</v>
      </c>
      <c r="G27" s="130" t="str">
        <f>DATABASE!H681</f>
        <v>1</v>
      </c>
      <c r="H27" s="130" t="str">
        <f>DATABASE!I681</f>
        <v/>
      </c>
      <c r="I27" s="130">
        <f>DATABASE!J681</f>
        <v>0</v>
      </c>
      <c r="J27" s="130">
        <f>DATABASE!K681</f>
        <v>0</v>
      </c>
      <c r="K27" s="130">
        <f>DATABASE!L681</f>
        <v>0</v>
      </c>
      <c r="L27" s="72">
        <f>DATABASE!M681</f>
        <v>32</v>
      </c>
      <c r="M27" s="130">
        <f>DATABASE!N681</f>
        <v>27</v>
      </c>
      <c r="N27" s="111">
        <f>DATABASE!O681</f>
        <v>137.80000000000001</v>
      </c>
      <c r="O27" s="78">
        <f>DATABASE!P681</f>
        <v>0</v>
      </c>
      <c r="P27" s="88" t="str">
        <f>DATABASE!Q681</f>
        <v>AVAILABLE</v>
      </c>
      <c r="Q27" s="78">
        <f>DATABASE!R681</f>
        <v>1055000</v>
      </c>
      <c r="R27" s="78">
        <f>DATABASE!S681</f>
        <v>1055000</v>
      </c>
      <c r="S27" s="78">
        <f>DATABASE!T681</f>
        <v>1080000</v>
      </c>
      <c r="T27" s="78">
        <f>DATABASE!U681</f>
        <v>0</v>
      </c>
      <c r="U27" s="79">
        <f>DATABASE!V681</f>
        <v>0</v>
      </c>
      <c r="V27" s="79">
        <f>DATABASE!W681</f>
        <v>1080000</v>
      </c>
      <c r="W27" s="80">
        <f>DATABASE!X681</f>
        <v>0</v>
      </c>
      <c r="X27" s="79">
        <f>DATABASE!Y681</f>
        <v>0</v>
      </c>
      <c r="Y27" s="79">
        <f>DATABASE!Z681</f>
        <v>0</v>
      </c>
      <c r="Z27" s="79" t="e">
        <f>DATABASE!#REF!</f>
        <v>#REF!</v>
      </c>
      <c r="AA27" s="81">
        <f>DATABASE!AA681</f>
        <v>0</v>
      </c>
      <c r="AB27" s="82">
        <f>DATABASE!AB681</f>
        <v>47118</v>
      </c>
    </row>
    <row r="28" spans="1:28">
      <c r="A28" s="128" t="str">
        <f>DATABASE!A682</f>
        <v>VP - TOWNHOUSES</v>
      </c>
      <c r="B28" s="129" t="str">
        <f>DATABASE!B682</f>
        <v>North</v>
      </c>
      <c r="C28" s="129" t="str">
        <f>DATABASE!C682</f>
        <v>9B</v>
      </c>
      <c r="D28" s="130" t="str">
        <f>DATABASE!E682</f>
        <v>V3</v>
      </c>
      <c r="E28" s="130">
        <f>DATABASE!F682</f>
        <v>336.52</v>
      </c>
      <c r="F28" s="130">
        <f>DATABASE!G682</f>
        <v>0</v>
      </c>
      <c r="G28" s="130" t="str">
        <f>DATABASE!H682</f>
        <v>2</v>
      </c>
      <c r="H28" s="130" t="str">
        <f>DATABASE!I682</f>
        <v>Yes</v>
      </c>
      <c r="I28" s="130">
        <f>DATABASE!J682</f>
        <v>0</v>
      </c>
      <c r="J28" s="130">
        <f>DATABASE!K682</f>
        <v>130.54</v>
      </c>
      <c r="K28" s="130">
        <f>DATABASE!L682</f>
        <v>44.52</v>
      </c>
      <c r="L28" s="72">
        <f>DATABASE!M682</f>
        <v>0</v>
      </c>
      <c r="M28" s="130">
        <f>DATABASE!N682</f>
        <v>0</v>
      </c>
      <c r="N28" s="111">
        <f>DATABASE!O682</f>
        <v>161.46</v>
      </c>
      <c r="O28" s="78">
        <f>DATABASE!P682</f>
        <v>0</v>
      </c>
      <c r="P28" s="88" t="str">
        <f>DATABASE!Q682</f>
        <v>AVAILABLE</v>
      </c>
      <c r="Q28" s="78">
        <f>DATABASE!R682</f>
        <v>1060000</v>
      </c>
      <c r="R28" s="78">
        <f>DATABASE!S682</f>
        <v>1060000</v>
      </c>
      <c r="S28" s="78">
        <f>DATABASE!T682</f>
        <v>1090000</v>
      </c>
      <c r="T28" s="78">
        <f>DATABASE!U682</f>
        <v>0</v>
      </c>
      <c r="U28" s="79">
        <f>DATABASE!V682</f>
        <v>0</v>
      </c>
      <c r="V28" s="79">
        <f>DATABASE!W682</f>
        <v>1090000</v>
      </c>
      <c r="W28" s="80">
        <f>DATABASE!X682</f>
        <v>0</v>
      </c>
      <c r="X28" s="79">
        <f>DATABASE!Y682</f>
        <v>0</v>
      </c>
      <c r="Y28" s="79">
        <f>DATABASE!Z682</f>
        <v>0</v>
      </c>
      <c r="Z28" s="79" t="e">
        <f>DATABASE!#REF!</f>
        <v>#REF!</v>
      </c>
      <c r="AA28" s="81">
        <f>DATABASE!AA682</f>
        <v>0</v>
      </c>
      <c r="AB28" s="82">
        <f>DATABASE!AB682</f>
        <v>47208</v>
      </c>
    </row>
    <row r="29" spans="1:28">
      <c r="A29" s="128" t="str">
        <f>DATABASE!A683</f>
        <v>VP - TOWNHOUSES</v>
      </c>
      <c r="B29" s="129" t="str">
        <f>DATABASE!B683</f>
        <v>North</v>
      </c>
      <c r="C29" s="129" t="str">
        <f>DATABASE!C683</f>
        <v>13B</v>
      </c>
      <c r="D29" s="130" t="str">
        <f>DATABASE!E683</f>
        <v>V3</v>
      </c>
      <c r="E29" s="130">
        <f>DATABASE!F683</f>
        <v>297.44</v>
      </c>
      <c r="F29" s="130">
        <f>DATABASE!G683</f>
        <v>0</v>
      </c>
      <c r="G29" s="130" t="str">
        <f>DATABASE!H683</f>
        <v>2</v>
      </c>
      <c r="H29" s="130" t="str">
        <f>DATABASE!I683</f>
        <v>Yes</v>
      </c>
      <c r="I29" s="130">
        <f>DATABASE!J683</f>
        <v>0</v>
      </c>
      <c r="J29" s="130">
        <f>DATABASE!K683</f>
        <v>91.46</v>
      </c>
      <c r="K29" s="130">
        <f>DATABASE!L683</f>
        <v>44.52</v>
      </c>
      <c r="L29" s="72">
        <f>DATABASE!M683</f>
        <v>0</v>
      </c>
      <c r="M29" s="130">
        <f>DATABASE!N683</f>
        <v>0</v>
      </c>
      <c r="N29" s="111">
        <f>DATABASE!O683</f>
        <v>161.46</v>
      </c>
      <c r="O29" s="78">
        <f>DATABASE!P683</f>
        <v>0</v>
      </c>
      <c r="P29" s="88" t="str">
        <f>DATABASE!Q683</f>
        <v>AVAILABLE</v>
      </c>
      <c r="Q29" s="78">
        <f>DATABASE!R683</f>
        <v>1060000</v>
      </c>
      <c r="R29" s="78">
        <f>DATABASE!S683</f>
        <v>1060000</v>
      </c>
      <c r="S29" s="78">
        <f>DATABASE!T683</f>
        <v>1090000</v>
      </c>
      <c r="T29" s="78">
        <f>DATABASE!U683</f>
        <v>0</v>
      </c>
      <c r="U29" s="79">
        <f>DATABASE!V683</f>
        <v>0</v>
      </c>
      <c r="V29" s="79">
        <f>DATABASE!W683</f>
        <v>1090000</v>
      </c>
      <c r="W29" s="80">
        <f>DATABASE!X683</f>
        <v>0</v>
      </c>
      <c r="X29" s="79">
        <f>DATABASE!Y683</f>
        <v>0</v>
      </c>
      <c r="Y29" s="79">
        <f>DATABASE!Z683</f>
        <v>0</v>
      </c>
      <c r="Z29" s="79" t="e">
        <f>DATABASE!#REF!</f>
        <v>#REF!</v>
      </c>
      <c r="AA29" s="81">
        <f>DATABASE!AA683</f>
        <v>0</v>
      </c>
      <c r="AB29" s="82">
        <f>DATABASE!AB683</f>
        <v>47208</v>
      </c>
    </row>
    <row r="30" spans="1:28">
      <c r="A30" s="128" t="str">
        <f>DATABASE!A684</f>
        <v>VP - TOWNHOUSES</v>
      </c>
      <c r="B30" s="129" t="str">
        <f>DATABASE!B684</f>
        <v>North</v>
      </c>
      <c r="C30" s="129" t="str">
        <f>DATABASE!C684</f>
        <v>14B</v>
      </c>
      <c r="D30" s="130" t="str">
        <f>DATABASE!E684</f>
        <v>V3</v>
      </c>
      <c r="E30" s="130">
        <f>DATABASE!F684</f>
        <v>301.74</v>
      </c>
      <c r="F30" s="130">
        <f>DATABASE!G684</f>
        <v>0</v>
      </c>
      <c r="G30" s="130" t="str">
        <f>DATABASE!H684</f>
        <v>2</v>
      </c>
      <c r="H30" s="130" t="str">
        <f>DATABASE!I684</f>
        <v>Yes</v>
      </c>
      <c r="I30" s="130">
        <f>DATABASE!J684</f>
        <v>0</v>
      </c>
      <c r="J30" s="130">
        <f>DATABASE!K684</f>
        <v>88.46</v>
      </c>
      <c r="K30" s="130">
        <f>DATABASE!L684</f>
        <v>46.1</v>
      </c>
      <c r="L30" s="72">
        <f>DATABASE!M684</f>
        <v>0</v>
      </c>
      <c r="M30" s="130">
        <f>DATABASE!N684</f>
        <v>0</v>
      </c>
      <c r="N30" s="111">
        <f>DATABASE!O684</f>
        <v>167.18</v>
      </c>
      <c r="O30" s="78">
        <f>DATABASE!P684</f>
        <v>0</v>
      </c>
      <c r="P30" s="88" t="str">
        <f>DATABASE!Q684</f>
        <v>AVAILABLE</v>
      </c>
      <c r="Q30" s="78">
        <f>DATABASE!R684</f>
        <v>1060000</v>
      </c>
      <c r="R30" s="78">
        <f>DATABASE!S684</f>
        <v>1060000</v>
      </c>
      <c r="S30" s="78">
        <f>DATABASE!T684</f>
        <v>1110000</v>
      </c>
      <c r="T30" s="78">
        <f>DATABASE!U684</f>
        <v>0</v>
      </c>
      <c r="U30" s="79">
        <f>DATABASE!V684</f>
        <v>0</v>
      </c>
      <c r="V30" s="79">
        <f>DATABASE!W684</f>
        <v>1110000</v>
      </c>
      <c r="W30" s="80">
        <f>DATABASE!X684</f>
        <v>0</v>
      </c>
      <c r="X30" s="79">
        <f>DATABASE!Y684</f>
        <v>0</v>
      </c>
      <c r="Y30" s="79">
        <f>DATABASE!Z684</f>
        <v>0</v>
      </c>
      <c r="Z30" s="79" t="e">
        <f>DATABASE!#REF!</f>
        <v>#REF!</v>
      </c>
      <c r="AA30" s="81">
        <f>DATABASE!AA684</f>
        <v>0</v>
      </c>
      <c r="AB30" s="82">
        <f>DATABASE!AB684</f>
        <v>47208</v>
      </c>
    </row>
    <row r="31" spans="1:28">
      <c r="A31" s="128" t="str">
        <f>DATABASE!A685</f>
        <v>VP - TOWNHOUSES</v>
      </c>
      <c r="B31" s="129" t="str">
        <f>DATABASE!B685</f>
        <v>North</v>
      </c>
      <c r="C31" s="129" t="str">
        <f>DATABASE!C685</f>
        <v>10B</v>
      </c>
      <c r="D31" s="130" t="str">
        <f>DATABASE!E685</f>
        <v>V3</v>
      </c>
      <c r="E31" s="130">
        <f>DATABASE!F685</f>
        <v>331.29</v>
      </c>
      <c r="F31" s="130">
        <f>DATABASE!G685</f>
        <v>0</v>
      </c>
      <c r="G31" s="130" t="str">
        <f>DATABASE!H685</f>
        <v>2</v>
      </c>
      <c r="H31" s="130" t="str">
        <f>DATABASE!I685</f>
        <v>Yes</v>
      </c>
      <c r="I31" s="130">
        <f>DATABASE!J685</f>
        <v>0</v>
      </c>
      <c r="J31" s="130">
        <f>DATABASE!K685</f>
        <v>125.31</v>
      </c>
      <c r="K31" s="130">
        <f>DATABASE!L685</f>
        <v>44.52</v>
      </c>
      <c r="L31" s="72">
        <f>DATABASE!M685</f>
        <v>0</v>
      </c>
      <c r="M31" s="130">
        <f>DATABASE!N685</f>
        <v>0</v>
      </c>
      <c r="N31" s="111">
        <f>DATABASE!O685</f>
        <v>161.46</v>
      </c>
      <c r="O31" s="78">
        <f>DATABASE!P685</f>
        <v>0</v>
      </c>
      <c r="P31" s="88" t="str">
        <f>DATABASE!Q685</f>
        <v>UPON  REQUEST</v>
      </c>
      <c r="Q31" s="78">
        <f>DATABASE!R685</f>
        <v>1060000</v>
      </c>
      <c r="R31" s="78">
        <f>DATABASE!S685</f>
        <v>1060000</v>
      </c>
      <c r="S31" s="78">
        <f>DATABASE!T685</f>
        <v>1090000</v>
      </c>
      <c r="T31" s="78">
        <f>DATABASE!U685</f>
        <v>0</v>
      </c>
      <c r="U31" s="79">
        <f>DATABASE!V685</f>
        <v>0</v>
      </c>
      <c r="V31" s="79">
        <f>DATABASE!W685</f>
        <v>1090000</v>
      </c>
      <c r="W31" s="80">
        <f>DATABASE!X685</f>
        <v>0</v>
      </c>
      <c r="X31" s="79">
        <f>DATABASE!Y685</f>
        <v>0</v>
      </c>
      <c r="Y31" s="79">
        <f>DATABASE!Z685</f>
        <v>0</v>
      </c>
      <c r="Z31" s="79" t="e">
        <f>DATABASE!#REF!</f>
        <v>#REF!</v>
      </c>
      <c r="AA31" s="81">
        <f>DATABASE!AA685</f>
        <v>0</v>
      </c>
      <c r="AB31" s="82">
        <f>DATABASE!AB685</f>
        <v>47208</v>
      </c>
    </row>
    <row r="32" spans="1:28">
      <c r="A32" s="128" t="str">
        <f>DATABASE!A686</f>
        <v>VP - TOWNHOUSES</v>
      </c>
      <c r="B32" s="129" t="str">
        <f>DATABASE!B686</f>
        <v>North</v>
      </c>
      <c r="C32" s="129" t="str">
        <f>DATABASE!C686</f>
        <v>11B</v>
      </c>
      <c r="D32" s="130" t="str">
        <f>DATABASE!E686</f>
        <v>V3</v>
      </c>
      <c r="E32" s="130">
        <f>DATABASE!F686</f>
        <v>321.44</v>
      </c>
      <c r="F32" s="130">
        <f>DATABASE!G686</f>
        <v>0</v>
      </c>
      <c r="G32" s="130" t="str">
        <f>DATABASE!H686</f>
        <v>2</v>
      </c>
      <c r="H32" s="130" t="str">
        <f>DATABASE!I686</f>
        <v>Yes</v>
      </c>
      <c r="I32" s="130">
        <f>DATABASE!J686</f>
        <v>0</v>
      </c>
      <c r="J32" s="130">
        <f>DATABASE!K686</f>
        <v>115.46</v>
      </c>
      <c r="K32" s="130">
        <f>DATABASE!L686</f>
        <v>44.52</v>
      </c>
      <c r="L32" s="72">
        <f>DATABASE!M686</f>
        <v>0</v>
      </c>
      <c r="M32" s="130">
        <f>DATABASE!N686</f>
        <v>0</v>
      </c>
      <c r="N32" s="111">
        <f>DATABASE!O686</f>
        <v>161.46</v>
      </c>
      <c r="O32" s="78">
        <f>DATABASE!P686</f>
        <v>0</v>
      </c>
      <c r="P32" s="88" t="str">
        <f>DATABASE!Q686</f>
        <v>UPON  REQUEST</v>
      </c>
      <c r="Q32" s="78">
        <f>DATABASE!R686</f>
        <v>1060000</v>
      </c>
      <c r="R32" s="78">
        <f>DATABASE!S686</f>
        <v>1060000</v>
      </c>
      <c r="S32" s="78">
        <f>DATABASE!T686</f>
        <v>1090000</v>
      </c>
      <c r="T32" s="78">
        <f>DATABASE!U686</f>
        <v>0</v>
      </c>
      <c r="U32" s="79">
        <f>DATABASE!V686</f>
        <v>0</v>
      </c>
      <c r="V32" s="79">
        <f>DATABASE!W686</f>
        <v>1090000</v>
      </c>
      <c r="W32" s="80">
        <f>DATABASE!X686</f>
        <v>0</v>
      </c>
      <c r="X32" s="79">
        <f>DATABASE!Y686</f>
        <v>0</v>
      </c>
      <c r="Y32" s="79">
        <f>DATABASE!Z686</f>
        <v>0</v>
      </c>
      <c r="Z32" s="79" t="e">
        <f>DATABASE!#REF!</f>
        <v>#REF!</v>
      </c>
      <c r="AA32" s="81">
        <f>DATABASE!AA686</f>
        <v>0</v>
      </c>
      <c r="AB32" s="82">
        <f>DATABASE!AB686</f>
        <v>47208</v>
      </c>
    </row>
    <row r="33" spans="1:28">
      <c r="A33" s="128" t="str">
        <f>DATABASE!A687</f>
        <v>VP - TOWNHOUSES</v>
      </c>
      <c r="B33" s="129" t="str">
        <f>DATABASE!B687</f>
        <v>North</v>
      </c>
      <c r="C33" s="129" t="str">
        <f>DATABASE!C687</f>
        <v>12B</v>
      </c>
      <c r="D33" s="130" t="str">
        <f>DATABASE!E687</f>
        <v>V3</v>
      </c>
      <c r="E33" s="130">
        <f>DATABASE!F687</f>
        <v>309.29000000000002</v>
      </c>
      <c r="F33" s="130">
        <f>DATABASE!G687</f>
        <v>0</v>
      </c>
      <c r="G33" s="130" t="str">
        <f>DATABASE!H687</f>
        <v>2</v>
      </c>
      <c r="H33" s="130" t="str">
        <f>DATABASE!I687</f>
        <v>Yes</v>
      </c>
      <c r="I33" s="130">
        <f>DATABASE!J687</f>
        <v>0</v>
      </c>
      <c r="J33" s="130">
        <f>DATABASE!K687</f>
        <v>103.31</v>
      </c>
      <c r="K33" s="130">
        <f>DATABASE!L687</f>
        <v>44.52</v>
      </c>
      <c r="L33" s="72">
        <f>DATABASE!M687</f>
        <v>0</v>
      </c>
      <c r="M33" s="130">
        <f>DATABASE!N687</f>
        <v>0</v>
      </c>
      <c r="N33" s="111">
        <f>DATABASE!O687</f>
        <v>161.46</v>
      </c>
      <c r="O33" s="78">
        <f>DATABASE!P687</f>
        <v>0</v>
      </c>
      <c r="P33" s="88" t="str">
        <f>DATABASE!Q687</f>
        <v>UPON  REQUEST</v>
      </c>
      <c r="Q33" s="78">
        <f>DATABASE!R687</f>
        <v>1060000</v>
      </c>
      <c r="R33" s="78">
        <f>DATABASE!S687</f>
        <v>1060000</v>
      </c>
      <c r="S33" s="78">
        <f>DATABASE!T687</f>
        <v>1110000</v>
      </c>
      <c r="T33" s="78">
        <f>DATABASE!U687</f>
        <v>0</v>
      </c>
      <c r="U33" s="79">
        <f>DATABASE!V687</f>
        <v>0</v>
      </c>
      <c r="V33" s="79">
        <f>DATABASE!W687</f>
        <v>1110000</v>
      </c>
      <c r="W33" s="80">
        <f>DATABASE!X687</f>
        <v>0</v>
      </c>
      <c r="X33" s="79">
        <f>DATABASE!Y687</f>
        <v>0</v>
      </c>
      <c r="Y33" s="79">
        <f>DATABASE!Z687</f>
        <v>0</v>
      </c>
      <c r="Z33" s="79" t="e">
        <f>DATABASE!#REF!</f>
        <v>#REF!</v>
      </c>
      <c r="AA33" s="81">
        <f>DATABASE!AA687</f>
        <v>0</v>
      </c>
      <c r="AB33" s="82">
        <f>DATABASE!AB687</f>
        <v>47208</v>
      </c>
    </row>
    <row r="34" spans="1:28">
      <c r="A34" s="128" t="str">
        <f>DATABASE!A688</f>
        <v>VP - TOWNHOUSES</v>
      </c>
      <c r="B34" s="129" t="str">
        <f>DATABASE!B688</f>
        <v>North</v>
      </c>
      <c r="C34" s="129" t="str">
        <f>DATABASE!C688</f>
        <v>1C</v>
      </c>
      <c r="D34" s="130" t="str">
        <f>DATABASE!E688</f>
        <v>V3+1</v>
      </c>
      <c r="E34" s="130">
        <f>DATABASE!F688</f>
        <v>346.47</v>
      </c>
      <c r="F34" s="130">
        <f>DATABASE!G688</f>
        <v>0</v>
      </c>
      <c r="G34" s="130" t="str">
        <f>DATABASE!H688</f>
        <v>2</v>
      </c>
      <c r="H34" s="130" t="str">
        <f>DATABASE!I688</f>
        <v>Yes</v>
      </c>
      <c r="I34" s="130">
        <f>DATABASE!J688</f>
        <v>9.4700000000000006</v>
      </c>
      <c r="J34" s="130">
        <f>DATABASE!K688</f>
        <v>89.13</v>
      </c>
      <c r="K34" s="130">
        <f>DATABASE!L688</f>
        <v>49.45</v>
      </c>
      <c r="L34" s="72">
        <f>DATABASE!M688</f>
        <v>0</v>
      </c>
      <c r="M34" s="130">
        <f>DATABASE!N688</f>
        <v>0</v>
      </c>
      <c r="N34" s="111">
        <f>DATABASE!O688</f>
        <v>198.42</v>
      </c>
      <c r="O34" s="78">
        <f>DATABASE!P688</f>
        <v>0</v>
      </c>
      <c r="P34" s="88" t="str">
        <f>DATABASE!Q688</f>
        <v>UPON  REQUEST</v>
      </c>
      <c r="Q34" s="78">
        <f>DATABASE!R688</f>
        <v>1060000</v>
      </c>
      <c r="R34" s="78">
        <f>DATABASE!S688</f>
        <v>1060000</v>
      </c>
      <c r="S34" s="78">
        <f>DATABASE!T688</f>
        <v>1090000</v>
      </c>
      <c r="T34" s="78">
        <f>DATABASE!U688</f>
        <v>0</v>
      </c>
      <c r="U34" s="79">
        <f>DATABASE!V688</f>
        <v>0</v>
      </c>
      <c r="V34" s="79">
        <f>DATABASE!W688</f>
        <v>1090000</v>
      </c>
      <c r="W34" s="80">
        <f>DATABASE!X688</f>
        <v>0</v>
      </c>
      <c r="X34" s="79">
        <f>DATABASE!Y688</f>
        <v>0</v>
      </c>
      <c r="Y34" s="79">
        <f>DATABASE!Z688</f>
        <v>0</v>
      </c>
      <c r="Z34" s="79" t="e">
        <f>DATABASE!#REF!</f>
        <v>#REF!</v>
      </c>
      <c r="AA34" s="81">
        <f>DATABASE!AA688</f>
        <v>0</v>
      </c>
      <c r="AB34" s="82">
        <f>DATABASE!AB688</f>
        <v>47208</v>
      </c>
    </row>
    <row r="35" spans="1:28">
      <c r="A35" s="128" t="str">
        <f>DATABASE!A689</f>
        <v>SPRINGS</v>
      </c>
      <c r="B35" s="129" t="str">
        <f>DATABASE!B689</f>
        <v>Vilamoura</v>
      </c>
      <c r="C35" s="129" t="str">
        <f>DATABASE!C689</f>
        <v>BH</v>
      </c>
      <c r="D35" s="130" t="str">
        <f>DATABASE!E689</f>
        <v>V2 Duplex</v>
      </c>
      <c r="E35" s="130">
        <f>DATABASE!F689</f>
        <v>343.45</v>
      </c>
      <c r="F35" s="130">
        <f>DATABASE!G689</f>
        <v>179.37</v>
      </c>
      <c r="G35" s="130" t="str">
        <f>DATABASE!H689</f>
        <v/>
      </c>
      <c r="H35" s="130" t="str">
        <f>DATABASE!I689</f>
        <v/>
      </c>
      <c r="I35" s="130">
        <f>DATABASE!J689</f>
        <v>25.77</v>
      </c>
      <c r="J35" s="130">
        <f>DATABASE!K689</f>
        <v>0</v>
      </c>
      <c r="K35" s="130">
        <f>DATABASE!L689</f>
        <v>0</v>
      </c>
      <c r="L35" s="72">
        <f>DATABASE!M689</f>
        <v>0</v>
      </c>
      <c r="M35" s="130">
        <f>DATABASE!N689</f>
        <v>0</v>
      </c>
      <c r="N35" s="111">
        <f>DATABASE!O689</f>
        <v>138.31</v>
      </c>
      <c r="O35" s="78">
        <f>DATABASE!P689</f>
        <v>0</v>
      </c>
      <c r="P35" s="88" t="str">
        <f>DATABASE!Q689</f>
        <v>AVAILABLE</v>
      </c>
      <c r="Q35" s="78">
        <f>DATABASE!R689</f>
        <v>1667700</v>
      </c>
      <c r="R35" s="78">
        <f>DATABASE!S689</f>
        <v>1738850</v>
      </c>
      <c r="S35" s="78">
        <f>DATABASE!T689</f>
        <v>1810000</v>
      </c>
      <c r="T35" s="78">
        <f>DATABASE!U689</f>
        <v>24600</v>
      </c>
      <c r="U35" s="79">
        <f>DATABASE!V689</f>
        <v>46550</v>
      </c>
      <c r="V35" s="79">
        <f>DATABASE!W689</f>
        <v>1738850</v>
      </c>
      <c r="W35" s="80">
        <f>DATABASE!X689</f>
        <v>0</v>
      </c>
      <c r="X35" s="79">
        <f>DATABASE!Y689</f>
        <v>1810000</v>
      </c>
      <c r="Y35" s="79">
        <f>DATABASE!Z689</f>
        <v>1738850</v>
      </c>
      <c r="Z35" s="79" t="e">
        <f>DATABASE!#REF!</f>
        <v>#REF!</v>
      </c>
      <c r="AA35" s="81">
        <f>DATABASE!AA689</f>
        <v>0</v>
      </c>
      <c r="AB35" s="82">
        <f>DATABASE!AB689</f>
        <v>0</v>
      </c>
    </row>
    <row r="36" spans="1:28">
      <c r="A36" s="128" t="str">
        <f>DATABASE!A690</f>
        <v>TERRACOTA</v>
      </c>
      <c r="B36" s="129" t="str">
        <f>DATABASE!B690</f>
        <v>Vilamoura</v>
      </c>
      <c r="C36" s="129" t="str">
        <f>DATABASE!C690</f>
        <v>BH</v>
      </c>
      <c r="D36" s="130" t="str">
        <f>DATABASE!E690</f>
        <v>T4</v>
      </c>
      <c r="E36" s="130">
        <f>DATABASE!F690</f>
        <v>157.13999999999999</v>
      </c>
      <c r="F36" s="130">
        <f>DATABASE!G690</f>
        <v>0</v>
      </c>
      <c r="G36" s="130" t="str">
        <f>DATABASE!H690</f>
        <v/>
      </c>
      <c r="H36" s="130" t="str">
        <f>DATABASE!I690</f>
        <v/>
      </c>
      <c r="I36" s="130">
        <f>DATABASE!J690</f>
        <v>0</v>
      </c>
      <c r="J36" s="130">
        <f>DATABASE!K690</f>
        <v>0</v>
      </c>
      <c r="K36" s="130">
        <f>DATABASE!L690</f>
        <v>0</v>
      </c>
      <c r="L36" s="72">
        <f>DATABASE!M690</f>
        <v>0</v>
      </c>
      <c r="M36" s="130">
        <f>DATABASE!N690</f>
        <v>0</v>
      </c>
      <c r="N36" s="111">
        <f>DATABASE!O690</f>
        <v>157.13999999999999</v>
      </c>
      <c r="O36" s="78">
        <f>DATABASE!P690</f>
        <v>0</v>
      </c>
      <c r="P36" s="88" t="str">
        <f>DATABASE!Q690</f>
        <v>AVAILABLE</v>
      </c>
      <c r="Q36" s="78">
        <f>DATABASE!R690</f>
        <v>925000</v>
      </c>
      <c r="R36" s="78">
        <f>DATABASE!S690</f>
        <v>925000</v>
      </c>
      <c r="S36" s="78">
        <f>DATABASE!T690</f>
        <v>925000</v>
      </c>
      <c r="T36" s="78">
        <f>DATABASE!U690</f>
        <v>0</v>
      </c>
      <c r="U36" s="79">
        <f>DATABASE!V690</f>
        <v>0</v>
      </c>
      <c r="V36" s="79">
        <f>DATABASE!W690</f>
        <v>925000</v>
      </c>
      <c r="W36" s="80">
        <f>DATABASE!X690</f>
        <v>0</v>
      </c>
      <c r="X36" s="79">
        <f>DATABASE!Y690</f>
        <v>925000</v>
      </c>
      <c r="Y36" s="79">
        <f>DATABASE!Z690</f>
        <v>925000</v>
      </c>
      <c r="Z36" s="79" t="e">
        <f>DATABASE!#REF!</f>
        <v>#REF!</v>
      </c>
      <c r="AA36" s="81">
        <f>DATABASE!AA690</f>
        <v>0</v>
      </c>
      <c r="AB36" s="82">
        <f>DATABASE!AB690</f>
        <v>0</v>
      </c>
    </row>
    <row r="37" spans="1:28">
      <c r="A37" s="128" t="str">
        <f>DATABASE!A691</f>
        <v>ZESTIA</v>
      </c>
      <c r="B37" s="129" t="str">
        <f>DATABASE!B691</f>
        <v>Vilamoura</v>
      </c>
      <c r="C37" s="129" t="str">
        <f>DATABASE!C691</f>
        <v>BH</v>
      </c>
      <c r="D37" s="130" t="str">
        <f>DATABASE!E691</f>
        <v>T2 LO</v>
      </c>
      <c r="E37" s="130">
        <f>DATABASE!F691</f>
        <v>116.75</v>
      </c>
      <c r="F37" s="130">
        <f>DATABASE!G691</f>
        <v>0</v>
      </c>
      <c r="G37" s="130" t="str">
        <f>DATABASE!H691</f>
        <v/>
      </c>
      <c r="H37" s="130" t="str">
        <f>DATABASE!I691</f>
        <v/>
      </c>
      <c r="I37" s="130">
        <f>DATABASE!J691</f>
        <v>0</v>
      </c>
      <c r="J37" s="130">
        <f>DATABASE!K691</f>
        <v>0</v>
      </c>
      <c r="K37" s="130">
        <f>DATABASE!L691</f>
        <v>0</v>
      </c>
      <c r="L37" s="72">
        <f>DATABASE!M691</f>
        <v>28.58</v>
      </c>
      <c r="M37" s="130">
        <f>DATABASE!N691</f>
        <v>0</v>
      </c>
      <c r="N37" s="111">
        <f>DATABASE!O691</f>
        <v>88.17</v>
      </c>
      <c r="O37" s="78">
        <f>DATABASE!P691</f>
        <v>0</v>
      </c>
      <c r="P37" s="88" t="str">
        <f>DATABASE!Q691</f>
        <v>AVAILABLE</v>
      </c>
      <c r="Q37" s="78">
        <f>DATABASE!R691</f>
        <v>743066.4192</v>
      </c>
      <c r="R37" s="78">
        <f>DATABASE!S691</f>
        <v>807666.4192</v>
      </c>
      <c r="S37" s="78">
        <f>DATABASE!T691</f>
        <v>900000</v>
      </c>
      <c r="T37" s="78">
        <f>DATABASE!U691</f>
        <v>24600</v>
      </c>
      <c r="U37" s="79">
        <f>DATABASE!V691</f>
        <v>40000</v>
      </c>
      <c r="V37" s="79">
        <f>DATABASE!W691</f>
        <v>835400</v>
      </c>
      <c r="W37" s="80">
        <f>DATABASE!X691</f>
        <v>0</v>
      </c>
      <c r="X37" s="79">
        <f>DATABASE!Y691</f>
        <v>900000</v>
      </c>
      <c r="Y37" s="79">
        <f>DATABASE!Z691</f>
        <v>835400</v>
      </c>
      <c r="Z37" s="79" t="e">
        <f>DATABASE!#REF!</f>
        <v>#REF!</v>
      </c>
      <c r="AA37" s="81">
        <f>DATABASE!AA691</f>
        <v>0</v>
      </c>
      <c r="AB37" s="82">
        <f>DATABASE!AB691</f>
        <v>0</v>
      </c>
    </row>
    <row r="38" spans="1:28">
      <c r="A38" s="128" t="str">
        <f>DATABASE!A692</f>
        <v>SPRINGS</v>
      </c>
      <c r="B38" s="129" t="str">
        <f>DATABASE!B692</f>
        <v>Vilamoura</v>
      </c>
      <c r="C38" s="129" t="str">
        <f>DATABASE!C692</f>
        <v>BI</v>
      </c>
      <c r="D38" s="130" t="str">
        <f>DATABASE!E692</f>
        <v>V2 Duplex</v>
      </c>
      <c r="E38" s="130">
        <f>DATABASE!F692</f>
        <v>284.95999999999998</v>
      </c>
      <c r="F38" s="130">
        <f>DATABASE!G692</f>
        <v>117.66</v>
      </c>
      <c r="G38" s="130" t="str">
        <f>DATABASE!H692</f>
        <v/>
      </c>
      <c r="H38" s="130" t="str">
        <f>DATABASE!I692</f>
        <v/>
      </c>
      <c r="I38" s="130">
        <f>DATABASE!J692</f>
        <v>25.77</v>
      </c>
      <c r="J38" s="130">
        <f>DATABASE!K692</f>
        <v>0</v>
      </c>
      <c r="K38" s="130">
        <f>DATABASE!L692</f>
        <v>0</v>
      </c>
      <c r="L38" s="72">
        <f>DATABASE!M692</f>
        <v>0</v>
      </c>
      <c r="M38" s="130">
        <f>DATABASE!N692</f>
        <v>0</v>
      </c>
      <c r="N38" s="111">
        <f>DATABASE!O692</f>
        <v>141.53</v>
      </c>
      <c r="O38" s="78">
        <f>DATABASE!P692</f>
        <v>0</v>
      </c>
      <c r="P38" s="88" t="str">
        <f>DATABASE!Q692</f>
        <v>AVAILABLE</v>
      </c>
      <c r="Q38" s="78">
        <f>DATABASE!R692</f>
        <v>1457700</v>
      </c>
      <c r="R38" s="78">
        <f>DATABASE!S692</f>
        <v>1528850</v>
      </c>
      <c r="S38" s="78">
        <f>DATABASE!T692</f>
        <v>1600000</v>
      </c>
      <c r="T38" s="78">
        <f>DATABASE!U692</f>
        <v>24600</v>
      </c>
      <c r="U38" s="79">
        <f>DATABASE!V692</f>
        <v>46550</v>
      </c>
      <c r="V38" s="79">
        <f>DATABASE!W692</f>
        <v>1528850</v>
      </c>
      <c r="W38" s="80">
        <f>DATABASE!X692</f>
        <v>0</v>
      </c>
      <c r="X38" s="79">
        <f>DATABASE!Y692</f>
        <v>1600000</v>
      </c>
      <c r="Y38" s="79">
        <f>DATABASE!Z692</f>
        <v>1528850</v>
      </c>
      <c r="Z38" s="79" t="e">
        <f>DATABASE!#REF!</f>
        <v>#REF!</v>
      </c>
      <c r="AA38" s="81">
        <f>DATABASE!AA692</f>
        <v>0</v>
      </c>
      <c r="AB38" s="82">
        <f>DATABASE!AB692</f>
        <v>0</v>
      </c>
    </row>
    <row r="39" spans="1:28">
      <c r="A39" s="128" t="str">
        <f>DATABASE!A693</f>
        <v>TERRACOTA</v>
      </c>
      <c r="B39" s="129" t="str">
        <f>DATABASE!B693</f>
        <v>Vilamoura</v>
      </c>
      <c r="C39" s="129" t="str">
        <f>DATABASE!C693</f>
        <v>BI</v>
      </c>
      <c r="D39" s="130" t="str">
        <f>DATABASE!E693</f>
        <v>T3</v>
      </c>
      <c r="E39" s="130">
        <f>DATABASE!F693</f>
        <v>130.91999999999999</v>
      </c>
      <c r="F39" s="130">
        <f>DATABASE!G693</f>
        <v>0</v>
      </c>
      <c r="G39" s="130" t="str">
        <f>DATABASE!H693</f>
        <v/>
      </c>
      <c r="H39" s="130" t="str">
        <f>DATABASE!I693</f>
        <v/>
      </c>
      <c r="I39" s="130">
        <f>DATABASE!J693</f>
        <v>0</v>
      </c>
      <c r="J39" s="130">
        <f>DATABASE!K693</f>
        <v>0</v>
      </c>
      <c r="K39" s="130">
        <f>DATABASE!L693</f>
        <v>0</v>
      </c>
      <c r="L39" s="72">
        <f>DATABASE!M693</f>
        <v>0</v>
      </c>
      <c r="M39" s="130">
        <f>DATABASE!N693</f>
        <v>0</v>
      </c>
      <c r="N39" s="111">
        <f>DATABASE!O693</f>
        <v>130.91999999999999</v>
      </c>
      <c r="O39" s="78">
        <f>DATABASE!P693</f>
        <v>0</v>
      </c>
      <c r="P39" s="88" t="str">
        <f>DATABASE!Q693</f>
        <v>PRE-RESERVED</v>
      </c>
      <c r="Q39" s="78">
        <f>DATABASE!R693</f>
        <v>750000</v>
      </c>
      <c r="R39" s="78">
        <f>DATABASE!S693</f>
        <v>750000</v>
      </c>
      <c r="S39" s="78">
        <f>DATABASE!T693</f>
        <v>750000</v>
      </c>
      <c r="T39" s="78">
        <f>DATABASE!U693</f>
        <v>0</v>
      </c>
      <c r="U39" s="79">
        <f>DATABASE!V693</f>
        <v>0</v>
      </c>
      <c r="V39" s="79">
        <f>DATABASE!W693</f>
        <v>750000</v>
      </c>
      <c r="W39" s="80">
        <f>DATABASE!X693</f>
        <v>0</v>
      </c>
      <c r="X39" s="79">
        <f>DATABASE!Y693</f>
        <v>750000</v>
      </c>
      <c r="Y39" s="79">
        <f>DATABASE!Z693</f>
        <v>750000</v>
      </c>
      <c r="Z39" s="79" t="e">
        <f>DATABASE!#REF!</f>
        <v>#REF!</v>
      </c>
      <c r="AA39" s="81">
        <f>DATABASE!AA693</f>
        <v>45781</v>
      </c>
      <c r="AB39" s="82">
        <f>DATABASE!AB693</f>
        <v>0</v>
      </c>
    </row>
    <row r="40" spans="1:28">
      <c r="A40" s="128" t="str">
        <f>DATABASE!A694</f>
        <v>MR -LT da Casa do Campo</v>
      </c>
      <c r="B40" s="129" t="str">
        <f>DATABASE!B694</f>
        <v>Algarve</v>
      </c>
      <c r="C40" s="129" t="str">
        <f>DATABASE!C694</f>
        <v>6</v>
      </c>
      <c r="D40" s="130" t="str">
        <f>DATABASE!E694</f>
        <v>Plot</v>
      </c>
      <c r="E40" s="130">
        <f>DATABASE!F694</f>
        <v>500</v>
      </c>
      <c r="F40" s="130">
        <f>DATABASE!G694</f>
        <v>0</v>
      </c>
      <c r="G40" s="130" t="str">
        <f>DATABASE!H694</f>
        <v/>
      </c>
      <c r="H40" s="130" t="str">
        <f>DATABASE!I694</f>
        <v/>
      </c>
      <c r="I40" s="130">
        <f>DATABASE!J694</f>
        <v>0</v>
      </c>
      <c r="J40" s="130">
        <f>DATABASE!K694</f>
        <v>0</v>
      </c>
      <c r="K40" s="130">
        <f>DATABASE!L694</f>
        <v>0</v>
      </c>
      <c r="L40" s="72">
        <f>DATABASE!M694</f>
        <v>0</v>
      </c>
      <c r="M40" s="130">
        <f>DATABASE!N694</f>
        <v>0</v>
      </c>
      <c r="N40" s="111">
        <f>DATABASE!O694</f>
        <v>500</v>
      </c>
      <c r="O40" s="78">
        <f>DATABASE!P694</f>
        <v>0</v>
      </c>
      <c r="P40" s="88" t="str">
        <f>DATABASE!Q694</f>
        <v>AVAILABLE</v>
      </c>
      <c r="Q40" s="78">
        <f>DATABASE!R694</f>
        <v>1065000</v>
      </c>
      <c r="R40" s="78">
        <f>DATABASE!S694</f>
        <v>1065000</v>
      </c>
      <c r="S40" s="78">
        <f>DATABASE!T694</f>
        <v>910000</v>
      </c>
      <c r="T40" s="78">
        <f>DATABASE!U694</f>
        <v>0</v>
      </c>
      <c r="U40" s="79">
        <f>DATABASE!V694</f>
        <v>0</v>
      </c>
      <c r="V40" s="79">
        <f>DATABASE!W694</f>
        <v>910000</v>
      </c>
      <c r="W40" s="80">
        <f>DATABASE!X694</f>
        <v>0</v>
      </c>
      <c r="X40" s="79">
        <f>DATABASE!Y694</f>
        <v>0</v>
      </c>
      <c r="Y40" s="79">
        <f>DATABASE!Z694</f>
        <v>0</v>
      </c>
      <c r="Z40" s="79" t="e">
        <f>DATABASE!#REF!</f>
        <v>#REF!</v>
      </c>
      <c r="AA40" s="81">
        <f>DATABASE!AA694</f>
        <v>0</v>
      </c>
      <c r="AB40" s="82" t="str">
        <f>DATABASE!AB694</f>
        <v>TBD</v>
      </c>
    </row>
    <row r="41" spans="1:28">
      <c r="A41" s="128" t="str">
        <f>DATABASE!A695</f>
        <v>ZESTIA</v>
      </c>
      <c r="B41" s="129" t="str">
        <f>DATABASE!B695</f>
        <v>Vilamoura</v>
      </c>
      <c r="C41" s="129" t="str">
        <f>DATABASE!C695</f>
        <v>BI</v>
      </c>
      <c r="D41" s="130" t="str">
        <f>DATABASE!E695</f>
        <v>T2</v>
      </c>
      <c r="E41" s="130">
        <f>DATABASE!F695</f>
        <v>259.44</v>
      </c>
      <c r="F41" s="130">
        <f>DATABASE!G695</f>
        <v>0</v>
      </c>
      <c r="G41" s="130" t="str">
        <f>DATABASE!H695</f>
        <v/>
      </c>
      <c r="H41" s="130" t="str">
        <f>DATABASE!I695</f>
        <v/>
      </c>
      <c r="I41" s="130">
        <f>DATABASE!J695</f>
        <v>0</v>
      </c>
      <c r="J41" s="130">
        <f>DATABASE!K695</f>
        <v>0</v>
      </c>
      <c r="K41" s="130">
        <f>DATABASE!L695</f>
        <v>0</v>
      </c>
      <c r="L41" s="72">
        <f>DATABASE!M695</f>
        <v>164.51</v>
      </c>
      <c r="M41" s="130">
        <f>DATABASE!N695</f>
        <v>0</v>
      </c>
      <c r="N41" s="111">
        <f>DATABASE!O695</f>
        <v>94.93</v>
      </c>
      <c r="O41" s="78">
        <f>DATABASE!P695</f>
        <v>0</v>
      </c>
      <c r="P41" s="88" t="str">
        <f>DATABASE!Q695</f>
        <v>AVAILABLE</v>
      </c>
      <c r="Q41" s="78">
        <f>DATABASE!R695</f>
        <v>990538.43360000011</v>
      </c>
      <c r="R41" s="78">
        <f>DATABASE!S695</f>
        <v>1065138.4336000001</v>
      </c>
      <c r="S41" s="78">
        <f>DATABASE!T695</f>
        <v>1170000</v>
      </c>
      <c r="T41" s="78">
        <f>DATABASE!U695</f>
        <v>24600</v>
      </c>
      <c r="U41" s="79">
        <f>DATABASE!V695</f>
        <v>50000</v>
      </c>
      <c r="V41" s="79">
        <f>DATABASE!W695</f>
        <v>1095400</v>
      </c>
      <c r="W41" s="80">
        <f>DATABASE!X695</f>
        <v>0</v>
      </c>
      <c r="X41" s="79">
        <f>DATABASE!Y695</f>
        <v>1170000</v>
      </c>
      <c r="Y41" s="79">
        <f>DATABASE!Z695</f>
        <v>1095400</v>
      </c>
      <c r="Z41" s="79" t="e">
        <f>DATABASE!#REF!</f>
        <v>#REF!</v>
      </c>
      <c r="AA41" s="81">
        <f>DATABASE!AA695</f>
        <v>0</v>
      </c>
      <c r="AB41" s="82">
        <f>DATABASE!AB695</f>
        <v>0</v>
      </c>
    </row>
    <row r="42" spans="1:28">
      <c r="A42" s="128" t="str">
        <f>DATABASE!A696</f>
        <v>SPRINGS</v>
      </c>
      <c r="B42" s="129" t="str">
        <f>DATABASE!B696</f>
        <v>Vilamoura</v>
      </c>
      <c r="C42" s="129" t="str">
        <f>DATABASE!C696</f>
        <v>BJ</v>
      </c>
      <c r="D42" s="130" t="str">
        <f>DATABASE!E696</f>
        <v>V2 Duplex</v>
      </c>
      <c r="E42" s="130">
        <f>DATABASE!F696</f>
        <v>278.27</v>
      </c>
      <c r="F42" s="130">
        <f>DATABASE!G696</f>
        <v>117.06</v>
      </c>
      <c r="G42" s="130" t="str">
        <f>DATABASE!H696</f>
        <v/>
      </c>
      <c r="H42" s="130" t="str">
        <f>DATABASE!I696</f>
        <v/>
      </c>
      <c r="I42" s="130">
        <f>DATABASE!J696</f>
        <v>25.77</v>
      </c>
      <c r="J42" s="130">
        <f>DATABASE!K696</f>
        <v>0</v>
      </c>
      <c r="K42" s="130">
        <f>DATABASE!L696</f>
        <v>0</v>
      </c>
      <c r="L42" s="72">
        <f>DATABASE!M696</f>
        <v>0</v>
      </c>
      <c r="M42" s="130">
        <f>DATABASE!N696</f>
        <v>0</v>
      </c>
      <c r="N42" s="111">
        <f>DATABASE!O696</f>
        <v>135.44</v>
      </c>
      <c r="O42" s="78">
        <f>DATABASE!P696</f>
        <v>0</v>
      </c>
      <c r="P42" s="88" t="str">
        <f>DATABASE!Q696</f>
        <v>AVAILABLE</v>
      </c>
      <c r="Q42" s="78">
        <f>DATABASE!R696</f>
        <v>1347700</v>
      </c>
      <c r="R42" s="78">
        <f>DATABASE!S696</f>
        <v>1418850</v>
      </c>
      <c r="S42" s="78">
        <f>DATABASE!T696</f>
        <v>1490000</v>
      </c>
      <c r="T42" s="78">
        <f>DATABASE!U696</f>
        <v>24600</v>
      </c>
      <c r="U42" s="79">
        <f>DATABASE!V696</f>
        <v>46550</v>
      </c>
      <c r="V42" s="79">
        <f>DATABASE!W696</f>
        <v>1418850</v>
      </c>
      <c r="W42" s="80">
        <f>DATABASE!X696</f>
        <v>0</v>
      </c>
      <c r="X42" s="79">
        <f>DATABASE!Y696</f>
        <v>1490000</v>
      </c>
      <c r="Y42" s="79">
        <f>DATABASE!Z696</f>
        <v>1418850</v>
      </c>
      <c r="Z42" s="79" t="e">
        <f>DATABASE!#REF!</f>
        <v>#REF!</v>
      </c>
      <c r="AA42" s="81">
        <f>DATABASE!AA696</f>
        <v>0</v>
      </c>
      <c r="AB42" s="82">
        <f>DATABASE!AB696</f>
        <v>0</v>
      </c>
    </row>
    <row r="43" spans="1:28">
      <c r="A43" s="128" t="str">
        <f>DATABASE!A697</f>
        <v>TERRACOTA</v>
      </c>
      <c r="B43" s="129" t="str">
        <f>DATABASE!B697</f>
        <v>Vilamoura</v>
      </c>
      <c r="C43" s="129" t="str">
        <f>DATABASE!C697</f>
        <v>BJ</v>
      </c>
      <c r="D43" s="130" t="str">
        <f>DATABASE!E697</f>
        <v>T4</v>
      </c>
      <c r="E43" s="130">
        <f>DATABASE!F697</f>
        <v>157.13999999999999</v>
      </c>
      <c r="F43" s="130">
        <f>DATABASE!G697</f>
        <v>0</v>
      </c>
      <c r="G43" s="130" t="str">
        <f>DATABASE!H697</f>
        <v/>
      </c>
      <c r="H43" s="130" t="str">
        <f>DATABASE!I697</f>
        <v/>
      </c>
      <c r="I43" s="130">
        <f>DATABASE!J697</f>
        <v>0</v>
      </c>
      <c r="J43" s="130">
        <f>DATABASE!K697</f>
        <v>0</v>
      </c>
      <c r="K43" s="130">
        <f>DATABASE!L697</f>
        <v>0</v>
      </c>
      <c r="L43" s="72">
        <f>DATABASE!M697</f>
        <v>0</v>
      </c>
      <c r="M43" s="130">
        <f>DATABASE!N697</f>
        <v>0</v>
      </c>
      <c r="N43" s="111">
        <f>DATABASE!O697</f>
        <v>157.13999999999999</v>
      </c>
      <c r="O43" s="78">
        <f>DATABASE!P697</f>
        <v>0</v>
      </c>
      <c r="P43" s="88" t="str">
        <f>DATABASE!Q697</f>
        <v>AVAILABLE</v>
      </c>
      <c r="Q43" s="78">
        <f>DATABASE!R697</f>
        <v>925000</v>
      </c>
      <c r="R43" s="78">
        <f>DATABASE!S697</f>
        <v>925000</v>
      </c>
      <c r="S43" s="78">
        <f>DATABASE!T697</f>
        <v>925000</v>
      </c>
      <c r="T43" s="78">
        <f>DATABASE!U697</f>
        <v>0</v>
      </c>
      <c r="U43" s="79">
        <f>DATABASE!V697</f>
        <v>0</v>
      </c>
      <c r="V43" s="79">
        <f>DATABASE!W697</f>
        <v>925000</v>
      </c>
      <c r="W43" s="80">
        <f>DATABASE!X697</f>
        <v>0</v>
      </c>
      <c r="X43" s="79">
        <f>DATABASE!Y697</f>
        <v>925000</v>
      </c>
      <c r="Y43" s="79">
        <f>DATABASE!Z697</f>
        <v>925000</v>
      </c>
      <c r="Z43" s="79" t="e">
        <f>DATABASE!#REF!</f>
        <v>#REF!</v>
      </c>
      <c r="AA43" s="81">
        <f>DATABASE!AA697</f>
        <v>0</v>
      </c>
      <c r="AB43" s="82">
        <f>DATABASE!AB697</f>
        <v>0</v>
      </c>
    </row>
    <row r="44" spans="1:28">
      <c r="A44" s="128" t="str">
        <f>DATABASE!A698</f>
        <v>MR - LT do Golfe</v>
      </c>
      <c r="B44" s="129" t="str">
        <f>DATABASE!B698</f>
        <v>Algarve</v>
      </c>
      <c r="C44" s="129" t="str">
        <f>DATABASE!C698</f>
        <v>30</v>
      </c>
      <c r="D44" s="130" t="str">
        <f>DATABASE!E698</f>
        <v>Plot</v>
      </c>
      <c r="E44" s="130">
        <f>DATABASE!F698</f>
        <v>450</v>
      </c>
      <c r="F44" s="130">
        <f>DATABASE!G698</f>
        <v>0</v>
      </c>
      <c r="G44" s="130" t="str">
        <f>DATABASE!H698</f>
        <v/>
      </c>
      <c r="H44" s="130" t="str">
        <f>DATABASE!I698</f>
        <v/>
      </c>
      <c r="I44" s="130">
        <f>DATABASE!J698</f>
        <v>0</v>
      </c>
      <c r="J44" s="130">
        <f>DATABASE!K698</f>
        <v>0</v>
      </c>
      <c r="K44" s="130">
        <f>DATABASE!L698</f>
        <v>0</v>
      </c>
      <c r="L44" s="72">
        <f>DATABASE!M698</f>
        <v>0</v>
      </c>
      <c r="M44" s="130">
        <f>DATABASE!N698</f>
        <v>0</v>
      </c>
      <c r="N44" s="111">
        <f>DATABASE!O698</f>
        <v>450</v>
      </c>
      <c r="O44" s="78">
        <f>DATABASE!P698</f>
        <v>0</v>
      </c>
      <c r="P44" s="88" t="str">
        <f>DATABASE!Q698</f>
        <v>AVAILABLE</v>
      </c>
      <c r="Q44" s="78">
        <f>DATABASE!R698</f>
        <v>1070000</v>
      </c>
      <c r="R44" s="78">
        <f>DATABASE!S698</f>
        <v>1070000</v>
      </c>
      <c r="S44" s="78">
        <f>DATABASE!T698</f>
        <v>960000</v>
      </c>
      <c r="T44" s="78">
        <f>DATABASE!U698</f>
        <v>0</v>
      </c>
      <c r="U44" s="79">
        <f>DATABASE!V698</f>
        <v>0</v>
      </c>
      <c r="V44" s="79">
        <f>DATABASE!W698</f>
        <v>960000</v>
      </c>
      <c r="W44" s="80">
        <f>DATABASE!X698</f>
        <v>0</v>
      </c>
      <c r="X44" s="79">
        <f>DATABASE!Y698</f>
        <v>0</v>
      </c>
      <c r="Y44" s="79">
        <f>DATABASE!Z698</f>
        <v>0</v>
      </c>
      <c r="Z44" s="79" t="e">
        <f>DATABASE!#REF!</f>
        <v>#REF!</v>
      </c>
      <c r="AA44" s="81">
        <f>DATABASE!AA698</f>
        <v>0</v>
      </c>
      <c r="AB44" s="82" t="str">
        <f>DATABASE!AB698</f>
        <v>TBD</v>
      </c>
    </row>
    <row r="45" spans="1:28">
      <c r="A45" s="128" t="str">
        <f>DATABASE!A699</f>
        <v>ZESTIA</v>
      </c>
      <c r="B45" s="129" t="str">
        <f>DATABASE!B699</f>
        <v>Vilamoura</v>
      </c>
      <c r="C45" s="129" t="str">
        <f>DATABASE!C699</f>
        <v>BJ</v>
      </c>
      <c r="D45" s="130" t="str">
        <f>DATABASE!E699</f>
        <v>T2</v>
      </c>
      <c r="E45" s="130">
        <f>DATABASE!F699</f>
        <v>274.99</v>
      </c>
      <c r="F45" s="130">
        <f>DATABASE!G699</f>
        <v>0</v>
      </c>
      <c r="G45" s="130" t="str">
        <f>DATABASE!H699</f>
        <v/>
      </c>
      <c r="H45" s="130" t="str">
        <f>DATABASE!I699</f>
        <v/>
      </c>
      <c r="I45" s="130">
        <f>DATABASE!J699</f>
        <v>0</v>
      </c>
      <c r="J45" s="130">
        <f>DATABASE!K699</f>
        <v>0</v>
      </c>
      <c r="K45" s="130">
        <f>DATABASE!L699</f>
        <v>0</v>
      </c>
      <c r="L45" s="72">
        <f>DATABASE!M699</f>
        <v>180.36</v>
      </c>
      <c r="M45" s="130">
        <f>DATABASE!N699</f>
        <v>0</v>
      </c>
      <c r="N45" s="111">
        <f>DATABASE!O699</f>
        <v>94.63</v>
      </c>
      <c r="O45" s="78">
        <f>DATABASE!P699</f>
        <v>0</v>
      </c>
      <c r="P45" s="88" t="str">
        <f>DATABASE!Q699</f>
        <v>AVAILABLE</v>
      </c>
      <c r="Q45" s="78">
        <f>DATABASE!R699</f>
        <v>999681.57759999996</v>
      </c>
      <c r="R45" s="78">
        <f>DATABASE!S699</f>
        <v>1074281.5776</v>
      </c>
      <c r="S45" s="78">
        <f>DATABASE!T699</f>
        <v>1190000</v>
      </c>
      <c r="T45" s="78">
        <f>DATABASE!U699</f>
        <v>24600</v>
      </c>
      <c r="U45" s="79">
        <f>DATABASE!V699</f>
        <v>50000</v>
      </c>
      <c r="V45" s="79">
        <f>DATABASE!W699</f>
        <v>1115400</v>
      </c>
      <c r="W45" s="80">
        <f>DATABASE!X699</f>
        <v>0</v>
      </c>
      <c r="X45" s="79">
        <f>DATABASE!Y699</f>
        <v>1190000</v>
      </c>
      <c r="Y45" s="79">
        <f>DATABASE!Z699</f>
        <v>1115400</v>
      </c>
      <c r="Z45" s="79" t="e">
        <f>DATABASE!#REF!</f>
        <v>#REF!</v>
      </c>
      <c r="AA45" s="81">
        <f>DATABASE!AA699</f>
        <v>0</v>
      </c>
      <c r="AB45" s="82">
        <f>DATABASE!AB699</f>
        <v>0</v>
      </c>
    </row>
    <row r="46" spans="1:28">
      <c r="A46" s="128" t="str">
        <f>DATABASE!A700</f>
        <v>SPRINGS</v>
      </c>
      <c r="B46" s="129" t="str">
        <f>DATABASE!B700</f>
        <v>Vilamoura</v>
      </c>
      <c r="C46" s="129" t="str">
        <f>DATABASE!C700</f>
        <v>BK</v>
      </c>
      <c r="D46" s="130" t="str">
        <f>DATABASE!E700</f>
        <v>V2 Duplex</v>
      </c>
      <c r="E46" s="130">
        <f>DATABASE!F700</f>
        <v>280.27</v>
      </c>
      <c r="F46" s="130">
        <f>DATABASE!G700</f>
        <v>119.06</v>
      </c>
      <c r="G46" s="130" t="str">
        <f>DATABASE!H700</f>
        <v/>
      </c>
      <c r="H46" s="130" t="str">
        <f>DATABASE!I700</f>
        <v/>
      </c>
      <c r="I46" s="130">
        <f>DATABASE!J700</f>
        <v>25.77</v>
      </c>
      <c r="J46" s="130">
        <f>DATABASE!K700</f>
        <v>0</v>
      </c>
      <c r="K46" s="130">
        <f>DATABASE!L700</f>
        <v>0</v>
      </c>
      <c r="L46" s="72">
        <f>DATABASE!M700</f>
        <v>0</v>
      </c>
      <c r="M46" s="130">
        <f>DATABASE!N700</f>
        <v>0</v>
      </c>
      <c r="N46" s="111">
        <f>DATABASE!O700</f>
        <v>135.44</v>
      </c>
      <c r="O46" s="78">
        <f>DATABASE!P700</f>
        <v>0</v>
      </c>
      <c r="P46" s="88" t="str">
        <f>DATABASE!Q700</f>
        <v>AVAILABLE</v>
      </c>
      <c r="Q46" s="78">
        <f>DATABASE!R700</f>
        <v>1347700</v>
      </c>
      <c r="R46" s="78">
        <f>DATABASE!S700</f>
        <v>1418850</v>
      </c>
      <c r="S46" s="78">
        <f>DATABASE!T700</f>
        <v>1490000</v>
      </c>
      <c r="T46" s="78">
        <f>DATABASE!U700</f>
        <v>24600</v>
      </c>
      <c r="U46" s="79">
        <f>DATABASE!V700</f>
        <v>46550</v>
      </c>
      <c r="V46" s="79">
        <f>DATABASE!W700</f>
        <v>1418850</v>
      </c>
      <c r="W46" s="80">
        <f>DATABASE!X700</f>
        <v>0</v>
      </c>
      <c r="X46" s="79">
        <f>DATABASE!Y700</f>
        <v>1490000</v>
      </c>
      <c r="Y46" s="79">
        <f>DATABASE!Z700</f>
        <v>1418850</v>
      </c>
      <c r="Z46" s="79" t="e">
        <f>DATABASE!#REF!</f>
        <v>#REF!</v>
      </c>
      <c r="AA46" s="81">
        <f>DATABASE!AA700</f>
        <v>0</v>
      </c>
      <c r="AB46" s="82">
        <f>DATABASE!AB700</f>
        <v>0</v>
      </c>
    </row>
    <row r="47" spans="1:28">
      <c r="A47" s="128" t="str">
        <f>DATABASE!A701</f>
        <v>TERRACOTA</v>
      </c>
      <c r="B47" s="129" t="str">
        <f>DATABASE!B701</f>
        <v>Vilamoura</v>
      </c>
      <c r="C47" s="129" t="str">
        <f>DATABASE!C701</f>
        <v>BK</v>
      </c>
      <c r="D47" s="130" t="str">
        <f>DATABASE!E701</f>
        <v>T3</v>
      </c>
      <c r="E47" s="130">
        <f>DATABASE!F701</f>
        <v>130.91999999999999</v>
      </c>
      <c r="F47" s="130">
        <f>DATABASE!G701</f>
        <v>0</v>
      </c>
      <c r="G47" s="130" t="str">
        <f>DATABASE!H701</f>
        <v/>
      </c>
      <c r="H47" s="130" t="str">
        <f>DATABASE!I701</f>
        <v/>
      </c>
      <c r="I47" s="130">
        <f>DATABASE!J701</f>
        <v>0</v>
      </c>
      <c r="J47" s="130">
        <f>DATABASE!K701</f>
        <v>0</v>
      </c>
      <c r="K47" s="130">
        <f>DATABASE!L701</f>
        <v>0</v>
      </c>
      <c r="L47" s="72">
        <f>DATABASE!M701</f>
        <v>0</v>
      </c>
      <c r="M47" s="130">
        <f>DATABASE!N701</f>
        <v>0</v>
      </c>
      <c r="N47" s="111">
        <f>DATABASE!O701</f>
        <v>130.91999999999999</v>
      </c>
      <c r="O47" s="78">
        <f>DATABASE!P701</f>
        <v>0</v>
      </c>
      <c r="P47" s="88" t="str">
        <f>DATABASE!Q701</f>
        <v>AVAILABLE</v>
      </c>
      <c r="Q47" s="78">
        <f>DATABASE!R701</f>
        <v>700000</v>
      </c>
      <c r="R47" s="78">
        <f>DATABASE!S701</f>
        <v>700000</v>
      </c>
      <c r="S47" s="78">
        <f>DATABASE!T701</f>
        <v>710000</v>
      </c>
      <c r="T47" s="78">
        <f>DATABASE!U701</f>
        <v>0</v>
      </c>
      <c r="U47" s="79">
        <f>DATABASE!V701</f>
        <v>0</v>
      </c>
      <c r="V47" s="79">
        <f>DATABASE!W701</f>
        <v>710000</v>
      </c>
      <c r="W47" s="80">
        <f>DATABASE!X701</f>
        <v>0</v>
      </c>
      <c r="X47" s="79">
        <f>DATABASE!Y701</f>
        <v>710000</v>
      </c>
      <c r="Y47" s="79">
        <f>DATABASE!Z701</f>
        <v>710000</v>
      </c>
      <c r="Z47" s="79" t="e">
        <f>DATABASE!#REF!</f>
        <v>#REF!</v>
      </c>
      <c r="AA47" s="81">
        <f>DATABASE!AA701</f>
        <v>0</v>
      </c>
      <c r="AB47" s="82">
        <f>DATABASE!AB701</f>
        <v>0</v>
      </c>
    </row>
    <row r="48" spans="1:28">
      <c r="A48" s="128" t="str">
        <f>DATABASE!A702</f>
        <v>Aroeira - HOTEL APARTMENTS</v>
      </c>
      <c r="B48" s="129" t="str">
        <f>DATABASE!B702</f>
        <v>Center</v>
      </c>
      <c r="C48" s="129" t="str">
        <f>DATABASE!C702</f>
        <v>217A</v>
      </c>
      <c r="D48" s="130" t="str">
        <f>DATABASE!E702</f>
        <v>1-BR</v>
      </c>
      <c r="E48" s="130">
        <f>DATABASE!F702</f>
        <v>65</v>
      </c>
      <c r="F48" s="130">
        <f>DATABASE!G702</f>
        <v>0</v>
      </c>
      <c r="G48" s="130" t="str">
        <f>DATABASE!H702</f>
        <v>1</v>
      </c>
      <c r="H48" s="130" t="str">
        <f>DATABASE!I702</f>
        <v/>
      </c>
      <c r="I48" s="130">
        <f>DATABASE!J702</f>
        <v>8.6999999999999993</v>
      </c>
      <c r="J48" s="130">
        <f>DATABASE!K702</f>
        <v>0</v>
      </c>
      <c r="K48" s="130">
        <f>DATABASE!L702</f>
        <v>0</v>
      </c>
      <c r="L48" s="72">
        <f>DATABASE!M702</f>
        <v>0</v>
      </c>
      <c r="M48" s="130">
        <f>DATABASE!N702</f>
        <v>0</v>
      </c>
      <c r="N48" s="111">
        <f>DATABASE!O702</f>
        <v>56.3</v>
      </c>
      <c r="O48" s="78">
        <f>DATABASE!P702</f>
        <v>0</v>
      </c>
      <c r="P48" s="88" t="str">
        <f>DATABASE!Q702</f>
        <v xml:space="preserve">PSPA </v>
      </c>
      <c r="Q48" s="78">
        <f>DATABASE!R702</f>
        <v>415000</v>
      </c>
      <c r="R48" s="78">
        <f>DATABASE!S702</f>
        <v>450000</v>
      </c>
      <c r="S48" s="78">
        <f>DATABASE!T702</f>
        <v>450000</v>
      </c>
      <c r="T48" s="78">
        <f>DATABASE!U702</f>
        <v>0</v>
      </c>
      <c r="U48" s="79">
        <f>DATABASE!V702</f>
        <v>35000</v>
      </c>
      <c r="V48" s="79">
        <f>DATABASE!W702</f>
        <v>415000</v>
      </c>
      <c r="W48" s="80">
        <f>DATABASE!X702</f>
        <v>0</v>
      </c>
      <c r="X48" s="79">
        <f>DATABASE!Y702</f>
        <v>450000</v>
      </c>
      <c r="Y48" s="79">
        <f>DATABASE!Z702</f>
        <v>415000</v>
      </c>
      <c r="Z48" s="79" t="e">
        <f>DATABASE!#REF!</f>
        <v>#REF!</v>
      </c>
      <c r="AA48" s="81" t="e">
        <f>DATABASE!#REF!</f>
        <v>#REF!</v>
      </c>
      <c r="AB48" s="82">
        <f>DATABASE!AB702</f>
        <v>47118</v>
      </c>
    </row>
    <row r="49" spans="1:28">
      <c r="A49" s="128" t="str">
        <f>DATABASE!A703</f>
        <v>Aroeira - HOUSES</v>
      </c>
      <c r="B49" s="129" t="str">
        <f>DATABASE!B703</f>
        <v>Center</v>
      </c>
      <c r="C49" s="129" t="str">
        <f>DATABASE!C703</f>
        <v>08B</v>
      </c>
      <c r="D49" s="130" t="str">
        <f>DATABASE!E703</f>
        <v>T2</v>
      </c>
      <c r="E49" s="130">
        <f>DATABASE!F703</f>
        <v>194.4</v>
      </c>
      <c r="F49" s="130">
        <f>DATABASE!G703</f>
        <v>0</v>
      </c>
      <c r="G49" s="130" t="str">
        <f>DATABASE!H703</f>
        <v>1</v>
      </c>
      <c r="H49" s="130" t="str">
        <f>DATABASE!I703</f>
        <v/>
      </c>
      <c r="I49" s="130">
        <f>DATABASE!J703</f>
        <v>0</v>
      </c>
      <c r="J49" s="130">
        <f>DATABASE!K703</f>
        <v>0</v>
      </c>
      <c r="K49" s="130">
        <f>DATABASE!L703</f>
        <v>0</v>
      </c>
      <c r="L49" s="72">
        <f>DATABASE!M703</f>
        <v>31</v>
      </c>
      <c r="M49" s="130">
        <f>DATABASE!N703</f>
        <v>26</v>
      </c>
      <c r="N49" s="111">
        <f>DATABASE!O703</f>
        <v>137.4</v>
      </c>
      <c r="O49" s="78">
        <f>DATABASE!P703</f>
        <v>0</v>
      </c>
      <c r="P49" s="88" t="str">
        <f>DATABASE!Q703</f>
        <v>AVAILABLE</v>
      </c>
      <c r="Q49" s="78">
        <f>DATABASE!R703</f>
        <v>1080000</v>
      </c>
      <c r="R49" s="78">
        <f>DATABASE!S703</f>
        <v>1080000</v>
      </c>
      <c r="S49" s="78">
        <f>DATABASE!T703</f>
        <v>1140000</v>
      </c>
      <c r="T49" s="78">
        <f>DATABASE!U703</f>
        <v>0</v>
      </c>
      <c r="U49" s="79">
        <f>DATABASE!V703</f>
        <v>0</v>
      </c>
      <c r="V49" s="79">
        <f>DATABASE!W703</f>
        <v>1140000</v>
      </c>
      <c r="W49" s="80">
        <f>DATABASE!X703</f>
        <v>0</v>
      </c>
      <c r="X49" s="79">
        <f>DATABASE!Y703</f>
        <v>0</v>
      </c>
      <c r="Y49" s="79">
        <f>DATABASE!Z703</f>
        <v>0</v>
      </c>
      <c r="Z49" s="79" t="e">
        <f>DATABASE!#REF!</f>
        <v>#REF!</v>
      </c>
      <c r="AA49" s="81">
        <f>DATABASE!AA703</f>
        <v>0</v>
      </c>
      <c r="AB49" s="82">
        <f>DATABASE!AB703</f>
        <v>47118</v>
      </c>
    </row>
    <row r="50" spans="1:28">
      <c r="A50" s="128" t="str">
        <f>DATABASE!A704</f>
        <v>MR - LT Miradouro Village</v>
      </c>
      <c r="B50" s="129" t="str">
        <f>DATABASE!B704</f>
        <v>Algarve</v>
      </c>
      <c r="C50" s="129" t="str">
        <f>DATABASE!C704</f>
        <v>23</v>
      </c>
      <c r="D50" s="130" t="str">
        <f>DATABASE!E704</f>
        <v>Plot</v>
      </c>
      <c r="E50" s="130">
        <f>DATABASE!F704</f>
        <v>396.9</v>
      </c>
      <c r="F50" s="130">
        <f>DATABASE!G704</f>
        <v>0</v>
      </c>
      <c r="G50" s="130" t="str">
        <f>DATABASE!H704</f>
        <v/>
      </c>
      <c r="H50" s="130" t="str">
        <f>DATABASE!I704</f>
        <v/>
      </c>
      <c r="I50" s="130">
        <f>DATABASE!J704</f>
        <v>0</v>
      </c>
      <c r="J50" s="130">
        <f>DATABASE!K704</f>
        <v>0</v>
      </c>
      <c r="K50" s="130">
        <f>DATABASE!L704</f>
        <v>0</v>
      </c>
      <c r="L50" s="72">
        <f>DATABASE!M704</f>
        <v>0</v>
      </c>
      <c r="M50" s="130">
        <f>DATABASE!N704</f>
        <v>0</v>
      </c>
      <c r="N50" s="111">
        <f>DATABASE!O704</f>
        <v>396.9</v>
      </c>
      <c r="O50" s="78">
        <f>DATABASE!P704</f>
        <v>0</v>
      </c>
      <c r="P50" s="88" t="str">
        <f>DATABASE!Q704</f>
        <v>AVAILABLE</v>
      </c>
      <c r="Q50" s="78">
        <f>DATABASE!R704</f>
        <v>1080000</v>
      </c>
      <c r="R50" s="78">
        <f>DATABASE!S704</f>
        <v>1080000</v>
      </c>
      <c r="S50" s="78">
        <f>DATABASE!T704</f>
        <v>900000</v>
      </c>
      <c r="T50" s="78">
        <f>DATABASE!U704</f>
        <v>0</v>
      </c>
      <c r="U50" s="79">
        <f>DATABASE!V704</f>
        <v>0</v>
      </c>
      <c r="V50" s="79">
        <f>DATABASE!W704</f>
        <v>900000</v>
      </c>
      <c r="W50" s="80">
        <f>DATABASE!X704</f>
        <v>0</v>
      </c>
      <c r="X50" s="79">
        <f>DATABASE!Y704</f>
        <v>0</v>
      </c>
      <c r="Y50" s="79">
        <f>DATABASE!Z704</f>
        <v>0</v>
      </c>
      <c r="Z50" s="79" t="e">
        <f>DATABASE!#REF!</f>
        <v>#REF!</v>
      </c>
      <c r="AA50" s="81">
        <f>DATABASE!AA704</f>
        <v>0</v>
      </c>
      <c r="AB50" s="82" t="str">
        <f>DATABASE!AB704</f>
        <v>TBD</v>
      </c>
    </row>
    <row r="51" spans="1:28">
      <c r="A51" s="128" t="str">
        <f>DATABASE!A705</f>
        <v>MR - LT Miradouro Village</v>
      </c>
      <c r="B51" s="129" t="str">
        <f>DATABASE!B705</f>
        <v>Algarve</v>
      </c>
      <c r="C51" s="129" t="str">
        <f>DATABASE!C705</f>
        <v>24</v>
      </c>
      <c r="D51" s="130" t="str">
        <f>DATABASE!E705</f>
        <v>Plot</v>
      </c>
      <c r="E51" s="130">
        <f>DATABASE!F705</f>
        <v>396.9</v>
      </c>
      <c r="F51" s="130">
        <f>DATABASE!G705</f>
        <v>0</v>
      </c>
      <c r="G51" s="130" t="str">
        <f>DATABASE!H705</f>
        <v/>
      </c>
      <c r="H51" s="130" t="str">
        <f>DATABASE!I705</f>
        <v/>
      </c>
      <c r="I51" s="130">
        <f>DATABASE!J705</f>
        <v>0</v>
      </c>
      <c r="J51" s="130">
        <f>DATABASE!K705</f>
        <v>0</v>
      </c>
      <c r="K51" s="130">
        <f>DATABASE!L705</f>
        <v>0</v>
      </c>
      <c r="L51" s="72">
        <f>DATABASE!M705</f>
        <v>0</v>
      </c>
      <c r="M51" s="130">
        <f>DATABASE!N705</f>
        <v>0</v>
      </c>
      <c r="N51" s="111">
        <f>DATABASE!O705</f>
        <v>396.9</v>
      </c>
      <c r="O51" s="78">
        <f>DATABASE!P705</f>
        <v>0</v>
      </c>
      <c r="P51" s="88" t="str">
        <f>DATABASE!Q705</f>
        <v>AVAILABLE</v>
      </c>
      <c r="Q51" s="78">
        <f>DATABASE!R705</f>
        <v>1080000</v>
      </c>
      <c r="R51" s="78">
        <f>DATABASE!S705</f>
        <v>1080000</v>
      </c>
      <c r="S51" s="78">
        <f>DATABASE!T705</f>
        <v>910000</v>
      </c>
      <c r="T51" s="78">
        <f>DATABASE!U705</f>
        <v>0</v>
      </c>
      <c r="U51" s="79">
        <f>DATABASE!V705</f>
        <v>0</v>
      </c>
      <c r="V51" s="79">
        <f>DATABASE!W705</f>
        <v>910000</v>
      </c>
      <c r="W51" s="80">
        <f>DATABASE!X705</f>
        <v>0</v>
      </c>
      <c r="X51" s="79">
        <f>DATABASE!Y705</f>
        <v>0</v>
      </c>
      <c r="Y51" s="79">
        <f>DATABASE!Z705</f>
        <v>0</v>
      </c>
      <c r="Z51" s="79" t="e">
        <f>DATABASE!#REF!</f>
        <v>#REF!</v>
      </c>
      <c r="AA51" s="81">
        <f>DATABASE!AA705</f>
        <v>0</v>
      </c>
      <c r="AB51" s="82" t="str">
        <f>DATABASE!AB705</f>
        <v>TBD</v>
      </c>
    </row>
    <row r="52" spans="1:28">
      <c r="A52" s="128" t="str">
        <f>DATABASE!A706</f>
        <v>MR - LT Miradouro Village</v>
      </c>
      <c r="B52" s="129" t="str">
        <f>DATABASE!B706</f>
        <v>Algarve</v>
      </c>
      <c r="C52" s="129" t="str">
        <f>DATABASE!C706</f>
        <v>25</v>
      </c>
      <c r="D52" s="130" t="str">
        <f>DATABASE!E706</f>
        <v>Plot</v>
      </c>
      <c r="E52" s="130">
        <f>DATABASE!F706</f>
        <v>396.9</v>
      </c>
      <c r="F52" s="130">
        <f>DATABASE!G706</f>
        <v>0</v>
      </c>
      <c r="G52" s="130" t="str">
        <f>DATABASE!H706</f>
        <v/>
      </c>
      <c r="H52" s="130" t="str">
        <f>DATABASE!I706</f>
        <v/>
      </c>
      <c r="I52" s="130">
        <f>DATABASE!J706</f>
        <v>0</v>
      </c>
      <c r="J52" s="130">
        <f>DATABASE!K706</f>
        <v>0</v>
      </c>
      <c r="K52" s="130">
        <f>DATABASE!L706</f>
        <v>0</v>
      </c>
      <c r="L52" s="72">
        <f>DATABASE!M706</f>
        <v>0</v>
      </c>
      <c r="M52" s="130">
        <f>DATABASE!N706</f>
        <v>0</v>
      </c>
      <c r="N52" s="111">
        <f>DATABASE!O706</f>
        <v>396.9</v>
      </c>
      <c r="O52" s="78">
        <f>DATABASE!P706</f>
        <v>0</v>
      </c>
      <c r="P52" s="88" t="str">
        <f>DATABASE!Q706</f>
        <v>AVAILABLE</v>
      </c>
      <c r="Q52" s="78">
        <f>DATABASE!R706</f>
        <v>1080000</v>
      </c>
      <c r="R52" s="78">
        <f>DATABASE!S706</f>
        <v>1080000</v>
      </c>
      <c r="S52" s="78">
        <f>DATABASE!T706</f>
        <v>900000</v>
      </c>
      <c r="T52" s="78">
        <f>DATABASE!U706</f>
        <v>0</v>
      </c>
      <c r="U52" s="79">
        <f>DATABASE!V706</f>
        <v>0</v>
      </c>
      <c r="V52" s="79">
        <f>DATABASE!W706</f>
        <v>900000</v>
      </c>
      <c r="W52" s="80">
        <f>DATABASE!X706</f>
        <v>0</v>
      </c>
      <c r="X52" s="79">
        <f>DATABASE!Y706</f>
        <v>0</v>
      </c>
      <c r="Y52" s="79">
        <f>DATABASE!Z706</f>
        <v>0</v>
      </c>
      <c r="Z52" s="79" t="e">
        <f>DATABASE!#REF!</f>
        <v>#REF!</v>
      </c>
      <c r="AA52" s="81">
        <f>DATABASE!AA706</f>
        <v>0</v>
      </c>
      <c r="AB52" s="82" t="str">
        <f>DATABASE!AB706</f>
        <v>TBD</v>
      </c>
    </row>
    <row r="53" spans="1:28">
      <c r="A53" s="128" t="str">
        <f>DATABASE!A707</f>
        <v>MR - LT Miradouro Village</v>
      </c>
      <c r="B53" s="129" t="str">
        <f>DATABASE!B707</f>
        <v>Algarve</v>
      </c>
      <c r="C53" s="129" t="str">
        <f>DATABASE!C707</f>
        <v>26</v>
      </c>
      <c r="D53" s="130" t="str">
        <f>DATABASE!E707</f>
        <v>Plot</v>
      </c>
      <c r="E53" s="130">
        <f>DATABASE!F707</f>
        <v>396.9</v>
      </c>
      <c r="F53" s="130">
        <f>DATABASE!G707</f>
        <v>0</v>
      </c>
      <c r="G53" s="130" t="str">
        <f>DATABASE!H707</f>
        <v/>
      </c>
      <c r="H53" s="130" t="str">
        <f>DATABASE!I707</f>
        <v/>
      </c>
      <c r="I53" s="130">
        <f>DATABASE!J707</f>
        <v>0</v>
      </c>
      <c r="J53" s="130">
        <f>DATABASE!K707</f>
        <v>0</v>
      </c>
      <c r="K53" s="130">
        <f>DATABASE!L707</f>
        <v>0</v>
      </c>
      <c r="L53" s="72">
        <f>DATABASE!M707</f>
        <v>0</v>
      </c>
      <c r="M53" s="130">
        <f>DATABASE!N707</f>
        <v>0</v>
      </c>
      <c r="N53" s="111">
        <f>DATABASE!O707</f>
        <v>396.9</v>
      </c>
      <c r="O53" s="78">
        <f>DATABASE!P707</f>
        <v>0</v>
      </c>
      <c r="P53" s="88" t="str">
        <f>DATABASE!Q707</f>
        <v>AVAILABLE</v>
      </c>
      <c r="Q53" s="78">
        <f>DATABASE!R707</f>
        <v>1080000</v>
      </c>
      <c r="R53" s="78">
        <f>DATABASE!S707</f>
        <v>1080000</v>
      </c>
      <c r="S53" s="78">
        <f>DATABASE!T707</f>
        <v>870000</v>
      </c>
      <c r="T53" s="78">
        <f>DATABASE!U707</f>
        <v>0</v>
      </c>
      <c r="U53" s="79">
        <f>DATABASE!V707</f>
        <v>0</v>
      </c>
      <c r="V53" s="79">
        <f>DATABASE!W707</f>
        <v>870000</v>
      </c>
      <c r="W53" s="80">
        <f>DATABASE!X707</f>
        <v>0</v>
      </c>
      <c r="X53" s="79">
        <f>DATABASE!Y707</f>
        <v>0</v>
      </c>
      <c r="Y53" s="79">
        <f>DATABASE!Z707</f>
        <v>0</v>
      </c>
      <c r="Z53" s="79" t="e">
        <f>DATABASE!#REF!</f>
        <v>#REF!</v>
      </c>
      <c r="AA53" s="81">
        <f>DATABASE!AA707</f>
        <v>0</v>
      </c>
      <c r="AB53" s="82" t="str">
        <f>DATABASE!AB707</f>
        <v>TBD</v>
      </c>
    </row>
    <row r="54" spans="1:28">
      <c r="A54" s="128" t="str">
        <f>DATABASE!A708</f>
        <v>MR - LT Miradouro Village</v>
      </c>
      <c r="B54" s="129" t="str">
        <f>DATABASE!B708</f>
        <v>Algarve</v>
      </c>
      <c r="C54" s="129" t="str">
        <f>DATABASE!C708</f>
        <v>27</v>
      </c>
      <c r="D54" s="130" t="str">
        <f>DATABASE!E708</f>
        <v>Plot</v>
      </c>
      <c r="E54" s="130">
        <f>DATABASE!F708</f>
        <v>396.9</v>
      </c>
      <c r="F54" s="130">
        <f>DATABASE!G708</f>
        <v>0</v>
      </c>
      <c r="G54" s="130" t="str">
        <f>DATABASE!H708</f>
        <v/>
      </c>
      <c r="H54" s="130" t="str">
        <f>DATABASE!I708</f>
        <v/>
      </c>
      <c r="I54" s="130">
        <f>DATABASE!J708</f>
        <v>0</v>
      </c>
      <c r="J54" s="130">
        <f>DATABASE!K708</f>
        <v>0</v>
      </c>
      <c r="K54" s="130">
        <f>DATABASE!L708</f>
        <v>0</v>
      </c>
      <c r="L54" s="72">
        <f>DATABASE!M708</f>
        <v>0</v>
      </c>
      <c r="M54" s="130">
        <f>DATABASE!N708</f>
        <v>0</v>
      </c>
      <c r="N54" s="111">
        <f>DATABASE!O708</f>
        <v>396.9</v>
      </c>
      <c r="O54" s="78">
        <f>DATABASE!P708</f>
        <v>0</v>
      </c>
      <c r="P54" s="88" t="str">
        <f>DATABASE!Q708</f>
        <v>AVAILABLE</v>
      </c>
      <c r="Q54" s="78">
        <f>DATABASE!R708</f>
        <v>1080000</v>
      </c>
      <c r="R54" s="78">
        <f>DATABASE!S708</f>
        <v>1080000</v>
      </c>
      <c r="S54" s="78">
        <f>DATABASE!T708</f>
        <v>870000</v>
      </c>
      <c r="T54" s="78">
        <f>DATABASE!U708</f>
        <v>0</v>
      </c>
      <c r="U54" s="79">
        <f>DATABASE!V708</f>
        <v>0</v>
      </c>
      <c r="V54" s="79">
        <f>DATABASE!W708</f>
        <v>870000</v>
      </c>
      <c r="W54" s="80">
        <f>DATABASE!X708</f>
        <v>0</v>
      </c>
      <c r="X54" s="79">
        <f>DATABASE!Y708</f>
        <v>0</v>
      </c>
      <c r="Y54" s="79">
        <f>DATABASE!Z708</f>
        <v>0</v>
      </c>
      <c r="Z54" s="79" t="e">
        <f>DATABASE!#REF!</f>
        <v>#REF!</v>
      </c>
      <c r="AA54" s="81">
        <f>DATABASE!AA708</f>
        <v>0</v>
      </c>
      <c r="AB54" s="82" t="str">
        <f>DATABASE!AB708</f>
        <v>TBD</v>
      </c>
    </row>
    <row r="55" spans="1:28">
      <c r="A55" s="128" t="str">
        <f>DATABASE!A709</f>
        <v>MR - LT Miradouro Village</v>
      </c>
      <c r="B55" s="129" t="str">
        <f>DATABASE!B709</f>
        <v>Algarve</v>
      </c>
      <c r="C55" s="129" t="str">
        <f>DATABASE!C709</f>
        <v>30</v>
      </c>
      <c r="D55" s="130" t="str">
        <f>DATABASE!E709</f>
        <v>Plot</v>
      </c>
      <c r="E55" s="130">
        <f>DATABASE!F709</f>
        <v>373.55</v>
      </c>
      <c r="F55" s="130">
        <f>DATABASE!G709</f>
        <v>0</v>
      </c>
      <c r="G55" s="130" t="str">
        <f>DATABASE!H709</f>
        <v/>
      </c>
      <c r="H55" s="130" t="str">
        <f>DATABASE!I709</f>
        <v/>
      </c>
      <c r="I55" s="130">
        <f>DATABASE!J709</f>
        <v>0</v>
      </c>
      <c r="J55" s="130">
        <f>DATABASE!K709</f>
        <v>0</v>
      </c>
      <c r="K55" s="130">
        <f>DATABASE!L709</f>
        <v>0</v>
      </c>
      <c r="L55" s="72">
        <f>DATABASE!M709</f>
        <v>0</v>
      </c>
      <c r="M55" s="130">
        <f>DATABASE!N709</f>
        <v>0</v>
      </c>
      <c r="N55" s="111">
        <f>DATABASE!O709</f>
        <v>373.55</v>
      </c>
      <c r="O55" s="78">
        <f>DATABASE!P709</f>
        <v>0</v>
      </c>
      <c r="P55" s="88" t="str">
        <f>DATABASE!Q709</f>
        <v>AVAILABLE</v>
      </c>
      <c r="Q55" s="78">
        <f>DATABASE!R709</f>
        <v>1080000</v>
      </c>
      <c r="R55" s="78">
        <f>DATABASE!S709</f>
        <v>1080000</v>
      </c>
      <c r="S55" s="78">
        <f>DATABASE!T709</f>
        <v>810000</v>
      </c>
      <c r="T55" s="78">
        <f>DATABASE!U709</f>
        <v>0</v>
      </c>
      <c r="U55" s="79">
        <f>DATABASE!V709</f>
        <v>0</v>
      </c>
      <c r="V55" s="79">
        <f>DATABASE!W709</f>
        <v>810000</v>
      </c>
      <c r="W55" s="80">
        <f>DATABASE!X709</f>
        <v>0</v>
      </c>
      <c r="X55" s="79">
        <f>DATABASE!Y709</f>
        <v>0</v>
      </c>
      <c r="Y55" s="79">
        <f>DATABASE!Z709</f>
        <v>0</v>
      </c>
      <c r="Z55" s="79" t="e">
        <f>DATABASE!#REF!</f>
        <v>#REF!</v>
      </c>
      <c r="AA55" s="81">
        <f>DATABASE!AA709</f>
        <v>0</v>
      </c>
      <c r="AB55" s="82" t="str">
        <f>DATABASE!AB709</f>
        <v>TBD</v>
      </c>
    </row>
    <row r="56" spans="1:28">
      <c r="A56" s="128" t="str">
        <f>DATABASE!A710</f>
        <v>SPRINGS</v>
      </c>
      <c r="B56" s="129" t="str">
        <f>DATABASE!B710</f>
        <v>Vilamoura</v>
      </c>
      <c r="C56" s="129" t="str">
        <f>DATABASE!C710</f>
        <v>BL</v>
      </c>
      <c r="D56" s="130" t="str">
        <f>DATABASE!E710</f>
        <v>V2 Duplex</v>
      </c>
      <c r="E56" s="130">
        <f>DATABASE!F710</f>
        <v>280.27</v>
      </c>
      <c r="F56" s="130">
        <f>DATABASE!G710</f>
        <v>119.06</v>
      </c>
      <c r="G56" s="130" t="str">
        <f>DATABASE!H710</f>
        <v/>
      </c>
      <c r="H56" s="130" t="str">
        <f>DATABASE!I710</f>
        <v/>
      </c>
      <c r="I56" s="130">
        <f>DATABASE!J710</f>
        <v>25.77</v>
      </c>
      <c r="J56" s="130">
        <f>DATABASE!K710</f>
        <v>0</v>
      </c>
      <c r="K56" s="130">
        <f>DATABASE!L710</f>
        <v>0</v>
      </c>
      <c r="L56" s="72">
        <f>DATABASE!M710</f>
        <v>0</v>
      </c>
      <c r="M56" s="130">
        <f>DATABASE!N710</f>
        <v>0</v>
      </c>
      <c r="N56" s="111">
        <f>DATABASE!O710</f>
        <v>135.44</v>
      </c>
      <c r="O56" s="78">
        <f>DATABASE!P710</f>
        <v>0</v>
      </c>
      <c r="P56" s="88" t="str">
        <f>DATABASE!Q710</f>
        <v>AVAILABLE</v>
      </c>
      <c r="Q56" s="78">
        <f>DATABASE!R710</f>
        <v>1337700</v>
      </c>
      <c r="R56" s="78">
        <f>DATABASE!S710</f>
        <v>1408850</v>
      </c>
      <c r="S56" s="78">
        <f>DATABASE!T710</f>
        <v>1480000</v>
      </c>
      <c r="T56" s="78">
        <f>DATABASE!U710</f>
        <v>24600</v>
      </c>
      <c r="U56" s="79">
        <f>DATABASE!V710</f>
        <v>46550</v>
      </c>
      <c r="V56" s="79">
        <f>DATABASE!W710</f>
        <v>1408850</v>
      </c>
      <c r="W56" s="80">
        <f>DATABASE!X710</f>
        <v>0</v>
      </c>
      <c r="X56" s="79">
        <f>DATABASE!Y710</f>
        <v>1480000</v>
      </c>
      <c r="Y56" s="79">
        <f>DATABASE!Z710</f>
        <v>1408850</v>
      </c>
      <c r="Z56" s="79" t="e">
        <f>DATABASE!#REF!</f>
        <v>#REF!</v>
      </c>
      <c r="AA56" s="81">
        <f>DATABASE!AA710</f>
        <v>0</v>
      </c>
      <c r="AB56" s="82">
        <f>DATABASE!AB710</f>
        <v>0</v>
      </c>
    </row>
    <row r="57" spans="1:28">
      <c r="A57" s="128" t="str">
        <f>DATABASE!A711</f>
        <v>TERRACOTA</v>
      </c>
      <c r="B57" s="129" t="str">
        <f>DATABASE!B711</f>
        <v>Vilamoura</v>
      </c>
      <c r="C57" s="129" t="str">
        <f>DATABASE!C711</f>
        <v>BL</v>
      </c>
      <c r="D57" s="130" t="str">
        <f>DATABASE!E711</f>
        <v>T3</v>
      </c>
      <c r="E57" s="130">
        <f>DATABASE!F711</f>
        <v>130.91999999999999</v>
      </c>
      <c r="F57" s="130">
        <f>DATABASE!G711</f>
        <v>0</v>
      </c>
      <c r="G57" s="130" t="str">
        <f>DATABASE!H711</f>
        <v/>
      </c>
      <c r="H57" s="130" t="str">
        <f>DATABASE!I711</f>
        <v/>
      </c>
      <c r="I57" s="130">
        <f>DATABASE!J711</f>
        <v>0</v>
      </c>
      <c r="J57" s="130">
        <f>DATABASE!K711</f>
        <v>0</v>
      </c>
      <c r="K57" s="130">
        <f>DATABASE!L711</f>
        <v>0</v>
      </c>
      <c r="L57" s="72">
        <f>DATABASE!M711</f>
        <v>0</v>
      </c>
      <c r="M57" s="130">
        <f>DATABASE!N711</f>
        <v>0</v>
      </c>
      <c r="N57" s="111">
        <f>DATABASE!O711</f>
        <v>130.91999999999999</v>
      </c>
      <c r="O57" s="78">
        <f>DATABASE!P711</f>
        <v>0</v>
      </c>
      <c r="P57" s="88" t="str">
        <f>DATABASE!Q711</f>
        <v xml:space="preserve">PSPA </v>
      </c>
      <c r="Q57" s="78">
        <f>DATABASE!R711</f>
        <v>675000</v>
      </c>
      <c r="R57" s="78">
        <f>DATABASE!S711</f>
        <v>675000</v>
      </c>
      <c r="S57" s="78">
        <f>DATABASE!T711</f>
        <v>675000</v>
      </c>
      <c r="T57" s="78">
        <f>DATABASE!U711</f>
        <v>0</v>
      </c>
      <c r="U57" s="79">
        <f>DATABASE!V711</f>
        <v>0</v>
      </c>
      <c r="V57" s="79">
        <f>DATABASE!W711</f>
        <v>675000</v>
      </c>
      <c r="W57" s="80">
        <f>DATABASE!X711</f>
        <v>0</v>
      </c>
      <c r="X57" s="79">
        <f>DATABASE!Y711</f>
        <v>675000</v>
      </c>
      <c r="Y57" s="79">
        <f>DATABASE!Z711</f>
        <v>675000</v>
      </c>
      <c r="Z57" s="79" t="e">
        <f>DATABASE!#REF!</f>
        <v>#REF!</v>
      </c>
      <c r="AA57" s="81" t="e">
        <f>DATABASE!#REF!</f>
        <v>#REF!</v>
      </c>
      <c r="AB57" s="82">
        <f>DATABASE!AB711</f>
        <v>0</v>
      </c>
    </row>
    <row r="58" spans="1:28">
      <c r="A58" s="128" t="str">
        <f>DATABASE!A712</f>
        <v>SPRINGS</v>
      </c>
      <c r="B58" s="129" t="str">
        <f>DATABASE!B712</f>
        <v>Vilamoura</v>
      </c>
      <c r="C58" s="129" t="str">
        <f>DATABASE!C712</f>
        <v>BM</v>
      </c>
      <c r="D58" s="130" t="str">
        <f>DATABASE!E712</f>
        <v>V2 Duplex</v>
      </c>
      <c r="E58" s="130">
        <f>DATABASE!F712</f>
        <v>331.16</v>
      </c>
      <c r="F58" s="130">
        <f>DATABASE!G712</f>
        <v>167.06</v>
      </c>
      <c r="G58" s="130" t="str">
        <f>DATABASE!H712</f>
        <v/>
      </c>
      <c r="H58" s="130" t="str">
        <f>DATABASE!I712</f>
        <v/>
      </c>
      <c r="I58" s="130">
        <f>DATABASE!J712</f>
        <v>25.77</v>
      </c>
      <c r="J58" s="130">
        <f>DATABASE!K712</f>
        <v>0</v>
      </c>
      <c r="K58" s="130">
        <f>DATABASE!L712</f>
        <v>0</v>
      </c>
      <c r="L58" s="72">
        <f>DATABASE!M712</f>
        <v>0</v>
      </c>
      <c r="M58" s="130">
        <f>DATABASE!N712</f>
        <v>0</v>
      </c>
      <c r="N58" s="111">
        <f>DATABASE!O712</f>
        <v>138.33000000000001</v>
      </c>
      <c r="O58" s="78">
        <f>DATABASE!P712</f>
        <v>0</v>
      </c>
      <c r="P58" s="88" t="str">
        <f>DATABASE!Q712</f>
        <v>AVAILABLE</v>
      </c>
      <c r="Q58" s="78">
        <f>DATABASE!R712</f>
        <v>1477700</v>
      </c>
      <c r="R58" s="78">
        <f>DATABASE!S712</f>
        <v>1548850</v>
      </c>
      <c r="S58" s="78">
        <f>DATABASE!T712</f>
        <v>1620000</v>
      </c>
      <c r="T58" s="78">
        <f>DATABASE!U712</f>
        <v>24600</v>
      </c>
      <c r="U58" s="79">
        <f>DATABASE!V712</f>
        <v>46550</v>
      </c>
      <c r="V58" s="79">
        <f>DATABASE!W712</f>
        <v>1548850</v>
      </c>
      <c r="W58" s="80">
        <f>DATABASE!X712</f>
        <v>0</v>
      </c>
      <c r="X58" s="79">
        <f>DATABASE!Y712</f>
        <v>1620000</v>
      </c>
      <c r="Y58" s="79">
        <f>DATABASE!Z712</f>
        <v>1548850</v>
      </c>
      <c r="Z58" s="79" t="e">
        <f>DATABASE!#REF!</f>
        <v>#REF!</v>
      </c>
      <c r="AA58" s="81">
        <f>DATABASE!AA712</f>
        <v>0</v>
      </c>
      <c r="AB58" s="82">
        <f>DATABASE!AB712</f>
        <v>0</v>
      </c>
    </row>
    <row r="59" spans="1:28">
      <c r="A59" s="128" t="str">
        <f>DATABASE!A713</f>
        <v>TERRACOTA</v>
      </c>
      <c r="B59" s="129" t="str">
        <f>DATABASE!B713</f>
        <v>Vilamoura</v>
      </c>
      <c r="C59" s="129" t="str">
        <f>DATABASE!C713</f>
        <v>BM</v>
      </c>
      <c r="D59" s="130" t="str">
        <f>DATABASE!E713</f>
        <v>T3</v>
      </c>
      <c r="E59" s="130">
        <f>DATABASE!F713</f>
        <v>130.91999999999999</v>
      </c>
      <c r="F59" s="130">
        <f>DATABASE!G713</f>
        <v>0</v>
      </c>
      <c r="G59" s="130" t="str">
        <f>DATABASE!H713</f>
        <v/>
      </c>
      <c r="H59" s="130" t="str">
        <f>DATABASE!I713</f>
        <v/>
      </c>
      <c r="I59" s="130">
        <f>DATABASE!J713</f>
        <v>0</v>
      </c>
      <c r="J59" s="130">
        <f>DATABASE!K713</f>
        <v>0</v>
      </c>
      <c r="K59" s="130">
        <f>DATABASE!L713</f>
        <v>0</v>
      </c>
      <c r="L59" s="72">
        <f>DATABASE!M713</f>
        <v>0</v>
      </c>
      <c r="M59" s="130">
        <f>DATABASE!N713</f>
        <v>0</v>
      </c>
      <c r="N59" s="111">
        <f>DATABASE!O713</f>
        <v>130.91999999999999</v>
      </c>
      <c r="O59" s="78">
        <f>DATABASE!P713</f>
        <v>0</v>
      </c>
      <c r="P59" s="88" t="str">
        <f>DATABASE!Q713</f>
        <v xml:space="preserve">PSPA </v>
      </c>
      <c r="Q59" s="78">
        <f>DATABASE!R713</f>
        <v>750000</v>
      </c>
      <c r="R59" s="78">
        <f>DATABASE!S713</f>
        <v>750000</v>
      </c>
      <c r="S59" s="78">
        <f>DATABASE!T713</f>
        <v>750000</v>
      </c>
      <c r="T59" s="78">
        <f>DATABASE!U713</f>
        <v>0</v>
      </c>
      <c r="U59" s="79">
        <f>DATABASE!V713</f>
        <v>0</v>
      </c>
      <c r="V59" s="79">
        <f>DATABASE!W713</f>
        <v>750000</v>
      </c>
      <c r="W59" s="80">
        <f>DATABASE!X713</f>
        <v>0</v>
      </c>
      <c r="X59" s="79">
        <f>DATABASE!Y713</f>
        <v>750000</v>
      </c>
      <c r="Y59" s="79">
        <f>DATABASE!Z713</f>
        <v>750000</v>
      </c>
      <c r="Z59" s="79" t="e">
        <f>DATABASE!#REF!</f>
        <v>#REF!</v>
      </c>
      <c r="AA59" s="81" t="e">
        <f>DATABASE!#REF!</f>
        <v>#REF!</v>
      </c>
      <c r="AB59" s="82">
        <f>DATABASE!AB713</f>
        <v>0</v>
      </c>
    </row>
    <row r="60" spans="1:28">
      <c r="A60" s="128" t="str">
        <f>DATABASE!A714</f>
        <v>SPRINGS</v>
      </c>
      <c r="B60" s="129" t="str">
        <f>DATABASE!B714</f>
        <v>Vilamoura</v>
      </c>
      <c r="C60" s="129" t="str">
        <f>DATABASE!C714</f>
        <v>BN</v>
      </c>
      <c r="D60" s="130" t="str">
        <f>DATABASE!E714</f>
        <v>V2 Duplex</v>
      </c>
      <c r="E60" s="130">
        <f>DATABASE!F714</f>
        <v>287.45999999999998</v>
      </c>
      <c r="F60" s="130">
        <f>DATABASE!G714</f>
        <v>121.28</v>
      </c>
      <c r="G60" s="130" t="str">
        <f>DATABASE!H714</f>
        <v/>
      </c>
      <c r="H60" s="130" t="str">
        <f>DATABASE!I714</f>
        <v/>
      </c>
      <c r="I60" s="130">
        <f>DATABASE!J714</f>
        <v>25.77</v>
      </c>
      <c r="J60" s="130">
        <f>DATABASE!K714</f>
        <v>0</v>
      </c>
      <c r="K60" s="130">
        <f>DATABASE!L714</f>
        <v>0</v>
      </c>
      <c r="L60" s="72">
        <f>DATABASE!M714</f>
        <v>0</v>
      </c>
      <c r="M60" s="130">
        <f>DATABASE!N714</f>
        <v>0</v>
      </c>
      <c r="N60" s="111">
        <f>DATABASE!O714</f>
        <v>140.41</v>
      </c>
      <c r="O60" s="78">
        <f>DATABASE!P714</f>
        <v>0</v>
      </c>
      <c r="P60" s="88" t="str">
        <f>DATABASE!Q714</f>
        <v>AVAILABLE</v>
      </c>
      <c r="Q60" s="78">
        <f>DATABASE!R714</f>
        <v>1177700</v>
      </c>
      <c r="R60" s="78">
        <f>DATABASE!S714</f>
        <v>1248850</v>
      </c>
      <c r="S60" s="78">
        <f>DATABASE!T714</f>
        <v>1320000</v>
      </c>
      <c r="T60" s="78">
        <f>DATABASE!U714</f>
        <v>24600</v>
      </c>
      <c r="U60" s="79">
        <f>DATABASE!V714</f>
        <v>46550</v>
      </c>
      <c r="V60" s="79">
        <f>DATABASE!W714</f>
        <v>1248850</v>
      </c>
      <c r="W60" s="80">
        <f>DATABASE!X714</f>
        <v>0</v>
      </c>
      <c r="X60" s="79">
        <f>DATABASE!Y714</f>
        <v>1320000</v>
      </c>
      <c r="Y60" s="79">
        <f>DATABASE!Z714</f>
        <v>1248850</v>
      </c>
      <c r="Z60" s="79" t="e">
        <f>DATABASE!#REF!</f>
        <v>#REF!</v>
      </c>
      <c r="AA60" s="81">
        <f>DATABASE!AA714</f>
        <v>0</v>
      </c>
      <c r="AB60" s="82">
        <f>DATABASE!AB714</f>
        <v>0</v>
      </c>
    </row>
    <row r="61" spans="1:28">
      <c r="A61" s="128" t="str">
        <f>DATABASE!A715</f>
        <v>TERRACOTA</v>
      </c>
      <c r="B61" s="129" t="str">
        <f>DATABASE!B715</f>
        <v>Vilamoura</v>
      </c>
      <c r="C61" s="129" t="str">
        <f>DATABASE!C715</f>
        <v>BN</v>
      </c>
      <c r="D61" s="130" t="str">
        <f>DATABASE!E715</f>
        <v>T3</v>
      </c>
      <c r="E61" s="130">
        <f>DATABASE!F715</f>
        <v>130.91999999999999</v>
      </c>
      <c r="F61" s="130">
        <f>DATABASE!G715</f>
        <v>0</v>
      </c>
      <c r="G61" s="130" t="str">
        <f>DATABASE!H715</f>
        <v/>
      </c>
      <c r="H61" s="130" t="str">
        <f>DATABASE!I715</f>
        <v/>
      </c>
      <c r="I61" s="130">
        <f>DATABASE!J715</f>
        <v>0</v>
      </c>
      <c r="J61" s="130">
        <f>DATABASE!K715</f>
        <v>0</v>
      </c>
      <c r="K61" s="130">
        <f>DATABASE!L715</f>
        <v>0</v>
      </c>
      <c r="L61" s="72">
        <f>DATABASE!M715</f>
        <v>0</v>
      </c>
      <c r="M61" s="130">
        <f>DATABASE!N715</f>
        <v>0</v>
      </c>
      <c r="N61" s="111">
        <f>DATABASE!O715</f>
        <v>130.91999999999999</v>
      </c>
      <c r="O61" s="78">
        <f>DATABASE!P715</f>
        <v>0</v>
      </c>
      <c r="P61" s="88" t="str">
        <f>DATABASE!Q715</f>
        <v xml:space="preserve">PSPA </v>
      </c>
      <c r="Q61" s="78">
        <f>DATABASE!R715</f>
        <v>670000</v>
      </c>
      <c r="R61" s="78">
        <f>DATABASE!S715</f>
        <v>670000</v>
      </c>
      <c r="S61" s="78">
        <f>DATABASE!T715</f>
        <v>670000</v>
      </c>
      <c r="T61" s="78">
        <f>DATABASE!U715</f>
        <v>0</v>
      </c>
      <c r="U61" s="79">
        <f>DATABASE!V715</f>
        <v>0</v>
      </c>
      <c r="V61" s="79">
        <f>DATABASE!W715</f>
        <v>670000</v>
      </c>
      <c r="W61" s="80">
        <f>DATABASE!X715</f>
        <v>0</v>
      </c>
      <c r="X61" s="79">
        <f>DATABASE!Y715</f>
        <v>670000</v>
      </c>
      <c r="Y61" s="79">
        <f>DATABASE!Z715</f>
        <v>670000</v>
      </c>
      <c r="Z61" s="79" t="e">
        <f>DATABASE!#REF!</f>
        <v>#REF!</v>
      </c>
      <c r="AA61" s="81" t="e">
        <f>DATABASE!#REF!</f>
        <v>#REF!</v>
      </c>
      <c r="AB61" s="82">
        <f>DATABASE!AB715</f>
        <v>0</v>
      </c>
    </row>
    <row r="62" spans="1:28">
      <c r="A62" s="128" t="str">
        <f>DATABASE!A716</f>
        <v>Aroeira - HOUSES</v>
      </c>
      <c r="B62" s="129" t="str">
        <f>DATABASE!B716</f>
        <v>Center</v>
      </c>
      <c r="C62" s="129" t="str">
        <f>DATABASE!C716</f>
        <v>21B</v>
      </c>
      <c r="D62" s="130" t="str">
        <f>DATABASE!E716</f>
        <v>T2</v>
      </c>
      <c r="E62" s="130">
        <f>DATABASE!F716</f>
        <v>195.8</v>
      </c>
      <c r="F62" s="130">
        <f>DATABASE!G716</f>
        <v>0</v>
      </c>
      <c r="G62" s="130" t="str">
        <f>DATABASE!H716</f>
        <v>1</v>
      </c>
      <c r="H62" s="130" t="str">
        <f>DATABASE!I716</f>
        <v/>
      </c>
      <c r="I62" s="130">
        <f>DATABASE!J716</f>
        <v>0</v>
      </c>
      <c r="J62" s="130">
        <f>DATABASE!K716</f>
        <v>0</v>
      </c>
      <c r="K62" s="130">
        <f>DATABASE!L716</f>
        <v>0</v>
      </c>
      <c r="L62" s="72">
        <f>DATABASE!M716</f>
        <v>30</v>
      </c>
      <c r="M62" s="130">
        <f>DATABASE!N716</f>
        <v>28</v>
      </c>
      <c r="N62" s="111">
        <f>DATABASE!O716</f>
        <v>137.80000000000001</v>
      </c>
      <c r="O62" s="78">
        <f>DATABASE!P716</f>
        <v>0</v>
      </c>
      <c r="P62" s="88" t="str">
        <f>DATABASE!Q716</f>
        <v>AVAILABLE</v>
      </c>
      <c r="Q62" s="78">
        <f>DATABASE!R716</f>
        <v>1090000</v>
      </c>
      <c r="R62" s="78">
        <f>DATABASE!S716</f>
        <v>1090000</v>
      </c>
      <c r="S62" s="78">
        <f>DATABASE!T716</f>
        <v>1150000</v>
      </c>
      <c r="T62" s="78">
        <f>DATABASE!U716</f>
        <v>0</v>
      </c>
      <c r="U62" s="79">
        <f>DATABASE!V716</f>
        <v>0</v>
      </c>
      <c r="V62" s="79">
        <f>DATABASE!W716</f>
        <v>1150000</v>
      </c>
      <c r="W62" s="80">
        <f>DATABASE!X716</f>
        <v>0</v>
      </c>
      <c r="X62" s="79">
        <f>DATABASE!Y716</f>
        <v>0</v>
      </c>
      <c r="Y62" s="79">
        <f>DATABASE!Z716</f>
        <v>0</v>
      </c>
      <c r="Z62" s="79" t="e">
        <f>DATABASE!#REF!</f>
        <v>#REF!</v>
      </c>
      <c r="AA62" s="81">
        <f>DATABASE!AA716</f>
        <v>0</v>
      </c>
      <c r="AB62" s="82">
        <f>DATABASE!AB716</f>
        <v>47118</v>
      </c>
    </row>
    <row r="63" spans="1:28">
      <c r="A63" s="128" t="str">
        <f>DATABASE!A717</f>
        <v>SPRINGS</v>
      </c>
      <c r="B63" s="129" t="str">
        <f>DATABASE!B717</f>
        <v>Vilamoura</v>
      </c>
      <c r="C63" s="129" t="str">
        <f>DATABASE!C717</f>
        <v>BO</v>
      </c>
      <c r="D63" s="130" t="str">
        <f>DATABASE!E717</f>
        <v>V2 Duplex</v>
      </c>
      <c r="E63" s="130">
        <f>DATABASE!F717</f>
        <v>295.31</v>
      </c>
      <c r="F63" s="130">
        <f>DATABASE!G717</f>
        <v>135.54</v>
      </c>
      <c r="G63" s="130" t="str">
        <f>DATABASE!H717</f>
        <v>2</v>
      </c>
      <c r="H63" s="130" t="str">
        <f>DATABASE!I717</f>
        <v/>
      </c>
      <c r="I63" s="130">
        <f>DATABASE!J717</f>
        <v>25.77</v>
      </c>
      <c r="J63" s="130">
        <f>DATABASE!K717</f>
        <v>0</v>
      </c>
      <c r="K63" s="130">
        <f>DATABASE!L717</f>
        <v>0</v>
      </c>
      <c r="L63" s="72">
        <f>DATABASE!M717</f>
        <v>0</v>
      </c>
      <c r="M63" s="130">
        <f>DATABASE!N717</f>
        <v>0</v>
      </c>
      <c r="N63" s="111">
        <f>DATABASE!O717</f>
        <v>134</v>
      </c>
      <c r="O63" s="78">
        <f>DATABASE!P717</f>
        <v>0</v>
      </c>
      <c r="P63" s="88" t="str">
        <f>DATABASE!Q717</f>
        <v xml:space="preserve">PSPA </v>
      </c>
      <c r="Q63" s="78">
        <f>DATABASE!R717</f>
        <v>1137700</v>
      </c>
      <c r="R63" s="78">
        <f>DATABASE!S717</f>
        <v>1208850</v>
      </c>
      <c r="S63" s="78">
        <f>DATABASE!T717</f>
        <v>1280000</v>
      </c>
      <c r="T63" s="78">
        <f>DATABASE!U717</f>
        <v>24600</v>
      </c>
      <c r="U63" s="79">
        <f>DATABASE!V717</f>
        <v>46550</v>
      </c>
      <c r="V63" s="79">
        <f>DATABASE!W717</f>
        <v>1208850</v>
      </c>
      <c r="W63" s="80">
        <f>DATABASE!X717</f>
        <v>2.34375E-2</v>
      </c>
      <c r="X63" s="79">
        <f>DATABASE!Y717</f>
        <v>1250000</v>
      </c>
      <c r="Y63" s="79">
        <f>DATABASE!Z717</f>
        <v>1178850</v>
      </c>
      <c r="Z63" s="79" t="e">
        <f>DATABASE!#REF!</f>
        <v>#REF!</v>
      </c>
      <c r="AA63" s="81" t="e">
        <f>DATABASE!#REF!</f>
        <v>#REF!</v>
      </c>
      <c r="AB63" s="82">
        <f>DATABASE!AB717</f>
        <v>0</v>
      </c>
    </row>
    <row r="64" spans="1:28">
      <c r="A64" s="128" t="str">
        <f>DATABASE!A718</f>
        <v>TERRACOTA</v>
      </c>
      <c r="B64" s="129" t="str">
        <f>DATABASE!B718</f>
        <v>Vilamoura</v>
      </c>
      <c r="C64" s="129" t="str">
        <f>DATABASE!C718</f>
        <v>BO</v>
      </c>
      <c r="D64" s="130" t="str">
        <f>DATABASE!E718</f>
        <v>T2</v>
      </c>
      <c r="E64" s="130">
        <f>DATABASE!F718</f>
        <v>104.7</v>
      </c>
      <c r="F64" s="130">
        <f>DATABASE!G718</f>
        <v>0</v>
      </c>
      <c r="G64" s="130" t="str">
        <f>DATABASE!H718</f>
        <v/>
      </c>
      <c r="H64" s="130" t="str">
        <f>DATABASE!I718</f>
        <v/>
      </c>
      <c r="I64" s="130">
        <f>DATABASE!J718</f>
        <v>0</v>
      </c>
      <c r="J64" s="130">
        <f>DATABASE!K718</f>
        <v>0</v>
      </c>
      <c r="K64" s="130">
        <f>DATABASE!L718</f>
        <v>0</v>
      </c>
      <c r="L64" s="72">
        <f>DATABASE!M718</f>
        <v>0</v>
      </c>
      <c r="M64" s="130">
        <f>DATABASE!N718</f>
        <v>0</v>
      </c>
      <c r="N64" s="111">
        <f>DATABASE!O718</f>
        <v>104.7</v>
      </c>
      <c r="O64" s="78">
        <f>DATABASE!P718</f>
        <v>0</v>
      </c>
      <c r="P64" s="88" t="str">
        <f>DATABASE!Q718</f>
        <v xml:space="preserve">PSPA </v>
      </c>
      <c r="Q64" s="78">
        <f>DATABASE!R718</f>
        <v>590000</v>
      </c>
      <c r="R64" s="78">
        <f>DATABASE!S718</f>
        <v>590000</v>
      </c>
      <c r="S64" s="78">
        <f>DATABASE!T718</f>
        <v>590000</v>
      </c>
      <c r="T64" s="78">
        <f>DATABASE!U718</f>
        <v>0</v>
      </c>
      <c r="U64" s="79">
        <f>DATABASE!V718</f>
        <v>0</v>
      </c>
      <c r="V64" s="79">
        <f>DATABASE!W718</f>
        <v>590000</v>
      </c>
      <c r="W64" s="80">
        <f>DATABASE!X718</f>
        <v>0</v>
      </c>
      <c r="X64" s="79">
        <f>DATABASE!Y718</f>
        <v>590000</v>
      </c>
      <c r="Y64" s="79">
        <f>DATABASE!Z718</f>
        <v>590000</v>
      </c>
      <c r="Z64" s="79" t="e">
        <f>DATABASE!#REF!</f>
        <v>#REF!</v>
      </c>
      <c r="AA64" s="81" t="e">
        <f>DATABASE!#REF!</f>
        <v>#REF!</v>
      </c>
      <c r="AB64" s="82">
        <f>DATABASE!AB718</f>
        <v>0</v>
      </c>
    </row>
    <row r="65" spans="1:28">
      <c r="A65" s="128" t="str">
        <f>DATABASE!A719</f>
        <v>VP - TOWNHOUSES</v>
      </c>
      <c r="B65" s="129" t="str">
        <f>DATABASE!B719</f>
        <v>North</v>
      </c>
      <c r="C65" s="129" t="str">
        <f>DATABASE!C719</f>
        <v>2C</v>
      </c>
      <c r="D65" s="130" t="str">
        <f>DATABASE!E719</f>
        <v>V3+1</v>
      </c>
      <c r="E65" s="130">
        <f>DATABASE!F719</f>
        <v>349.32</v>
      </c>
      <c r="F65" s="130">
        <f>DATABASE!G719</f>
        <v>0</v>
      </c>
      <c r="G65" s="130" t="str">
        <f>DATABASE!H719</f>
        <v>2</v>
      </c>
      <c r="H65" s="130" t="str">
        <f>DATABASE!I719</f>
        <v>Yes</v>
      </c>
      <c r="I65" s="130">
        <f>DATABASE!J719</f>
        <v>9.57</v>
      </c>
      <c r="J65" s="130">
        <f>DATABASE!K719</f>
        <v>88.24</v>
      </c>
      <c r="K65" s="130">
        <f>DATABASE!L719</f>
        <v>51.75</v>
      </c>
      <c r="L65" s="72">
        <f>DATABASE!M719</f>
        <v>0</v>
      </c>
      <c r="M65" s="130">
        <f>DATABASE!N719</f>
        <v>0</v>
      </c>
      <c r="N65" s="111">
        <f>DATABASE!O719</f>
        <v>199.76</v>
      </c>
      <c r="O65" s="78">
        <f>DATABASE!P719</f>
        <v>0</v>
      </c>
      <c r="P65" s="88" t="str">
        <f>DATABASE!Q719</f>
        <v>PRE-RESERVED</v>
      </c>
      <c r="Q65" s="78">
        <f>DATABASE!R719</f>
        <v>1090000</v>
      </c>
      <c r="R65" s="78">
        <f>DATABASE!S719</f>
        <v>1090000</v>
      </c>
      <c r="S65" s="78">
        <f>DATABASE!T719</f>
        <v>1120000</v>
      </c>
      <c r="T65" s="78">
        <f>DATABASE!U719</f>
        <v>0</v>
      </c>
      <c r="U65" s="79">
        <f>DATABASE!V719</f>
        <v>0</v>
      </c>
      <c r="V65" s="79">
        <f>DATABASE!W719</f>
        <v>1120000</v>
      </c>
      <c r="W65" s="80">
        <f>DATABASE!X719</f>
        <v>0</v>
      </c>
      <c r="X65" s="79">
        <f>DATABASE!Y719</f>
        <v>970000</v>
      </c>
      <c r="Y65" s="79">
        <f>DATABASE!Z719</f>
        <v>970000</v>
      </c>
      <c r="Z65" s="79" t="e">
        <f>DATABASE!#REF!</f>
        <v>#REF!</v>
      </c>
      <c r="AA65" s="81">
        <f>DATABASE!AA719</f>
        <v>46185</v>
      </c>
      <c r="AB65" s="82">
        <f>DATABASE!AB719</f>
        <v>47208</v>
      </c>
    </row>
    <row r="66" spans="1:28">
      <c r="A66" s="128" t="str">
        <f>DATABASE!A720</f>
        <v>SPRINGS</v>
      </c>
      <c r="B66" s="129" t="str">
        <f>DATABASE!B720</f>
        <v>Vilamoura</v>
      </c>
      <c r="C66" s="129" t="str">
        <f>DATABASE!C720</f>
        <v>BP</v>
      </c>
      <c r="D66" s="130" t="str">
        <f>DATABASE!E720</f>
        <v>V2 Duplex</v>
      </c>
      <c r="E66" s="130">
        <f>DATABASE!F720</f>
        <v>315.94</v>
      </c>
      <c r="F66" s="130">
        <f>DATABASE!G720</f>
        <v>156.16999999999999</v>
      </c>
      <c r="G66" s="130" t="str">
        <f>DATABASE!H720</f>
        <v>2</v>
      </c>
      <c r="H66" s="130" t="str">
        <f>DATABASE!I720</f>
        <v/>
      </c>
      <c r="I66" s="130">
        <f>DATABASE!J720</f>
        <v>25.77</v>
      </c>
      <c r="J66" s="130">
        <f>DATABASE!K720</f>
        <v>0</v>
      </c>
      <c r="K66" s="130">
        <f>DATABASE!L720</f>
        <v>0</v>
      </c>
      <c r="L66" s="72">
        <f>DATABASE!M720</f>
        <v>0</v>
      </c>
      <c r="M66" s="130">
        <f>DATABASE!N720</f>
        <v>0</v>
      </c>
      <c r="N66" s="111">
        <f>DATABASE!O720</f>
        <v>134</v>
      </c>
      <c r="O66" s="78">
        <f>DATABASE!P720</f>
        <v>0</v>
      </c>
      <c r="P66" s="88" t="str">
        <f>DATABASE!Q720</f>
        <v>AVAILABLE</v>
      </c>
      <c r="Q66" s="78">
        <f>DATABASE!R720</f>
        <v>1147700</v>
      </c>
      <c r="R66" s="78">
        <f>DATABASE!S720</f>
        <v>1218850</v>
      </c>
      <c r="S66" s="78">
        <f>DATABASE!T720</f>
        <v>1290000</v>
      </c>
      <c r="T66" s="78">
        <f>DATABASE!U720</f>
        <v>24600</v>
      </c>
      <c r="U66" s="79">
        <f>DATABASE!V720</f>
        <v>46550</v>
      </c>
      <c r="V66" s="79">
        <f>DATABASE!W720</f>
        <v>1218850</v>
      </c>
      <c r="W66" s="80">
        <f>DATABASE!X720</f>
        <v>0</v>
      </c>
      <c r="X66" s="79">
        <f>DATABASE!Y720</f>
        <v>1290000</v>
      </c>
      <c r="Y66" s="79">
        <f>DATABASE!Z720</f>
        <v>1218850</v>
      </c>
      <c r="Z66" s="79" t="e">
        <f>DATABASE!#REF!</f>
        <v>#REF!</v>
      </c>
      <c r="AA66" s="81">
        <f>DATABASE!AA720</f>
        <v>0</v>
      </c>
      <c r="AB66" s="82">
        <f>DATABASE!AB720</f>
        <v>0</v>
      </c>
    </row>
    <row r="67" spans="1:28">
      <c r="A67" s="128" t="str">
        <f>DATABASE!A721</f>
        <v>TERRACOTA</v>
      </c>
      <c r="B67" s="129" t="str">
        <f>DATABASE!B721</f>
        <v>Vilamoura</v>
      </c>
      <c r="C67" s="129" t="str">
        <f>DATABASE!C721</f>
        <v>BP</v>
      </c>
      <c r="D67" s="130" t="str">
        <f>DATABASE!E721</f>
        <v>T3</v>
      </c>
      <c r="E67" s="130">
        <f>DATABASE!F721</f>
        <v>130.91999999999999</v>
      </c>
      <c r="F67" s="130">
        <f>DATABASE!G721</f>
        <v>0</v>
      </c>
      <c r="G67" s="130" t="str">
        <f>DATABASE!H721</f>
        <v/>
      </c>
      <c r="H67" s="130" t="str">
        <f>DATABASE!I721</f>
        <v/>
      </c>
      <c r="I67" s="130">
        <f>DATABASE!J721</f>
        <v>0</v>
      </c>
      <c r="J67" s="130">
        <f>DATABASE!K721</f>
        <v>0</v>
      </c>
      <c r="K67" s="130">
        <f>DATABASE!L721</f>
        <v>0</v>
      </c>
      <c r="L67" s="72">
        <f>DATABASE!M721</f>
        <v>0</v>
      </c>
      <c r="M67" s="130">
        <f>DATABASE!N721</f>
        <v>0</v>
      </c>
      <c r="N67" s="111">
        <f>DATABASE!O721</f>
        <v>130.91999999999999</v>
      </c>
      <c r="O67" s="78">
        <f>DATABASE!P721</f>
        <v>0</v>
      </c>
      <c r="P67" s="88" t="str">
        <f>DATABASE!Q721</f>
        <v xml:space="preserve">PSPA </v>
      </c>
      <c r="Q67" s="78">
        <f>DATABASE!R721</f>
        <v>660000</v>
      </c>
      <c r="R67" s="78">
        <f>DATABASE!S721</f>
        <v>660000</v>
      </c>
      <c r="S67" s="78">
        <f>DATABASE!T721</f>
        <v>690000</v>
      </c>
      <c r="T67" s="78">
        <f>DATABASE!U721</f>
        <v>0</v>
      </c>
      <c r="U67" s="79">
        <f>DATABASE!V721</f>
        <v>0</v>
      </c>
      <c r="V67" s="79">
        <f>DATABASE!W721</f>
        <v>690000</v>
      </c>
      <c r="W67" s="80">
        <f>DATABASE!X721</f>
        <v>0</v>
      </c>
      <c r="X67" s="79">
        <f>DATABASE!Y721</f>
        <v>690000</v>
      </c>
      <c r="Y67" s="79">
        <f>DATABASE!Z721</f>
        <v>690000</v>
      </c>
      <c r="Z67" s="79" t="e">
        <f>DATABASE!#REF!</f>
        <v>#REF!</v>
      </c>
      <c r="AA67" s="81" t="e">
        <f>DATABASE!#REF!</f>
        <v>#REF!</v>
      </c>
      <c r="AB67" s="82">
        <f>DATABASE!AB721</f>
        <v>0</v>
      </c>
    </row>
    <row r="68" spans="1:28">
      <c r="A68" s="128" t="str">
        <f>DATABASE!A722</f>
        <v>SPRINGS</v>
      </c>
      <c r="B68" s="129" t="str">
        <f>DATABASE!B722</f>
        <v>Vilamoura</v>
      </c>
      <c r="C68" s="129" t="str">
        <f>DATABASE!C722</f>
        <v>BQ</v>
      </c>
      <c r="D68" s="130" t="str">
        <f>DATABASE!E722</f>
        <v>V2 Duplex</v>
      </c>
      <c r="E68" s="130">
        <f>DATABASE!F722</f>
        <v>325.83</v>
      </c>
      <c r="F68" s="130">
        <f>DATABASE!G722</f>
        <v>166.06</v>
      </c>
      <c r="G68" s="130" t="str">
        <f>DATABASE!H722</f>
        <v>2</v>
      </c>
      <c r="H68" s="130" t="str">
        <f>DATABASE!I722</f>
        <v/>
      </c>
      <c r="I68" s="130">
        <f>DATABASE!J722</f>
        <v>25.77</v>
      </c>
      <c r="J68" s="130">
        <f>DATABASE!K722</f>
        <v>0</v>
      </c>
      <c r="K68" s="130">
        <f>DATABASE!L722</f>
        <v>0</v>
      </c>
      <c r="L68" s="72">
        <f>DATABASE!M722</f>
        <v>0</v>
      </c>
      <c r="M68" s="130">
        <f>DATABASE!N722</f>
        <v>0</v>
      </c>
      <c r="N68" s="111">
        <f>DATABASE!O722</f>
        <v>134</v>
      </c>
      <c r="O68" s="78">
        <f>DATABASE!P722</f>
        <v>0</v>
      </c>
      <c r="P68" s="88" t="str">
        <f>DATABASE!Q722</f>
        <v>AVAILABLE</v>
      </c>
      <c r="Q68" s="78">
        <f>DATABASE!R722</f>
        <v>1157700</v>
      </c>
      <c r="R68" s="78">
        <f>DATABASE!S722</f>
        <v>1228850</v>
      </c>
      <c r="S68" s="78">
        <f>DATABASE!T722</f>
        <v>1300000</v>
      </c>
      <c r="T68" s="78">
        <f>DATABASE!U722</f>
        <v>24600</v>
      </c>
      <c r="U68" s="79">
        <f>DATABASE!V722</f>
        <v>46550</v>
      </c>
      <c r="V68" s="79">
        <f>DATABASE!W722</f>
        <v>1228850</v>
      </c>
      <c r="W68" s="80">
        <f>DATABASE!X722</f>
        <v>0</v>
      </c>
      <c r="X68" s="79">
        <f>DATABASE!Y722</f>
        <v>1300000</v>
      </c>
      <c r="Y68" s="79">
        <f>DATABASE!Z722</f>
        <v>1228850</v>
      </c>
      <c r="Z68" s="79" t="e">
        <f>DATABASE!#REF!</f>
        <v>#REF!</v>
      </c>
      <c r="AA68" s="81">
        <f>DATABASE!AA722</f>
        <v>0</v>
      </c>
      <c r="AB68" s="82">
        <f>DATABASE!AB722</f>
        <v>0</v>
      </c>
    </row>
    <row r="69" spans="1:28">
      <c r="A69" s="128" t="str">
        <f>DATABASE!A723</f>
        <v>Aroeira - APARTMENTS</v>
      </c>
      <c r="B69" s="129" t="str">
        <f>DATABASE!B723</f>
        <v>Center</v>
      </c>
      <c r="C69" s="129" t="str">
        <f>DATABASE!C723</f>
        <v>217C</v>
      </c>
      <c r="D69" s="130" t="str">
        <f>DATABASE!E723</f>
        <v>3-BR</v>
      </c>
      <c r="E69" s="130">
        <f>DATABASE!F723</f>
        <v>146.5</v>
      </c>
      <c r="F69" s="130">
        <f>DATABASE!G723</f>
        <v>0</v>
      </c>
      <c r="G69" s="130" t="str">
        <f>DATABASE!H723</f>
        <v>2</v>
      </c>
      <c r="H69" s="130" t="str">
        <f>DATABASE!I723</f>
        <v/>
      </c>
      <c r="I69" s="130">
        <f>DATABASE!J723</f>
        <v>29.74</v>
      </c>
      <c r="J69" s="130">
        <f>DATABASE!K723</f>
        <v>0</v>
      </c>
      <c r="K69" s="130">
        <f>DATABASE!L723</f>
        <v>0</v>
      </c>
      <c r="L69" s="72">
        <f>DATABASE!M723</f>
        <v>0</v>
      </c>
      <c r="M69" s="130">
        <f>DATABASE!N723</f>
        <v>0</v>
      </c>
      <c r="N69" s="111">
        <f>DATABASE!O723</f>
        <v>116.76</v>
      </c>
      <c r="O69" s="78">
        <f>DATABASE!P723</f>
        <v>0</v>
      </c>
      <c r="P69" s="88" t="str">
        <f>DATABASE!Q723</f>
        <v xml:space="preserve">PSPA </v>
      </c>
      <c r="Q69" s="78">
        <f>DATABASE!R723</f>
        <v>885000</v>
      </c>
      <c r="R69" s="78">
        <f>DATABASE!S723</f>
        <v>935000</v>
      </c>
      <c r="S69" s="78">
        <f>DATABASE!T723</f>
        <v>935000</v>
      </c>
      <c r="T69" s="78">
        <f>DATABASE!U723</f>
        <v>0</v>
      </c>
      <c r="U69" s="79">
        <f>DATABASE!V723</f>
        <v>50000</v>
      </c>
      <c r="V69" s="79">
        <f>DATABASE!W723</f>
        <v>885000</v>
      </c>
      <c r="W69" s="80">
        <f>DATABASE!X723</f>
        <v>0</v>
      </c>
      <c r="X69" s="79">
        <f>DATABASE!Y723</f>
        <v>935000</v>
      </c>
      <c r="Y69" s="79">
        <f>DATABASE!Z723</f>
        <v>885000</v>
      </c>
      <c r="Z69" s="79" t="e">
        <f>DATABASE!#REF!</f>
        <v>#REF!</v>
      </c>
      <c r="AA69" s="81" t="e">
        <f>DATABASE!#REF!</f>
        <v>#REF!</v>
      </c>
      <c r="AB69" s="82">
        <f>DATABASE!AB723</f>
        <v>47118</v>
      </c>
    </row>
    <row r="70" spans="1:28">
      <c r="A70" s="128" t="str">
        <f>DATABASE!A724</f>
        <v>Aroeira - HOUSES</v>
      </c>
      <c r="B70" s="129" t="str">
        <f>DATABASE!B724</f>
        <v>Center</v>
      </c>
      <c r="C70" s="129" t="str">
        <f>DATABASE!C724</f>
        <v>05B</v>
      </c>
      <c r="D70" s="130" t="str">
        <f>DATABASE!E724</f>
        <v>T2</v>
      </c>
      <c r="E70" s="130">
        <f>DATABASE!F724</f>
        <v>194.4</v>
      </c>
      <c r="F70" s="130">
        <f>DATABASE!G724</f>
        <v>0</v>
      </c>
      <c r="G70" s="130" t="str">
        <f>DATABASE!H724</f>
        <v>1</v>
      </c>
      <c r="H70" s="130" t="str">
        <f>DATABASE!I724</f>
        <v/>
      </c>
      <c r="I70" s="130">
        <f>DATABASE!J724</f>
        <v>0</v>
      </c>
      <c r="J70" s="130">
        <f>DATABASE!K724</f>
        <v>0</v>
      </c>
      <c r="K70" s="130">
        <f>DATABASE!L724</f>
        <v>0</v>
      </c>
      <c r="L70" s="72">
        <f>DATABASE!M724</f>
        <v>31</v>
      </c>
      <c r="M70" s="130">
        <f>DATABASE!N724</f>
        <v>26</v>
      </c>
      <c r="N70" s="111">
        <f>DATABASE!O724</f>
        <v>137.4</v>
      </c>
      <c r="O70" s="78">
        <f>DATABASE!P724</f>
        <v>0</v>
      </c>
      <c r="P70" s="88" t="str">
        <f>DATABASE!Q724</f>
        <v>RESERVED</v>
      </c>
      <c r="Q70" s="78">
        <f>DATABASE!R724</f>
        <v>1100000</v>
      </c>
      <c r="R70" s="78">
        <f>DATABASE!S724</f>
        <v>1100000</v>
      </c>
      <c r="S70" s="78">
        <f>DATABASE!T724</f>
        <v>1160000</v>
      </c>
      <c r="T70" s="78">
        <f>DATABASE!U724</f>
        <v>0</v>
      </c>
      <c r="U70" s="79">
        <f>DATABASE!V724</f>
        <v>0</v>
      </c>
      <c r="V70" s="79">
        <f>DATABASE!W724</f>
        <v>1160000</v>
      </c>
      <c r="W70" s="80">
        <f>DATABASE!X724</f>
        <v>0</v>
      </c>
      <c r="X70" s="79">
        <f>DATABASE!Y724</f>
        <v>1160000</v>
      </c>
      <c r="Y70" s="79">
        <f>DATABASE!Z724</f>
        <v>1160000</v>
      </c>
      <c r="Z70" s="79" t="e">
        <f>DATABASE!#REF!</f>
        <v>#REF!</v>
      </c>
      <c r="AA70" s="81">
        <f>DATABASE!AA724</f>
        <v>45968</v>
      </c>
      <c r="AB70" s="82">
        <f>DATABASE!AB724</f>
        <v>47118</v>
      </c>
    </row>
    <row r="71" spans="1:28">
      <c r="A71" s="128" t="str">
        <f>DATABASE!A725</f>
        <v>Aroeira - HOUSES</v>
      </c>
      <c r="B71" s="129" t="str">
        <f>DATABASE!B725</f>
        <v>Center</v>
      </c>
      <c r="C71" s="129" t="str">
        <f>DATABASE!C725</f>
        <v>22B</v>
      </c>
      <c r="D71" s="130" t="str">
        <f>DATABASE!E725</f>
        <v>T2</v>
      </c>
      <c r="E71" s="130">
        <f>DATABASE!F725</f>
        <v>170</v>
      </c>
      <c r="F71" s="130">
        <f>DATABASE!G725</f>
        <v>0</v>
      </c>
      <c r="G71" s="130" t="str">
        <f>DATABASE!H725</f>
        <v>1</v>
      </c>
      <c r="H71" s="130" t="str">
        <f>DATABASE!I725</f>
        <v/>
      </c>
      <c r="I71" s="130">
        <f>DATABASE!J725</f>
        <v>0</v>
      </c>
      <c r="J71" s="130">
        <f>DATABASE!K725</f>
        <v>0</v>
      </c>
      <c r="K71" s="130">
        <f>DATABASE!L725</f>
        <v>0</v>
      </c>
      <c r="L71" s="72">
        <f>DATABASE!M725</f>
        <v>30</v>
      </c>
      <c r="M71" s="130">
        <f>DATABASE!N725</f>
        <v>24</v>
      </c>
      <c r="N71" s="111">
        <f>DATABASE!O725</f>
        <v>116</v>
      </c>
      <c r="O71" s="78">
        <f>DATABASE!P725</f>
        <v>0</v>
      </c>
      <c r="P71" s="88" t="str">
        <f>DATABASE!Q725</f>
        <v xml:space="preserve">PSPA </v>
      </c>
      <c r="Q71" s="78">
        <f>DATABASE!R725</f>
        <v>795000</v>
      </c>
      <c r="R71" s="78">
        <f>DATABASE!S725</f>
        <v>795000</v>
      </c>
      <c r="S71" s="78">
        <f>DATABASE!T725</f>
        <v>795000</v>
      </c>
      <c r="T71" s="78">
        <f>DATABASE!U725</f>
        <v>0</v>
      </c>
      <c r="U71" s="79">
        <f>DATABASE!V725</f>
        <v>0</v>
      </c>
      <c r="V71" s="79">
        <f>DATABASE!W725</f>
        <v>795000</v>
      </c>
      <c r="W71" s="80">
        <f>DATABASE!X725</f>
        <v>0</v>
      </c>
      <c r="X71" s="79">
        <f>DATABASE!Y725</f>
        <v>795000</v>
      </c>
      <c r="Y71" s="79">
        <f>DATABASE!Z725</f>
        <v>795000</v>
      </c>
      <c r="Z71" s="79" t="e">
        <f>DATABASE!#REF!</f>
        <v>#REF!</v>
      </c>
      <c r="AA71" s="81" t="e">
        <f>DATABASE!#REF!</f>
        <v>#REF!</v>
      </c>
      <c r="AB71" s="82">
        <f>DATABASE!AB725</f>
        <v>47118</v>
      </c>
    </row>
    <row r="72" spans="1:28">
      <c r="A72" s="128" t="str">
        <f>DATABASE!A726</f>
        <v>TERRACOTA</v>
      </c>
      <c r="B72" s="129" t="str">
        <f>DATABASE!B726</f>
        <v>Vilamoura</v>
      </c>
      <c r="C72" s="129" t="str">
        <f>DATABASE!C726</f>
        <v>BQ</v>
      </c>
      <c r="D72" s="130" t="str">
        <f>DATABASE!E726</f>
        <v>T3</v>
      </c>
      <c r="E72" s="130">
        <f>DATABASE!F726</f>
        <v>130.91999999999999</v>
      </c>
      <c r="F72" s="130">
        <f>DATABASE!G726</f>
        <v>0</v>
      </c>
      <c r="G72" s="130" t="str">
        <f>DATABASE!H726</f>
        <v/>
      </c>
      <c r="H72" s="130" t="str">
        <f>DATABASE!I726</f>
        <v/>
      </c>
      <c r="I72" s="130">
        <f>DATABASE!J726</f>
        <v>0</v>
      </c>
      <c r="J72" s="130">
        <f>DATABASE!K726</f>
        <v>0</v>
      </c>
      <c r="K72" s="130">
        <f>DATABASE!L726</f>
        <v>0</v>
      </c>
      <c r="L72" s="72">
        <f>DATABASE!M726</f>
        <v>0</v>
      </c>
      <c r="M72" s="130">
        <f>DATABASE!N726</f>
        <v>0</v>
      </c>
      <c r="N72" s="111">
        <f>DATABASE!O726</f>
        <v>130.91999999999999</v>
      </c>
      <c r="O72" s="78">
        <f>DATABASE!P726</f>
        <v>0</v>
      </c>
      <c r="P72" s="88" t="str">
        <f>DATABASE!Q726</f>
        <v xml:space="preserve">PSPA </v>
      </c>
      <c r="Q72" s="78">
        <f>DATABASE!R726</f>
        <v>660000</v>
      </c>
      <c r="R72" s="78">
        <f>DATABASE!S726</f>
        <v>660000</v>
      </c>
      <c r="S72" s="78">
        <f>DATABASE!T726</f>
        <v>690000</v>
      </c>
      <c r="T72" s="78">
        <f>DATABASE!U726</f>
        <v>0</v>
      </c>
      <c r="U72" s="79">
        <f>DATABASE!V726</f>
        <v>0</v>
      </c>
      <c r="V72" s="79">
        <f>DATABASE!W726</f>
        <v>690000</v>
      </c>
      <c r="W72" s="80">
        <f>DATABASE!X726</f>
        <v>0</v>
      </c>
      <c r="X72" s="79">
        <f>DATABASE!Y726</f>
        <v>690000</v>
      </c>
      <c r="Y72" s="79">
        <f>DATABASE!Z726</f>
        <v>690000</v>
      </c>
      <c r="Z72" s="79" t="e">
        <f>DATABASE!#REF!</f>
        <v>#REF!</v>
      </c>
      <c r="AA72" s="81" t="e">
        <f>DATABASE!#REF!</f>
        <v>#REF!</v>
      </c>
      <c r="AB72" s="82">
        <f>DATABASE!AB726</f>
        <v>0</v>
      </c>
    </row>
    <row r="73" spans="1:28">
      <c r="A73" s="128" t="str">
        <f>DATABASE!A727</f>
        <v>SPRINGS</v>
      </c>
      <c r="B73" s="129" t="str">
        <f>DATABASE!B727</f>
        <v>Vilamoura</v>
      </c>
      <c r="C73" s="129" t="str">
        <f>DATABASE!C727</f>
        <v>BR</v>
      </c>
      <c r="D73" s="130" t="str">
        <f>DATABASE!E727</f>
        <v>V2 Duplex</v>
      </c>
      <c r="E73" s="130">
        <f>DATABASE!F727</f>
        <v>336.85</v>
      </c>
      <c r="F73" s="130">
        <f>DATABASE!G727</f>
        <v>177.08</v>
      </c>
      <c r="G73" s="130" t="str">
        <f>DATABASE!H727</f>
        <v>2</v>
      </c>
      <c r="H73" s="130" t="str">
        <f>DATABASE!I727</f>
        <v/>
      </c>
      <c r="I73" s="130">
        <f>DATABASE!J727</f>
        <v>25.77</v>
      </c>
      <c r="J73" s="130">
        <f>DATABASE!K727</f>
        <v>0</v>
      </c>
      <c r="K73" s="130">
        <f>DATABASE!L727</f>
        <v>0</v>
      </c>
      <c r="L73" s="72">
        <f>DATABASE!M727</f>
        <v>0</v>
      </c>
      <c r="M73" s="130">
        <f>DATABASE!N727</f>
        <v>0</v>
      </c>
      <c r="N73" s="111">
        <f>DATABASE!O727</f>
        <v>134</v>
      </c>
      <c r="O73" s="78">
        <f>DATABASE!P727</f>
        <v>0</v>
      </c>
      <c r="P73" s="88" t="str">
        <f>DATABASE!Q727</f>
        <v>AVAILABLE</v>
      </c>
      <c r="Q73" s="78">
        <f>DATABASE!R727</f>
        <v>1177700</v>
      </c>
      <c r="R73" s="78">
        <f>DATABASE!S727</f>
        <v>1248850</v>
      </c>
      <c r="S73" s="78">
        <f>DATABASE!T727</f>
        <v>1320000</v>
      </c>
      <c r="T73" s="78">
        <f>DATABASE!U727</f>
        <v>24600</v>
      </c>
      <c r="U73" s="79">
        <f>DATABASE!V727</f>
        <v>46550</v>
      </c>
      <c r="V73" s="79">
        <f>DATABASE!W727</f>
        <v>1248850</v>
      </c>
      <c r="W73" s="80">
        <f>DATABASE!X727</f>
        <v>0</v>
      </c>
      <c r="X73" s="79">
        <f>DATABASE!Y727</f>
        <v>1320000</v>
      </c>
      <c r="Y73" s="79">
        <f>DATABASE!Z727</f>
        <v>1248850</v>
      </c>
      <c r="Z73" s="79" t="e">
        <f>DATABASE!#REF!</f>
        <v>#REF!</v>
      </c>
      <c r="AA73" s="81">
        <f>DATABASE!AA727</f>
        <v>0</v>
      </c>
      <c r="AB73" s="82">
        <f>DATABASE!AB727</f>
        <v>0</v>
      </c>
    </row>
    <row r="74" spans="1:28">
      <c r="A74" s="128" t="str">
        <f>DATABASE!A728</f>
        <v>TERRACOTA</v>
      </c>
      <c r="B74" s="129" t="str">
        <f>DATABASE!B728</f>
        <v>Vilamoura</v>
      </c>
      <c r="C74" s="129" t="str">
        <f>DATABASE!C728</f>
        <v>BR</v>
      </c>
      <c r="D74" s="130" t="str">
        <f>DATABASE!E728</f>
        <v>T3</v>
      </c>
      <c r="E74" s="130">
        <f>DATABASE!F728</f>
        <v>130.91999999999999</v>
      </c>
      <c r="F74" s="130">
        <f>DATABASE!G728</f>
        <v>0</v>
      </c>
      <c r="G74" s="130" t="str">
        <f>DATABASE!H728</f>
        <v/>
      </c>
      <c r="H74" s="130" t="str">
        <f>DATABASE!I728</f>
        <v/>
      </c>
      <c r="I74" s="130">
        <f>DATABASE!J728</f>
        <v>0</v>
      </c>
      <c r="J74" s="130">
        <f>DATABASE!K728</f>
        <v>0</v>
      </c>
      <c r="K74" s="130">
        <f>DATABASE!L728</f>
        <v>0</v>
      </c>
      <c r="L74" s="72">
        <f>DATABASE!M728</f>
        <v>0</v>
      </c>
      <c r="M74" s="130">
        <f>DATABASE!N728</f>
        <v>0</v>
      </c>
      <c r="N74" s="111">
        <f>DATABASE!O728</f>
        <v>130.91999999999999</v>
      </c>
      <c r="O74" s="78">
        <f>DATABASE!P728</f>
        <v>0</v>
      </c>
      <c r="P74" s="88" t="str">
        <f>DATABASE!Q728</f>
        <v>AVAILABLE</v>
      </c>
      <c r="Q74" s="78">
        <f>DATABASE!R728</f>
        <v>630000</v>
      </c>
      <c r="R74" s="78">
        <f>DATABASE!S728</f>
        <v>630000</v>
      </c>
      <c r="S74" s="78">
        <f>DATABASE!T728</f>
        <v>660000</v>
      </c>
      <c r="T74" s="78">
        <f>DATABASE!U728</f>
        <v>0</v>
      </c>
      <c r="U74" s="79">
        <f>DATABASE!V728</f>
        <v>0</v>
      </c>
      <c r="V74" s="79">
        <f>DATABASE!W728</f>
        <v>660000</v>
      </c>
      <c r="W74" s="80">
        <f>DATABASE!X728</f>
        <v>0</v>
      </c>
      <c r="X74" s="79">
        <f>DATABASE!Y728</f>
        <v>660000</v>
      </c>
      <c r="Y74" s="79">
        <f>DATABASE!Z728</f>
        <v>660000</v>
      </c>
      <c r="Z74" s="79" t="e">
        <f>DATABASE!#REF!</f>
        <v>#REF!</v>
      </c>
      <c r="AA74" s="81">
        <f>DATABASE!AA728</f>
        <v>0</v>
      </c>
      <c r="AB74" s="82">
        <f>DATABASE!AB728</f>
        <v>0</v>
      </c>
    </row>
    <row r="75" spans="1:28">
      <c r="A75" s="142" t="str">
        <f>DATABASE!A729</f>
        <v>SPRINGS</v>
      </c>
      <c r="B75" s="143" t="str">
        <f>DATABASE!B729</f>
        <v>Vilamoura</v>
      </c>
      <c r="C75" s="143" t="str">
        <f>DATABASE!C729</f>
        <v>BS</v>
      </c>
      <c r="D75" s="144" t="str">
        <f>DATABASE!E729</f>
        <v>V2 Duplex</v>
      </c>
      <c r="E75" s="131">
        <f>DATABASE!F729</f>
        <v>343.23</v>
      </c>
      <c r="F75" s="131">
        <f>DATABASE!G729</f>
        <v>183.46</v>
      </c>
      <c r="G75" s="131" t="str">
        <f>DATABASE!H729</f>
        <v>2</v>
      </c>
      <c r="H75" s="131" t="str">
        <f>DATABASE!I729</f>
        <v/>
      </c>
      <c r="I75" s="131">
        <f>DATABASE!J729</f>
        <v>25.77</v>
      </c>
      <c r="J75" s="131">
        <f>DATABASE!K729</f>
        <v>0</v>
      </c>
      <c r="K75" s="131">
        <f>DATABASE!L729</f>
        <v>0</v>
      </c>
      <c r="L75" s="72">
        <f>DATABASE!M729</f>
        <v>0</v>
      </c>
      <c r="M75" s="131">
        <f>DATABASE!N729</f>
        <v>0</v>
      </c>
      <c r="N75" s="79">
        <f>DATABASE!O729</f>
        <v>134</v>
      </c>
      <c r="O75" s="78">
        <f>DATABASE!P729</f>
        <v>0</v>
      </c>
      <c r="P75" s="78" t="str">
        <f>DATABASE!Q729</f>
        <v>AVAILABLE</v>
      </c>
      <c r="Q75" s="78">
        <f>DATABASE!R729</f>
        <v>1187700</v>
      </c>
      <c r="R75" s="78">
        <f>DATABASE!S729</f>
        <v>1258850</v>
      </c>
      <c r="S75" s="78">
        <f>DATABASE!T729</f>
        <v>1330000</v>
      </c>
      <c r="T75" s="78">
        <f>DATABASE!U729</f>
        <v>24600</v>
      </c>
      <c r="U75" s="79">
        <f>DATABASE!V729</f>
        <v>46550</v>
      </c>
      <c r="V75" s="79">
        <f>DATABASE!W729</f>
        <v>1258850</v>
      </c>
      <c r="W75" s="80">
        <f>DATABASE!X729</f>
        <v>0</v>
      </c>
      <c r="X75" s="79">
        <f>DATABASE!Y729</f>
        <v>1330000</v>
      </c>
      <c r="Y75" s="79">
        <f>DATABASE!Z729</f>
        <v>1258850</v>
      </c>
      <c r="Z75" s="79" t="e">
        <f>DATABASE!#REF!</f>
        <v>#REF!</v>
      </c>
      <c r="AA75" s="81">
        <f>DATABASE!AA729</f>
        <v>0</v>
      </c>
      <c r="AB75" s="82">
        <f>DATABASE!AB729</f>
        <v>0</v>
      </c>
    </row>
    <row r="76" spans="1:28">
      <c r="A76" s="142" t="str">
        <f>DATABASE!A730</f>
        <v>TERRACOTA</v>
      </c>
      <c r="B76" s="143" t="str">
        <f>DATABASE!B730</f>
        <v>Vilamoura</v>
      </c>
      <c r="C76" s="143" t="str">
        <f>DATABASE!C730</f>
        <v>BS</v>
      </c>
      <c r="D76" s="144" t="str">
        <f>DATABASE!E730</f>
        <v>T3</v>
      </c>
      <c r="E76" s="131">
        <f>DATABASE!F730</f>
        <v>130.91999999999999</v>
      </c>
      <c r="F76" s="131">
        <f>DATABASE!G730</f>
        <v>0</v>
      </c>
      <c r="G76" s="131" t="str">
        <f>DATABASE!H730</f>
        <v/>
      </c>
      <c r="H76" s="131" t="str">
        <f>DATABASE!I730</f>
        <v/>
      </c>
      <c r="I76" s="131">
        <f>DATABASE!J730</f>
        <v>0</v>
      </c>
      <c r="J76" s="131">
        <f>DATABASE!K730</f>
        <v>0</v>
      </c>
      <c r="K76" s="131">
        <f>DATABASE!L730</f>
        <v>0</v>
      </c>
      <c r="L76" s="72">
        <f>DATABASE!M730</f>
        <v>0</v>
      </c>
      <c r="M76" s="131">
        <f>DATABASE!N730</f>
        <v>0</v>
      </c>
      <c r="N76" s="79">
        <f>DATABASE!O730</f>
        <v>130.91999999999999</v>
      </c>
      <c r="O76" s="78">
        <f>DATABASE!P730</f>
        <v>0</v>
      </c>
      <c r="P76" s="78" t="str">
        <f>DATABASE!Q730</f>
        <v xml:space="preserve">PSPA </v>
      </c>
      <c r="Q76" s="78">
        <f>DATABASE!R730</f>
        <v>630000</v>
      </c>
      <c r="R76" s="78">
        <f>DATABASE!S730</f>
        <v>630000</v>
      </c>
      <c r="S76" s="78">
        <f>DATABASE!T730</f>
        <v>650000</v>
      </c>
      <c r="T76" s="78">
        <f>DATABASE!U730</f>
        <v>0</v>
      </c>
      <c r="U76" s="79">
        <f>DATABASE!V730</f>
        <v>0</v>
      </c>
      <c r="V76" s="79">
        <f>DATABASE!W730</f>
        <v>650000</v>
      </c>
      <c r="W76" s="80">
        <f>DATABASE!X730</f>
        <v>0</v>
      </c>
      <c r="X76" s="79">
        <f>DATABASE!Y730</f>
        <v>650000</v>
      </c>
      <c r="Y76" s="79">
        <f>DATABASE!Z730</f>
        <v>650000</v>
      </c>
      <c r="Z76" s="79" t="e">
        <f>DATABASE!#REF!</f>
        <v>#REF!</v>
      </c>
      <c r="AA76" s="81" t="e">
        <f>DATABASE!#REF!</f>
        <v>#REF!</v>
      </c>
      <c r="AB76" s="82">
        <f>DATABASE!AB730</f>
        <v>0</v>
      </c>
    </row>
    <row r="77" spans="1:28">
      <c r="A77" s="142" t="str">
        <f>DATABASE!A731</f>
        <v>SPRINGS</v>
      </c>
      <c r="B77" s="143" t="str">
        <f>DATABASE!B731</f>
        <v>Vilamoura</v>
      </c>
      <c r="C77" s="143" t="str">
        <f>DATABASE!C731</f>
        <v>BT</v>
      </c>
      <c r="D77" s="144" t="str">
        <f>DATABASE!E731</f>
        <v>V2 Duplex</v>
      </c>
      <c r="E77" s="131">
        <f>DATABASE!F731</f>
        <v>354.02</v>
      </c>
      <c r="F77" s="131">
        <f>DATABASE!G731</f>
        <v>187.84</v>
      </c>
      <c r="G77" s="131" t="str">
        <f>DATABASE!H731</f>
        <v>2</v>
      </c>
      <c r="H77" s="131" t="str">
        <f>DATABASE!I731</f>
        <v/>
      </c>
      <c r="I77" s="131">
        <f>DATABASE!J731</f>
        <v>25.77</v>
      </c>
      <c r="J77" s="131">
        <f>DATABASE!K731</f>
        <v>0</v>
      </c>
      <c r="K77" s="131">
        <f>DATABASE!L731</f>
        <v>0</v>
      </c>
      <c r="L77" s="72">
        <f>DATABASE!M731</f>
        <v>0</v>
      </c>
      <c r="M77" s="131">
        <f>DATABASE!N731</f>
        <v>0</v>
      </c>
      <c r="N77" s="79">
        <f>DATABASE!O731</f>
        <v>140.41</v>
      </c>
      <c r="O77" s="78">
        <f>DATABASE!P731</f>
        <v>0</v>
      </c>
      <c r="P77" s="78" t="str">
        <f>DATABASE!Q731</f>
        <v>AVAILABLE</v>
      </c>
      <c r="Q77" s="78">
        <f>DATABASE!R731</f>
        <v>1297700</v>
      </c>
      <c r="R77" s="78">
        <f>DATABASE!S731</f>
        <v>1368850</v>
      </c>
      <c r="S77" s="78">
        <f>DATABASE!T731</f>
        <v>1440000</v>
      </c>
      <c r="T77" s="78">
        <f>DATABASE!U731</f>
        <v>24600</v>
      </c>
      <c r="U77" s="79">
        <f>DATABASE!V731</f>
        <v>46550</v>
      </c>
      <c r="V77" s="79">
        <f>DATABASE!W731</f>
        <v>1368850</v>
      </c>
      <c r="W77" s="80">
        <f>DATABASE!X731</f>
        <v>0</v>
      </c>
      <c r="X77" s="79">
        <f>DATABASE!Y731</f>
        <v>1440000</v>
      </c>
      <c r="Y77" s="79">
        <f>DATABASE!Z731</f>
        <v>1368850</v>
      </c>
      <c r="Z77" s="79" t="e">
        <f>DATABASE!#REF!</f>
        <v>#REF!</v>
      </c>
      <c r="AA77" s="81">
        <f>DATABASE!AA731</f>
        <v>0</v>
      </c>
      <c r="AB77" s="82">
        <f>DATABASE!AB731</f>
        <v>0</v>
      </c>
    </row>
    <row r="78" spans="1:28">
      <c r="A78" s="142" t="str">
        <f>DATABASE!A732</f>
        <v>TERRACOTA</v>
      </c>
      <c r="B78" s="143" t="str">
        <f>DATABASE!B732</f>
        <v>Vilamoura</v>
      </c>
      <c r="C78" s="143" t="str">
        <f>DATABASE!C732</f>
        <v>BT</v>
      </c>
      <c r="D78" s="144" t="str">
        <f>DATABASE!E732</f>
        <v>T3</v>
      </c>
      <c r="E78" s="131">
        <f>DATABASE!F732</f>
        <v>130.91999999999999</v>
      </c>
      <c r="F78" s="131">
        <f>DATABASE!G732</f>
        <v>0</v>
      </c>
      <c r="G78" s="131" t="str">
        <f>DATABASE!H732</f>
        <v/>
      </c>
      <c r="H78" s="131" t="str">
        <f>DATABASE!I732</f>
        <v/>
      </c>
      <c r="I78" s="131">
        <f>DATABASE!J732</f>
        <v>0</v>
      </c>
      <c r="J78" s="131">
        <f>DATABASE!K732</f>
        <v>0</v>
      </c>
      <c r="K78" s="131">
        <f>DATABASE!L732</f>
        <v>0</v>
      </c>
      <c r="L78" s="72">
        <f>DATABASE!M732</f>
        <v>0</v>
      </c>
      <c r="M78" s="131">
        <f>DATABASE!N732</f>
        <v>0</v>
      </c>
      <c r="N78" s="79">
        <f>DATABASE!O732</f>
        <v>130.91999999999999</v>
      </c>
      <c r="O78" s="78">
        <f>DATABASE!P732</f>
        <v>0</v>
      </c>
      <c r="P78" s="78" t="str">
        <f>DATABASE!Q732</f>
        <v>AVAILABLE</v>
      </c>
      <c r="Q78" s="78">
        <f>DATABASE!R732</f>
        <v>660000</v>
      </c>
      <c r="R78" s="78">
        <f>DATABASE!S732</f>
        <v>660000</v>
      </c>
      <c r="S78" s="78">
        <f>DATABASE!T732</f>
        <v>690000</v>
      </c>
      <c r="T78" s="78">
        <f>DATABASE!U732</f>
        <v>0</v>
      </c>
      <c r="U78" s="79">
        <f>DATABASE!V732</f>
        <v>0</v>
      </c>
      <c r="V78" s="79">
        <f>DATABASE!W732</f>
        <v>690000</v>
      </c>
      <c r="W78" s="80">
        <f>DATABASE!X732</f>
        <v>0</v>
      </c>
      <c r="X78" s="79">
        <f>DATABASE!Y732</f>
        <v>690000</v>
      </c>
      <c r="Y78" s="79">
        <f>DATABASE!Z732</f>
        <v>690000</v>
      </c>
      <c r="Z78" s="79" t="e">
        <f>DATABASE!#REF!</f>
        <v>#REF!</v>
      </c>
      <c r="AA78" s="81">
        <f>DATABASE!AA732</f>
        <v>0</v>
      </c>
      <c r="AB78" s="82">
        <f>DATABASE!AB732</f>
        <v>0</v>
      </c>
    </row>
    <row r="79" spans="1:28">
      <c r="A79" s="142" t="str">
        <f>DATABASE!A733</f>
        <v>SPRINGS</v>
      </c>
      <c r="B79" s="143" t="str">
        <f>DATABASE!B733</f>
        <v>Vilamoura</v>
      </c>
      <c r="C79" s="143" t="str">
        <f>DATABASE!C733</f>
        <v>BU</v>
      </c>
      <c r="D79" s="144" t="str">
        <f>DATABASE!E733</f>
        <v>V2 Duplex</v>
      </c>
      <c r="E79" s="131">
        <f>DATABASE!F733</f>
        <v>409.3</v>
      </c>
      <c r="F79" s="131">
        <f>DATABASE!G733</f>
        <v>243.12</v>
      </c>
      <c r="G79" s="131" t="str">
        <f>DATABASE!H733</f>
        <v>2</v>
      </c>
      <c r="H79" s="131" t="str">
        <f>DATABASE!I733</f>
        <v/>
      </c>
      <c r="I79" s="131">
        <f>DATABASE!J733</f>
        <v>25.77</v>
      </c>
      <c r="J79" s="131">
        <f>DATABASE!K733</f>
        <v>0</v>
      </c>
      <c r="K79" s="131">
        <f>DATABASE!L733</f>
        <v>0</v>
      </c>
      <c r="L79" s="72">
        <f>DATABASE!M733</f>
        <v>0</v>
      </c>
      <c r="M79" s="131">
        <f>DATABASE!N733</f>
        <v>0</v>
      </c>
      <c r="N79" s="79">
        <f>DATABASE!O733</f>
        <v>140.41</v>
      </c>
      <c r="O79" s="78">
        <f>DATABASE!P733</f>
        <v>0</v>
      </c>
      <c r="P79" s="78" t="str">
        <f>DATABASE!Q733</f>
        <v>AVAILABLE</v>
      </c>
      <c r="Q79" s="78">
        <f>DATABASE!R733</f>
        <v>1487700</v>
      </c>
      <c r="R79" s="78">
        <f>DATABASE!S733</f>
        <v>1558850</v>
      </c>
      <c r="S79" s="78">
        <f>DATABASE!T733</f>
        <v>1630000</v>
      </c>
      <c r="T79" s="78">
        <f>DATABASE!U733</f>
        <v>24600</v>
      </c>
      <c r="U79" s="79">
        <f>DATABASE!V733</f>
        <v>46550</v>
      </c>
      <c r="V79" s="79">
        <f>DATABASE!W733</f>
        <v>1558850</v>
      </c>
      <c r="W79" s="80">
        <f>DATABASE!X733</f>
        <v>0</v>
      </c>
      <c r="X79" s="79">
        <f>DATABASE!Y733</f>
        <v>1630000</v>
      </c>
      <c r="Y79" s="79">
        <f>DATABASE!Z733</f>
        <v>1558850</v>
      </c>
      <c r="Z79" s="79" t="e">
        <f>DATABASE!#REF!</f>
        <v>#REF!</v>
      </c>
      <c r="AA79" s="81">
        <f>DATABASE!AA733</f>
        <v>0</v>
      </c>
      <c r="AB79" s="82">
        <f>DATABASE!AB733</f>
        <v>0</v>
      </c>
    </row>
    <row r="80" spans="1:28">
      <c r="A80" s="142" t="str">
        <f>DATABASE!A734</f>
        <v>TERRACOTA</v>
      </c>
      <c r="B80" s="143" t="str">
        <f>DATABASE!B734</f>
        <v>Vilamoura</v>
      </c>
      <c r="C80" s="143" t="str">
        <f>DATABASE!C734</f>
        <v>BU</v>
      </c>
      <c r="D80" s="144" t="str">
        <f>DATABASE!E734</f>
        <v>T3</v>
      </c>
      <c r="E80" s="131">
        <f>DATABASE!F734</f>
        <v>130.91999999999999</v>
      </c>
      <c r="F80" s="131">
        <f>DATABASE!G734</f>
        <v>0</v>
      </c>
      <c r="G80" s="131" t="str">
        <f>DATABASE!H734</f>
        <v/>
      </c>
      <c r="H80" s="131" t="str">
        <f>DATABASE!I734</f>
        <v/>
      </c>
      <c r="I80" s="131">
        <f>DATABASE!J734</f>
        <v>0</v>
      </c>
      <c r="J80" s="131">
        <f>DATABASE!K734</f>
        <v>0</v>
      </c>
      <c r="K80" s="131">
        <f>DATABASE!L734</f>
        <v>0</v>
      </c>
      <c r="L80" s="72">
        <f>DATABASE!M734</f>
        <v>0</v>
      </c>
      <c r="M80" s="131">
        <f>DATABASE!N734</f>
        <v>0</v>
      </c>
      <c r="N80" s="79">
        <f>DATABASE!O734</f>
        <v>130.91999999999999</v>
      </c>
      <c r="O80" s="78">
        <f>DATABASE!P734</f>
        <v>0</v>
      </c>
      <c r="P80" s="78" t="str">
        <f>DATABASE!Q734</f>
        <v>AVAILABLE</v>
      </c>
      <c r="Q80" s="78">
        <f>DATABASE!R734</f>
        <v>660000</v>
      </c>
      <c r="R80" s="78">
        <f>DATABASE!S734</f>
        <v>660000</v>
      </c>
      <c r="S80" s="78">
        <f>DATABASE!T734</f>
        <v>690000</v>
      </c>
      <c r="T80" s="78">
        <f>DATABASE!U734</f>
        <v>0</v>
      </c>
      <c r="U80" s="79">
        <f>DATABASE!V734</f>
        <v>0</v>
      </c>
      <c r="V80" s="79">
        <f>DATABASE!W734</f>
        <v>690000</v>
      </c>
      <c r="W80" s="80">
        <f>DATABASE!X734</f>
        <v>0</v>
      </c>
      <c r="X80" s="79">
        <f>DATABASE!Y734</f>
        <v>690000</v>
      </c>
      <c r="Y80" s="79">
        <f>DATABASE!Z734</f>
        <v>690000</v>
      </c>
      <c r="Z80" s="79" t="e">
        <f>DATABASE!#REF!</f>
        <v>#REF!</v>
      </c>
      <c r="AA80" s="81">
        <f>DATABASE!AA734</f>
        <v>0</v>
      </c>
      <c r="AB80" s="82">
        <f>DATABASE!AB734</f>
        <v>0</v>
      </c>
    </row>
    <row r="81" spans="1:28">
      <c r="A81" s="142" t="str">
        <f>DATABASE!A735</f>
        <v>SPRINGS</v>
      </c>
      <c r="B81" s="143" t="str">
        <f>DATABASE!B735</f>
        <v>Vilamoura</v>
      </c>
      <c r="C81" s="143" t="str">
        <f>DATABASE!C735</f>
        <v>BV</v>
      </c>
      <c r="D81" s="144" t="str">
        <f>DATABASE!E735</f>
        <v>V2 Duplex</v>
      </c>
      <c r="E81" s="131">
        <f>DATABASE!F735</f>
        <v>394.6</v>
      </c>
      <c r="F81" s="131">
        <f>DATABASE!G735</f>
        <v>234.83</v>
      </c>
      <c r="G81" s="131" t="str">
        <f>DATABASE!H735</f>
        <v>2</v>
      </c>
      <c r="H81" s="131" t="str">
        <f>DATABASE!I735</f>
        <v/>
      </c>
      <c r="I81" s="131">
        <f>DATABASE!J735</f>
        <v>25.77</v>
      </c>
      <c r="J81" s="131">
        <f>DATABASE!K735</f>
        <v>0</v>
      </c>
      <c r="K81" s="131">
        <f>DATABASE!L735</f>
        <v>0</v>
      </c>
      <c r="L81" s="72">
        <f>DATABASE!M735</f>
        <v>0</v>
      </c>
      <c r="M81" s="131">
        <f>DATABASE!N735</f>
        <v>0</v>
      </c>
      <c r="N81" s="79">
        <f>DATABASE!O735</f>
        <v>134</v>
      </c>
      <c r="O81" s="78">
        <f>DATABASE!P735</f>
        <v>0</v>
      </c>
      <c r="P81" s="78" t="str">
        <f>DATABASE!Q735</f>
        <v>AVAILABLE</v>
      </c>
      <c r="Q81" s="78">
        <f>DATABASE!R735</f>
        <v>1467700</v>
      </c>
      <c r="R81" s="78">
        <f>DATABASE!S735</f>
        <v>1538850</v>
      </c>
      <c r="S81" s="78">
        <f>DATABASE!T735</f>
        <v>1610000</v>
      </c>
      <c r="T81" s="78">
        <f>DATABASE!U735</f>
        <v>24600</v>
      </c>
      <c r="U81" s="79">
        <f>DATABASE!V735</f>
        <v>46550</v>
      </c>
      <c r="V81" s="79">
        <f>DATABASE!W735</f>
        <v>1538850</v>
      </c>
      <c r="W81" s="80">
        <f>DATABASE!X735</f>
        <v>0</v>
      </c>
      <c r="X81" s="79">
        <f>DATABASE!Y735</f>
        <v>1610000</v>
      </c>
      <c r="Y81" s="79">
        <f>DATABASE!Z735</f>
        <v>1538850</v>
      </c>
      <c r="Z81" s="79" t="e">
        <f>DATABASE!#REF!</f>
        <v>#REF!</v>
      </c>
      <c r="AA81" s="81">
        <f>DATABASE!AA735</f>
        <v>0</v>
      </c>
      <c r="AB81" s="82">
        <f>DATABASE!AB735</f>
        <v>0</v>
      </c>
    </row>
    <row r="82" spans="1:28">
      <c r="A82" s="142" t="str">
        <f>DATABASE!A736</f>
        <v>TERRACOTA</v>
      </c>
      <c r="B82" s="143" t="str">
        <f>DATABASE!B736</f>
        <v>Vilamoura</v>
      </c>
      <c r="C82" s="143" t="str">
        <f>DATABASE!C736</f>
        <v>BV</v>
      </c>
      <c r="D82" s="144" t="str">
        <f>DATABASE!E736</f>
        <v>T2</v>
      </c>
      <c r="E82" s="131">
        <f>DATABASE!F736</f>
        <v>78.3</v>
      </c>
      <c r="F82" s="131">
        <f>DATABASE!G736</f>
        <v>0</v>
      </c>
      <c r="G82" s="131" t="str">
        <f>DATABASE!H736</f>
        <v/>
      </c>
      <c r="H82" s="131" t="str">
        <f>DATABASE!I736</f>
        <v/>
      </c>
      <c r="I82" s="131">
        <f>DATABASE!J736</f>
        <v>0</v>
      </c>
      <c r="J82" s="131">
        <f>DATABASE!K736</f>
        <v>0</v>
      </c>
      <c r="K82" s="131">
        <f>DATABASE!L736</f>
        <v>0</v>
      </c>
      <c r="L82" s="72">
        <f>DATABASE!M736</f>
        <v>0</v>
      </c>
      <c r="M82" s="131">
        <f>DATABASE!N736</f>
        <v>0</v>
      </c>
      <c r="N82" s="79">
        <f>DATABASE!O736</f>
        <v>78.3</v>
      </c>
      <c r="O82" s="78">
        <f>DATABASE!P736</f>
        <v>0</v>
      </c>
      <c r="P82" s="78" t="str">
        <f>DATABASE!Q736</f>
        <v xml:space="preserve">PSPA </v>
      </c>
      <c r="Q82" s="78">
        <f>DATABASE!R736</f>
        <v>435000</v>
      </c>
      <c r="R82" s="78">
        <f>DATABASE!S736</f>
        <v>435000</v>
      </c>
      <c r="S82" s="78">
        <f>DATABASE!T736</f>
        <v>435000</v>
      </c>
      <c r="T82" s="78">
        <f>DATABASE!U736</f>
        <v>0</v>
      </c>
      <c r="U82" s="79">
        <f>DATABASE!V736</f>
        <v>0</v>
      </c>
      <c r="V82" s="79">
        <f>DATABASE!W736</f>
        <v>435000</v>
      </c>
      <c r="W82" s="80">
        <f>DATABASE!X736</f>
        <v>0</v>
      </c>
      <c r="X82" s="79">
        <f>DATABASE!Y736</f>
        <v>435000</v>
      </c>
      <c r="Y82" s="79">
        <f>DATABASE!Z736</f>
        <v>435000</v>
      </c>
      <c r="Z82" s="79" t="e">
        <f>DATABASE!#REF!</f>
        <v>#REF!</v>
      </c>
      <c r="AA82" s="81" t="e">
        <f>DATABASE!#REF!</f>
        <v>#REF!</v>
      </c>
      <c r="AB82" s="82">
        <f>DATABASE!AB736</f>
        <v>0</v>
      </c>
    </row>
    <row r="83" spans="1:28">
      <c r="A83" s="142" t="str">
        <f>DATABASE!A737</f>
        <v>VP - TOWNHOUSES</v>
      </c>
      <c r="B83" s="143" t="str">
        <f>DATABASE!B737</f>
        <v>North</v>
      </c>
      <c r="C83" s="143" t="str">
        <f>DATABASE!C737</f>
        <v>8B</v>
      </c>
      <c r="D83" s="144" t="str">
        <f>DATABASE!E737</f>
        <v>V3</v>
      </c>
      <c r="E83" s="131">
        <f>DATABASE!F737</f>
        <v>338.53</v>
      </c>
      <c r="F83" s="131">
        <f>DATABASE!G737</f>
        <v>0</v>
      </c>
      <c r="G83" s="131" t="str">
        <f>DATABASE!H737</f>
        <v>2</v>
      </c>
      <c r="H83" s="131" t="str">
        <f>DATABASE!I737</f>
        <v>Yes</v>
      </c>
      <c r="I83" s="131">
        <f>DATABASE!J737</f>
        <v>0</v>
      </c>
      <c r="J83" s="131">
        <f>DATABASE!K737</f>
        <v>132.55000000000001</v>
      </c>
      <c r="K83" s="131">
        <f>DATABASE!L737</f>
        <v>44.52</v>
      </c>
      <c r="L83" s="72">
        <f>DATABASE!M737</f>
        <v>0</v>
      </c>
      <c r="M83" s="131">
        <f>DATABASE!N737</f>
        <v>0</v>
      </c>
      <c r="N83" s="79">
        <f>DATABASE!O737</f>
        <v>161.46</v>
      </c>
      <c r="O83" s="78">
        <f>DATABASE!P737</f>
        <v>0</v>
      </c>
      <c r="P83" s="78" t="str">
        <f>DATABASE!Q737</f>
        <v>UPON  REQUEST</v>
      </c>
      <c r="Q83" s="78">
        <f>DATABASE!R737</f>
        <v>1120000</v>
      </c>
      <c r="R83" s="78">
        <f>DATABASE!S737</f>
        <v>1120000</v>
      </c>
      <c r="S83" s="78">
        <f>DATABASE!T737</f>
        <v>1190000</v>
      </c>
      <c r="T83" s="78">
        <f>DATABASE!U737</f>
        <v>0</v>
      </c>
      <c r="U83" s="79">
        <f>DATABASE!V737</f>
        <v>0</v>
      </c>
      <c r="V83" s="79">
        <f>DATABASE!W737</f>
        <v>1190000</v>
      </c>
      <c r="W83" s="80">
        <f>DATABASE!X737</f>
        <v>0</v>
      </c>
      <c r="X83" s="79">
        <f>DATABASE!Y737</f>
        <v>0</v>
      </c>
      <c r="Y83" s="79">
        <f>DATABASE!Z737</f>
        <v>0</v>
      </c>
      <c r="Z83" s="79" t="e">
        <f>DATABASE!#REF!</f>
        <v>#REF!</v>
      </c>
      <c r="AA83" s="81">
        <f>DATABASE!AA737</f>
        <v>0</v>
      </c>
      <c r="AB83" s="82">
        <f>DATABASE!AB737</f>
        <v>47208</v>
      </c>
    </row>
    <row r="84" spans="1:28">
      <c r="A84" s="142" t="str">
        <f>DATABASE!A738</f>
        <v>SPRINGS</v>
      </c>
      <c r="B84" s="143" t="str">
        <f>DATABASE!B738</f>
        <v>Vilamoura</v>
      </c>
      <c r="C84" s="143" t="str">
        <f>DATABASE!C738</f>
        <v>BW</v>
      </c>
      <c r="D84" s="144" t="str">
        <f>DATABASE!E738</f>
        <v>V2 Duplex</v>
      </c>
      <c r="E84" s="131">
        <f>DATABASE!F738</f>
        <v>396.13</v>
      </c>
      <c r="F84" s="131">
        <f>DATABASE!G738</f>
        <v>236.36</v>
      </c>
      <c r="G84" s="131" t="str">
        <f>DATABASE!H738</f>
        <v>2</v>
      </c>
      <c r="H84" s="131" t="str">
        <f>DATABASE!I738</f>
        <v/>
      </c>
      <c r="I84" s="131">
        <f>DATABASE!J738</f>
        <v>25.77</v>
      </c>
      <c r="J84" s="131">
        <f>DATABASE!K738</f>
        <v>0</v>
      </c>
      <c r="K84" s="131">
        <f>DATABASE!L738</f>
        <v>0</v>
      </c>
      <c r="L84" s="72">
        <f>DATABASE!M738</f>
        <v>0</v>
      </c>
      <c r="M84" s="131">
        <f>DATABASE!N738</f>
        <v>0</v>
      </c>
      <c r="N84" s="79">
        <f>DATABASE!O738</f>
        <v>134</v>
      </c>
      <c r="O84" s="78">
        <f>DATABASE!P738</f>
        <v>0</v>
      </c>
      <c r="P84" s="78" t="str">
        <f>DATABASE!Q738</f>
        <v>AVAILABLE</v>
      </c>
      <c r="Q84" s="78">
        <f>DATABASE!R738</f>
        <v>1487700</v>
      </c>
      <c r="R84" s="78">
        <f>DATABASE!S738</f>
        <v>1558850</v>
      </c>
      <c r="S84" s="78">
        <f>DATABASE!T738</f>
        <v>1630000</v>
      </c>
      <c r="T84" s="78">
        <f>DATABASE!U738</f>
        <v>24600</v>
      </c>
      <c r="U84" s="79">
        <f>DATABASE!V738</f>
        <v>46550</v>
      </c>
      <c r="V84" s="79">
        <f>DATABASE!W738</f>
        <v>1558850</v>
      </c>
      <c r="W84" s="80">
        <f>DATABASE!X738</f>
        <v>0</v>
      </c>
      <c r="X84" s="79">
        <f>DATABASE!Y738</f>
        <v>1630000</v>
      </c>
      <c r="Y84" s="79">
        <f>DATABASE!Z738</f>
        <v>1558850</v>
      </c>
      <c r="Z84" s="79" t="e">
        <f>DATABASE!#REF!</f>
        <v>#REF!</v>
      </c>
      <c r="AA84" s="81">
        <f>DATABASE!AA738</f>
        <v>0</v>
      </c>
      <c r="AB84" s="82">
        <f>DATABASE!AB738</f>
        <v>0</v>
      </c>
    </row>
    <row r="85" spans="1:28">
      <c r="A85" s="142" t="str">
        <f>DATABASE!A739</f>
        <v>TERRACOTA</v>
      </c>
      <c r="B85" s="143" t="str">
        <f>DATABASE!B739</f>
        <v>Vilamoura</v>
      </c>
      <c r="C85" s="143" t="str">
        <f>DATABASE!C739</f>
        <v>BW</v>
      </c>
      <c r="D85" s="144" t="str">
        <f>DATABASE!E739</f>
        <v>T2</v>
      </c>
      <c r="E85" s="131">
        <f>DATABASE!F739</f>
        <v>78.3</v>
      </c>
      <c r="F85" s="131">
        <f>DATABASE!G739</f>
        <v>0</v>
      </c>
      <c r="G85" s="131" t="str">
        <f>DATABASE!H739</f>
        <v/>
      </c>
      <c r="H85" s="131" t="str">
        <f>DATABASE!I739</f>
        <v/>
      </c>
      <c r="I85" s="131">
        <f>DATABASE!J739</f>
        <v>0</v>
      </c>
      <c r="J85" s="131">
        <f>DATABASE!K739</f>
        <v>0</v>
      </c>
      <c r="K85" s="131">
        <f>DATABASE!L739</f>
        <v>0</v>
      </c>
      <c r="L85" s="72">
        <f>DATABASE!M739</f>
        <v>0</v>
      </c>
      <c r="M85" s="131">
        <f>DATABASE!N739</f>
        <v>0</v>
      </c>
      <c r="N85" s="79">
        <f>DATABASE!O739</f>
        <v>78.3</v>
      </c>
      <c r="O85" s="78">
        <f>DATABASE!P739</f>
        <v>0</v>
      </c>
      <c r="P85" s="78" t="str">
        <f>DATABASE!Q739</f>
        <v xml:space="preserve">PSPA </v>
      </c>
      <c r="Q85" s="78">
        <f>DATABASE!R739</f>
        <v>435000</v>
      </c>
      <c r="R85" s="78">
        <f>DATABASE!S739</f>
        <v>435000</v>
      </c>
      <c r="S85" s="78">
        <f>DATABASE!T739</f>
        <v>413250</v>
      </c>
      <c r="T85" s="78">
        <f>DATABASE!U739</f>
        <v>0</v>
      </c>
      <c r="U85" s="79">
        <f>DATABASE!V739</f>
        <v>0</v>
      </c>
      <c r="V85" s="79">
        <f>DATABASE!W739</f>
        <v>413250</v>
      </c>
      <c r="W85" s="80">
        <f>DATABASE!X739</f>
        <v>0</v>
      </c>
      <c r="X85" s="79">
        <f>DATABASE!Y739</f>
        <v>413250</v>
      </c>
      <c r="Y85" s="79">
        <f>DATABASE!Z739</f>
        <v>413250</v>
      </c>
      <c r="Z85" s="79" t="e">
        <f>DATABASE!#REF!</f>
        <v>#REF!</v>
      </c>
      <c r="AA85" s="81" t="e">
        <f>DATABASE!#REF!</f>
        <v>#REF!</v>
      </c>
      <c r="AB85" s="82">
        <f>DATABASE!AB739</f>
        <v>0</v>
      </c>
    </row>
    <row r="86" spans="1:28">
      <c r="A86" s="142" t="str">
        <f>DATABASE!A740</f>
        <v>SPRINGS</v>
      </c>
      <c r="B86" s="143" t="str">
        <f>DATABASE!B740</f>
        <v>Vilamoura</v>
      </c>
      <c r="C86" s="143" t="str">
        <f>DATABASE!C740</f>
        <v>BX</v>
      </c>
      <c r="D86" s="144" t="str">
        <f>DATABASE!E740</f>
        <v>V2 Duplex</v>
      </c>
      <c r="E86" s="131">
        <f>DATABASE!F740</f>
        <v>342.41</v>
      </c>
      <c r="F86" s="131">
        <f>DATABASE!G740</f>
        <v>181.96</v>
      </c>
      <c r="G86" s="131" t="str">
        <f>DATABASE!H740</f>
        <v>2</v>
      </c>
      <c r="H86" s="131" t="str">
        <f>DATABASE!I740</f>
        <v/>
      </c>
      <c r="I86" s="131">
        <f>DATABASE!J740</f>
        <v>25.77</v>
      </c>
      <c r="J86" s="131">
        <f>DATABASE!K740</f>
        <v>0</v>
      </c>
      <c r="K86" s="131">
        <f>DATABASE!L740</f>
        <v>0</v>
      </c>
      <c r="L86" s="72">
        <f>DATABASE!M740</f>
        <v>0</v>
      </c>
      <c r="M86" s="131">
        <f>DATABASE!N740</f>
        <v>0</v>
      </c>
      <c r="N86" s="79">
        <f>DATABASE!O740</f>
        <v>134.68</v>
      </c>
      <c r="O86" s="78">
        <f>DATABASE!P740</f>
        <v>0</v>
      </c>
      <c r="P86" s="78" t="str">
        <f>DATABASE!Q740</f>
        <v>AVAILABLE</v>
      </c>
      <c r="Q86" s="78">
        <f>DATABASE!R740</f>
        <v>1497700</v>
      </c>
      <c r="R86" s="78">
        <f>DATABASE!S740</f>
        <v>1568850</v>
      </c>
      <c r="S86" s="78">
        <f>DATABASE!T740</f>
        <v>1640000</v>
      </c>
      <c r="T86" s="78">
        <f>DATABASE!U740</f>
        <v>24600</v>
      </c>
      <c r="U86" s="79">
        <f>DATABASE!V740</f>
        <v>46550</v>
      </c>
      <c r="V86" s="79">
        <f>DATABASE!W740</f>
        <v>1568850</v>
      </c>
      <c r="W86" s="80">
        <f>DATABASE!X740</f>
        <v>0</v>
      </c>
      <c r="X86" s="79">
        <f>DATABASE!Y740</f>
        <v>1640000</v>
      </c>
      <c r="Y86" s="79">
        <f>DATABASE!Z740</f>
        <v>1568850</v>
      </c>
      <c r="Z86" s="79" t="e">
        <f>DATABASE!#REF!</f>
        <v>#REF!</v>
      </c>
      <c r="AA86" s="81">
        <f>DATABASE!AA740</f>
        <v>0</v>
      </c>
      <c r="AB86" s="82">
        <f>DATABASE!AB740</f>
        <v>0</v>
      </c>
    </row>
    <row r="87" spans="1:28">
      <c r="A87" s="142" t="str">
        <f>DATABASE!A741</f>
        <v>TERRACOTA</v>
      </c>
      <c r="B87" s="143" t="str">
        <f>DATABASE!B741</f>
        <v>Vilamoura</v>
      </c>
      <c r="C87" s="143" t="str">
        <f>DATABASE!C741</f>
        <v>BX</v>
      </c>
      <c r="D87" s="144" t="str">
        <f>DATABASE!E741</f>
        <v>T2</v>
      </c>
      <c r="E87" s="131">
        <f>DATABASE!F741</f>
        <v>104.7</v>
      </c>
      <c r="F87" s="131">
        <f>DATABASE!G741</f>
        <v>0</v>
      </c>
      <c r="G87" s="131" t="str">
        <f>DATABASE!H741</f>
        <v/>
      </c>
      <c r="H87" s="131" t="str">
        <f>DATABASE!I741</f>
        <v/>
      </c>
      <c r="I87" s="131">
        <f>DATABASE!J741</f>
        <v>0</v>
      </c>
      <c r="J87" s="131">
        <f>DATABASE!K741</f>
        <v>0</v>
      </c>
      <c r="K87" s="131">
        <f>DATABASE!L741</f>
        <v>0</v>
      </c>
      <c r="L87" s="72">
        <f>DATABASE!M741</f>
        <v>0</v>
      </c>
      <c r="M87" s="131">
        <f>DATABASE!N741</f>
        <v>0</v>
      </c>
      <c r="N87" s="79">
        <f>DATABASE!O741</f>
        <v>104.7</v>
      </c>
      <c r="O87" s="78">
        <f>DATABASE!P741</f>
        <v>0</v>
      </c>
      <c r="P87" s="78" t="str">
        <f>DATABASE!Q741</f>
        <v xml:space="preserve">PSPA </v>
      </c>
      <c r="Q87" s="78">
        <f>DATABASE!R741</f>
        <v>530000</v>
      </c>
      <c r="R87" s="78">
        <f>DATABASE!S741</f>
        <v>530000</v>
      </c>
      <c r="S87" s="78">
        <f>DATABASE!T741</f>
        <v>530000</v>
      </c>
      <c r="T87" s="78">
        <f>DATABASE!U741</f>
        <v>0</v>
      </c>
      <c r="U87" s="79">
        <f>DATABASE!V741</f>
        <v>0</v>
      </c>
      <c r="V87" s="79">
        <f>DATABASE!W741</f>
        <v>530000</v>
      </c>
      <c r="W87" s="80">
        <f>DATABASE!X741</f>
        <v>0</v>
      </c>
      <c r="X87" s="79">
        <f>DATABASE!Y741</f>
        <v>530000</v>
      </c>
      <c r="Y87" s="79">
        <f>DATABASE!Z741</f>
        <v>530000</v>
      </c>
      <c r="Z87" s="79" t="e">
        <f>DATABASE!#REF!</f>
        <v>#REF!</v>
      </c>
      <c r="AA87" s="81" t="e">
        <f>DATABASE!#REF!</f>
        <v>#REF!</v>
      </c>
      <c r="AB87" s="82">
        <f>DATABASE!AB741</f>
        <v>0</v>
      </c>
    </row>
    <row r="88" spans="1:28">
      <c r="A88" s="142" t="str">
        <f>DATABASE!A742</f>
        <v>SPRINGS</v>
      </c>
      <c r="B88" s="143" t="str">
        <f>DATABASE!B742</f>
        <v>Vilamoura</v>
      </c>
      <c r="C88" s="143" t="str">
        <f>DATABASE!C742</f>
        <v>BY</v>
      </c>
      <c r="D88" s="144" t="str">
        <f>DATABASE!E742</f>
        <v>V3 Duplex</v>
      </c>
      <c r="E88" s="131">
        <f>DATABASE!F742</f>
        <v>523.07000000000005</v>
      </c>
      <c r="F88" s="131">
        <f>DATABASE!G742</f>
        <v>328.71</v>
      </c>
      <c r="G88" s="131" t="str">
        <f>DATABASE!H742</f>
        <v>2</v>
      </c>
      <c r="H88" s="131" t="str">
        <f>DATABASE!I742</f>
        <v/>
      </c>
      <c r="I88" s="131">
        <f>DATABASE!J742</f>
        <v>31.95</v>
      </c>
      <c r="J88" s="131">
        <f>DATABASE!K742</f>
        <v>0</v>
      </c>
      <c r="K88" s="131">
        <f>DATABASE!L742</f>
        <v>0</v>
      </c>
      <c r="L88" s="72">
        <f>DATABASE!M742</f>
        <v>0</v>
      </c>
      <c r="M88" s="131">
        <f>DATABASE!N742</f>
        <v>0</v>
      </c>
      <c r="N88" s="79">
        <f>DATABASE!O742</f>
        <v>162.41</v>
      </c>
      <c r="O88" s="78">
        <f>DATABASE!P742</f>
        <v>0</v>
      </c>
      <c r="P88" s="78" t="str">
        <f>DATABASE!Q742</f>
        <v>AVAILABLE</v>
      </c>
      <c r="Q88" s="78">
        <f>DATABASE!R742</f>
        <v>1708200</v>
      </c>
      <c r="R88" s="78">
        <f>DATABASE!S742</f>
        <v>1794100</v>
      </c>
      <c r="S88" s="78">
        <f>DATABASE!T742</f>
        <v>1880000</v>
      </c>
      <c r="T88" s="78">
        <f>DATABASE!U742</f>
        <v>24600</v>
      </c>
      <c r="U88" s="79">
        <f>DATABASE!V742</f>
        <v>61300</v>
      </c>
      <c r="V88" s="79">
        <f>DATABASE!W742</f>
        <v>1794100</v>
      </c>
      <c r="W88" s="80">
        <f>DATABASE!X742</f>
        <v>0</v>
      </c>
      <c r="X88" s="79">
        <f>DATABASE!Y742</f>
        <v>1880000</v>
      </c>
      <c r="Y88" s="79">
        <f>DATABASE!Z742</f>
        <v>1794100</v>
      </c>
      <c r="Z88" s="79" t="e">
        <f>DATABASE!#REF!</f>
        <v>#REF!</v>
      </c>
      <c r="AA88" s="81">
        <f>DATABASE!AA742</f>
        <v>0</v>
      </c>
      <c r="AB88" s="82">
        <f>DATABASE!AB742</f>
        <v>0</v>
      </c>
    </row>
    <row r="89" spans="1:28">
      <c r="A89" s="142" t="str">
        <f>DATABASE!A743</f>
        <v>TERRACOTA</v>
      </c>
      <c r="B89" s="143" t="str">
        <f>DATABASE!B743</f>
        <v>Vilamoura</v>
      </c>
      <c r="C89" s="143" t="str">
        <f>DATABASE!C743</f>
        <v>BY</v>
      </c>
      <c r="D89" s="144" t="str">
        <f>DATABASE!E743</f>
        <v>T2</v>
      </c>
      <c r="E89" s="131">
        <f>DATABASE!F743</f>
        <v>104.7</v>
      </c>
      <c r="F89" s="131">
        <f>DATABASE!G743</f>
        <v>0</v>
      </c>
      <c r="G89" s="131" t="str">
        <f>DATABASE!H743</f>
        <v/>
      </c>
      <c r="H89" s="131" t="str">
        <f>DATABASE!I743</f>
        <v/>
      </c>
      <c r="I89" s="131">
        <f>DATABASE!J743</f>
        <v>0</v>
      </c>
      <c r="J89" s="131">
        <f>DATABASE!K743</f>
        <v>0</v>
      </c>
      <c r="K89" s="131">
        <f>DATABASE!L743</f>
        <v>0</v>
      </c>
      <c r="L89" s="72">
        <f>DATABASE!M743</f>
        <v>0</v>
      </c>
      <c r="M89" s="131">
        <f>DATABASE!N743</f>
        <v>0</v>
      </c>
      <c r="N89" s="79">
        <f>DATABASE!O743</f>
        <v>104.7</v>
      </c>
      <c r="O89" s="78">
        <f>DATABASE!P743</f>
        <v>0</v>
      </c>
      <c r="P89" s="78" t="str">
        <f>DATABASE!Q743</f>
        <v xml:space="preserve">PSPA </v>
      </c>
      <c r="Q89" s="78">
        <f>DATABASE!R743</f>
        <v>530000</v>
      </c>
      <c r="R89" s="78">
        <f>DATABASE!S743</f>
        <v>530000</v>
      </c>
      <c r="S89" s="78">
        <f>DATABASE!T743</f>
        <v>530000</v>
      </c>
      <c r="T89" s="78">
        <f>DATABASE!U743</f>
        <v>0</v>
      </c>
      <c r="U89" s="79">
        <f>DATABASE!V743</f>
        <v>0</v>
      </c>
      <c r="V89" s="79">
        <f>DATABASE!W743</f>
        <v>530000</v>
      </c>
      <c r="W89" s="80">
        <f>DATABASE!X743</f>
        <v>0</v>
      </c>
      <c r="X89" s="79">
        <f>DATABASE!Y743</f>
        <v>530000</v>
      </c>
      <c r="Y89" s="79">
        <f>DATABASE!Z743</f>
        <v>530000</v>
      </c>
      <c r="Z89" s="79" t="e">
        <f>DATABASE!#REF!</f>
        <v>#REF!</v>
      </c>
      <c r="AA89" s="81" t="e">
        <f>DATABASE!#REF!</f>
        <v>#REF!</v>
      </c>
      <c r="AB89" s="82">
        <f>DATABASE!AB743</f>
        <v>0</v>
      </c>
    </row>
    <row r="90" spans="1:28">
      <c r="A90" s="142" t="str">
        <f>DATABASE!A744</f>
        <v>SPRINGS</v>
      </c>
      <c r="B90" s="143" t="str">
        <f>DATABASE!B744</f>
        <v>Vilamoura</v>
      </c>
      <c r="C90" s="143" t="str">
        <f>DATABASE!C744</f>
        <v>BZ</v>
      </c>
      <c r="D90" s="144" t="str">
        <f>DATABASE!E744</f>
        <v>V3 Duplex</v>
      </c>
      <c r="E90" s="131">
        <f>DATABASE!F744</f>
        <v>749.44</v>
      </c>
      <c r="F90" s="131">
        <f>DATABASE!G744</f>
        <v>555.95000000000005</v>
      </c>
      <c r="G90" s="131" t="str">
        <f>DATABASE!H744</f>
        <v>2</v>
      </c>
      <c r="H90" s="131" t="str">
        <f>DATABASE!I744</f>
        <v/>
      </c>
      <c r="I90" s="131">
        <f>DATABASE!J744</f>
        <v>31.95</v>
      </c>
      <c r="J90" s="131">
        <f>DATABASE!K744</f>
        <v>0</v>
      </c>
      <c r="K90" s="131">
        <f>DATABASE!L744</f>
        <v>0</v>
      </c>
      <c r="L90" s="72">
        <f>DATABASE!M744</f>
        <v>0</v>
      </c>
      <c r="M90" s="131">
        <f>DATABASE!N744</f>
        <v>0</v>
      </c>
      <c r="N90" s="79">
        <f>DATABASE!O744</f>
        <v>161.54</v>
      </c>
      <c r="O90" s="78">
        <f>DATABASE!P744</f>
        <v>0</v>
      </c>
      <c r="P90" s="78" t="str">
        <f>DATABASE!Q744</f>
        <v>AVAILABLE</v>
      </c>
      <c r="Q90" s="78">
        <f>DATABASE!R744</f>
        <v>1858200</v>
      </c>
      <c r="R90" s="78">
        <f>DATABASE!S744</f>
        <v>1944100</v>
      </c>
      <c r="S90" s="78">
        <f>DATABASE!T744</f>
        <v>2030000</v>
      </c>
      <c r="T90" s="78">
        <f>DATABASE!U744</f>
        <v>24600</v>
      </c>
      <c r="U90" s="79">
        <f>DATABASE!V744</f>
        <v>61300</v>
      </c>
      <c r="V90" s="79">
        <f>DATABASE!W744</f>
        <v>1944100</v>
      </c>
      <c r="W90" s="80">
        <f>DATABASE!X744</f>
        <v>0</v>
      </c>
      <c r="X90" s="79">
        <f>DATABASE!Y744</f>
        <v>2030000</v>
      </c>
      <c r="Y90" s="79">
        <f>DATABASE!Z744</f>
        <v>1944100</v>
      </c>
      <c r="Z90" s="79" t="e">
        <f>DATABASE!#REF!</f>
        <v>#REF!</v>
      </c>
      <c r="AA90" s="81">
        <f>DATABASE!AA744</f>
        <v>0</v>
      </c>
      <c r="AB90" s="82">
        <f>DATABASE!AB744</f>
        <v>0</v>
      </c>
    </row>
    <row r="91" spans="1:28">
      <c r="A91" s="142" t="str">
        <f>DATABASE!A745</f>
        <v>MR - LT Miradouro Village</v>
      </c>
      <c r="B91" s="143" t="str">
        <f>DATABASE!B745</f>
        <v>Algarve</v>
      </c>
      <c r="C91" s="143" t="str">
        <f>DATABASE!C745</f>
        <v>31</v>
      </c>
      <c r="D91" s="144" t="str">
        <f>DATABASE!E745</f>
        <v>Plot</v>
      </c>
      <c r="E91" s="131">
        <f>DATABASE!F745</f>
        <v>373.55</v>
      </c>
      <c r="F91" s="131">
        <f>DATABASE!G745</f>
        <v>0</v>
      </c>
      <c r="G91" s="131" t="str">
        <f>DATABASE!H745</f>
        <v/>
      </c>
      <c r="H91" s="131" t="str">
        <f>DATABASE!I745</f>
        <v/>
      </c>
      <c r="I91" s="131">
        <f>DATABASE!J745</f>
        <v>0</v>
      </c>
      <c r="J91" s="131">
        <f>DATABASE!K745</f>
        <v>0</v>
      </c>
      <c r="K91" s="131">
        <f>DATABASE!L745</f>
        <v>0</v>
      </c>
      <c r="L91" s="72">
        <f>DATABASE!M745</f>
        <v>0</v>
      </c>
      <c r="M91" s="131">
        <f>DATABASE!N745</f>
        <v>0</v>
      </c>
      <c r="N91" s="79">
        <f>DATABASE!O745</f>
        <v>373.55</v>
      </c>
      <c r="O91" s="78">
        <f>DATABASE!P745</f>
        <v>0</v>
      </c>
      <c r="P91" s="78" t="str">
        <f>DATABASE!Q745</f>
        <v>AVAILABLE</v>
      </c>
      <c r="Q91" s="78">
        <f>DATABASE!R745</f>
        <v>1140000</v>
      </c>
      <c r="R91" s="78">
        <f>DATABASE!S745</f>
        <v>1140000</v>
      </c>
      <c r="S91" s="78">
        <f>DATABASE!T745</f>
        <v>840000</v>
      </c>
      <c r="T91" s="78">
        <f>DATABASE!U745</f>
        <v>0</v>
      </c>
      <c r="U91" s="79">
        <f>DATABASE!V745</f>
        <v>0</v>
      </c>
      <c r="V91" s="79">
        <f>DATABASE!W745</f>
        <v>840000</v>
      </c>
      <c r="W91" s="80">
        <f>DATABASE!X745</f>
        <v>0</v>
      </c>
      <c r="X91" s="79">
        <f>DATABASE!Y745</f>
        <v>0</v>
      </c>
      <c r="Y91" s="79">
        <f>DATABASE!Z745</f>
        <v>0</v>
      </c>
      <c r="Z91" s="79" t="e">
        <f>DATABASE!#REF!</f>
        <v>#REF!</v>
      </c>
      <c r="AA91" s="81">
        <f>DATABASE!AA745</f>
        <v>0</v>
      </c>
      <c r="AB91" s="82" t="str">
        <f>DATABASE!AB745</f>
        <v>TBD</v>
      </c>
    </row>
    <row r="92" spans="1:28">
      <c r="A92" s="142" t="str">
        <f>DATABASE!A746</f>
        <v>MR - LT Miradouro Village</v>
      </c>
      <c r="B92" s="143" t="str">
        <f>DATABASE!B746</f>
        <v>Algarve</v>
      </c>
      <c r="C92" s="143" t="str">
        <f>DATABASE!C746</f>
        <v>45</v>
      </c>
      <c r="D92" s="144" t="str">
        <f>DATABASE!E746</f>
        <v>Plot</v>
      </c>
      <c r="E92" s="131">
        <f>DATABASE!F746</f>
        <v>396.9</v>
      </c>
      <c r="F92" s="131">
        <f>DATABASE!G746</f>
        <v>0</v>
      </c>
      <c r="G92" s="131" t="str">
        <f>DATABASE!H746</f>
        <v/>
      </c>
      <c r="H92" s="131" t="str">
        <f>DATABASE!I746</f>
        <v/>
      </c>
      <c r="I92" s="131">
        <f>DATABASE!J746</f>
        <v>0</v>
      </c>
      <c r="J92" s="131">
        <f>DATABASE!K746</f>
        <v>0</v>
      </c>
      <c r="K92" s="131">
        <f>DATABASE!L746</f>
        <v>0</v>
      </c>
      <c r="L92" s="72">
        <f>DATABASE!M746</f>
        <v>0</v>
      </c>
      <c r="M92" s="131">
        <f>DATABASE!N746</f>
        <v>0</v>
      </c>
      <c r="N92" s="79">
        <f>DATABASE!O746</f>
        <v>396.9</v>
      </c>
      <c r="O92" s="78">
        <f>DATABASE!P746</f>
        <v>0</v>
      </c>
      <c r="P92" s="78" t="str">
        <f>DATABASE!Q746</f>
        <v>AVAILABLE</v>
      </c>
      <c r="Q92" s="78">
        <f>DATABASE!R746</f>
        <v>1140000</v>
      </c>
      <c r="R92" s="78">
        <f>DATABASE!S746</f>
        <v>1140000</v>
      </c>
      <c r="S92" s="78">
        <f>DATABASE!T746</f>
        <v>850000</v>
      </c>
      <c r="T92" s="78">
        <f>DATABASE!U746</f>
        <v>0</v>
      </c>
      <c r="U92" s="79">
        <f>DATABASE!V746</f>
        <v>0</v>
      </c>
      <c r="V92" s="79">
        <f>DATABASE!W746</f>
        <v>850000</v>
      </c>
      <c r="W92" s="80">
        <f>DATABASE!X746</f>
        <v>0</v>
      </c>
      <c r="X92" s="79">
        <f>DATABASE!Y746</f>
        <v>0</v>
      </c>
      <c r="Y92" s="79">
        <f>DATABASE!Z746</f>
        <v>0</v>
      </c>
      <c r="Z92" s="79" t="e">
        <f>DATABASE!#REF!</f>
        <v>#REF!</v>
      </c>
      <c r="AA92" s="81">
        <f>DATABASE!AA746</f>
        <v>0</v>
      </c>
      <c r="AB92" s="82" t="str">
        <f>DATABASE!AB746</f>
        <v>TBD</v>
      </c>
    </row>
    <row r="93" spans="1:28">
      <c r="A93" s="142" t="str">
        <f>DATABASE!A747</f>
        <v>MR - LT Miradouro Village</v>
      </c>
      <c r="B93" s="143" t="str">
        <f>DATABASE!B747</f>
        <v>Algarve</v>
      </c>
      <c r="C93" s="143" t="str">
        <f>DATABASE!C747</f>
        <v>48</v>
      </c>
      <c r="D93" s="144" t="str">
        <f>DATABASE!E747</f>
        <v>Plot</v>
      </c>
      <c r="E93" s="131">
        <f>DATABASE!F747</f>
        <v>396.9</v>
      </c>
      <c r="F93" s="131">
        <f>DATABASE!G747</f>
        <v>0</v>
      </c>
      <c r="G93" s="131" t="str">
        <f>DATABASE!H747</f>
        <v/>
      </c>
      <c r="H93" s="131" t="str">
        <f>DATABASE!I747</f>
        <v/>
      </c>
      <c r="I93" s="131">
        <f>DATABASE!J747</f>
        <v>0</v>
      </c>
      <c r="J93" s="131">
        <f>DATABASE!K747</f>
        <v>0</v>
      </c>
      <c r="K93" s="131">
        <f>DATABASE!L747</f>
        <v>0</v>
      </c>
      <c r="L93" s="72">
        <f>DATABASE!M747</f>
        <v>0</v>
      </c>
      <c r="M93" s="131">
        <f>DATABASE!N747</f>
        <v>0</v>
      </c>
      <c r="N93" s="79">
        <f>DATABASE!O747</f>
        <v>396.9</v>
      </c>
      <c r="O93" s="78">
        <f>DATABASE!P747</f>
        <v>0</v>
      </c>
      <c r="P93" s="78" t="str">
        <f>DATABASE!Q747</f>
        <v>AVAILABLE</v>
      </c>
      <c r="Q93" s="78">
        <f>DATABASE!R747</f>
        <v>1140000</v>
      </c>
      <c r="R93" s="78">
        <f>DATABASE!S747</f>
        <v>1140000</v>
      </c>
      <c r="S93" s="78">
        <f>DATABASE!T747</f>
        <v>850000</v>
      </c>
      <c r="T93" s="78">
        <f>DATABASE!U747</f>
        <v>0</v>
      </c>
      <c r="U93" s="79">
        <f>DATABASE!V747</f>
        <v>0</v>
      </c>
      <c r="V93" s="79">
        <f>DATABASE!W747</f>
        <v>850000</v>
      </c>
      <c r="W93" s="80">
        <f>DATABASE!X747</f>
        <v>0</v>
      </c>
      <c r="X93" s="79">
        <f>DATABASE!Y747</f>
        <v>0</v>
      </c>
      <c r="Y93" s="79">
        <f>DATABASE!Z747</f>
        <v>0</v>
      </c>
      <c r="Z93" s="79" t="e">
        <f>DATABASE!#REF!</f>
        <v>#REF!</v>
      </c>
      <c r="AA93" s="81">
        <f>DATABASE!AA747</f>
        <v>0</v>
      </c>
      <c r="AB93" s="82" t="str">
        <f>DATABASE!AB747</f>
        <v>TBD</v>
      </c>
    </row>
    <row r="94" spans="1:28">
      <c r="A94" s="142" t="str">
        <f>DATABASE!A748</f>
        <v>MR - LT Miradouro Village</v>
      </c>
      <c r="B94" s="143" t="str">
        <f>DATABASE!B748</f>
        <v>Algarve</v>
      </c>
      <c r="C94" s="143" t="str">
        <f>DATABASE!C748</f>
        <v>52</v>
      </c>
      <c r="D94" s="144" t="str">
        <f>DATABASE!E748</f>
        <v>Plot</v>
      </c>
      <c r="E94" s="131">
        <f>DATABASE!F748</f>
        <v>396.9</v>
      </c>
      <c r="F94" s="131">
        <f>DATABASE!G748</f>
        <v>0</v>
      </c>
      <c r="G94" s="131" t="str">
        <f>DATABASE!H748</f>
        <v/>
      </c>
      <c r="H94" s="131" t="str">
        <f>DATABASE!I748</f>
        <v/>
      </c>
      <c r="I94" s="131">
        <f>DATABASE!J748</f>
        <v>0</v>
      </c>
      <c r="J94" s="131">
        <f>DATABASE!K748</f>
        <v>0</v>
      </c>
      <c r="K94" s="131">
        <f>DATABASE!L748</f>
        <v>0</v>
      </c>
      <c r="L94" s="72">
        <f>DATABASE!M748</f>
        <v>0</v>
      </c>
      <c r="M94" s="131">
        <f>DATABASE!N748</f>
        <v>0</v>
      </c>
      <c r="N94" s="79">
        <f>DATABASE!O748</f>
        <v>396.9</v>
      </c>
      <c r="O94" s="78">
        <f>DATABASE!P748</f>
        <v>0</v>
      </c>
      <c r="P94" s="78" t="str">
        <f>DATABASE!Q748</f>
        <v>AVAILABLE</v>
      </c>
      <c r="Q94" s="78">
        <f>DATABASE!R748</f>
        <v>1140000</v>
      </c>
      <c r="R94" s="78">
        <f>DATABASE!S748</f>
        <v>1140000</v>
      </c>
      <c r="S94" s="78">
        <f>DATABASE!T748</f>
        <v>930000</v>
      </c>
      <c r="T94" s="78">
        <f>DATABASE!U748</f>
        <v>0</v>
      </c>
      <c r="U94" s="79">
        <f>DATABASE!V748</f>
        <v>0</v>
      </c>
      <c r="V94" s="79">
        <f>DATABASE!W748</f>
        <v>930000</v>
      </c>
      <c r="W94" s="80">
        <f>DATABASE!X748</f>
        <v>0</v>
      </c>
      <c r="X94" s="79">
        <f>DATABASE!Y748</f>
        <v>0</v>
      </c>
      <c r="Y94" s="79">
        <f>DATABASE!Z748</f>
        <v>0</v>
      </c>
      <c r="Z94" s="79" t="e">
        <f>DATABASE!#REF!</f>
        <v>#REF!</v>
      </c>
      <c r="AA94" s="81">
        <f>DATABASE!AA748</f>
        <v>0</v>
      </c>
      <c r="AB94" s="82" t="str">
        <f>DATABASE!AB748</f>
        <v>TBD</v>
      </c>
    </row>
    <row r="95" spans="1:28">
      <c r="A95" s="142" t="str">
        <f>DATABASE!A749</f>
        <v>TERRACOTA</v>
      </c>
      <c r="B95" s="143" t="str">
        <f>DATABASE!B749</f>
        <v>Vilamoura</v>
      </c>
      <c r="C95" s="143" t="str">
        <f>DATABASE!C749</f>
        <v>BZ</v>
      </c>
      <c r="D95" s="144" t="str">
        <f>DATABASE!E749</f>
        <v>T3</v>
      </c>
      <c r="E95" s="131">
        <f>DATABASE!F749</f>
        <v>130.91999999999999</v>
      </c>
      <c r="F95" s="131">
        <f>DATABASE!G749</f>
        <v>0</v>
      </c>
      <c r="G95" s="131" t="str">
        <f>DATABASE!H749</f>
        <v/>
      </c>
      <c r="H95" s="131" t="str">
        <f>DATABASE!I749</f>
        <v/>
      </c>
      <c r="I95" s="131">
        <f>DATABASE!J749</f>
        <v>0</v>
      </c>
      <c r="J95" s="131">
        <f>DATABASE!K749</f>
        <v>0</v>
      </c>
      <c r="K95" s="131">
        <f>DATABASE!L749</f>
        <v>0</v>
      </c>
      <c r="L95" s="72">
        <f>DATABASE!M749</f>
        <v>0</v>
      </c>
      <c r="M95" s="131">
        <f>DATABASE!N749</f>
        <v>0</v>
      </c>
      <c r="N95" s="79">
        <f>DATABASE!O749</f>
        <v>130.91999999999999</v>
      </c>
      <c r="O95" s="78">
        <f>DATABASE!P749</f>
        <v>0</v>
      </c>
      <c r="P95" s="78" t="str">
        <f>DATABASE!Q749</f>
        <v>RESERVED</v>
      </c>
      <c r="Q95" s="78">
        <f>DATABASE!R749</f>
        <v>660000</v>
      </c>
      <c r="R95" s="78">
        <f>DATABASE!S749</f>
        <v>660000</v>
      </c>
      <c r="S95" s="78">
        <f>DATABASE!T749</f>
        <v>680000</v>
      </c>
      <c r="T95" s="78">
        <f>DATABASE!U749</f>
        <v>0</v>
      </c>
      <c r="U95" s="79">
        <f>DATABASE!V749</f>
        <v>0</v>
      </c>
      <c r="V95" s="79">
        <f>DATABASE!W749</f>
        <v>680000</v>
      </c>
      <c r="W95" s="80">
        <f>DATABASE!X749</f>
        <v>0</v>
      </c>
      <c r="X95" s="79">
        <f>DATABASE!Y749</f>
        <v>680000</v>
      </c>
      <c r="Y95" s="79">
        <f>DATABASE!Z749</f>
        <v>680000</v>
      </c>
      <c r="Z95" s="79" t="e">
        <f>DATABASE!#REF!</f>
        <v>#REF!</v>
      </c>
      <c r="AA95" s="81">
        <f>DATABASE!AA749</f>
        <v>46190</v>
      </c>
      <c r="AB95" s="82">
        <f>DATABASE!AB749</f>
        <v>0</v>
      </c>
    </row>
    <row r="96" spans="1:28">
      <c r="A96" s="142" t="str">
        <f>DATABASE!A750</f>
        <v>NATURA VILLAGE 4</v>
      </c>
      <c r="B96" s="143" t="str">
        <f>DATABASE!B750</f>
        <v>Vilamoura</v>
      </c>
      <c r="C96" s="143" t="str">
        <f>DATABASE!C750</f>
        <v>C</v>
      </c>
      <c r="D96" s="144" t="str">
        <f>DATABASE!E750</f>
        <v>V3</v>
      </c>
      <c r="E96" s="131">
        <f>DATABASE!F750</f>
        <v>177.48</v>
      </c>
      <c r="F96" s="131">
        <f>DATABASE!G750</f>
        <v>0</v>
      </c>
      <c r="G96" s="131" t="str">
        <f>DATABASE!H750</f>
        <v/>
      </c>
      <c r="H96" s="131" t="str">
        <f>DATABASE!I750</f>
        <v/>
      </c>
      <c r="I96" s="131">
        <f>DATABASE!J750</f>
        <v>0</v>
      </c>
      <c r="J96" s="131">
        <f>DATABASE!K750</f>
        <v>0</v>
      </c>
      <c r="K96" s="131">
        <f>DATABASE!L750</f>
        <v>0</v>
      </c>
      <c r="L96" s="72">
        <f>DATABASE!M750</f>
        <v>0</v>
      </c>
      <c r="M96" s="131">
        <f>DATABASE!N750</f>
        <v>0</v>
      </c>
      <c r="N96" s="79">
        <f>DATABASE!O750</f>
        <v>177.48</v>
      </c>
      <c r="O96" s="78">
        <f>DATABASE!P750</f>
        <v>0</v>
      </c>
      <c r="P96" s="78" t="str">
        <f>DATABASE!Q750</f>
        <v xml:space="preserve">DEED </v>
      </c>
      <c r="Q96" s="78">
        <f>DATABASE!R750</f>
        <v>980000</v>
      </c>
      <c r="R96" s="78">
        <f>DATABASE!S750</f>
        <v>980000</v>
      </c>
      <c r="S96" s="78">
        <f>DATABASE!T750</f>
        <v>931000</v>
      </c>
      <c r="T96" s="78">
        <f>DATABASE!U750</f>
        <v>0</v>
      </c>
      <c r="U96" s="79">
        <f>DATABASE!V750</f>
        <v>0</v>
      </c>
      <c r="V96" s="79">
        <f>DATABASE!W750</f>
        <v>931000</v>
      </c>
      <c r="W96" s="80">
        <f>DATABASE!X750</f>
        <v>0</v>
      </c>
      <c r="X96" s="79">
        <f>DATABASE!Y750</f>
        <v>931000</v>
      </c>
      <c r="Y96" s="79">
        <f>DATABASE!Z750</f>
        <v>931000</v>
      </c>
      <c r="Z96" s="79" t="e">
        <f>DATABASE!#REF!</f>
        <v>#REF!</v>
      </c>
      <c r="AA96" s="81">
        <f>DATABASE!AA750</f>
        <v>45086</v>
      </c>
      <c r="AB96" s="82">
        <f>DATABASE!AB750</f>
        <v>0</v>
      </c>
    </row>
    <row r="97" spans="1:28">
      <c r="A97" s="142" t="str">
        <f>DATABASE!A751</f>
        <v>NATURA VILLAGE 7</v>
      </c>
      <c r="B97" s="143" t="str">
        <f>DATABASE!B751</f>
        <v>Vilamoura</v>
      </c>
      <c r="C97" s="143" t="str">
        <f>DATABASE!C751</f>
        <v>C</v>
      </c>
      <c r="D97" s="144" t="str">
        <f>DATABASE!E751</f>
        <v>V2</v>
      </c>
      <c r="E97" s="131">
        <f>DATABASE!F751</f>
        <v>139.57</v>
      </c>
      <c r="F97" s="131">
        <f>DATABASE!G751</f>
        <v>0</v>
      </c>
      <c r="G97" s="131" t="str">
        <f>DATABASE!H751</f>
        <v/>
      </c>
      <c r="H97" s="131" t="str">
        <f>DATABASE!I751</f>
        <v/>
      </c>
      <c r="I97" s="131">
        <f>DATABASE!J751</f>
        <v>0</v>
      </c>
      <c r="J97" s="131">
        <f>DATABASE!K751</f>
        <v>0</v>
      </c>
      <c r="K97" s="131">
        <f>DATABASE!L751</f>
        <v>0</v>
      </c>
      <c r="L97" s="72">
        <f>DATABASE!M751</f>
        <v>0</v>
      </c>
      <c r="M97" s="131">
        <f>DATABASE!N751</f>
        <v>0</v>
      </c>
      <c r="N97" s="79">
        <f>DATABASE!O751</f>
        <v>139.57</v>
      </c>
      <c r="O97" s="78">
        <f>DATABASE!P751</f>
        <v>0</v>
      </c>
      <c r="P97" s="78" t="str">
        <f>DATABASE!Q751</f>
        <v xml:space="preserve">DEED </v>
      </c>
      <c r="Q97" s="78">
        <f>DATABASE!R751</f>
        <v>760000</v>
      </c>
      <c r="R97" s="78">
        <f>DATABASE!S751</f>
        <v>760000</v>
      </c>
      <c r="S97" s="78">
        <f>DATABASE!T751</f>
        <v>780000</v>
      </c>
      <c r="T97" s="78">
        <f>DATABASE!U751</f>
        <v>0</v>
      </c>
      <c r="U97" s="79">
        <f>DATABASE!V751</f>
        <v>0</v>
      </c>
      <c r="V97" s="79">
        <f>DATABASE!W751</f>
        <v>780000</v>
      </c>
      <c r="W97" s="80">
        <f>DATABASE!X751</f>
        <v>0</v>
      </c>
      <c r="X97" s="79">
        <f>DATABASE!Y751</f>
        <v>780000</v>
      </c>
      <c r="Y97" s="79">
        <f>DATABASE!Z751</f>
        <v>780000</v>
      </c>
      <c r="Z97" s="79" t="e">
        <f>DATABASE!#REF!</f>
        <v>#REF!</v>
      </c>
      <c r="AA97" s="81">
        <f>DATABASE!AA751</f>
        <v>45548</v>
      </c>
      <c r="AB97" s="82">
        <f>DATABASE!AB751</f>
        <v>0</v>
      </c>
    </row>
    <row r="98" spans="1:28">
      <c r="A98" s="142" t="str">
        <f>DATABASE!A752</f>
        <v>NATURA VILLAGE 9</v>
      </c>
      <c r="B98" s="143" t="str">
        <f>DATABASE!B752</f>
        <v>Vilamoura</v>
      </c>
      <c r="C98" s="143" t="str">
        <f>DATABASE!C752</f>
        <v>C</v>
      </c>
      <c r="D98" s="144" t="str">
        <f>DATABASE!E752</f>
        <v>V3</v>
      </c>
      <c r="E98" s="131">
        <f>DATABASE!F752</f>
        <v>183.29</v>
      </c>
      <c r="F98" s="131">
        <f>DATABASE!G752</f>
        <v>0</v>
      </c>
      <c r="G98" s="131" t="str">
        <f>DATABASE!H752</f>
        <v/>
      </c>
      <c r="H98" s="131" t="str">
        <f>DATABASE!I752</f>
        <v/>
      </c>
      <c r="I98" s="131">
        <f>DATABASE!J752</f>
        <v>0</v>
      </c>
      <c r="J98" s="131">
        <f>DATABASE!K752</f>
        <v>0</v>
      </c>
      <c r="K98" s="131">
        <f>DATABASE!L752</f>
        <v>0</v>
      </c>
      <c r="L98" s="72">
        <f>DATABASE!M752</f>
        <v>0</v>
      </c>
      <c r="M98" s="131">
        <f>DATABASE!N752</f>
        <v>0</v>
      </c>
      <c r="N98" s="79">
        <f>DATABASE!O752</f>
        <v>183.29</v>
      </c>
      <c r="O98" s="78">
        <f>DATABASE!P752</f>
        <v>0</v>
      </c>
      <c r="P98" s="78" t="str">
        <f>DATABASE!Q752</f>
        <v>PRE-RESERVED</v>
      </c>
      <c r="Q98" s="78">
        <f>DATABASE!R752</f>
        <v>1290000</v>
      </c>
      <c r="R98" s="78">
        <f>DATABASE!S752</f>
        <v>1290000</v>
      </c>
      <c r="S98" s="78">
        <f>DATABASE!T752</f>
        <v>1290000</v>
      </c>
      <c r="T98" s="78">
        <f>DATABASE!U752</f>
        <v>0</v>
      </c>
      <c r="U98" s="79">
        <f>DATABASE!V752</f>
        <v>0</v>
      </c>
      <c r="V98" s="79">
        <f>DATABASE!W752</f>
        <v>1290000</v>
      </c>
      <c r="W98" s="80">
        <f>DATABASE!X752</f>
        <v>0</v>
      </c>
      <c r="X98" s="79">
        <f>DATABASE!Y752</f>
        <v>1290000</v>
      </c>
      <c r="Y98" s="79">
        <f>DATABASE!Z752</f>
        <v>1290000</v>
      </c>
      <c r="Z98" s="79" t="e">
        <f>DATABASE!#REF!</f>
        <v>#REF!</v>
      </c>
      <c r="AA98" s="81">
        <f>DATABASE!AA752</f>
        <v>46132</v>
      </c>
      <c r="AB98" s="82">
        <f>DATABASE!AB752</f>
        <v>0</v>
      </c>
    </row>
    <row r="99" spans="1:28">
      <c r="A99" s="142" t="str">
        <f>DATABASE!A753</f>
        <v>MR - LT do Golfe</v>
      </c>
      <c r="B99" s="143" t="str">
        <f>DATABASE!B753</f>
        <v>Algarve</v>
      </c>
      <c r="C99" s="143" t="str">
        <f>DATABASE!C753</f>
        <v>6</v>
      </c>
      <c r="D99" s="144" t="str">
        <f>DATABASE!E753</f>
        <v>Plot</v>
      </c>
      <c r="E99" s="131">
        <f>DATABASE!F753</f>
        <v>420</v>
      </c>
      <c r="F99" s="131">
        <f>DATABASE!G753</f>
        <v>0</v>
      </c>
      <c r="G99" s="131" t="str">
        <f>DATABASE!H753</f>
        <v/>
      </c>
      <c r="H99" s="131" t="str">
        <f>DATABASE!I753</f>
        <v/>
      </c>
      <c r="I99" s="131">
        <f>DATABASE!J753</f>
        <v>0</v>
      </c>
      <c r="J99" s="131">
        <f>DATABASE!K753</f>
        <v>0</v>
      </c>
      <c r="K99" s="131">
        <f>DATABASE!L753</f>
        <v>0</v>
      </c>
      <c r="L99" s="72">
        <f>DATABASE!M753</f>
        <v>0</v>
      </c>
      <c r="M99" s="131">
        <f>DATABASE!N753</f>
        <v>0</v>
      </c>
      <c r="N99" s="79">
        <f>DATABASE!O753</f>
        <v>420</v>
      </c>
      <c r="O99" s="78">
        <f>DATABASE!P753</f>
        <v>0</v>
      </c>
      <c r="P99" s="78" t="str">
        <f>DATABASE!Q753</f>
        <v>AVAILABLE</v>
      </c>
      <c r="Q99" s="78">
        <f>DATABASE!R753</f>
        <v>1143000</v>
      </c>
      <c r="R99" s="78">
        <f>DATABASE!S753</f>
        <v>1143000</v>
      </c>
      <c r="S99" s="78">
        <f>DATABASE!T753</f>
        <v>980000</v>
      </c>
      <c r="T99" s="78">
        <f>DATABASE!U753</f>
        <v>0</v>
      </c>
      <c r="U99" s="79">
        <f>DATABASE!V753</f>
        <v>0</v>
      </c>
      <c r="V99" s="79">
        <f>DATABASE!W753</f>
        <v>980000</v>
      </c>
      <c r="W99" s="80">
        <f>DATABASE!X753</f>
        <v>0</v>
      </c>
      <c r="X99" s="79">
        <f>DATABASE!Y753</f>
        <v>0</v>
      </c>
      <c r="Y99" s="79">
        <f>DATABASE!Z753</f>
        <v>0</v>
      </c>
      <c r="Z99" s="79" t="e">
        <f>DATABASE!#REF!</f>
        <v>#REF!</v>
      </c>
      <c r="AA99" s="81">
        <f>DATABASE!AA753</f>
        <v>0</v>
      </c>
      <c r="AB99" s="82" t="str">
        <f>DATABASE!AB753</f>
        <v>TBD</v>
      </c>
    </row>
    <row r="100" spans="1:28">
      <c r="A100" s="142" t="str">
        <f>DATABASE!A754</f>
        <v>NOBILUS</v>
      </c>
      <c r="B100" s="143" t="str">
        <f>DATABASE!B754</f>
        <v>Vilamoura</v>
      </c>
      <c r="C100" s="143" t="str">
        <f>DATABASE!C754</f>
        <v>C</v>
      </c>
      <c r="D100" s="144" t="str">
        <f>DATABASE!E754</f>
        <v>T2</v>
      </c>
      <c r="E100" s="131">
        <f>DATABASE!F754</f>
        <v>112.9</v>
      </c>
      <c r="F100" s="131">
        <f>DATABASE!G754</f>
        <v>0</v>
      </c>
      <c r="G100" s="131" t="str">
        <f>DATABASE!H754</f>
        <v>46369</v>
      </c>
      <c r="H100" s="131" t="str">
        <f>DATABASE!I754</f>
        <v/>
      </c>
      <c r="I100" s="131">
        <f>DATABASE!J754</f>
        <v>27.51</v>
      </c>
      <c r="J100" s="131">
        <f>DATABASE!K754</f>
        <v>0</v>
      </c>
      <c r="K100" s="131">
        <f>DATABASE!L754</f>
        <v>0</v>
      </c>
      <c r="L100" s="72">
        <f>DATABASE!M754</f>
        <v>0</v>
      </c>
      <c r="M100" s="131">
        <f>DATABASE!N754</f>
        <v>0</v>
      </c>
      <c r="N100" s="79">
        <f>DATABASE!O754</f>
        <v>112.9</v>
      </c>
      <c r="O100" s="78">
        <f>DATABASE!P754</f>
        <v>0</v>
      </c>
      <c r="P100" s="78" t="str">
        <f>DATABASE!Q754</f>
        <v>AVAILABLE</v>
      </c>
      <c r="Q100" s="78">
        <f>DATABASE!R754</f>
        <v>695000</v>
      </c>
      <c r="R100" s="78">
        <f>DATABASE!S754</f>
        <v>695000</v>
      </c>
      <c r="S100" s="78">
        <f>DATABASE!T754</f>
        <v>695000</v>
      </c>
      <c r="T100" s="78">
        <f>DATABASE!U754</f>
        <v>0</v>
      </c>
      <c r="U100" s="79">
        <f>DATABASE!V754</f>
        <v>0</v>
      </c>
      <c r="V100" s="79">
        <f>DATABASE!W754</f>
        <v>695000</v>
      </c>
      <c r="W100" s="80">
        <f>DATABASE!X754</f>
        <v>0</v>
      </c>
      <c r="X100" s="79">
        <f>DATABASE!Y754</f>
        <v>695000</v>
      </c>
      <c r="Y100" s="79">
        <f>DATABASE!Z754</f>
        <v>695000</v>
      </c>
      <c r="Z100" s="79" t="e">
        <f>DATABASE!#REF!</f>
        <v>#REF!</v>
      </c>
      <c r="AA100" s="81">
        <f>DATABASE!AA754</f>
        <v>0</v>
      </c>
      <c r="AB100" s="82">
        <f>DATABASE!AB754</f>
        <v>0</v>
      </c>
    </row>
    <row r="101" spans="1:28">
      <c r="A101" s="142" t="str">
        <f>DATABASE!A755</f>
        <v>Rivus</v>
      </c>
      <c r="B101" s="143" t="str">
        <f>DATABASE!B755</f>
        <v>Vilamoura</v>
      </c>
      <c r="C101" s="143" t="str">
        <f>DATABASE!C755</f>
        <v>C</v>
      </c>
      <c r="D101" s="144" t="str">
        <f>DATABASE!E755</f>
        <v>T2</v>
      </c>
      <c r="E101" s="131">
        <f>DATABASE!F755</f>
        <v>0</v>
      </c>
      <c r="F101" s="131">
        <f>DATABASE!G755</f>
        <v>0</v>
      </c>
      <c r="G101" s="131" t="str">
        <f>DATABASE!H755</f>
        <v/>
      </c>
      <c r="H101" s="131" t="str">
        <f>DATABASE!I755</f>
        <v/>
      </c>
      <c r="I101" s="131">
        <f>DATABASE!J755</f>
        <v>0</v>
      </c>
      <c r="J101" s="131">
        <f>DATABASE!K755</f>
        <v>73</v>
      </c>
      <c r="K101" s="131">
        <f>DATABASE!L755</f>
        <v>0</v>
      </c>
      <c r="L101" s="72">
        <f>DATABASE!M755</f>
        <v>0</v>
      </c>
      <c r="M101" s="131">
        <f>DATABASE!N755</f>
        <v>0</v>
      </c>
      <c r="N101" s="79">
        <f>DATABASE!O755</f>
        <v>106</v>
      </c>
      <c r="O101" s="78">
        <f>DATABASE!P755</f>
        <v>0</v>
      </c>
      <c r="P101" s="78" t="str">
        <f>DATABASE!Q755</f>
        <v>AVAILABLE</v>
      </c>
      <c r="Q101" s="78">
        <f>DATABASE!R755</f>
        <v>790000</v>
      </c>
      <c r="R101" s="78">
        <f>DATABASE!S755</f>
        <v>790000</v>
      </c>
      <c r="S101" s="78">
        <f>DATABASE!T755</f>
        <v>790000</v>
      </c>
      <c r="T101" s="78">
        <f>DATABASE!U755</f>
        <v>0</v>
      </c>
      <c r="U101" s="79">
        <f>DATABASE!V755</f>
        <v>0</v>
      </c>
      <c r="V101" s="79">
        <f>DATABASE!W755</f>
        <v>790000</v>
      </c>
      <c r="W101" s="80">
        <f>DATABASE!X755</f>
        <v>0</v>
      </c>
      <c r="X101" s="79">
        <f>DATABASE!Y755</f>
        <v>780000</v>
      </c>
      <c r="Y101" s="79">
        <f>DATABASE!Z755</f>
        <v>780000</v>
      </c>
      <c r="Z101" s="79" t="e">
        <f>DATABASE!#REF!</f>
        <v>#REF!</v>
      </c>
      <c r="AA101" s="81">
        <f>DATABASE!AA755</f>
        <v>0</v>
      </c>
      <c r="AB101" s="82">
        <f>DATABASE!AB755</f>
        <v>0</v>
      </c>
    </row>
    <row r="102" spans="1:28">
      <c r="A102" s="142" t="str">
        <f>DATABASE!A756</f>
        <v>SPRINGS</v>
      </c>
      <c r="B102" s="143" t="str">
        <f>DATABASE!B756</f>
        <v>Vilamoura</v>
      </c>
      <c r="C102" s="143" t="str">
        <f>DATABASE!C756</f>
        <v>C</v>
      </c>
      <c r="D102" s="144" t="str">
        <f>DATABASE!E756</f>
        <v>V3</v>
      </c>
      <c r="E102" s="131">
        <f>DATABASE!F756</f>
        <v>323.58999999999997</v>
      </c>
      <c r="F102" s="131">
        <f>DATABASE!G756</f>
        <v>165.79</v>
      </c>
      <c r="G102" s="131" t="str">
        <f>DATABASE!H756</f>
        <v/>
      </c>
      <c r="H102" s="131" t="str">
        <f>DATABASE!I756</f>
        <v/>
      </c>
      <c r="I102" s="131">
        <f>DATABASE!J756</f>
        <v>0</v>
      </c>
      <c r="J102" s="131">
        <f>DATABASE!K756</f>
        <v>0</v>
      </c>
      <c r="K102" s="131">
        <f>DATABASE!L756</f>
        <v>0</v>
      </c>
      <c r="L102" s="72">
        <f>DATABASE!M756</f>
        <v>0</v>
      </c>
      <c r="M102" s="131">
        <f>DATABASE!N756</f>
        <v>0</v>
      </c>
      <c r="N102" s="79">
        <f>DATABASE!O756</f>
        <v>157.80000000000001</v>
      </c>
      <c r="O102" s="78">
        <f>DATABASE!P756</f>
        <v>0</v>
      </c>
      <c r="P102" s="78" t="str">
        <f>DATABASE!Q756</f>
        <v>AVAILABLE</v>
      </c>
      <c r="Q102" s="78">
        <f>DATABASE!R756</f>
        <v>1652100</v>
      </c>
      <c r="R102" s="78">
        <f>DATABASE!S756</f>
        <v>1741050</v>
      </c>
      <c r="S102" s="78">
        <f>DATABASE!T756</f>
        <v>1830000</v>
      </c>
      <c r="T102" s="78">
        <f>DATABASE!U756</f>
        <v>24600</v>
      </c>
      <c r="U102" s="79">
        <f>DATABASE!V756</f>
        <v>64350</v>
      </c>
      <c r="V102" s="79">
        <f>DATABASE!W756</f>
        <v>1741050</v>
      </c>
      <c r="W102" s="80">
        <f>DATABASE!X756</f>
        <v>0</v>
      </c>
      <c r="X102" s="79">
        <f>DATABASE!Y756</f>
        <v>1830000</v>
      </c>
      <c r="Y102" s="79">
        <f>DATABASE!Z756</f>
        <v>1741050</v>
      </c>
      <c r="Z102" s="79" t="e">
        <f>DATABASE!#REF!</f>
        <v>#REF!</v>
      </c>
      <c r="AA102" s="81">
        <f>DATABASE!AA756</f>
        <v>0</v>
      </c>
      <c r="AB102" s="82">
        <f>DATABASE!AB756</f>
        <v>0</v>
      </c>
    </row>
    <row r="103" spans="1:28">
      <c r="A103" s="142" t="str">
        <f>DATABASE!A757</f>
        <v>THE NINE</v>
      </c>
      <c r="B103" s="143" t="str">
        <f>DATABASE!B757</f>
        <v>Vilamoura</v>
      </c>
      <c r="C103" s="143" t="str">
        <f>DATABASE!C757</f>
        <v>C</v>
      </c>
      <c r="D103" s="144" t="str">
        <f>DATABASE!E757</f>
        <v>T2</v>
      </c>
      <c r="E103" s="131">
        <f>DATABASE!F757</f>
        <v>111</v>
      </c>
      <c r="F103" s="131">
        <f>DATABASE!G757</f>
        <v>0</v>
      </c>
      <c r="G103" s="131" t="str">
        <f>DATABASE!H757</f>
        <v/>
      </c>
      <c r="H103" s="131" t="str">
        <f>DATABASE!I757</f>
        <v/>
      </c>
      <c r="I103" s="131">
        <f>DATABASE!J757</f>
        <v>0</v>
      </c>
      <c r="J103" s="131">
        <f>DATABASE!K757</f>
        <v>0</v>
      </c>
      <c r="K103" s="131">
        <f>DATABASE!L757</f>
        <v>0</v>
      </c>
      <c r="L103" s="72">
        <f>DATABASE!M757</f>
        <v>0</v>
      </c>
      <c r="M103" s="131">
        <f>DATABASE!N757</f>
        <v>0</v>
      </c>
      <c r="N103" s="79">
        <f>DATABASE!O757</f>
        <v>111</v>
      </c>
      <c r="O103" s="78">
        <f>DATABASE!P757</f>
        <v>0</v>
      </c>
      <c r="P103" s="78" t="str">
        <f>DATABASE!Q757</f>
        <v xml:space="preserve">DEED </v>
      </c>
      <c r="Q103" s="78">
        <f>DATABASE!R757</f>
        <v>570000</v>
      </c>
      <c r="R103" s="78">
        <f>DATABASE!S757</f>
        <v>570000</v>
      </c>
      <c r="S103" s="78">
        <f>DATABASE!T757</f>
        <v>570000</v>
      </c>
      <c r="T103" s="78">
        <f>DATABASE!U757</f>
        <v>0</v>
      </c>
      <c r="U103" s="79">
        <f>DATABASE!V757</f>
        <v>0</v>
      </c>
      <c r="V103" s="79">
        <f>DATABASE!W757</f>
        <v>570000</v>
      </c>
      <c r="W103" s="80">
        <f>DATABASE!X757</f>
        <v>0</v>
      </c>
      <c r="X103" s="79">
        <f>DATABASE!Y757</f>
        <v>570000</v>
      </c>
      <c r="Y103" s="79">
        <f>DATABASE!Z757</f>
        <v>570000</v>
      </c>
      <c r="Z103" s="79" t="e">
        <f>DATABASE!#REF!</f>
        <v>#REF!</v>
      </c>
      <c r="AA103" s="81">
        <f>DATABASE!AA757</f>
        <v>45096</v>
      </c>
      <c r="AB103" s="82">
        <f>DATABASE!AB757</f>
        <v>0</v>
      </c>
    </row>
    <row r="104" spans="1:28">
      <c r="A104" s="142" t="str">
        <f>DATABASE!A758</f>
        <v>VM PARQUE</v>
      </c>
      <c r="B104" s="143" t="str">
        <f>DATABASE!B758</f>
        <v>Vilamoura</v>
      </c>
      <c r="C104" s="143" t="str">
        <f>DATABASE!C758</f>
        <v>C</v>
      </c>
      <c r="D104" s="144" t="str">
        <f>DATABASE!E758</f>
        <v>V2</v>
      </c>
      <c r="E104" s="131">
        <f>DATABASE!F758</f>
        <v>152.87280000000001</v>
      </c>
      <c r="F104" s="131">
        <f>DATABASE!G758</f>
        <v>0</v>
      </c>
      <c r="G104" s="131" t="str">
        <f>DATABASE!H758</f>
        <v/>
      </c>
      <c r="H104" s="131" t="str">
        <f>DATABASE!I758</f>
        <v/>
      </c>
      <c r="I104" s="131">
        <f>DATABASE!J758</f>
        <v>0</v>
      </c>
      <c r="J104" s="131">
        <f>DATABASE!K758</f>
        <v>0</v>
      </c>
      <c r="K104" s="131">
        <f>DATABASE!L758</f>
        <v>0</v>
      </c>
      <c r="L104" s="72">
        <f>DATABASE!M758</f>
        <v>0</v>
      </c>
      <c r="M104" s="131">
        <f>DATABASE!N758</f>
        <v>0</v>
      </c>
      <c r="N104" s="79">
        <f>DATABASE!O758</f>
        <v>152.87280000000001</v>
      </c>
      <c r="O104" s="78">
        <f>DATABASE!P758</f>
        <v>0</v>
      </c>
      <c r="P104" s="78" t="str">
        <f>DATABASE!Q758</f>
        <v xml:space="preserve">DEED </v>
      </c>
      <c r="Q104" s="78">
        <f>DATABASE!R758</f>
        <v>956250</v>
      </c>
      <c r="R104" s="78">
        <f>DATABASE!S758</f>
        <v>956250</v>
      </c>
      <c r="S104" s="78">
        <f>DATABASE!T758</f>
        <v>1040000</v>
      </c>
      <c r="T104" s="78">
        <f>DATABASE!U758</f>
        <v>0</v>
      </c>
      <c r="U104" s="79">
        <f>DATABASE!V758</f>
        <v>0</v>
      </c>
      <c r="V104" s="79">
        <f>DATABASE!W758</f>
        <v>1040000</v>
      </c>
      <c r="W104" s="80">
        <f>DATABASE!X758</f>
        <v>0</v>
      </c>
      <c r="X104" s="79">
        <f>DATABASE!Y758</f>
        <v>1040000</v>
      </c>
      <c r="Y104" s="79">
        <f>DATABASE!Z758</f>
        <v>1040000</v>
      </c>
      <c r="Z104" s="79" t="e">
        <f>DATABASE!#REF!</f>
        <v>#REF!</v>
      </c>
      <c r="AA104" s="81">
        <f>DATABASE!AA758</f>
        <v>45163</v>
      </c>
      <c r="AB104" s="82">
        <f>DATABASE!AB758</f>
        <v>0</v>
      </c>
    </row>
    <row r="105" spans="1:28">
      <c r="A105" s="142" t="str">
        <f>DATABASE!A759</f>
        <v>ZESTIA</v>
      </c>
      <c r="B105" s="143" t="str">
        <f>DATABASE!B759</f>
        <v>Vilamoura</v>
      </c>
      <c r="C105" s="143" t="str">
        <f>DATABASE!C759</f>
        <v>C</v>
      </c>
      <c r="D105" s="144" t="str">
        <f>DATABASE!E759</f>
        <v>T2</v>
      </c>
      <c r="E105" s="131">
        <f>DATABASE!F759</f>
        <v>117.29</v>
      </c>
      <c r="F105" s="131">
        <f>DATABASE!G759</f>
        <v>0</v>
      </c>
      <c r="G105" s="131" t="str">
        <f>DATABASE!H759</f>
        <v/>
      </c>
      <c r="H105" s="131" t="str">
        <f>DATABASE!I759</f>
        <v/>
      </c>
      <c r="I105" s="131">
        <f>DATABASE!J759</f>
        <v>28.25</v>
      </c>
      <c r="J105" s="131">
        <f>DATABASE!K759</f>
        <v>0</v>
      </c>
      <c r="K105" s="131">
        <f>DATABASE!L759</f>
        <v>0</v>
      </c>
      <c r="L105" s="72">
        <f>DATABASE!M759</f>
        <v>0</v>
      </c>
      <c r="M105" s="131">
        <f>DATABASE!N759</f>
        <v>0</v>
      </c>
      <c r="N105" s="79">
        <f>DATABASE!O759</f>
        <v>89.04</v>
      </c>
      <c r="O105" s="78">
        <f>DATABASE!P759</f>
        <v>0</v>
      </c>
      <c r="P105" s="78" t="str">
        <f>DATABASE!Q759</f>
        <v>AVAILABLE</v>
      </c>
      <c r="Q105" s="78">
        <f>DATABASE!R759</f>
        <v>662694.96</v>
      </c>
      <c r="R105" s="78">
        <f>DATABASE!S759</f>
        <v>727294.96</v>
      </c>
      <c r="S105" s="78">
        <f>DATABASE!T759</f>
        <v>790000</v>
      </c>
      <c r="T105" s="78">
        <f>DATABASE!U759</f>
        <v>24600</v>
      </c>
      <c r="U105" s="79">
        <f>DATABASE!V759</f>
        <v>40000</v>
      </c>
      <c r="V105" s="79">
        <f>DATABASE!W759</f>
        <v>725400</v>
      </c>
      <c r="W105" s="80">
        <f>DATABASE!X759</f>
        <v>0</v>
      </c>
      <c r="X105" s="79">
        <f>DATABASE!Y759</f>
        <v>790000</v>
      </c>
      <c r="Y105" s="79">
        <f>DATABASE!Z759</f>
        <v>725400</v>
      </c>
      <c r="Z105" s="79" t="e">
        <f>DATABASE!#REF!</f>
        <v>#REF!</v>
      </c>
      <c r="AA105" s="81">
        <f>DATABASE!AA759</f>
        <v>0</v>
      </c>
      <c r="AB105" s="82">
        <f>DATABASE!AB759</f>
        <v>0</v>
      </c>
    </row>
    <row r="106" spans="1:28">
      <c r="A106" s="142" t="str">
        <f>DATABASE!A760</f>
        <v>TERRACOTA</v>
      </c>
      <c r="B106" s="143" t="str">
        <f>DATABASE!B760</f>
        <v>Vilamoura</v>
      </c>
      <c r="C106" s="143" t="str">
        <f>DATABASE!C760</f>
        <v>CA</v>
      </c>
      <c r="D106" s="144" t="str">
        <f>DATABASE!E760</f>
        <v>T3</v>
      </c>
      <c r="E106" s="131">
        <f>DATABASE!F760</f>
        <v>130.91999999999999</v>
      </c>
      <c r="F106" s="131">
        <f>DATABASE!G760</f>
        <v>0</v>
      </c>
      <c r="G106" s="131" t="str">
        <f>DATABASE!H760</f>
        <v>46024</v>
      </c>
      <c r="H106" s="131" t="str">
        <f>DATABASE!I760</f>
        <v/>
      </c>
      <c r="I106" s="131">
        <f>DATABASE!J760</f>
        <v>0</v>
      </c>
      <c r="J106" s="131">
        <f>DATABASE!K760</f>
        <v>0</v>
      </c>
      <c r="K106" s="131">
        <f>DATABASE!L760</f>
        <v>0</v>
      </c>
      <c r="L106" s="72">
        <f>DATABASE!M760</f>
        <v>0</v>
      </c>
      <c r="M106" s="131">
        <f>DATABASE!N760</f>
        <v>0</v>
      </c>
      <c r="N106" s="79">
        <f>DATABASE!O760</f>
        <v>130.91999999999999</v>
      </c>
      <c r="O106" s="78">
        <f>DATABASE!P760</f>
        <v>0</v>
      </c>
      <c r="P106" s="78" t="str">
        <f>DATABASE!Q760</f>
        <v xml:space="preserve">PSPA </v>
      </c>
      <c r="Q106" s="78">
        <f>DATABASE!R760</f>
        <v>660000</v>
      </c>
      <c r="R106" s="78">
        <f>DATABASE!S760</f>
        <v>660000</v>
      </c>
      <c r="S106" s="78">
        <f>DATABASE!T760</f>
        <v>670000</v>
      </c>
      <c r="T106" s="78">
        <f>DATABASE!U760</f>
        <v>0</v>
      </c>
      <c r="U106" s="79">
        <f>DATABASE!V760</f>
        <v>0</v>
      </c>
      <c r="V106" s="79">
        <f>DATABASE!W760</f>
        <v>670000</v>
      </c>
      <c r="W106" s="80">
        <f>DATABASE!X760</f>
        <v>0</v>
      </c>
      <c r="X106" s="79">
        <f>DATABASE!Y760</f>
        <v>670000</v>
      </c>
      <c r="Y106" s="79">
        <f>DATABASE!Z760</f>
        <v>670000</v>
      </c>
      <c r="Z106" s="79" t="e">
        <f>DATABASE!#REF!</f>
        <v>#REF!</v>
      </c>
      <c r="AA106" s="81" t="e">
        <f>DATABASE!#REF!</f>
        <v>#REF!</v>
      </c>
      <c r="AB106" s="82">
        <f>DATABASE!AB760</f>
        <v>0</v>
      </c>
    </row>
    <row r="107" spans="1:28">
      <c r="A107" s="142" t="str">
        <f>DATABASE!A761</f>
        <v>TERRACOTA</v>
      </c>
      <c r="B107" s="143" t="str">
        <f>DATABASE!B761</f>
        <v>Vilamoura</v>
      </c>
      <c r="C107" s="143" t="str">
        <f>DATABASE!C761</f>
        <v>CB</v>
      </c>
      <c r="D107" s="144" t="str">
        <f>DATABASE!E761</f>
        <v>T3</v>
      </c>
      <c r="E107" s="131">
        <f>DATABASE!F761</f>
        <v>130.91999999999999</v>
      </c>
      <c r="F107" s="131">
        <f>DATABASE!G761</f>
        <v>0</v>
      </c>
      <c r="G107" s="131" t="str">
        <f>DATABASE!H761</f>
        <v>46117</v>
      </c>
      <c r="H107" s="131" t="str">
        <f>DATABASE!I761</f>
        <v/>
      </c>
      <c r="I107" s="131">
        <f>DATABASE!J761</f>
        <v>0</v>
      </c>
      <c r="J107" s="131">
        <f>DATABASE!K761</f>
        <v>0</v>
      </c>
      <c r="K107" s="131">
        <f>DATABASE!L761</f>
        <v>0</v>
      </c>
      <c r="L107" s="72">
        <f>DATABASE!M761</f>
        <v>0</v>
      </c>
      <c r="M107" s="131">
        <f>DATABASE!N761</f>
        <v>0</v>
      </c>
      <c r="N107" s="79">
        <f>DATABASE!O761</f>
        <v>130.91999999999999</v>
      </c>
      <c r="O107" s="78">
        <f>DATABASE!P761</f>
        <v>0</v>
      </c>
      <c r="P107" s="78" t="str">
        <f>DATABASE!Q761</f>
        <v>AVAILABLE</v>
      </c>
      <c r="Q107" s="78">
        <f>DATABASE!R761</f>
        <v>700000</v>
      </c>
      <c r="R107" s="78">
        <f>DATABASE!S761</f>
        <v>700000</v>
      </c>
      <c r="S107" s="78">
        <f>DATABASE!T761</f>
        <v>730000</v>
      </c>
      <c r="T107" s="78">
        <f>DATABASE!U761</f>
        <v>0</v>
      </c>
      <c r="U107" s="79">
        <f>DATABASE!V761</f>
        <v>0</v>
      </c>
      <c r="V107" s="79">
        <f>DATABASE!W761</f>
        <v>730000</v>
      </c>
      <c r="W107" s="80">
        <f>DATABASE!X761</f>
        <v>0</v>
      </c>
      <c r="X107" s="79">
        <f>DATABASE!Y761</f>
        <v>730000</v>
      </c>
      <c r="Y107" s="79">
        <f>DATABASE!Z761</f>
        <v>730000</v>
      </c>
      <c r="Z107" s="79" t="e">
        <f>DATABASE!#REF!</f>
        <v>#REF!</v>
      </c>
      <c r="AA107" s="81">
        <f>DATABASE!AA761</f>
        <v>0</v>
      </c>
      <c r="AB107" s="82">
        <f>DATABASE!AB761</f>
        <v>0</v>
      </c>
    </row>
    <row r="108" spans="1:28">
      <c r="A108" s="142" t="str">
        <f>DATABASE!A762</f>
        <v>TERRACOTA</v>
      </c>
      <c r="B108" s="143" t="str">
        <f>DATABASE!B762</f>
        <v>Vilamoura</v>
      </c>
      <c r="C108" s="143" t="str">
        <f>DATABASE!C762</f>
        <v>CC</v>
      </c>
      <c r="D108" s="144" t="str">
        <f>DATABASE!E762</f>
        <v>T3</v>
      </c>
      <c r="E108" s="131">
        <f>DATABASE!F762</f>
        <v>130.91999999999999</v>
      </c>
      <c r="F108" s="131">
        <f>DATABASE!G762</f>
        <v>0</v>
      </c>
      <c r="G108" s="131" t="str">
        <f>DATABASE!H762</f>
        <v>31-32</v>
      </c>
      <c r="H108" s="131" t="str">
        <f>DATABASE!I762</f>
        <v/>
      </c>
      <c r="I108" s="131">
        <f>DATABASE!J762</f>
        <v>0</v>
      </c>
      <c r="J108" s="131">
        <f>DATABASE!K762</f>
        <v>0</v>
      </c>
      <c r="K108" s="131">
        <f>DATABASE!L762</f>
        <v>0</v>
      </c>
      <c r="L108" s="72">
        <f>DATABASE!M762</f>
        <v>0</v>
      </c>
      <c r="M108" s="131">
        <f>DATABASE!N762</f>
        <v>0</v>
      </c>
      <c r="N108" s="79">
        <f>DATABASE!O762</f>
        <v>130.91999999999999</v>
      </c>
      <c r="O108" s="78">
        <f>DATABASE!P762</f>
        <v>0</v>
      </c>
      <c r="P108" s="78" t="str">
        <f>DATABASE!Q762</f>
        <v>AVAILABLE</v>
      </c>
      <c r="Q108" s="78">
        <f>DATABASE!R762</f>
        <v>700000</v>
      </c>
      <c r="R108" s="78">
        <f>DATABASE!S762</f>
        <v>700000</v>
      </c>
      <c r="S108" s="78">
        <f>DATABASE!T762</f>
        <v>730000</v>
      </c>
      <c r="T108" s="78">
        <f>DATABASE!U762</f>
        <v>0</v>
      </c>
      <c r="U108" s="79">
        <f>DATABASE!V762</f>
        <v>0</v>
      </c>
      <c r="V108" s="79">
        <f>DATABASE!W762</f>
        <v>730000</v>
      </c>
      <c r="W108" s="80">
        <f>DATABASE!X762</f>
        <v>0</v>
      </c>
      <c r="X108" s="79">
        <f>DATABASE!Y762</f>
        <v>730000</v>
      </c>
      <c r="Y108" s="79">
        <f>DATABASE!Z762</f>
        <v>730000</v>
      </c>
      <c r="Z108" s="79" t="e">
        <f>DATABASE!#REF!</f>
        <v>#REF!</v>
      </c>
      <c r="AA108" s="81">
        <f>DATABASE!AA762</f>
        <v>0</v>
      </c>
      <c r="AB108" s="82">
        <f>DATABASE!AB762</f>
        <v>0</v>
      </c>
    </row>
    <row r="109" spans="1:28">
      <c r="A109" s="142" t="str">
        <f>DATABASE!A763</f>
        <v>TERRACOTA</v>
      </c>
      <c r="B109" s="143" t="str">
        <f>DATABASE!B763</f>
        <v>Vilamoura</v>
      </c>
      <c r="C109" s="143" t="str">
        <f>DATABASE!C763</f>
        <v>CD</v>
      </c>
      <c r="D109" s="144" t="str">
        <f>DATABASE!E763</f>
        <v>T2</v>
      </c>
      <c r="E109" s="131">
        <f>DATABASE!F763</f>
        <v>78.3</v>
      </c>
      <c r="F109" s="131">
        <f>DATABASE!G763</f>
        <v>0</v>
      </c>
      <c r="G109" s="131" t="str">
        <f>DATABASE!H763</f>
        <v>29-30</v>
      </c>
      <c r="H109" s="131" t="str">
        <f>DATABASE!I763</f>
        <v/>
      </c>
      <c r="I109" s="131">
        <f>DATABASE!J763</f>
        <v>0</v>
      </c>
      <c r="J109" s="131">
        <f>DATABASE!K763</f>
        <v>0</v>
      </c>
      <c r="K109" s="131">
        <f>DATABASE!L763</f>
        <v>0</v>
      </c>
      <c r="L109" s="72">
        <f>DATABASE!M763</f>
        <v>0</v>
      </c>
      <c r="M109" s="131">
        <f>DATABASE!N763</f>
        <v>0</v>
      </c>
      <c r="N109" s="79">
        <f>DATABASE!O763</f>
        <v>78.3</v>
      </c>
      <c r="O109" s="78">
        <f>DATABASE!P763</f>
        <v>0</v>
      </c>
      <c r="P109" s="78" t="str">
        <f>DATABASE!Q763</f>
        <v xml:space="preserve">PSPA </v>
      </c>
      <c r="Q109" s="78">
        <f>DATABASE!R763</f>
        <v>455000</v>
      </c>
      <c r="R109" s="78">
        <f>DATABASE!S763</f>
        <v>455000</v>
      </c>
      <c r="S109" s="78">
        <f>DATABASE!T763</f>
        <v>455000</v>
      </c>
      <c r="T109" s="78">
        <f>DATABASE!U763</f>
        <v>0</v>
      </c>
      <c r="U109" s="79">
        <f>DATABASE!V763</f>
        <v>0</v>
      </c>
      <c r="V109" s="79">
        <f>DATABASE!W763</f>
        <v>455000</v>
      </c>
      <c r="W109" s="80">
        <f>DATABASE!X763</f>
        <v>0</v>
      </c>
      <c r="X109" s="79">
        <f>DATABASE!Y763</f>
        <v>455000</v>
      </c>
      <c r="Y109" s="79">
        <f>DATABASE!Z763</f>
        <v>455000</v>
      </c>
      <c r="Z109" s="79" t="e">
        <f>DATABASE!#REF!</f>
        <v>#REF!</v>
      </c>
      <c r="AA109" s="81" t="e">
        <f>DATABASE!#REF!</f>
        <v>#REF!</v>
      </c>
      <c r="AB109" s="82">
        <f>DATABASE!AB763</f>
        <v>0</v>
      </c>
    </row>
    <row r="110" spans="1:28">
      <c r="A110" s="142" t="str">
        <f>DATABASE!A764</f>
        <v>TERRACOTA</v>
      </c>
      <c r="B110" s="143" t="str">
        <f>DATABASE!B764</f>
        <v>Vilamoura</v>
      </c>
      <c r="C110" s="143" t="str">
        <f>DATABASE!C764</f>
        <v>CE</v>
      </c>
      <c r="D110" s="144" t="str">
        <f>DATABASE!E764</f>
        <v>T3</v>
      </c>
      <c r="E110" s="131">
        <f>DATABASE!F764</f>
        <v>130.91999999999999</v>
      </c>
      <c r="F110" s="131">
        <f>DATABASE!G764</f>
        <v>0</v>
      </c>
      <c r="G110" s="131" t="str">
        <f>DATABASE!H764</f>
        <v>27-28</v>
      </c>
      <c r="H110" s="131" t="str">
        <f>DATABASE!I764</f>
        <v/>
      </c>
      <c r="I110" s="131">
        <f>DATABASE!J764</f>
        <v>0</v>
      </c>
      <c r="J110" s="131">
        <f>DATABASE!K764</f>
        <v>0</v>
      </c>
      <c r="K110" s="131">
        <f>DATABASE!L764</f>
        <v>0</v>
      </c>
      <c r="L110" s="72">
        <f>DATABASE!M764</f>
        <v>0</v>
      </c>
      <c r="M110" s="131">
        <f>DATABASE!N764</f>
        <v>0</v>
      </c>
      <c r="N110" s="79">
        <f>DATABASE!O764</f>
        <v>130.91999999999999</v>
      </c>
      <c r="O110" s="78">
        <f>DATABASE!P764</f>
        <v>0</v>
      </c>
      <c r="P110" s="78" t="str">
        <f>DATABASE!Q764</f>
        <v>AVAILABLE</v>
      </c>
      <c r="Q110" s="78">
        <f>DATABASE!R764</f>
        <v>700000</v>
      </c>
      <c r="R110" s="78">
        <f>DATABASE!S764</f>
        <v>700000</v>
      </c>
      <c r="S110" s="78">
        <f>DATABASE!T764</f>
        <v>730000</v>
      </c>
      <c r="T110" s="78">
        <f>DATABASE!U764</f>
        <v>0</v>
      </c>
      <c r="U110" s="79">
        <f>DATABASE!V764</f>
        <v>0</v>
      </c>
      <c r="V110" s="79">
        <f>DATABASE!W764</f>
        <v>730000</v>
      </c>
      <c r="W110" s="80">
        <f>DATABASE!X764</f>
        <v>0</v>
      </c>
      <c r="X110" s="79">
        <f>DATABASE!Y764</f>
        <v>730000</v>
      </c>
      <c r="Y110" s="79">
        <f>DATABASE!Z764</f>
        <v>730000</v>
      </c>
      <c r="Z110" s="79" t="e">
        <f>DATABASE!#REF!</f>
        <v>#REF!</v>
      </c>
      <c r="AA110" s="81">
        <f>DATABASE!AA764</f>
        <v>0</v>
      </c>
      <c r="AB110" s="82">
        <f>DATABASE!AB764</f>
        <v>0</v>
      </c>
    </row>
    <row r="111" spans="1:28">
      <c r="A111" s="142" t="str">
        <f>DATABASE!A765</f>
        <v>TERRACOTA</v>
      </c>
      <c r="B111" s="143" t="str">
        <f>DATABASE!B765</f>
        <v>Vilamoura</v>
      </c>
      <c r="C111" s="143" t="str">
        <f>DATABASE!C765</f>
        <v>CF</v>
      </c>
      <c r="D111" s="144" t="str">
        <f>DATABASE!E765</f>
        <v>T2</v>
      </c>
      <c r="E111" s="131">
        <f>DATABASE!F765</f>
        <v>78.3</v>
      </c>
      <c r="F111" s="131">
        <f>DATABASE!G765</f>
        <v>0</v>
      </c>
      <c r="G111" s="131" t="str">
        <f>DATABASE!H765</f>
        <v>46275</v>
      </c>
      <c r="H111" s="131" t="str">
        <f>DATABASE!I765</f>
        <v/>
      </c>
      <c r="I111" s="131">
        <f>DATABASE!J765</f>
        <v>0</v>
      </c>
      <c r="J111" s="131">
        <f>DATABASE!K765</f>
        <v>0</v>
      </c>
      <c r="K111" s="131">
        <f>DATABASE!L765</f>
        <v>0</v>
      </c>
      <c r="L111" s="72">
        <f>DATABASE!M765</f>
        <v>0</v>
      </c>
      <c r="M111" s="131">
        <f>DATABASE!N765</f>
        <v>0</v>
      </c>
      <c r="N111" s="79">
        <f>DATABASE!O765</f>
        <v>78.3</v>
      </c>
      <c r="O111" s="78">
        <f>DATABASE!P765</f>
        <v>0</v>
      </c>
      <c r="P111" s="78" t="str">
        <f>DATABASE!Q765</f>
        <v xml:space="preserve">PSPA </v>
      </c>
      <c r="Q111" s="78">
        <f>DATABASE!R765</f>
        <v>455000</v>
      </c>
      <c r="R111" s="78">
        <f>DATABASE!S765</f>
        <v>455000</v>
      </c>
      <c r="S111" s="78">
        <f>DATABASE!T765</f>
        <v>455000</v>
      </c>
      <c r="T111" s="78">
        <f>DATABASE!U765</f>
        <v>0</v>
      </c>
      <c r="U111" s="79">
        <f>DATABASE!V765</f>
        <v>0</v>
      </c>
      <c r="V111" s="79">
        <f>DATABASE!W765</f>
        <v>455000</v>
      </c>
      <c r="W111" s="80">
        <f>DATABASE!X765</f>
        <v>0</v>
      </c>
      <c r="X111" s="79">
        <f>DATABASE!Y765</f>
        <v>455000</v>
      </c>
      <c r="Y111" s="79">
        <f>DATABASE!Z765</f>
        <v>455000</v>
      </c>
      <c r="Z111" s="79" t="e">
        <f>DATABASE!#REF!</f>
        <v>#REF!</v>
      </c>
      <c r="AA111" s="81" t="e">
        <f>DATABASE!#REF!</f>
        <v>#REF!</v>
      </c>
      <c r="AB111" s="82">
        <f>DATABASE!AB765</f>
        <v>0</v>
      </c>
    </row>
    <row r="112" spans="1:28">
      <c r="A112" s="142" t="str">
        <f>DATABASE!A766</f>
        <v>VP - TOWNHOUSES</v>
      </c>
      <c r="B112" s="143" t="str">
        <f>DATABASE!B766</f>
        <v>North</v>
      </c>
      <c r="C112" s="143" t="str">
        <f>DATABASE!C766</f>
        <v>4C</v>
      </c>
      <c r="D112" s="144" t="str">
        <f>DATABASE!E766</f>
        <v>V3+1</v>
      </c>
      <c r="E112" s="131">
        <f>DATABASE!F766</f>
        <v>360.04</v>
      </c>
      <c r="F112" s="131">
        <f>DATABASE!G766</f>
        <v>0</v>
      </c>
      <c r="G112" s="131" t="str">
        <f>DATABASE!H766</f>
        <v>2</v>
      </c>
      <c r="H112" s="131" t="str">
        <f>DATABASE!I766</f>
        <v>Yes</v>
      </c>
      <c r="I112" s="131">
        <f>DATABASE!J766</f>
        <v>9.57</v>
      </c>
      <c r="J112" s="131">
        <f>DATABASE!K766</f>
        <v>98.96</v>
      </c>
      <c r="K112" s="131">
        <f>DATABASE!L766</f>
        <v>51.75</v>
      </c>
      <c r="L112" s="72">
        <f>DATABASE!M766</f>
        <v>0</v>
      </c>
      <c r="M112" s="131">
        <f>DATABASE!N766</f>
        <v>0</v>
      </c>
      <c r="N112" s="79">
        <f>DATABASE!O766</f>
        <v>199.76</v>
      </c>
      <c r="O112" s="78">
        <f>DATABASE!P766</f>
        <v>0</v>
      </c>
      <c r="P112" s="78" t="str">
        <f>DATABASE!Q766</f>
        <v>UPON  REQUEST</v>
      </c>
      <c r="Q112" s="78">
        <f>DATABASE!R766</f>
        <v>1190000</v>
      </c>
      <c r="R112" s="78">
        <f>DATABASE!S766</f>
        <v>1190000</v>
      </c>
      <c r="S112" s="78">
        <f>DATABASE!T766</f>
        <v>1220000</v>
      </c>
      <c r="T112" s="78">
        <f>DATABASE!U766</f>
        <v>0</v>
      </c>
      <c r="U112" s="79">
        <f>DATABASE!V766</f>
        <v>0</v>
      </c>
      <c r="V112" s="79">
        <f>DATABASE!W766</f>
        <v>1220000</v>
      </c>
      <c r="W112" s="80">
        <f>DATABASE!X766</f>
        <v>0</v>
      </c>
      <c r="X112" s="79">
        <f>DATABASE!Y766</f>
        <v>0</v>
      </c>
      <c r="Y112" s="79">
        <f>DATABASE!Z766</f>
        <v>0</v>
      </c>
      <c r="Z112" s="79" t="e">
        <f>DATABASE!#REF!</f>
        <v>#REF!</v>
      </c>
      <c r="AA112" s="81">
        <f>DATABASE!AA766</f>
        <v>0</v>
      </c>
      <c r="AB112" s="82">
        <f>DATABASE!AB766</f>
        <v>47208</v>
      </c>
    </row>
    <row r="113" spans="1:28">
      <c r="A113" s="142" t="str">
        <f>DATABASE!A767</f>
        <v>VP - TOWNHOUSES</v>
      </c>
      <c r="B113" s="143" t="str">
        <f>DATABASE!B767</f>
        <v>North</v>
      </c>
      <c r="C113" s="143" t="str">
        <f>DATABASE!C767</f>
        <v>5C</v>
      </c>
      <c r="D113" s="144" t="str">
        <f>DATABASE!E767</f>
        <v>V3+1</v>
      </c>
      <c r="E113" s="131">
        <f>DATABASE!F767</f>
        <v>373.34</v>
      </c>
      <c r="F113" s="131">
        <f>DATABASE!G767</f>
        <v>0</v>
      </c>
      <c r="G113" s="131" t="str">
        <f>DATABASE!H767</f>
        <v>2</v>
      </c>
      <c r="H113" s="131" t="str">
        <f>DATABASE!I767</f>
        <v>Yes</v>
      </c>
      <c r="I113" s="131">
        <f>DATABASE!J767</f>
        <v>9.57</v>
      </c>
      <c r="J113" s="131">
        <f>DATABASE!K767</f>
        <v>103.98</v>
      </c>
      <c r="K113" s="131">
        <f>DATABASE!L767</f>
        <v>53.31</v>
      </c>
      <c r="L113" s="72">
        <f>DATABASE!M767</f>
        <v>0</v>
      </c>
      <c r="M113" s="131">
        <f>DATABASE!N767</f>
        <v>0</v>
      </c>
      <c r="N113" s="79">
        <f>DATABASE!O767</f>
        <v>206.48</v>
      </c>
      <c r="O113" s="78">
        <f>DATABASE!P767</f>
        <v>0</v>
      </c>
      <c r="P113" s="78" t="str">
        <f>DATABASE!Q767</f>
        <v>UPON  REQUEST</v>
      </c>
      <c r="Q113" s="78">
        <f>DATABASE!R767</f>
        <v>1190000</v>
      </c>
      <c r="R113" s="78">
        <f>DATABASE!S767</f>
        <v>1190000</v>
      </c>
      <c r="S113" s="78">
        <f>DATABASE!T767</f>
        <v>1220000</v>
      </c>
      <c r="T113" s="78">
        <f>DATABASE!U767</f>
        <v>0</v>
      </c>
      <c r="U113" s="79">
        <f>DATABASE!V767</f>
        <v>0</v>
      </c>
      <c r="V113" s="79">
        <f>DATABASE!W767</f>
        <v>1220000</v>
      </c>
      <c r="W113" s="80">
        <f>DATABASE!X767</f>
        <v>0</v>
      </c>
      <c r="X113" s="79">
        <f>DATABASE!Y767</f>
        <v>0</v>
      </c>
      <c r="Y113" s="79">
        <f>DATABASE!Z767</f>
        <v>0</v>
      </c>
      <c r="Z113" s="79" t="e">
        <f>DATABASE!#REF!</f>
        <v>#REF!</v>
      </c>
      <c r="AA113" s="81">
        <f>DATABASE!AA767</f>
        <v>0</v>
      </c>
      <c r="AB113" s="82">
        <f>DATABASE!AB767</f>
        <v>47208</v>
      </c>
    </row>
    <row r="114" spans="1:28">
      <c r="A114" s="145" t="str">
        <f>DATABASE!A768</f>
        <v>TERRACOTA</v>
      </c>
      <c r="B114" s="146" t="str">
        <f>DATABASE!B768</f>
        <v>Vilamoura</v>
      </c>
      <c r="C114" s="146" t="str">
        <f>DATABASE!C768</f>
        <v>CG</v>
      </c>
      <c r="D114" s="147" t="str">
        <f>DATABASE!E768</f>
        <v>T2</v>
      </c>
      <c r="E114" s="148">
        <f>DATABASE!F768</f>
        <v>78.3</v>
      </c>
      <c r="F114" s="148">
        <f>DATABASE!G768</f>
        <v>0</v>
      </c>
      <c r="G114" s="148" t="str">
        <f>DATABASE!H768</f>
        <v>25-26</v>
      </c>
      <c r="H114" s="148" t="str">
        <f>DATABASE!I768</f>
        <v/>
      </c>
      <c r="I114" s="148">
        <f>DATABASE!J768</f>
        <v>0</v>
      </c>
      <c r="J114" s="148">
        <f>DATABASE!K768</f>
        <v>0</v>
      </c>
      <c r="K114" s="148">
        <f>DATABASE!L768</f>
        <v>0</v>
      </c>
      <c r="L114" s="114">
        <f>DATABASE!M768</f>
        <v>0</v>
      </c>
      <c r="M114" s="148">
        <f>DATABASE!N768</f>
        <v>0</v>
      </c>
      <c r="N114" s="102">
        <f>DATABASE!O768</f>
        <v>78.3</v>
      </c>
      <c r="O114" s="101">
        <f>DATABASE!P768</f>
        <v>0</v>
      </c>
      <c r="P114" s="101" t="str">
        <f>DATABASE!Q768</f>
        <v xml:space="preserve">PSPA </v>
      </c>
      <c r="Q114" s="101">
        <f>DATABASE!R768</f>
        <v>455000</v>
      </c>
      <c r="R114" s="101">
        <f>DATABASE!S768</f>
        <v>455000</v>
      </c>
      <c r="S114" s="101">
        <f>DATABASE!T768</f>
        <v>455000</v>
      </c>
      <c r="T114" s="101">
        <f>DATABASE!U768</f>
        <v>0</v>
      </c>
      <c r="U114" s="102">
        <f>DATABASE!V768</f>
        <v>0</v>
      </c>
      <c r="V114" s="102">
        <f>DATABASE!W768</f>
        <v>455000</v>
      </c>
      <c r="W114" s="103">
        <f>DATABASE!X768</f>
        <v>0</v>
      </c>
      <c r="X114" s="102">
        <f>DATABASE!Y768</f>
        <v>455000</v>
      </c>
      <c r="Y114" s="102">
        <f>DATABASE!Z768</f>
        <v>455000</v>
      </c>
      <c r="Z114" s="102" t="e">
        <f>DATABASE!#REF!</f>
        <v>#REF!</v>
      </c>
      <c r="AA114" s="104" t="e">
        <f>DATABASE!#REF!</f>
        <v>#REF!</v>
      </c>
      <c r="AB114" s="105">
        <f>DATABASE!AB768</f>
        <v>0</v>
      </c>
    </row>
  </sheetData>
  <conditionalFormatting sqref="A1">
    <cfRule type="containsText" dxfId="22" priority="1" operator="containsText" text="Center">
      <formula>NOT(ISERROR(SEARCH("Center",A1)))</formula>
    </cfRule>
    <cfRule type="containsText" dxfId="21" priority="2" operator="containsText" text="North">
      <formula>NOT(ISERROR(SEARCH("North",A1)))</formula>
    </cfRule>
    <cfRule type="containsText" dxfId="20" priority="3" operator="containsText" text="Algarve">
      <formula>NOT(ISERROR(SEARCH("Algarve",A1)))</formula>
    </cfRule>
    <cfRule type="containsText" dxfId="19" priority="4" operator="containsText" text="Vilamoura">
      <formula>NOT(ISERROR(SEARCH("Vilamoura",A1)))</formula>
    </cfRule>
  </conditionalFormatting>
  <pageMargins left="0.7" right="0.7" top="0.75" bottom="0.75" header="0.3" footer="0.3"/>
  <pageSetup paperSize="8" scale="51"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73763-4369-4FAE-960B-9CEC8903EEA9}">
  <sheetPr>
    <tabColor rgb="FF9FA891"/>
    <pageSetUpPr fitToPage="1"/>
  </sheetPr>
  <dimension ref="A1:AB100"/>
  <sheetViews>
    <sheetView showGridLines="0" topLeftCell="A17" zoomScale="63" zoomScaleNormal="40" zoomScaleSheetLayoutView="70" workbookViewId="0">
      <selection activeCell="D25" sqref="D25"/>
    </sheetView>
  </sheetViews>
  <sheetFormatPr defaultColWidth="8.7109375" defaultRowHeight="15"/>
  <cols>
    <col min="1" max="1" width="27.140625" customWidth="1"/>
    <col min="2" max="2" width="19.7109375" bestFit="1" customWidth="1"/>
    <col min="3" max="3" width="22.28515625" bestFit="1" customWidth="1"/>
    <col min="4" max="4" width="14.7109375" bestFit="1" customWidth="1"/>
    <col min="5" max="5" width="16.7109375" customWidth="1"/>
    <col min="6" max="6" width="21.7109375" bestFit="1" customWidth="1"/>
    <col min="7" max="7" width="12" customWidth="1"/>
    <col min="8" max="8" width="16.28515625" customWidth="1"/>
    <col min="9" max="9" width="13.140625" customWidth="1"/>
    <col min="10" max="10" width="25.42578125" customWidth="1"/>
    <col min="11" max="11" width="27.7109375" customWidth="1"/>
    <col min="12" max="12" width="18.28515625" customWidth="1"/>
    <col min="13" max="13" width="73.7109375" customWidth="1"/>
    <col min="14" max="14" width="16.7109375" customWidth="1"/>
    <col min="15" max="15" width="16.7109375" bestFit="1" customWidth="1"/>
    <col min="16" max="16" width="17.28515625" bestFit="1" customWidth="1"/>
    <col min="17" max="17" width="20.7109375" bestFit="1" customWidth="1"/>
  </cols>
  <sheetData>
    <row r="1" spans="1:28" s="1" customFormat="1" ht="54">
      <c r="A1" s="58" t="s">
        <v>335</v>
      </c>
      <c r="B1" s="59" t="s">
        <v>687</v>
      </c>
      <c r="C1" s="59" t="s">
        <v>770</v>
      </c>
      <c r="D1" s="59" t="s">
        <v>93</v>
      </c>
      <c r="E1" s="59" t="s">
        <v>766</v>
      </c>
      <c r="F1" s="60" t="s">
        <v>678</v>
      </c>
      <c r="G1" s="60" t="s">
        <v>679</v>
      </c>
      <c r="H1" s="60" t="s">
        <v>680</v>
      </c>
      <c r="I1" s="60" t="s">
        <v>681</v>
      </c>
      <c r="J1" s="60" t="s">
        <v>682</v>
      </c>
      <c r="K1" s="60" t="s">
        <v>785</v>
      </c>
      <c r="L1" s="60" t="s">
        <v>683</v>
      </c>
      <c r="M1" s="59" t="s">
        <v>684</v>
      </c>
      <c r="N1" s="59" t="s">
        <v>94</v>
      </c>
      <c r="O1" s="59" t="s">
        <v>95</v>
      </c>
      <c r="P1" s="59" t="s">
        <v>627</v>
      </c>
      <c r="Q1" s="61" t="s">
        <v>331</v>
      </c>
      <c r="R1" s="61" t="s">
        <v>332</v>
      </c>
      <c r="S1" s="61" t="s">
        <v>333</v>
      </c>
      <c r="T1" s="61" t="s">
        <v>685</v>
      </c>
      <c r="U1" s="61" t="s">
        <v>97</v>
      </c>
      <c r="V1" s="59" t="s">
        <v>330</v>
      </c>
      <c r="W1" s="62" t="s">
        <v>767</v>
      </c>
      <c r="X1" s="61" t="s">
        <v>334</v>
      </c>
      <c r="Y1" s="59" t="s">
        <v>98</v>
      </c>
      <c r="Z1" s="59" t="s">
        <v>771</v>
      </c>
      <c r="AA1" s="63" t="s">
        <v>768</v>
      </c>
      <c r="AB1" s="64" t="s">
        <v>7</v>
      </c>
    </row>
    <row r="2" spans="1:28">
      <c r="A2" s="106" t="str">
        <f>DATABASE!A769</f>
        <v>TERRACOTA</v>
      </c>
      <c r="B2" s="53" t="str">
        <f>DATABASE!B769</f>
        <v>Vilamoura</v>
      </c>
      <c r="C2" s="53" t="str">
        <f>DATABASE!C769</f>
        <v>CH</v>
      </c>
      <c r="D2" s="73" t="str">
        <f>DATABASE!E769</f>
        <v>T2</v>
      </c>
      <c r="E2" s="73">
        <f>DATABASE!F769</f>
        <v>78.3</v>
      </c>
      <c r="F2" s="73">
        <f>DATABASE!G769</f>
        <v>0</v>
      </c>
      <c r="G2" s="74" t="str">
        <f>DATABASE!H769</f>
        <v>23-24</v>
      </c>
      <c r="H2" s="72" t="str">
        <f>DATABASE!I769</f>
        <v/>
      </c>
      <c r="I2" s="75">
        <f>DATABASE!J769</f>
        <v>0</v>
      </c>
      <c r="J2" s="73">
        <f>DATABASE!K769</f>
        <v>0</v>
      </c>
      <c r="K2" s="73">
        <f>DATABASE!L769</f>
        <v>0</v>
      </c>
      <c r="L2" s="73">
        <f>DATABASE!M769</f>
        <v>0</v>
      </c>
      <c r="M2" s="72">
        <f>DATABASE!N769</f>
        <v>0</v>
      </c>
      <c r="N2" s="149">
        <f>DATABASE!O769</f>
        <v>78.3</v>
      </c>
      <c r="O2" s="107">
        <f>DATABASE!P769</f>
        <v>0</v>
      </c>
      <c r="P2" s="107" t="str">
        <f>DATABASE!Q769</f>
        <v xml:space="preserve">PSPA </v>
      </c>
      <c r="Q2" s="150">
        <f>DATABASE!R769</f>
        <v>455000</v>
      </c>
      <c r="R2" s="79">
        <f>DATABASE!S769</f>
        <v>455000</v>
      </c>
      <c r="S2" s="79">
        <f>DATABASE!T769</f>
        <v>455000</v>
      </c>
      <c r="T2" s="79">
        <f>DATABASE!U769</f>
        <v>0</v>
      </c>
      <c r="U2" s="79">
        <f>DATABASE!V769</f>
        <v>0</v>
      </c>
      <c r="V2" s="79">
        <f>DATABASE!W769</f>
        <v>455000</v>
      </c>
      <c r="W2" s="80">
        <f>DATABASE!X769</f>
        <v>0</v>
      </c>
      <c r="X2" s="79">
        <f>DATABASE!Y769</f>
        <v>455000</v>
      </c>
      <c r="Y2" s="79">
        <f>DATABASE!Z769</f>
        <v>455000</v>
      </c>
      <c r="Z2" s="79" t="e">
        <f>DATABASE!#REF!</f>
        <v>#REF!</v>
      </c>
      <c r="AA2" s="81" t="e">
        <f>DATABASE!#REF!</f>
        <v>#REF!</v>
      </c>
      <c r="AB2" s="82">
        <f>DATABASE!AB769</f>
        <v>0</v>
      </c>
    </row>
    <row r="3" spans="1:28">
      <c r="A3" s="108" t="str">
        <f>DATABASE!A770</f>
        <v>MR - LT do Golfe</v>
      </c>
      <c r="B3" s="83" t="str">
        <f>DATABASE!B770</f>
        <v>Algarve</v>
      </c>
      <c r="C3" s="129" t="str">
        <f>DATABASE!C770</f>
        <v>28</v>
      </c>
      <c r="D3" s="130" t="str">
        <f>DATABASE!E770</f>
        <v>Plot</v>
      </c>
      <c r="E3" s="130">
        <f>DATABASE!F770</f>
        <v>500</v>
      </c>
      <c r="F3" s="130">
        <f>DATABASE!G770</f>
        <v>0</v>
      </c>
      <c r="G3" s="130" t="str">
        <f>DATABASE!H770</f>
        <v/>
      </c>
      <c r="H3" s="130" t="str">
        <f>DATABASE!I770</f>
        <v/>
      </c>
      <c r="I3" s="75">
        <f>DATABASE!J770</f>
        <v>0</v>
      </c>
      <c r="J3" s="73">
        <f>DATABASE!K770</f>
        <v>0</v>
      </c>
      <c r="K3" s="151">
        <f>DATABASE!L770</f>
        <v>0</v>
      </c>
      <c r="L3" s="151">
        <f>DATABASE!M770</f>
        <v>0</v>
      </c>
      <c r="M3" s="84">
        <f>DATABASE!N770</f>
        <v>0</v>
      </c>
      <c r="N3" s="109">
        <f>DATABASE!O770</f>
        <v>500</v>
      </c>
      <c r="O3" s="109">
        <f>DATABASE!P770</f>
        <v>0</v>
      </c>
      <c r="P3" s="152" t="str">
        <f>DATABASE!Q770</f>
        <v>AVAILABLE</v>
      </c>
      <c r="Q3" s="113">
        <f>DATABASE!R770</f>
        <v>1200000</v>
      </c>
      <c r="R3" s="79">
        <f>DATABASE!S770</f>
        <v>1200000</v>
      </c>
      <c r="S3" s="79">
        <f>DATABASE!T770</f>
        <v>1040000</v>
      </c>
      <c r="T3" s="79">
        <f>DATABASE!U770</f>
        <v>0</v>
      </c>
      <c r="U3" s="79">
        <f>DATABASE!V770</f>
        <v>0</v>
      </c>
      <c r="V3" s="79">
        <f>DATABASE!W770</f>
        <v>1040000</v>
      </c>
      <c r="W3" s="80">
        <f>DATABASE!X770</f>
        <v>0</v>
      </c>
      <c r="X3" s="79">
        <f>DATABASE!Y770</f>
        <v>0</v>
      </c>
      <c r="Y3" s="79">
        <f>DATABASE!Z770</f>
        <v>0</v>
      </c>
      <c r="Z3" s="79" t="e">
        <f>DATABASE!#REF!</f>
        <v>#REF!</v>
      </c>
      <c r="AA3" s="81">
        <f>DATABASE!AA770</f>
        <v>0</v>
      </c>
      <c r="AB3" s="82" t="str">
        <f>DATABASE!AB770</f>
        <v>TBD</v>
      </c>
    </row>
    <row r="4" spans="1:28">
      <c r="A4" s="71" t="str">
        <f>DATABASE!A771</f>
        <v>MR - LT Miradouro Village</v>
      </c>
      <c r="B4" s="89" t="str">
        <f>DATABASE!B771</f>
        <v>Algarve</v>
      </c>
      <c r="C4" s="129" t="str">
        <f>DATABASE!C771</f>
        <v>32</v>
      </c>
      <c r="D4" s="130" t="str">
        <f>DATABASE!E771</f>
        <v>Plot</v>
      </c>
      <c r="E4" s="130">
        <f>DATABASE!F771</f>
        <v>396.9</v>
      </c>
      <c r="F4" s="130">
        <f>DATABASE!G771</f>
        <v>0</v>
      </c>
      <c r="G4" s="130" t="str">
        <f>DATABASE!H771</f>
        <v/>
      </c>
      <c r="H4" s="130" t="str">
        <f>DATABASE!I771</f>
        <v/>
      </c>
      <c r="I4" s="75">
        <f>DATABASE!J771</f>
        <v>0</v>
      </c>
      <c r="J4" s="73">
        <f>DATABASE!K771</f>
        <v>0</v>
      </c>
      <c r="K4" s="151">
        <f>DATABASE!L771</f>
        <v>0</v>
      </c>
      <c r="L4" s="151">
        <f>DATABASE!M771</f>
        <v>0</v>
      </c>
      <c r="M4" s="90">
        <f>DATABASE!N771</f>
        <v>0</v>
      </c>
      <c r="N4" s="110">
        <f>DATABASE!O771</f>
        <v>396.9</v>
      </c>
      <c r="O4" s="110">
        <f>DATABASE!P771</f>
        <v>0</v>
      </c>
      <c r="P4" s="111" t="str">
        <f>DATABASE!Q771</f>
        <v>AVAILABLE</v>
      </c>
      <c r="Q4" s="113">
        <f>DATABASE!R771</f>
        <v>1200000</v>
      </c>
      <c r="R4" s="79">
        <f>DATABASE!S771</f>
        <v>1200000</v>
      </c>
      <c r="S4" s="79">
        <f>DATABASE!T771</f>
        <v>890000</v>
      </c>
      <c r="T4" s="79">
        <f>DATABASE!U771</f>
        <v>0</v>
      </c>
      <c r="U4" s="79">
        <f>DATABASE!V771</f>
        <v>0</v>
      </c>
      <c r="V4" s="79">
        <f>DATABASE!W771</f>
        <v>890000</v>
      </c>
      <c r="W4" s="80">
        <f>DATABASE!X771</f>
        <v>0</v>
      </c>
      <c r="X4" s="79">
        <f>DATABASE!Y771</f>
        <v>0</v>
      </c>
      <c r="Y4" s="79">
        <f>DATABASE!Z771</f>
        <v>0</v>
      </c>
      <c r="Z4" s="79" t="e">
        <f>DATABASE!#REF!</f>
        <v>#REF!</v>
      </c>
      <c r="AA4" s="81">
        <f>DATABASE!AA771</f>
        <v>0</v>
      </c>
      <c r="AB4" s="82" t="str">
        <f>DATABASE!AB771</f>
        <v>TBD</v>
      </c>
    </row>
    <row r="5" spans="1:28">
      <c r="A5" s="71" t="str">
        <f>DATABASE!A772</f>
        <v>MR - LT Miradouro Village</v>
      </c>
      <c r="B5" s="89" t="str">
        <f>DATABASE!B772</f>
        <v>Algarve</v>
      </c>
      <c r="C5" s="129" t="str">
        <f>DATABASE!C772</f>
        <v>53</v>
      </c>
      <c r="D5" s="130" t="str">
        <f>DATABASE!E772</f>
        <v>Plot</v>
      </c>
      <c r="E5" s="130">
        <f>DATABASE!F772</f>
        <v>396.9</v>
      </c>
      <c r="F5" s="130">
        <f>DATABASE!G772</f>
        <v>0</v>
      </c>
      <c r="G5" s="130" t="str">
        <f>DATABASE!H772</f>
        <v/>
      </c>
      <c r="H5" s="130" t="str">
        <f>DATABASE!I772</f>
        <v/>
      </c>
      <c r="I5" s="75">
        <f>DATABASE!J772</f>
        <v>0</v>
      </c>
      <c r="J5" s="130">
        <f>DATABASE!K772</f>
        <v>0</v>
      </c>
      <c r="K5" s="153">
        <f>DATABASE!L772</f>
        <v>0</v>
      </c>
      <c r="L5" s="153">
        <f>DATABASE!M772</f>
        <v>0</v>
      </c>
      <c r="M5" s="93">
        <f>DATABASE!N772</f>
        <v>0</v>
      </c>
      <c r="N5" s="111">
        <f>DATABASE!O772</f>
        <v>396.9</v>
      </c>
      <c r="O5" s="111">
        <f>DATABASE!P772</f>
        <v>0</v>
      </c>
      <c r="P5" s="111" t="str">
        <f>DATABASE!Q772</f>
        <v>AVAILABLE</v>
      </c>
      <c r="Q5" s="113">
        <f>DATABASE!R772</f>
        <v>1200000</v>
      </c>
      <c r="R5" s="79">
        <f>DATABASE!S772</f>
        <v>1200000</v>
      </c>
      <c r="S5" s="79">
        <f>DATABASE!T772</f>
        <v>1030000</v>
      </c>
      <c r="T5" s="79">
        <f>DATABASE!U772</f>
        <v>0</v>
      </c>
      <c r="U5" s="79">
        <f>DATABASE!V772</f>
        <v>0</v>
      </c>
      <c r="V5" s="79">
        <f>DATABASE!W772</f>
        <v>1030000</v>
      </c>
      <c r="W5" s="80">
        <f>DATABASE!X772</f>
        <v>0</v>
      </c>
      <c r="X5" s="79">
        <f>DATABASE!Y772</f>
        <v>0</v>
      </c>
      <c r="Y5" s="79">
        <f>DATABASE!Z772</f>
        <v>0</v>
      </c>
      <c r="Z5" s="79" t="e">
        <f>DATABASE!#REF!</f>
        <v>#REF!</v>
      </c>
      <c r="AA5" s="81">
        <f>DATABASE!AA772</f>
        <v>0</v>
      </c>
      <c r="AB5" s="82" t="str">
        <f>DATABASE!AB772</f>
        <v>TBD</v>
      </c>
    </row>
    <row r="6" spans="1:28">
      <c r="A6" s="71" t="str">
        <f>DATABASE!A773</f>
        <v>TERRACOTA</v>
      </c>
      <c r="B6" s="89" t="str">
        <f>DATABASE!B773</f>
        <v>Vilamoura</v>
      </c>
      <c r="C6" s="129" t="str">
        <f>DATABASE!C773</f>
        <v>CI</v>
      </c>
      <c r="D6" s="130" t="str">
        <f>DATABASE!E773</f>
        <v>T2</v>
      </c>
      <c r="E6" s="130">
        <f>DATABASE!F773</f>
        <v>104.7</v>
      </c>
      <c r="F6" s="130">
        <f>DATABASE!G773</f>
        <v>0</v>
      </c>
      <c r="G6" s="130" t="str">
        <f>DATABASE!H773</f>
        <v>46348</v>
      </c>
      <c r="H6" s="130" t="str">
        <f>DATABASE!I773</f>
        <v/>
      </c>
      <c r="I6" s="75">
        <f>DATABASE!J773</f>
        <v>0</v>
      </c>
      <c r="J6" s="130">
        <f>DATABASE!K773</f>
        <v>0</v>
      </c>
      <c r="K6" s="153">
        <f>DATABASE!L773</f>
        <v>0</v>
      </c>
      <c r="L6" s="153">
        <f>DATABASE!M773</f>
        <v>0</v>
      </c>
      <c r="M6" s="93">
        <f>DATABASE!N773</f>
        <v>0</v>
      </c>
      <c r="N6" s="111">
        <f>DATABASE!O773</f>
        <v>104.7</v>
      </c>
      <c r="O6" s="111">
        <f>DATABASE!P773</f>
        <v>0</v>
      </c>
      <c r="P6" s="111" t="str">
        <f>DATABASE!Q773</f>
        <v xml:space="preserve">PSPA </v>
      </c>
      <c r="Q6" s="113">
        <f>DATABASE!R773</f>
        <v>600000</v>
      </c>
      <c r="R6" s="79">
        <f>DATABASE!S773</f>
        <v>600000</v>
      </c>
      <c r="S6" s="79">
        <f>DATABASE!T773</f>
        <v>570000</v>
      </c>
      <c r="T6" s="79">
        <f>DATABASE!U773</f>
        <v>0</v>
      </c>
      <c r="U6" s="79">
        <f>DATABASE!V773</f>
        <v>0</v>
      </c>
      <c r="V6" s="79">
        <f>DATABASE!W773</f>
        <v>570000</v>
      </c>
      <c r="W6" s="80">
        <f>DATABASE!X773</f>
        <v>0</v>
      </c>
      <c r="X6" s="79">
        <f>DATABASE!Y773</f>
        <v>570000</v>
      </c>
      <c r="Y6" s="79">
        <f>DATABASE!Z773</f>
        <v>570000</v>
      </c>
      <c r="Z6" s="79" t="e">
        <f>DATABASE!#REF!</f>
        <v>#REF!</v>
      </c>
      <c r="AA6" s="81" t="e">
        <f>DATABASE!#REF!</f>
        <v>#REF!</v>
      </c>
      <c r="AB6" s="82">
        <f>DATABASE!AB773</f>
        <v>0</v>
      </c>
    </row>
    <row r="7" spans="1:28">
      <c r="A7" s="71" t="str">
        <f>DATABASE!A774</f>
        <v>TERRACOTA</v>
      </c>
      <c r="B7" s="89" t="str">
        <f>DATABASE!B774</f>
        <v>Vilamoura</v>
      </c>
      <c r="C7" s="129" t="str">
        <f>DATABASE!C774</f>
        <v>CJ</v>
      </c>
      <c r="D7" s="130" t="str">
        <f>DATABASE!E774</f>
        <v>T3</v>
      </c>
      <c r="E7" s="130">
        <f>DATABASE!F774</f>
        <v>130.91999999999999</v>
      </c>
      <c r="F7" s="130">
        <f>DATABASE!G774</f>
        <v>0</v>
      </c>
      <c r="G7" s="130" t="str">
        <f>DATABASE!H774</f>
        <v>20-21</v>
      </c>
      <c r="H7" s="130" t="str">
        <f>DATABASE!I774</f>
        <v/>
      </c>
      <c r="I7" s="75">
        <f>DATABASE!J774</f>
        <v>0</v>
      </c>
      <c r="J7" s="130">
        <f>DATABASE!K774</f>
        <v>0</v>
      </c>
      <c r="K7" s="153">
        <f>DATABASE!L774</f>
        <v>0</v>
      </c>
      <c r="L7" s="153">
        <f>DATABASE!M774</f>
        <v>0</v>
      </c>
      <c r="M7" s="93">
        <f>DATABASE!N774</f>
        <v>0</v>
      </c>
      <c r="N7" s="111">
        <f>DATABASE!O774</f>
        <v>130.91999999999999</v>
      </c>
      <c r="O7" s="111">
        <f>DATABASE!P774</f>
        <v>0</v>
      </c>
      <c r="P7" s="111" t="str">
        <f>DATABASE!Q774</f>
        <v xml:space="preserve">PSPA </v>
      </c>
      <c r="Q7" s="113">
        <f>DATABASE!R774</f>
        <v>740000</v>
      </c>
      <c r="R7" s="79">
        <f>DATABASE!S774</f>
        <v>740000</v>
      </c>
      <c r="S7" s="79">
        <f>DATABASE!T774</f>
        <v>703000</v>
      </c>
      <c r="T7" s="79">
        <f>DATABASE!U774</f>
        <v>0</v>
      </c>
      <c r="U7" s="79">
        <f>DATABASE!V774</f>
        <v>0</v>
      </c>
      <c r="V7" s="79">
        <f>DATABASE!W774</f>
        <v>703000</v>
      </c>
      <c r="W7" s="80">
        <f>DATABASE!X774</f>
        <v>0</v>
      </c>
      <c r="X7" s="79">
        <f>DATABASE!Y774</f>
        <v>703000</v>
      </c>
      <c r="Y7" s="79">
        <f>DATABASE!Z774</f>
        <v>703000</v>
      </c>
      <c r="Z7" s="79" t="e">
        <f>DATABASE!#REF!</f>
        <v>#REF!</v>
      </c>
      <c r="AA7" s="81" t="e">
        <f>DATABASE!#REF!</f>
        <v>#REF!</v>
      </c>
      <c r="AB7" s="82">
        <f>DATABASE!AB774</f>
        <v>0</v>
      </c>
    </row>
    <row r="8" spans="1:28">
      <c r="A8" s="71" t="str">
        <f>DATABASE!A775</f>
        <v>TERRACOTA</v>
      </c>
      <c r="B8" s="89" t="str">
        <f>DATABASE!B775</f>
        <v>Vilamoura</v>
      </c>
      <c r="C8" s="129" t="str">
        <f>DATABASE!C775</f>
        <v>CK</v>
      </c>
      <c r="D8" s="130" t="str">
        <f>DATABASE!E775</f>
        <v>T3</v>
      </c>
      <c r="E8" s="130">
        <f>DATABASE!F775</f>
        <v>130.91999999999999</v>
      </c>
      <c r="F8" s="130">
        <f>DATABASE!G775</f>
        <v>0</v>
      </c>
      <c r="G8" s="130" t="str">
        <f>DATABASE!H775</f>
        <v>16-17</v>
      </c>
      <c r="H8" s="130" t="str">
        <f>DATABASE!I775</f>
        <v/>
      </c>
      <c r="I8" s="75">
        <f>DATABASE!J775</f>
        <v>0</v>
      </c>
      <c r="J8" s="130">
        <f>DATABASE!K775</f>
        <v>0</v>
      </c>
      <c r="K8" s="153">
        <f>DATABASE!L775</f>
        <v>0</v>
      </c>
      <c r="L8" s="153">
        <f>DATABASE!M775</f>
        <v>0</v>
      </c>
      <c r="M8" s="93">
        <f>DATABASE!N775</f>
        <v>0</v>
      </c>
      <c r="N8" s="111">
        <f>DATABASE!O775</f>
        <v>130.91999999999999</v>
      </c>
      <c r="O8" s="111">
        <f>DATABASE!P775</f>
        <v>0</v>
      </c>
      <c r="P8" s="111" t="str">
        <f>DATABASE!Q775</f>
        <v xml:space="preserve">PSPA </v>
      </c>
      <c r="Q8" s="113">
        <f>DATABASE!R775</f>
        <v>740000</v>
      </c>
      <c r="R8" s="79">
        <f>DATABASE!S775</f>
        <v>740000</v>
      </c>
      <c r="S8" s="79">
        <f>DATABASE!T775</f>
        <v>740000</v>
      </c>
      <c r="T8" s="79">
        <f>DATABASE!U775</f>
        <v>0</v>
      </c>
      <c r="U8" s="79">
        <f>DATABASE!V775</f>
        <v>0</v>
      </c>
      <c r="V8" s="79">
        <f>DATABASE!W775</f>
        <v>740000</v>
      </c>
      <c r="W8" s="80">
        <f>DATABASE!X775</f>
        <v>0</v>
      </c>
      <c r="X8" s="79">
        <f>DATABASE!Y775</f>
        <v>740000</v>
      </c>
      <c r="Y8" s="79">
        <f>DATABASE!Z775</f>
        <v>740000</v>
      </c>
      <c r="Z8" s="79" t="e">
        <f>DATABASE!#REF!</f>
        <v>#REF!</v>
      </c>
      <c r="AA8" s="81" t="e">
        <f>DATABASE!#REF!</f>
        <v>#REF!</v>
      </c>
      <c r="AB8" s="82">
        <f>DATABASE!AB775</f>
        <v>0</v>
      </c>
    </row>
    <row r="9" spans="1:28">
      <c r="A9" s="71" t="str">
        <f>DATABASE!A776</f>
        <v>TERRACOTA</v>
      </c>
      <c r="B9" s="89" t="str">
        <f>DATABASE!B776</f>
        <v>Vilamoura</v>
      </c>
      <c r="C9" s="129" t="str">
        <f>DATABASE!C776</f>
        <v>CL</v>
      </c>
      <c r="D9" s="130" t="str">
        <f>DATABASE!E776</f>
        <v>T3</v>
      </c>
      <c r="E9" s="130">
        <f>DATABASE!F776</f>
        <v>130.91999999999999</v>
      </c>
      <c r="F9" s="130">
        <f>DATABASE!G776</f>
        <v>0</v>
      </c>
      <c r="G9" s="130" t="str">
        <f>DATABASE!H776</f>
        <v>46211</v>
      </c>
      <c r="H9" s="130" t="str">
        <f>DATABASE!I776</f>
        <v/>
      </c>
      <c r="I9" s="75">
        <f>DATABASE!J776</f>
        <v>0</v>
      </c>
      <c r="J9" s="130">
        <f>DATABASE!K776</f>
        <v>0</v>
      </c>
      <c r="K9" s="153">
        <f>DATABASE!L776</f>
        <v>0</v>
      </c>
      <c r="L9" s="153">
        <f>DATABASE!M776</f>
        <v>0</v>
      </c>
      <c r="M9" s="93">
        <f>DATABASE!N776</f>
        <v>0</v>
      </c>
      <c r="N9" s="111">
        <f>DATABASE!O776</f>
        <v>130.91999999999999</v>
      </c>
      <c r="O9" s="111">
        <f>DATABASE!P776</f>
        <v>0</v>
      </c>
      <c r="P9" s="111" t="str">
        <f>DATABASE!Q776</f>
        <v xml:space="preserve">PSPA </v>
      </c>
      <c r="Q9" s="113">
        <f>DATABASE!R776</f>
        <v>730000</v>
      </c>
      <c r="R9" s="79">
        <f>DATABASE!S776</f>
        <v>730000</v>
      </c>
      <c r="S9" s="79">
        <f>DATABASE!T776</f>
        <v>770000</v>
      </c>
      <c r="T9" s="79">
        <f>DATABASE!U776</f>
        <v>0</v>
      </c>
      <c r="U9" s="79">
        <f>DATABASE!V776</f>
        <v>0</v>
      </c>
      <c r="V9" s="79">
        <f>DATABASE!W776</f>
        <v>770000</v>
      </c>
      <c r="W9" s="80">
        <f>DATABASE!X776</f>
        <v>5.1948051948052E-2</v>
      </c>
      <c r="X9" s="79">
        <f>DATABASE!Y776</f>
        <v>730000</v>
      </c>
      <c r="Y9" s="79">
        <f>DATABASE!Z776</f>
        <v>730000</v>
      </c>
      <c r="Z9" s="79" t="e">
        <f>DATABASE!#REF!</f>
        <v>#REF!</v>
      </c>
      <c r="AA9" s="81" t="e">
        <f>DATABASE!#REF!</f>
        <v>#REF!</v>
      </c>
      <c r="AB9" s="82">
        <f>DATABASE!AB776</f>
        <v>0</v>
      </c>
    </row>
    <row r="10" spans="1:28">
      <c r="A10" s="71" t="str">
        <f>DATABASE!A777</f>
        <v>NATURA VILLAGE 4</v>
      </c>
      <c r="B10" s="89" t="str">
        <f>DATABASE!B777</f>
        <v>Vilamoura</v>
      </c>
      <c r="C10" s="129" t="str">
        <f>DATABASE!C777</f>
        <v>D</v>
      </c>
      <c r="D10" s="130" t="str">
        <f>DATABASE!E777</f>
        <v>V3</v>
      </c>
      <c r="E10" s="130">
        <f>DATABASE!F777</f>
        <v>169.89</v>
      </c>
      <c r="F10" s="130">
        <f>DATABASE!G777</f>
        <v>0</v>
      </c>
      <c r="G10" s="130" t="str">
        <f>DATABASE!H777</f>
        <v/>
      </c>
      <c r="H10" s="130" t="str">
        <f>DATABASE!I777</f>
        <v/>
      </c>
      <c r="I10" s="75">
        <f>DATABASE!J777</f>
        <v>0</v>
      </c>
      <c r="J10" s="130">
        <f>DATABASE!K777</f>
        <v>0</v>
      </c>
      <c r="K10" s="153">
        <f>DATABASE!L777</f>
        <v>0</v>
      </c>
      <c r="L10" s="153">
        <f>DATABASE!M777</f>
        <v>0</v>
      </c>
      <c r="M10" s="93">
        <f>DATABASE!N777</f>
        <v>0</v>
      </c>
      <c r="N10" s="111">
        <f>DATABASE!O777</f>
        <v>169.89</v>
      </c>
      <c r="O10" s="111">
        <f>DATABASE!P777</f>
        <v>0</v>
      </c>
      <c r="P10" s="111" t="str">
        <f>DATABASE!Q777</f>
        <v xml:space="preserve">DEED </v>
      </c>
      <c r="Q10" s="113">
        <f>DATABASE!R777</f>
        <v>960000</v>
      </c>
      <c r="R10" s="79">
        <f>DATABASE!S777</f>
        <v>960000</v>
      </c>
      <c r="S10" s="79">
        <f>DATABASE!T777</f>
        <v>960000</v>
      </c>
      <c r="T10" s="79">
        <f>DATABASE!U777</f>
        <v>0</v>
      </c>
      <c r="U10" s="79">
        <f>DATABASE!V777</f>
        <v>0</v>
      </c>
      <c r="V10" s="79">
        <f>DATABASE!W777</f>
        <v>960000</v>
      </c>
      <c r="W10" s="80">
        <f>DATABASE!X777</f>
        <v>0</v>
      </c>
      <c r="X10" s="79">
        <f>DATABASE!Y777</f>
        <v>960000</v>
      </c>
      <c r="Y10" s="79">
        <f>DATABASE!Z777</f>
        <v>960000</v>
      </c>
      <c r="Z10" s="79" t="e">
        <f>DATABASE!#REF!</f>
        <v>#REF!</v>
      </c>
      <c r="AA10" s="81">
        <f>DATABASE!AA777</f>
        <v>45131</v>
      </c>
      <c r="AB10" s="82">
        <f>DATABASE!AB777</f>
        <v>0</v>
      </c>
    </row>
    <row r="11" spans="1:28">
      <c r="A11" s="71" t="str">
        <f>DATABASE!A778</f>
        <v>MR - LT do Golfe</v>
      </c>
      <c r="B11" s="89" t="str">
        <f>DATABASE!B778</f>
        <v>Algarve</v>
      </c>
      <c r="C11" s="129" t="str">
        <f>DATABASE!C778</f>
        <v>3</v>
      </c>
      <c r="D11" s="130" t="str">
        <f>DATABASE!E778</f>
        <v>Plot</v>
      </c>
      <c r="E11" s="130">
        <f>DATABASE!F778</f>
        <v>500</v>
      </c>
      <c r="F11" s="130">
        <f>DATABASE!G778</f>
        <v>0</v>
      </c>
      <c r="G11" s="130" t="str">
        <f>DATABASE!H778</f>
        <v/>
      </c>
      <c r="H11" s="130" t="str">
        <f>DATABASE!I778</f>
        <v/>
      </c>
      <c r="I11" s="75">
        <f>DATABASE!J778</f>
        <v>0</v>
      </c>
      <c r="J11" s="130">
        <f>DATABASE!K778</f>
        <v>0</v>
      </c>
      <c r="K11" s="153">
        <f>DATABASE!L778</f>
        <v>0</v>
      </c>
      <c r="L11" s="153">
        <f>DATABASE!M778</f>
        <v>0</v>
      </c>
      <c r="M11" s="93">
        <f>DATABASE!N778</f>
        <v>0</v>
      </c>
      <c r="N11" s="111">
        <f>DATABASE!O778</f>
        <v>500</v>
      </c>
      <c r="O11" s="111">
        <f>DATABASE!P778</f>
        <v>0</v>
      </c>
      <c r="P11" s="111" t="str">
        <f>DATABASE!Q778</f>
        <v>AVAILABLE</v>
      </c>
      <c r="Q11" s="113">
        <f>DATABASE!R778</f>
        <v>1215000</v>
      </c>
      <c r="R11" s="79">
        <f>DATABASE!S778</f>
        <v>1215000</v>
      </c>
      <c r="S11" s="79">
        <f>DATABASE!T778</f>
        <v>1010000</v>
      </c>
      <c r="T11" s="79">
        <f>DATABASE!U778</f>
        <v>0</v>
      </c>
      <c r="U11" s="79">
        <f>DATABASE!V778</f>
        <v>0</v>
      </c>
      <c r="V11" s="79">
        <f>DATABASE!W778</f>
        <v>1010000</v>
      </c>
      <c r="W11" s="80">
        <f>DATABASE!X778</f>
        <v>0</v>
      </c>
      <c r="X11" s="79">
        <f>DATABASE!Y778</f>
        <v>0</v>
      </c>
      <c r="Y11" s="79">
        <f>DATABASE!Z778</f>
        <v>0</v>
      </c>
      <c r="Z11" s="79" t="e">
        <f>DATABASE!#REF!</f>
        <v>#REF!</v>
      </c>
      <c r="AA11" s="81">
        <f>DATABASE!AA778</f>
        <v>0</v>
      </c>
      <c r="AB11" s="82" t="str">
        <f>DATABASE!AB778</f>
        <v>TBD</v>
      </c>
    </row>
    <row r="12" spans="1:28">
      <c r="A12" s="71" t="str">
        <f>DATABASE!A779</f>
        <v>NATURA VILLAGE 7</v>
      </c>
      <c r="B12" s="89" t="str">
        <f>DATABASE!B779</f>
        <v>Vilamoura</v>
      </c>
      <c r="C12" s="129" t="str">
        <f>DATABASE!C779</f>
        <v>D</v>
      </c>
      <c r="D12" s="130" t="str">
        <f>DATABASE!E779</f>
        <v>V3</v>
      </c>
      <c r="E12" s="130">
        <f>DATABASE!F779</f>
        <v>170.86</v>
      </c>
      <c r="F12" s="130">
        <f>DATABASE!G779</f>
        <v>0</v>
      </c>
      <c r="G12" s="130" t="str">
        <f>DATABASE!H779</f>
        <v/>
      </c>
      <c r="H12" s="130" t="str">
        <f>DATABASE!I779</f>
        <v/>
      </c>
      <c r="I12" s="75">
        <f>DATABASE!J779</f>
        <v>0</v>
      </c>
      <c r="J12" s="130">
        <f>DATABASE!K779</f>
        <v>0</v>
      </c>
      <c r="K12" s="153">
        <f>DATABASE!L779</f>
        <v>0</v>
      </c>
      <c r="L12" s="153">
        <f>DATABASE!M779</f>
        <v>0</v>
      </c>
      <c r="M12" s="93">
        <f>DATABASE!N779</f>
        <v>0</v>
      </c>
      <c r="N12" s="111">
        <f>DATABASE!O779</f>
        <v>170.86</v>
      </c>
      <c r="O12" s="111">
        <f>DATABASE!P779</f>
        <v>0</v>
      </c>
      <c r="P12" s="111" t="str">
        <f>DATABASE!Q779</f>
        <v xml:space="preserve">DEED </v>
      </c>
      <c r="Q12" s="113">
        <f>DATABASE!R779</f>
        <v>930000</v>
      </c>
      <c r="R12" s="79">
        <f>DATABASE!S779</f>
        <v>930000</v>
      </c>
      <c r="S12" s="79">
        <f>DATABASE!T779</f>
        <v>883500</v>
      </c>
      <c r="T12" s="79">
        <f>DATABASE!U779</f>
        <v>0</v>
      </c>
      <c r="U12" s="79">
        <f>DATABASE!V779</f>
        <v>0</v>
      </c>
      <c r="V12" s="79">
        <f>DATABASE!W779</f>
        <v>883500</v>
      </c>
      <c r="W12" s="80">
        <f>DATABASE!X779</f>
        <v>0</v>
      </c>
      <c r="X12" s="79">
        <f>DATABASE!Y779</f>
        <v>883500</v>
      </c>
      <c r="Y12" s="79">
        <f>DATABASE!Z779</f>
        <v>883500</v>
      </c>
      <c r="Z12" s="79" t="e">
        <f>DATABASE!#REF!</f>
        <v>#REF!</v>
      </c>
      <c r="AA12" s="81">
        <f>DATABASE!AA779</f>
        <v>45019</v>
      </c>
      <c r="AB12" s="82">
        <f>DATABASE!AB779</f>
        <v>0</v>
      </c>
    </row>
    <row r="13" spans="1:28">
      <c r="A13" s="71" t="str">
        <f>DATABASE!A780</f>
        <v>NATURA VILLAGE 9</v>
      </c>
      <c r="B13" s="89" t="str">
        <f>DATABASE!B780</f>
        <v>Vilamoura</v>
      </c>
      <c r="C13" s="129" t="str">
        <f>DATABASE!C780</f>
        <v>D</v>
      </c>
      <c r="D13" s="130" t="str">
        <f>DATABASE!E780</f>
        <v>V3</v>
      </c>
      <c r="E13" s="130">
        <f>DATABASE!F780</f>
        <v>192.67</v>
      </c>
      <c r="F13" s="130">
        <f>DATABASE!G780</f>
        <v>0</v>
      </c>
      <c r="G13" s="130" t="str">
        <f>DATABASE!H780</f>
        <v/>
      </c>
      <c r="H13" s="130" t="str">
        <f>DATABASE!I780</f>
        <v/>
      </c>
      <c r="I13" s="75">
        <f>DATABASE!J780</f>
        <v>0</v>
      </c>
      <c r="J13" s="130">
        <f>DATABASE!K780</f>
        <v>0</v>
      </c>
      <c r="K13" s="153">
        <f>DATABASE!L780</f>
        <v>0</v>
      </c>
      <c r="L13" s="153">
        <f>DATABASE!M780</f>
        <v>0</v>
      </c>
      <c r="M13" s="93">
        <f>DATABASE!N780</f>
        <v>0</v>
      </c>
      <c r="N13" s="111">
        <f>DATABASE!O780</f>
        <v>192.67</v>
      </c>
      <c r="O13" s="111">
        <f>DATABASE!P780</f>
        <v>0</v>
      </c>
      <c r="P13" s="111" t="str">
        <f>DATABASE!Q780</f>
        <v>AVAILABLE</v>
      </c>
      <c r="Q13" s="113">
        <f>DATABASE!R780</f>
        <v>1280000</v>
      </c>
      <c r="R13" s="79">
        <f>DATABASE!S780</f>
        <v>1280000</v>
      </c>
      <c r="S13" s="79">
        <f>DATABASE!T780</f>
        <v>1280000</v>
      </c>
      <c r="T13" s="79">
        <f>DATABASE!U780</f>
        <v>0</v>
      </c>
      <c r="U13" s="79">
        <f>DATABASE!V780</f>
        <v>0</v>
      </c>
      <c r="V13" s="79">
        <f>DATABASE!W780</f>
        <v>1280000</v>
      </c>
      <c r="W13" s="80">
        <f>DATABASE!X780</f>
        <v>0</v>
      </c>
      <c r="X13" s="79">
        <f>DATABASE!Y780</f>
        <v>1280000</v>
      </c>
      <c r="Y13" s="79">
        <f>DATABASE!Z780</f>
        <v>1280000</v>
      </c>
      <c r="Z13" s="79" t="e">
        <f>DATABASE!#REF!</f>
        <v>#REF!</v>
      </c>
      <c r="AA13" s="81">
        <f>DATABASE!AA780</f>
        <v>0</v>
      </c>
      <c r="AB13" s="82">
        <f>DATABASE!AB780</f>
        <v>0</v>
      </c>
    </row>
    <row r="14" spans="1:28">
      <c r="A14" s="71" t="str">
        <f>DATABASE!A781</f>
        <v>Aroeira - APARTMENTS</v>
      </c>
      <c r="B14" s="89" t="str">
        <f>DATABASE!B781</f>
        <v>Center</v>
      </c>
      <c r="C14" s="129" t="str">
        <f>DATABASE!C781</f>
        <v>113C</v>
      </c>
      <c r="D14" s="130" t="str">
        <f>DATABASE!E781</f>
        <v>3-BR</v>
      </c>
      <c r="E14" s="130">
        <f>DATABASE!F781</f>
        <v>314.93</v>
      </c>
      <c r="F14" s="130">
        <f>DATABASE!G781</f>
        <v>0</v>
      </c>
      <c r="G14" s="130" t="str">
        <f>DATABASE!H781</f>
        <v>2</v>
      </c>
      <c r="H14" s="130" t="str">
        <f>DATABASE!I781</f>
        <v>1</v>
      </c>
      <c r="I14" s="75">
        <f>DATABASE!J781</f>
        <v>6.02</v>
      </c>
      <c r="J14" s="130">
        <f>DATABASE!K781</f>
        <v>168.31</v>
      </c>
      <c r="K14" s="153">
        <f>DATABASE!L781</f>
        <v>0</v>
      </c>
      <c r="L14" s="153">
        <f>DATABASE!M781</f>
        <v>0</v>
      </c>
      <c r="M14" s="93">
        <f>DATABASE!N781</f>
        <v>0</v>
      </c>
      <c r="N14" s="111">
        <f>DATABASE!O781</f>
        <v>140.6</v>
      </c>
      <c r="O14" s="111">
        <f>DATABASE!P781</f>
        <v>0</v>
      </c>
      <c r="P14" s="111" t="str">
        <f>DATABASE!Q781</f>
        <v>AVAILABLE</v>
      </c>
      <c r="Q14" s="113">
        <f>DATABASE!R781</f>
        <v>1170000</v>
      </c>
      <c r="R14" s="79">
        <f>DATABASE!S781</f>
        <v>1220000</v>
      </c>
      <c r="S14" s="79">
        <f>DATABASE!T781</f>
        <v>1220000</v>
      </c>
      <c r="T14" s="79">
        <f>DATABASE!U781</f>
        <v>0</v>
      </c>
      <c r="U14" s="79">
        <f>DATABASE!V781</f>
        <v>50000</v>
      </c>
      <c r="V14" s="79">
        <f>DATABASE!W781</f>
        <v>1170000</v>
      </c>
      <c r="W14" s="80">
        <f>DATABASE!X781</f>
        <v>0</v>
      </c>
      <c r="X14" s="79">
        <f>DATABASE!Y781</f>
        <v>0</v>
      </c>
      <c r="Y14" s="79">
        <f>DATABASE!Z781</f>
        <v>-50000</v>
      </c>
      <c r="Z14" s="79" t="e">
        <f>DATABASE!#REF!</f>
        <v>#REF!</v>
      </c>
      <c r="AA14" s="81">
        <f>DATABASE!AA781</f>
        <v>0</v>
      </c>
      <c r="AB14" s="82">
        <f>DATABASE!AB781</f>
        <v>47118</v>
      </c>
    </row>
    <row r="15" spans="1:28">
      <c r="A15" s="71" t="str">
        <f>DATABASE!A782</f>
        <v>MR - Linked Villas</v>
      </c>
      <c r="B15" s="89" t="str">
        <f>DATABASE!B782</f>
        <v>Algarve</v>
      </c>
      <c r="C15" s="129" t="str">
        <f>DATABASE!C782</f>
        <v>A</v>
      </c>
      <c r="D15" s="130" t="str">
        <f>DATABASE!E782</f>
        <v>T3</v>
      </c>
      <c r="E15" s="130">
        <f>DATABASE!F782</f>
        <v>433.99</v>
      </c>
      <c r="F15" s="130">
        <f>DATABASE!G782</f>
        <v>45.83</v>
      </c>
      <c r="G15" s="130" t="str">
        <f>DATABASE!H782</f>
        <v/>
      </c>
      <c r="H15" s="130" t="str">
        <f>DATABASE!I782</f>
        <v/>
      </c>
      <c r="I15" s="75">
        <f>DATABASE!J782</f>
        <v>136.16</v>
      </c>
      <c r="J15" s="130">
        <f>DATABASE!K782</f>
        <v>0</v>
      </c>
      <c r="K15" s="153">
        <f>DATABASE!L782</f>
        <v>0</v>
      </c>
      <c r="L15" s="153">
        <f>DATABASE!M782</f>
        <v>0</v>
      </c>
      <c r="M15" s="93">
        <f>DATABASE!N782</f>
        <v>0</v>
      </c>
      <c r="N15" s="111">
        <f>DATABASE!O782</f>
        <v>252</v>
      </c>
      <c r="O15" s="111">
        <f>DATABASE!P782</f>
        <v>0</v>
      </c>
      <c r="P15" s="111" t="str">
        <f>DATABASE!Q782</f>
        <v>AVAILABLE</v>
      </c>
      <c r="Q15" s="113">
        <f>DATABASE!R782</f>
        <v>1220000</v>
      </c>
      <c r="R15" s="79">
        <f>DATABASE!S782</f>
        <v>1220000</v>
      </c>
      <c r="S15" s="79">
        <f>DATABASE!T782</f>
        <v>1220000</v>
      </c>
      <c r="T15" s="79">
        <f>DATABASE!U782</f>
        <v>0</v>
      </c>
      <c r="U15" s="79">
        <f>DATABASE!V782</f>
        <v>0</v>
      </c>
      <c r="V15" s="79">
        <f>DATABASE!W782</f>
        <v>1220000</v>
      </c>
      <c r="W15" s="80">
        <f>DATABASE!X782</f>
        <v>0</v>
      </c>
      <c r="X15" s="79">
        <f>DATABASE!Y782</f>
        <v>0</v>
      </c>
      <c r="Y15" s="79">
        <f>DATABASE!Z782</f>
        <v>0</v>
      </c>
      <c r="Z15" s="79" t="e">
        <f>DATABASE!#REF!</f>
        <v>#REF!</v>
      </c>
      <c r="AA15" s="81">
        <f>DATABASE!AA782</f>
        <v>0</v>
      </c>
      <c r="AB15" s="82" t="str">
        <f>DATABASE!AB782</f>
        <v>TBD</v>
      </c>
    </row>
    <row r="16" spans="1:28">
      <c r="A16" s="71" t="str">
        <f>DATABASE!A783</f>
        <v>NOBILUS</v>
      </c>
      <c r="B16" s="89" t="str">
        <f>DATABASE!B783</f>
        <v>Vilamoura</v>
      </c>
      <c r="C16" s="129" t="str">
        <f>DATABASE!C783</f>
        <v>D</v>
      </c>
      <c r="D16" s="130" t="str">
        <f>DATABASE!E783</f>
        <v>T2</v>
      </c>
      <c r="E16" s="130">
        <f>DATABASE!F783</f>
        <v>112.9</v>
      </c>
      <c r="F16" s="130">
        <f>DATABASE!G783</f>
        <v>0</v>
      </c>
      <c r="G16" s="130" t="str">
        <f>DATABASE!H783</f>
        <v>93</v>
      </c>
      <c r="H16" s="130" t="str">
        <f>DATABASE!I783</f>
        <v/>
      </c>
      <c r="I16" s="75">
        <f>DATABASE!J783</f>
        <v>32.36</v>
      </c>
      <c r="J16" s="130">
        <f>DATABASE!K783</f>
        <v>0</v>
      </c>
      <c r="K16" s="153">
        <f>DATABASE!L783</f>
        <v>0</v>
      </c>
      <c r="L16" s="153">
        <f>DATABASE!M783</f>
        <v>0</v>
      </c>
      <c r="M16" s="93">
        <f>DATABASE!N783</f>
        <v>0</v>
      </c>
      <c r="N16" s="111">
        <f>DATABASE!O783</f>
        <v>112.9</v>
      </c>
      <c r="O16" s="111">
        <f>DATABASE!P783</f>
        <v>0</v>
      </c>
      <c r="P16" s="111" t="str">
        <f>DATABASE!Q783</f>
        <v xml:space="preserve">PSPA </v>
      </c>
      <c r="Q16" s="113">
        <f>DATABASE!R783</f>
        <v>780000</v>
      </c>
      <c r="R16" s="79">
        <f>DATABASE!S783</f>
        <v>780000</v>
      </c>
      <c r="S16" s="79">
        <f>DATABASE!T783</f>
        <v>780000</v>
      </c>
      <c r="T16" s="79">
        <f>DATABASE!U783</f>
        <v>0</v>
      </c>
      <c r="U16" s="79">
        <f>DATABASE!V783</f>
        <v>0</v>
      </c>
      <c r="V16" s="79">
        <f>DATABASE!W783</f>
        <v>780000</v>
      </c>
      <c r="W16" s="80">
        <f>DATABASE!X783</f>
        <v>0</v>
      </c>
      <c r="X16" s="79">
        <f>DATABASE!Y783</f>
        <v>780000</v>
      </c>
      <c r="Y16" s="79">
        <f>DATABASE!Z783</f>
        <v>780000</v>
      </c>
      <c r="Z16" s="79" t="e">
        <f>DATABASE!#REF!</f>
        <v>#REF!</v>
      </c>
      <c r="AA16" s="81" t="e">
        <f>DATABASE!#REF!</f>
        <v>#REF!</v>
      </c>
      <c r="AB16" s="82">
        <f>DATABASE!AB783</f>
        <v>0</v>
      </c>
    </row>
    <row r="17" spans="1:28">
      <c r="A17" s="71" t="str">
        <f>DATABASE!A784</f>
        <v>Palmares - Plots</v>
      </c>
      <c r="B17" s="89" t="str">
        <f>DATABASE!B784</f>
        <v>Algarve</v>
      </c>
      <c r="C17" s="129" t="str">
        <f>DATABASE!C784</f>
        <v>35</v>
      </c>
      <c r="D17" s="130" t="str">
        <f>DATABASE!E784</f>
        <v>Plot</v>
      </c>
      <c r="E17" s="130">
        <f>DATABASE!F784</f>
        <v>4186</v>
      </c>
      <c r="F17" s="130">
        <f>DATABASE!G784</f>
        <v>0</v>
      </c>
      <c r="G17" s="130" t="str">
        <f>DATABASE!H784</f>
        <v/>
      </c>
      <c r="H17" s="130" t="str">
        <f>DATABASE!I784</f>
        <v/>
      </c>
      <c r="I17" s="75">
        <f>DATABASE!J784</f>
        <v>0</v>
      </c>
      <c r="J17" s="130">
        <f>DATABASE!K784</f>
        <v>0</v>
      </c>
      <c r="K17" s="153">
        <f>DATABASE!L784</f>
        <v>0</v>
      </c>
      <c r="L17" s="153">
        <f>DATABASE!M784</f>
        <v>0</v>
      </c>
      <c r="M17" s="93">
        <f>DATABASE!N784</f>
        <v>0</v>
      </c>
      <c r="N17" s="111">
        <f>DATABASE!O784</f>
        <v>500</v>
      </c>
      <c r="O17" s="111">
        <f>DATABASE!P784</f>
        <v>0</v>
      </c>
      <c r="P17" s="111" t="str">
        <f>DATABASE!Q784</f>
        <v>AVAILABLE</v>
      </c>
      <c r="Q17" s="113">
        <f>DATABASE!R784</f>
        <v>1220000</v>
      </c>
      <c r="R17" s="79">
        <f>DATABASE!S784</f>
        <v>1220000</v>
      </c>
      <c r="S17" s="79">
        <f>DATABASE!T784</f>
        <v>1250000</v>
      </c>
      <c r="T17" s="79">
        <f>DATABASE!U784</f>
        <v>0</v>
      </c>
      <c r="U17" s="79">
        <f>DATABASE!V784</f>
        <v>0</v>
      </c>
      <c r="V17" s="79">
        <f>DATABASE!W784</f>
        <v>1250000</v>
      </c>
      <c r="W17" s="80">
        <f>DATABASE!X784</f>
        <v>0</v>
      </c>
      <c r="X17" s="79">
        <f>DATABASE!Y784</f>
        <v>1250000</v>
      </c>
      <c r="Y17" s="79">
        <f>DATABASE!Z784</f>
        <v>1250000</v>
      </c>
      <c r="Z17" s="79" t="e">
        <f>DATABASE!#REF!</f>
        <v>#REF!</v>
      </c>
      <c r="AA17" s="81">
        <f>DATABASE!AA784</f>
        <v>0</v>
      </c>
      <c r="AB17" s="82">
        <f>DATABASE!AB784</f>
        <v>46843</v>
      </c>
    </row>
    <row r="18" spans="1:28">
      <c r="A18" s="71" t="str">
        <f>DATABASE!A785</f>
        <v>Rivus</v>
      </c>
      <c r="B18" s="89" t="str">
        <f>DATABASE!B785</f>
        <v>Vilamoura</v>
      </c>
      <c r="C18" s="129" t="str">
        <f>DATABASE!C785</f>
        <v>D</v>
      </c>
      <c r="D18" s="130" t="str">
        <f>DATABASE!E785</f>
        <v>T3</v>
      </c>
      <c r="E18" s="130">
        <f>DATABASE!F785</f>
        <v>0</v>
      </c>
      <c r="F18" s="130">
        <f>DATABASE!G785</f>
        <v>0</v>
      </c>
      <c r="G18" s="130" t="str">
        <f>DATABASE!H785</f>
        <v/>
      </c>
      <c r="H18" s="130" t="str">
        <f>DATABASE!I785</f>
        <v/>
      </c>
      <c r="I18" s="75">
        <f>DATABASE!J785</f>
        <v>0</v>
      </c>
      <c r="J18" s="130">
        <f>DATABASE!K785</f>
        <v>102</v>
      </c>
      <c r="K18" s="153">
        <f>DATABASE!L785</f>
        <v>0</v>
      </c>
      <c r="L18" s="153">
        <f>DATABASE!M785</f>
        <v>0</v>
      </c>
      <c r="M18" s="93">
        <f>DATABASE!N785</f>
        <v>0</v>
      </c>
      <c r="N18" s="111">
        <f>DATABASE!O785</f>
        <v>139</v>
      </c>
      <c r="O18" s="111">
        <f>DATABASE!P785</f>
        <v>0</v>
      </c>
      <c r="P18" s="111" t="str">
        <f>DATABASE!Q785</f>
        <v xml:space="preserve">PSPA </v>
      </c>
      <c r="Q18" s="113">
        <f>DATABASE!R785</f>
        <v>920000</v>
      </c>
      <c r="R18" s="79">
        <f>DATABASE!S785</f>
        <v>920000</v>
      </c>
      <c r="S18" s="79">
        <f>DATABASE!T785</f>
        <v>920000</v>
      </c>
      <c r="T18" s="79">
        <f>DATABASE!U785</f>
        <v>0</v>
      </c>
      <c r="U18" s="79">
        <f>DATABASE!V785</f>
        <v>0</v>
      </c>
      <c r="V18" s="79">
        <f>DATABASE!W785</f>
        <v>920000</v>
      </c>
      <c r="W18" s="80">
        <f>DATABASE!X785</f>
        <v>2.1739130434782601E-2</v>
      </c>
      <c r="X18" s="79">
        <f>DATABASE!Y785</f>
        <v>900000</v>
      </c>
      <c r="Y18" s="79">
        <f>DATABASE!Z785</f>
        <v>900000</v>
      </c>
      <c r="Z18" s="79" t="e">
        <f>DATABASE!#REF!</f>
        <v>#REF!</v>
      </c>
      <c r="AA18" s="81" t="e">
        <f>DATABASE!#REF!</f>
        <v>#REF!</v>
      </c>
      <c r="AB18" s="82">
        <f>DATABASE!AB785</f>
        <v>0</v>
      </c>
    </row>
    <row r="19" spans="1:28">
      <c r="A19" s="71" t="str">
        <f>DATABASE!A786</f>
        <v>SPRINGS</v>
      </c>
      <c r="B19" s="89" t="str">
        <f>DATABASE!B786</f>
        <v>Vilamoura</v>
      </c>
      <c r="C19" s="129" t="str">
        <f>DATABASE!C786</f>
        <v>D</v>
      </c>
      <c r="D19" s="130" t="str">
        <f>DATABASE!E786</f>
        <v>V3</v>
      </c>
      <c r="E19" s="130">
        <f>DATABASE!F786</f>
        <v>321.57</v>
      </c>
      <c r="F19" s="130">
        <f>DATABASE!G786</f>
        <v>163.77000000000001</v>
      </c>
      <c r="G19" s="130" t="str">
        <f>DATABASE!H786</f>
        <v/>
      </c>
      <c r="H19" s="130" t="str">
        <f>DATABASE!I786</f>
        <v/>
      </c>
      <c r="I19" s="75">
        <f>DATABASE!J786</f>
        <v>0</v>
      </c>
      <c r="J19" s="130">
        <f>DATABASE!K786</f>
        <v>0</v>
      </c>
      <c r="K19" s="153">
        <f>DATABASE!L786</f>
        <v>0</v>
      </c>
      <c r="L19" s="153">
        <f>DATABASE!M786</f>
        <v>0</v>
      </c>
      <c r="M19" s="93">
        <f>DATABASE!N786</f>
        <v>0</v>
      </c>
      <c r="N19" s="111">
        <f>DATABASE!O786</f>
        <v>157.80000000000001</v>
      </c>
      <c r="O19" s="111">
        <f>DATABASE!P786</f>
        <v>0</v>
      </c>
      <c r="P19" s="111" t="str">
        <f>DATABASE!Q786</f>
        <v>AVAILABLE</v>
      </c>
      <c r="Q19" s="113">
        <f>DATABASE!R786</f>
        <v>1702100</v>
      </c>
      <c r="R19" s="79">
        <f>DATABASE!S786</f>
        <v>1791050</v>
      </c>
      <c r="S19" s="79">
        <f>DATABASE!T786</f>
        <v>1880000</v>
      </c>
      <c r="T19" s="79">
        <f>DATABASE!U786</f>
        <v>24600</v>
      </c>
      <c r="U19" s="79">
        <f>DATABASE!V786</f>
        <v>64350</v>
      </c>
      <c r="V19" s="79">
        <f>DATABASE!W786</f>
        <v>1791050</v>
      </c>
      <c r="W19" s="80">
        <f>DATABASE!X786</f>
        <v>0</v>
      </c>
      <c r="X19" s="79">
        <f>DATABASE!Y786</f>
        <v>1880000</v>
      </c>
      <c r="Y19" s="79">
        <f>DATABASE!Z786</f>
        <v>1791050</v>
      </c>
      <c r="Z19" s="79" t="e">
        <f>DATABASE!#REF!</f>
        <v>#REF!</v>
      </c>
      <c r="AA19" s="81">
        <f>DATABASE!AA786</f>
        <v>0</v>
      </c>
      <c r="AB19" s="82">
        <f>DATABASE!AB786</f>
        <v>0</v>
      </c>
    </row>
    <row r="20" spans="1:28">
      <c r="A20" s="71" t="str">
        <f>DATABASE!A787</f>
        <v>TERRACOTA</v>
      </c>
      <c r="B20" s="89" t="str">
        <f>DATABASE!B787</f>
        <v>Vilamoura</v>
      </c>
      <c r="C20" s="129" t="str">
        <f>DATABASE!C787</f>
        <v>D</v>
      </c>
      <c r="D20" s="130" t="str">
        <f>DATABASE!E787</f>
        <v>T2</v>
      </c>
      <c r="E20" s="130">
        <f>DATABASE!F787</f>
        <v>78.3</v>
      </c>
      <c r="F20" s="130">
        <f>DATABASE!G787</f>
        <v>0</v>
      </c>
      <c r="G20" s="130" t="str">
        <f>DATABASE!H787</f>
        <v/>
      </c>
      <c r="H20" s="130" t="str">
        <f>DATABASE!I787</f>
        <v/>
      </c>
      <c r="I20" s="75">
        <f>DATABASE!J787</f>
        <v>0</v>
      </c>
      <c r="J20" s="130">
        <f>DATABASE!K787</f>
        <v>0</v>
      </c>
      <c r="K20" s="153">
        <f>DATABASE!L787</f>
        <v>0</v>
      </c>
      <c r="L20" s="153">
        <f>DATABASE!M787</f>
        <v>0</v>
      </c>
      <c r="M20" s="93">
        <f>DATABASE!N787</f>
        <v>0</v>
      </c>
      <c r="N20" s="111">
        <f>DATABASE!O787</f>
        <v>78.3</v>
      </c>
      <c r="O20" s="111">
        <f>DATABASE!P787</f>
        <v>0</v>
      </c>
      <c r="P20" s="111" t="str">
        <f>DATABASE!Q787</f>
        <v xml:space="preserve">PSPA </v>
      </c>
      <c r="Q20" s="113">
        <f>DATABASE!R787</f>
        <v>460000</v>
      </c>
      <c r="R20" s="79">
        <f>DATABASE!S787</f>
        <v>460000</v>
      </c>
      <c r="S20" s="79">
        <f>DATABASE!T787</f>
        <v>437000</v>
      </c>
      <c r="T20" s="79">
        <f>DATABASE!U787</f>
        <v>0</v>
      </c>
      <c r="U20" s="79">
        <f>DATABASE!V787</f>
        <v>0</v>
      </c>
      <c r="V20" s="79">
        <f>DATABASE!W787</f>
        <v>437000</v>
      </c>
      <c r="W20" s="80">
        <f>DATABASE!X787</f>
        <v>0</v>
      </c>
      <c r="X20" s="79">
        <f>DATABASE!Y787</f>
        <v>437000</v>
      </c>
      <c r="Y20" s="79">
        <f>DATABASE!Z787</f>
        <v>437000</v>
      </c>
      <c r="Z20" s="79" t="e">
        <f>DATABASE!#REF!</f>
        <v>#REF!</v>
      </c>
      <c r="AA20" s="81" t="e">
        <f>DATABASE!#REF!</f>
        <v>#REF!</v>
      </c>
      <c r="AB20" s="82">
        <f>DATABASE!AB787</f>
        <v>0</v>
      </c>
    </row>
    <row r="21" spans="1:28">
      <c r="A21" s="71" t="str">
        <f>DATABASE!A788</f>
        <v>THE NINE</v>
      </c>
      <c r="B21" s="89" t="str">
        <f>DATABASE!B788</f>
        <v>Vilamoura</v>
      </c>
      <c r="C21" s="129" t="str">
        <f>DATABASE!C788</f>
        <v>D</v>
      </c>
      <c r="D21" s="130" t="str">
        <f>DATABASE!E788</f>
        <v>T2</v>
      </c>
      <c r="E21" s="130">
        <f>DATABASE!F788</f>
        <v>111</v>
      </c>
      <c r="F21" s="130">
        <f>DATABASE!G788</f>
        <v>0</v>
      </c>
      <c r="G21" s="130" t="str">
        <f>DATABASE!H788</f>
        <v/>
      </c>
      <c r="H21" s="130" t="str">
        <f>DATABASE!I788</f>
        <v/>
      </c>
      <c r="I21" s="75">
        <f>DATABASE!J788</f>
        <v>0</v>
      </c>
      <c r="J21" s="130">
        <f>DATABASE!K788</f>
        <v>0</v>
      </c>
      <c r="K21" s="153">
        <f>DATABASE!L788</f>
        <v>0</v>
      </c>
      <c r="L21" s="153">
        <f>DATABASE!M788</f>
        <v>0</v>
      </c>
      <c r="M21" s="93">
        <f>DATABASE!N788</f>
        <v>0</v>
      </c>
      <c r="N21" s="111">
        <f>DATABASE!O788</f>
        <v>111</v>
      </c>
      <c r="O21" s="111">
        <f>DATABASE!P788</f>
        <v>0</v>
      </c>
      <c r="P21" s="111" t="str">
        <f>DATABASE!Q788</f>
        <v xml:space="preserve">DEED </v>
      </c>
      <c r="Q21" s="113">
        <f>DATABASE!R788</f>
        <v>570000</v>
      </c>
      <c r="R21" s="79">
        <f>DATABASE!S788</f>
        <v>570000</v>
      </c>
      <c r="S21" s="79">
        <f>DATABASE!T788</f>
        <v>570000</v>
      </c>
      <c r="T21" s="79">
        <f>DATABASE!U788</f>
        <v>0</v>
      </c>
      <c r="U21" s="79">
        <f>DATABASE!V788</f>
        <v>0</v>
      </c>
      <c r="V21" s="79">
        <f>DATABASE!W788</f>
        <v>570000</v>
      </c>
      <c r="W21" s="80">
        <f>DATABASE!X788</f>
        <v>0</v>
      </c>
      <c r="X21" s="79">
        <f>DATABASE!Y788</f>
        <v>570000</v>
      </c>
      <c r="Y21" s="79">
        <f>DATABASE!Z788</f>
        <v>570000</v>
      </c>
      <c r="Z21" s="79" t="e">
        <f>DATABASE!#REF!</f>
        <v>#REF!</v>
      </c>
      <c r="AA21" s="81">
        <f>DATABASE!AA788</f>
        <v>45106</v>
      </c>
      <c r="AB21" s="82">
        <f>DATABASE!AB788</f>
        <v>0</v>
      </c>
    </row>
    <row r="22" spans="1:28">
      <c r="A22" s="71" t="str">
        <f>DATABASE!A789</f>
        <v>Aroeira - APARTMENTS</v>
      </c>
      <c r="B22" s="89" t="str">
        <f>DATABASE!B789</f>
        <v>Center</v>
      </c>
      <c r="C22" s="129" t="str">
        <f>DATABASE!C789</f>
        <v>115C</v>
      </c>
      <c r="D22" s="130" t="str">
        <f>DATABASE!E789</f>
        <v>3-BR</v>
      </c>
      <c r="E22" s="130">
        <f>DATABASE!F789</f>
        <v>331.7</v>
      </c>
      <c r="F22" s="130">
        <f>DATABASE!G789</f>
        <v>0</v>
      </c>
      <c r="G22" s="130" t="str">
        <f>DATABASE!H789</f>
        <v>2</v>
      </c>
      <c r="H22" s="130" t="str">
        <f>DATABASE!I789</f>
        <v>1</v>
      </c>
      <c r="I22" s="75">
        <f>DATABASE!J789</f>
        <v>6.02</v>
      </c>
      <c r="J22" s="130">
        <f>DATABASE!K789</f>
        <v>185.07</v>
      </c>
      <c r="K22" s="153">
        <f>DATABASE!L789</f>
        <v>0</v>
      </c>
      <c r="L22" s="153">
        <f>DATABASE!M789</f>
        <v>0</v>
      </c>
      <c r="M22" s="93">
        <f>DATABASE!N789</f>
        <v>0</v>
      </c>
      <c r="N22" s="111">
        <f>DATABASE!O789</f>
        <v>140.61000000000001</v>
      </c>
      <c r="O22" s="111">
        <f>DATABASE!P789</f>
        <v>0</v>
      </c>
      <c r="P22" s="111" t="str">
        <f>DATABASE!Q789</f>
        <v>NOT FOR SALE</v>
      </c>
      <c r="Q22" s="113">
        <f>DATABASE!R789</f>
        <v>1180000</v>
      </c>
      <c r="R22" s="79">
        <f>DATABASE!S789</f>
        <v>1230000</v>
      </c>
      <c r="S22" s="79">
        <f>DATABASE!T789</f>
        <v>1280000</v>
      </c>
      <c r="T22" s="79">
        <f>DATABASE!U789</f>
        <v>0</v>
      </c>
      <c r="U22" s="79">
        <f>DATABASE!V789</f>
        <v>50000</v>
      </c>
      <c r="V22" s="79">
        <f>DATABASE!W789</f>
        <v>1230000</v>
      </c>
      <c r="W22" s="80">
        <f>DATABASE!X789</f>
        <v>0</v>
      </c>
      <c r="X22" s="79">
        <f>DATABASE!Y789</f>
        <v>0</v>
      </c>
      <c r="Y22" s="79">
        <f>DATABASE!Z789</f>
        <v>-50000</v>
      </c>
      <c r="Z22" s="79" t="e">
        <f>DATABASE!#REF!</f>
        <v>#REF!</v>
      </c>
      <c r="AA22" s="81">
        <f>DATABASE!AA789</f>
        <v>0</v>
      </c>
      <c r="AB22" s="82">
        <f>DATABASE!AB789</f>
        <v>47118</v>
      </c>
    </row>
    <row r="23" spans="1:28">
      <c r="A23" s="71" t="str">
        <f>DATABASE!A790</f>
        <v>VM PARQUE</v>
      </c>
      <c r="B23" s="89" t="str">
        <f>DATABASE!B790</f>
        <v>Vilamoura</v>
      </c>
      <c r="C23" s="129" t="str">
        <f>DATABASE!C790</f>
        <v>D</v>
      </c>
      <c r="D23" s="130" t="str">
        <f>DATABASE!E790</f>
        <v>V2</v>
      </c>
      <c r="E23" s="130">
        <f>DATABASE!F790</f>
        <v>156.83949999999999</v>
      </c>
      <c r="F23" s="130">
        <f>DATABASE!G790</f>
        <v>0</v>
      </c>
      <c r="G23" s="130" t="str">
        <f>DATABASE!H790</f>
        <v/>
      </c>
      <c r="H23" s="130" t="str">
        <f>DATABASE!I790</f>
        <v/>
      </c>
      <c r="I23" s="75">
        <f>DATABASE!J790</f>
        <v>0</v>
      </c>
      <c r="J23" s="130">
        <f>DATABASE!K790</f>
        <v>0</v>
      </c>
      <c r="K23" s="153">
        <f>DATABASE!L790</f>
        <v>0</v>
      </c>
      <c r="L23" s="153">
        <f>DATABASE!M790</f>
        <v>0</v>
      </c>
      <c r="M23" s="93">
        <f>DATABASE!N790</f>
        <v>0</v>
      </c>
      <c r="N23" s="111">
        <f>DATABASE!O790</f>
        <v>156.83949999999999</v>
      </c>
      <c r="O23" s="111">
        <f>DATABASE!P790</f>
        <v>0</v>
      </c>
      <c r="P23" s="111" t="str">
        <f>DATABASE!Q790</f>
        <v xml:space="preserve">DEED </v>
      </c>
      <c r="Q23" s="113">
        <f>DATABASE!R790</f>
        <v>973488</v>
      </c>
      <c r="R23" s="79">
        <f>DATABASE!S790</f>
        <v>973488</v>
      </c>
      <c r="S23" s="79">
        <f>DATABASE!T790</f>
        <v>1060000</v>
      </c>
      <c r="T23" s="79">
        <f>DATABASE!U790</f>
        <v>0</v>
      </c>
      <c r="U23" s="79">
        <f>DATABASE!V790</f>
        <v>0</v>
      </c>
      <c r="V23" s="79">
        <f>DATABASE!W790</f>
        <v>1060000</v>
      </c>
      <c r="W23" s="80">
        <f>DATABASE!X790</f>
        <v>0</v>
      </c>
      <c r="X23" s="79">
        <f>DATABASE!Y790</f>
        <v>1060000</v>
      </c>
      <c r="Y23" s="79">
        <f>DATABASE!Z790</f>
        <v>1060000</v>
      </c>
      <c r="Z23" s="79" t="e">
        <f>DATABASE!#REF!</f>
        <v>#REF!</v>
      </c>
      <c r="AA23" s="81">
        <f>DATABASE!AA790</f>
        <v>45133</v>
      </c>
      <c r="AB23" s="82">
        <f>DATABASE!AB790</f>
        <v>0</v>
      </c>
    </row>
    <row r="24" spans="1:28">
      <c r="A24" s="71" t="str">
        <f>DATABASE!A791</f>
        <v>ZESTIA</v>
      </c>
      <c r="B24" s="89" t="str">
        <f>DATABASE!B791</f>
        <v>Vilamoura</v>
      </c>
      <c r="C24" s="129" t="str">
        <f>DATABASE!C791</f>
        <v>D</v>
      </c>
      <c r="D24" s="130" t="str">
        <f>DATABASE!E791</f>
        <v>T2 LO</v>
      </c>
      <c r="E24" s="130">
        <f>DATABASE!F791</f>
        <v>118.14</v>
      </c>
      <c r="F24" s="130">
        <f>DATABASE!G791</f>
        <v>0</v>
      </c>
      <c r="G24" s="130" t="str">
        <f>DATABASE!H791</f>
        <v/>
      </c>
      <c r="H24" s="130" t="str">
        <f>DATABASE!I791</f>
        <v/>
      </c>
      <c r="I24" s="75">
        <f>DATABASE!J791</f>
        <v>28.84</v>
      </c>
      <c r="J24" s="130">
        <f>DATABASE!K791</f>
        <v>0</v>
      </c>
      <c r="K24" s="153">
        <f>DATABASE!L791</f>
        <v>0</v>
      </c>
      <c r="L24" s="153">
        <f>DATABASE!M791</f>
        <v>0</v>
      </c>
      <c r="M24" s="93">
        <f>DATABASE!N791</f>
        <v>0</v>
      </c>
      <c r="N24" s="111">
        <f>DATABASE!O791</f>
        <v>89.3</v>
      </c>
      <c r="O24" s="111">
        <f>DATABASE!P791</f>
        <v>0</v>
      </c>
      <c r="P24" s="111" t="str">
        <f>DATABASE!Q791</f>
        <v>AVAILABLE</v>
      </c>
      <c r="Q24" s="113">
        <f>DATABASE!R791</f>
        <v>665511.4</v>
      </c>
      <c r="R24" s="79">
        <f>DATABASE!S791</f>
        <v>730111.4</v>
      </c>
      <c r="S24" s="79">
        <f>DATABASE!T791</f>
        <v>790000</v>
      </c>
      <c r="T24" s="79">
        <f>DATABASE!U791</f>
        <v>24600</v>
      </c>
      <c r="U24" s="79">
        <f>DATABASE!V791</f>
        <v>40000</v>
      </c>
      <c r="V24" s="79">
        <f>DATABASE!W791</f>
        <v>725400</v>
      </c>
      <c r="W24" s="80">
        <f>DATABASE!X791</f>
        <v>0</v>
      </c>
      <c r="X24" s="79">
        <f>DATABASE!Y791</f>
        <v>790000</v>
      </c>
      <c r="Y24" s="79">
        <f>DATABASE!Z791</f>
        <v>725400</v>
      </c>
      <c r="Z24" s="79" t="e">
        <f>DATABASE!#REF!</f>
        <v>#REF!</v>
      </c>
      <c r="AA24" s="81">
        <f>DATABASE!AA791</f>
        <v>0</v>
      </c>
      <c r="AB24" s="82">
        <f>DATABASE!AB791</f>
        <v>0</v>
      </c>
    </row>
    <row r="25" spans="1:28">
      <c r="A25" s="71" t="str">
        <f>DATABASE!A792</f>
        <v>NATURA VILLAGE 4</v>
      </c>
      <c r="B25" s="89" t="str">
        <f>DATABASE!B792</f>
        <v>Vilamoura</v>
      </c>
      <c r="C25" s="129" t="str">
        <f>DATABASE!C792</f>
        <v>E</v>
      </c>
      <c r="D25" s="130" t="str">
        <f>DATABASE!E792</f>
        <v>V3</v>
      </c>
      <c r="E25" s="130">
        <f>DATABASE!F792</f>
        <v>170</v>
      </c>
      <c r="F25" s="130">
        <f>DATABASE!G792</f>
        <v>0</v>
      </c>
      <c r="G25" s="130" t="str">
        <f>DATABASE!H792</f>
        <v/>
      </c>
      <c r="H25" s="130" t="str">
        <f>DATABASE!I792</f>
        <v/>
      </c>
      <c r="I25" s="75">
        <f>DATABASE!J792</f>
        <v>0</v>
      </c>
      <c r="J25" s="130">
        <f>DATABASE!K792</f>
        <v>0</v>
      </c>
      <c r="K25" s="153">
        <f>DATABASE!L792</f>
        <v>0</v>
      </c>
      <c r="L25" s="153">
        <f>DATABASE!M792</f>
        <v>0</v>
      </c>
      <c r="M25" s="93">
        <f>DATABASE!N792</f>
        <v>0</v>
      </c>
      <c r="N25" s="111">
        <f>DATABASE!O792</f>
        <v>170</v>
      </c>
      <c r="O25" s="111">
        <f>DATABASE!P792</f>
        <v>0</v>
      </c>
      <c r="P25" s="111" t="str">
        <f>DATABASE!Q792</f>
        <v xml:space="preserve">DEED </v>
      </c>
      <c r="Q25" s="113">
        <f>DATABASE!R792</f>
        <v>940000</v>
      </c>
      <c r="R25" s="79">
        <f>DATABASE!S792</f>
        <v>940000</v>
      </c>
      <c r="S25" s="79">
        <f>DATABASE!T792</f>
        <v>960000</v>
      </c>
      <c r="T25" s="79">
        <f>DATABASE!U792</f>
        <v>0</v>
      </c>
      <c r="U25" s="79">
        <f>DATABASE!V792</f>
        <v>0</v>
      </c>
      <c r="V25" s="79">
        <f>DATABASE!W792</f>
        <v>960000</v>
      </c>
      <c r="W25" s="80">
        <f>DATABASE!X792</f>
        <v>0</v>
      </c>
      <c r="X25" s="79">
        <f>DATABASE!Y792</f>
        <v>960000</v>
      </c>
      <c r="Y25" s="79">
        <f>DATABASE!Z792</f>
        <v>960000</v>
      </c>
      <c r="Z25" s="79" t="e">
        <f>DATABASE!#REF!</f>
        <v>#REF!</v>
      </c>
      <c r="AA25" s="81">
        <f>DATABASE!AA792</f>
        <v>45133</v>
      </c>
      <c r="AB25" s="82">
        <f>DATABASE!AB792</f>
        <v>0</v>
      </c>
    </row>
    <row r="26" spans="1:28">
      <c r="A26" s="71" t="str">
        <f>DATABASE!A793</f>
        <v>NATURA VILLAGE 7</v>
      </c>
      <c r="B26" s="89" t="str">
        <f>DATABASE!B793</f>
        <v>Vilamoura</v>
      </c>
      <c r="C26" s="129" t="str">
        <f>DATABASE!C793</f>
        <v>E</v>
      </c>
      <c r="D26" s="130" t="str">
        <f>DATABASE!E793</f>
        <v>V3</v>
      </c>
      <c r="E26" s="130">
        <f>DATABASE!F793</f>
        <v>170.86</v>
      </c>
      <c r="F26" s="130">
        <f>DATABASE!G793</f>
        <v>0</v>
      </c>
      <c r="G26" s="130" t="str">
        <f>DATABASE!H793</f>
        <v/>
      </c>
      <c r="H26" s="130" t="str">
        <f>DATABASE!I793</f>
        <v/>
      </c>
      <c r="I26" s="75">
        <f>DATABASE!J793</f>
        <v>0</v>
      </c>
      <c r="J26" s="130">
        <f>DATABASE!K793</f>
        <v>0</v>
      </c>
      <c r="K26" s="153">
        <f>DATABASE!L793</f>
        <v>0</v>
      </c>
      <c r="L26" s="153">
        <f>DATABASE!M793</f>
        <v>0</v>
      </c>
      <c r="M26" s="93">
        <f>DATABASE!N793</f>
        <v>0</v>
      </c>
      <c r="N26" s="111">
        <f>DATABASE!O793</f>
        <v>170.86</v>
      </c>
      <c r="O26" s="111">
        <f>DATABASE!P793</f>
        <v>0</v>
      </c>
      <c r="P26" s="111" t="str">
        <f>DATABASE!Q793</f>
        <v xml:space="preserve">DEED </v>
      </c>
      <c r="Q26" s="113">
        <f>DATABASE!R793</f>
        <v>940000</v>
      </c>
      <c r="R26" s="79">
        <f>DATABASE!S793</f>
        <v>940000</v>
      </c>
      <c r="S26" s="79">
        <f>DATABASE!T793</f>
        <v>960000</v>
      </c>
      <c r="T26" s="79">
        <f>DATABASE!U793</f>
        <v>0</v>
      </c>
      <c r="U26" s="79">
        <f>DATABASE!V793</f>
        <v>0</v>
      </c>
      <c r="V26" s="79">
        <f>DATABASE!W793</f>
        <v>960000</v>
      </c>
      <c r="W26" s="80">
        <f>DATABASE!X793</f>
        <v>6.25E-2</v>
      </c>
      <c r="X26" s="79">
        <f>DATABASE!Y793</f>
        <v>900000</v>
      </c>
      <c r="Y26" s="79">
        <f>DATABASE!Z793</f>
        <v>900000</v>
      </c>
      <c r="Z26" s="79" t="e">
        <f>DATABASE!#REF!</f>
        <v>#REF!</v>
      </c>
      <c r="AA26" s="81">
        <f>DATABASE!AA793</f>
        <v>46102</v>
      </c>
      <c r="AB26" s="82">
        <f>DATABASE!AB793</f>
        <v>0</v>
      </c>
    </row>
    <row r="27" spans="1:28">
      <c r="A27" s="71" t="str">
        <f>DATABASE!A794</f>
        <v>VP - TOWNHOUSES</v>
      </c>
      <c r="B27" s="89" t="str">
        <f>DATABASE!B794</f>
        <v>North</v>
      </c>
      <c r="C27" s="129" t="str">
        <f>DATABASE!C794</f>
        <v>3C</v>
      </c>
      <c r="D27" s="130" t="str">
        <f>DATABASE!E794</f>
        <v>V3+1</v>
      </c>
      <c r="E27" s="130">
        <f>DATABASE!F794</f>
        <v>355.86</v>
      </c>
      <c r="F27" s="130">
        <f>DATABASE!G794</f>
        <v>0</v>
      </c>
      <c r="G27" s="130" t="str">
        <f>DATABASE!H794</f>
        <v>2</v>
      </c>
      <c r="H27" s="130" t="str">
        <f>DATABASE!I794</f>
        <v>Yes</v>
      </c>
      <c r="I27" s="75">
        <f>DATABASE!J794</f>
        <v>9.57</v>
      </c>
      <c r="J27" s="130">
        <f>DATABASE!K794</f>
        <v>94.78</v>
      </c>
      <c r="K27" s="153">
        <f>DATABASE!L794</f>
        <v>51.75</v>
      </c>
      <c r="L27" s="153">
        <f>DATABASE!M794</f>
        <v>0</v>
      </c>
      <c r="M27" s="93">
        <f>DATABASE!N794</f>
        <v>0</v>
      </c>
      <c r="N27" s="111">
        <f>DATABASE!O794</f>
        <v>199.76</v>
      </c>
      <c r="O27" s="111">
        <f>DATABASE!P794</f>
        <v>0</v>
      </c>
      <c r="P27" s="111" t="str">
        <f>DATABASE!Q794</f>
        <v>AVAILABLE</v>
      </c>
      <c r="Q27" s="113">
        <f>DATABASE!R794</f>
        <v>1240000</v>
      </c>
      <c r="R27" s="79">
        <f>DATABASE!S794</f>
        <v>1240000</v>
      </c>
      <c r="S27" s="79">
        <f>DATABASE!T794</f>
        <v>1270000</v>
      </c>
      <c r="T27" s="79">
        <f>DATABASE!U794</f>
        <v>0</v>
      </c>
      <c r="U27" s="79">
        <f>DATABASE!V794</f>
        <v>0</v>
      </c>
      <c r="V27" s="79">
        <f>DATABASE!W794</f>
        <v>1270000</v>
      </c>
      <c r="W27" s="80">
        <f>DATABASE!X794</f>
        <v>0</v>
      </c>
      <c r="X27" s="79">
        <f>DATABASE!Y794</f>
        <v>0</v>
      </c>
      <c r="Y27" s="79">
        <f>DATABASE!Z794</f>
        <v>0</v>
      </c>
      <c r="Z27" s="79" t="e">
        <f>DATABASE!#REF!</f>
        <v>#REF!</v>
      </c>
      <c r="AA27" s="81">
        <f>DATABASE!AA794</f>
        <v>0</v>
      </c>
      <c r="AB27" s="82">
        <f>DATABASE!AB794</f>
        <v>47208</v>
      </c>
    </row>
    <row r="28" spans="1:28">
      <c r="A28" s="71" t="str">
        <f>DATABASE!A795</f>
        <v>NATURA VILLAGE 9</v>
      </c>
      <c r="B28" s="89" t="str">
        <f>DATABASE!B795</f>
        <v>Vilamoura</v>
      </c>
      <c r="C28" s="129" t="str">
        <f>DATABASE!C795</f>
        <v>E</v>
      </c>
      <c r="D28" s="130" t="str">
        <f>DATABASE!E795</f>
        <v>V3</v>
      </c>
      <c r="E28" s="130">
        <f>DATABASE!F795</f>
        <v>192.99</v>
      </c>
      <c r="F28" s="130">
        <f>DATABASE!G795</f>
        <v>0</v>
      </c>
      <c r="G28" s="130" t="str">
        <f>DATABASE!H795</f>
        <v/>
      </c>
      <c r="H28" s="130" t="str">
        <f>DATABASE!I795</f>
        <v/>
      </c>
      <c r="I28" s="75">
        <f>DATABASE!J795</f>
        <v>0</v>
      </c>
      <c r="J28" s="130">
        <f>DATABASE!K795</f>
        <v>0</v>
      </c>
      <c r="K28" s="153">
        <f>DATABASE!L795</f>
        <v>0</v>
      </c>
      <c r="L28" s="153">
        <f>DATABASE!M795</f>
        <v>0</v>
      </c>
      <c r="M28" s="93">
        <f>DATABASE!N795</f>
        <v>0</v>
      </c>
      <c r="N28" s="111">
        <f>DATABASE!O795</f>
        <v>192.99</v>
      </c>
      <c r="O28" s="111">
        <f>DATABASE!P795</f>
        <v>0</v>
      </c>
      <c r="P28" s="111" t="str">
        <f>DATABASE!Q795</f>
        <v xml:space="preserve">PSPA </v>
      </c>
      <c r="Q28" s="113">
        <f>DATABASE!R795</f>
        <v>1140000</v>
      </c>
      <c r="R28" s="79">
        <f>DATABASE!S795</f>
        <v>1140000</v>
      </c>
      <c r="S28" s="79">
        <f>DATABASE!T795</f>
        <v>1140000</v>
      </c>
      <c r="T28" s="79">
        <f>DATABASE!U795</f>
        <v>0</v>
      </c>
      <c r="U28" s="79">
        <f>DATABASE!V795</f>
        <v>0</v>
      </c>
      <c r="V28" s="79">
        <f>DATABASE!W795</f>
        <v>1140000</v>
      </c>
      <c r="W28" s="80">
        <f>DATABASE!X795</f>
        <v>0</v>
      </c>
      <c r="X28" s="79">
        <f>DATABASE!Y795</f>
        <v>1140000</v>
      </c>
      <c r="Y28" s="79">
        <f>DATABASE!Z795</f>
        <v>1140000</v>
      </c>
      <c r="Z28" s="79" t="e">
        <f>DATABASE!#REF!</f>
        <v>#REF!</v>
      </c>
      <c r="AA28" s="81">
        <f>DATABASE!AA795</f>
        <v>46107</v>
      </c>
      <c r="AB28" s="82">
        <f>DATABASE!AB795</f>
        <v>0</v>
      </c>
    </row>
    <row r="29" spans="1:28">
      <c r="A29" s="71" t="str">
        <f>DATABASE!A796</f>
        <v>NOBILUS</v>
      </c>
      <c r="B29" s="89" t="str">
        <f>DATABASE!B796</f>
        <v>Vilamoura</v>
      </c>
      <c r="C29" s="129" t="str">
        <f>DATABASE!C796</f>
        <v>E</v>
      </c>
      <c r="D29" s="130" t="str">
        <f>DATABASE!E796</f>
        <v>T2</v>
      </c>
      <c r="E29" s="130">
        <f>DATABASE!F796</f>
        <v>112.9</v>
      </c>
      <c r="F29" s="130">
        <f>DATABASE!G796</f>
        <v>0</v>
      </c>
      <c r="G29" s="130" t="str">
        <f>DATABASE!H796</f>
        <v>35-91</v>
      </c>
      <c r="H29" s="130" t="str">
        <f>DATABASE!I796</f>
        <v/>
      </c>
      <c r="I29" s="75">
        <f>DATABASE!J796</f>
        <v>21.52</v>
      </c>
      <c r="J29" s="130">
        <f>DATABASE!K796</f>
        <v>0</v>
      </c>
      <c r="K29" s="153">
        <f>DATABASE!L796</f>
        <v>0</v>
      </c>
      <c r="L29" s="153">
        <f>DATABASE!M796</f>
        <v>0</v>
      </c>
      <c r="M29" s="93">
        <f>DATABASE!N796</f>
        <v>0</v>
      </c>
      <c r="N29" s="111">
        <f>DATABASE!O796</f>
        <v>112.9</v>
      </c>
      <c r="O29" s="111">
        <f>DATABASE!P796</f>
        <v>0</v>
      </c>
      <c r="P29" s="111" t="str">
        <f>DATABASE!Q796</f>
        <v>AVAILABLE</v>
      </c>
      <c r="Q29" s="113">
        <f>DATABASE!R796</f>
        <v>760000</v>
      </c>
      <c r="R29" s="79">
        <f>DATABASE!S796</f>
        <v>760000</v>
      </c>
      <c r="S29" s="79">
        <f>DATABASE!T796</f>
        <v>760000</v>
      </c>
      <c r="T29" s="79">
        <f>DATABASE!U796</f>
        <v>0</v>
      </c>
      <c r="U29" s="79">
        <f>DATABASE!V796</f>
        <v>0</v>
      </c>
      <c r="V29" s="79">
        <f>DATABASE!W796</f>
        <v>760000</v>
      </c>
      <c r="W29" s="80">
        <f>DATABASE!X796</f>
        <v>0</v>
      </c>
      <c r="X29" s="79">
        <f>DATABASE!Y796</f>
        <v>760000</v>
      </c>
      <c r="Y29" s="79">
        <f>DATABASE!Z796</f>
        <v>760000</v>
      </c>
      <c r="Z29" s="79" t="e">
        <f>DATABASE!#REF!</f>
        <v>#REF!</v>
      </c>
      <c r="AA29" s="81">
        <f>DATABASE!AA796</f>
        <v>0</v>
      </c>
      <c r="AB29" s="82">
        <f>DATABASE!AB796</f>
        <v>0</v>
      </c>
    </row>
    <row r="30" spans="1:28">
      <c r="A30" s="71" t="str">
        <f>DATABASE!A797</f>
        <v>Aroeira - APARTMENTS</v>
      </c>
      <c r="B30" s="89" t="str">
        <f>DATABASE!B797</f>
        <v>Center</v>
      </c>
      <c r="C30" s="129" t="str">
        <f>DATABASE!C797</f>
        <v>117C</v>
      </c>
      <c r="D30" s="130" t="str">
        <f>DATABASE!E797</f>
        <v>3-BR</v>
      </c>
      <c r="E30" s="130">
        <f>DATABASE!F797</f>
        <v>345.41</v>
      </c>
      <c r="F30" s="130">
        <f>DATABASE!G797</f>
        <v>0</v>
      </c>
      <c r="G30" s="130" t="str">
        <f>DATABASE!H797</f>
        <v>2</v>
      </c>
      <c r="H30" s="130" t="str">
        <f>DATABASE!I797</f>
        <v>1</v>
      </c>
      <c r="I30" s="75">
        <f>DATABASE!J797</f>
        <v>6.02</v>
      </c>
      <c r="J30" s="130">
        <f>DATABASE!K797</f>
        <v>197.51</v>
      </c>
      <c r="K30" s="153">
        <f>DATABASE!L797</f>
        <v>0</v>
      </c>
      <c r="L30" s="153">
        <f>DATABASE!M797</f>
        <v>0</v>
      </c>
      <c r="M30" s="93">
        <f>DATABASE!N797</f>
        <v>0</v>
      </c>
      <c r="N30" s="111">
        <f>DATABASE!O797</f>
        <v>141.88</v>
      </c>
      <c r="O30" s="111">
        <f>DATABASE!P797</f>
        <v>0</v>
      </c>
      <c r="P30" s="111" t="str">
        <f>DATABASE!Q797</f>
        <v>AVAILABLE</v>
      </c>
      <c r="Q30" s="113">
        <f>DATABASE!R797</f>
        <v>1200000</v>
      </c>
      <c r="R30" s="79">
        <f>DATABASE!S797</f>
        <v>1250000</v>
      </c>
      <c r="S30" s="79">
        <f>DATABASE!T797</f>
        <v>1250000</v>
      </c>
      <c r="T30" s="79">
        <f>DATABASE!U797</f>
        <v>0</v>
      </c>
      <c r="U30" s="79">
        <f>DATABASE!V797</f>
        <v>50000</v>
      </c>
      <c r="V30" s="79">
        <f>DATABASE!W797</f>
        <v>1200000</v>
      </c>
      <c r="W30" s="80">
        <f>DATABASE!X797</f>
        <v>0</v>
      </c>
      <c r="X30" s="79">
        <f>DATABASE!Y797</f>
        <v>0</v>
      </c>
      <c r="Y30" s="79">
        <f>DATABASE!Z797</f>
        <v>-50000</v>
      </c>
      <c r="Z30" s="79" t="e">
        <f>DATABASE!#REF!</f>
        <v>#REF!</v>
      </c>
      <c r="AA30" s="81">
        <f>DATABASE!AA797</f>
        <v>0</v>
      </c>
      <c r="AB30" s="82">
        <f>DATABASE!AB797</f>
        <v>47118</v>
      </c>
    </row>
    <row r="31" spans="1:28">
      <c r="A31" s="71" t="str">
        <f>DATABASE!A798</f>
        <v>MR - Linked Villas</v>
      </c>
      <c r="B31" s="89" t="str">
        <f>DATABASE!B798</f>
        <v>Algarve</v>
      </c>
      <c r="C31" s="129" t="str">
        <f>DATABASE!C798</f>
        <v>C</v>
      </c>
      <c r="D31" s="130" t="str">
        <f>DATABASE!E798</f>
        <v>T3</v>
      </c>
      <c r="E31" s="130">
        <f>DATABASE!F798</f>
        <v>433.99</v>
      </c>
      <c r="F31" s="130">
        <f>DATABASE!G798</f>
        <v>45.83</v>
      </c>
      <c r="G31" s="130" t="str">
        <f>DATABASE!H798</f>
        <v/>
      </c>
      <c r="H31" s="130" t="str">
        <f>DATABASE!I798</f>
        <v/>
      </c>
      <c r="I31" s="75">
        <f>DATABASE!J798</f>
        <v>136.16</v>
      </c>
      <c r="J31" s="130">
        <f>DATABASE!K798</f>
        <v>0</v>
      </c>
      <c r="K31" s="153">
        <f>DATABASE!L798</f>
        <v>0</v>
      </c>
      <c r="L31" s="153">
        <f>DATABASE!M798</f>
        <v>0</v>
      </c>
      <c r="M31" s="93">
        <f>DATABASE!N798</f>
        <v>0</v>
      </c>
      <c r="N31" s="111">
        <f>DATABASE!O798</f>
        <v>252</v>
      </c>
      <c r="O31" s="111">
        <f>DATABASE!P798</f>
        <v>0</v>
      </c>
      <c r="P31" s="111" t="str">
        <f>DATABASE!Q798</f>
        <v>AVAILABLE</v>
      </c>
      <c r="Q31" s="113">
        <f>DATABASE!R798</f>
        <v>1250000</v>
      </c>
      <c r="R31" s="79">
        <f>DATABASE!S798</f>
        <v>1250000</v>
      </c>
      <c r="S31" s="79">
        <f>DATABASE!T798</f>
        <v>1310000</v>
      </c>
      <c r="T31" s="79">
        <f>DATABASE!U798</f>
        <v>0</v>
      </c>
      <c r="U31" s="79">
        <f>DATABASE!V798</f>
        <v>0</v>
      </c>
      <c r="V31" s="79">
        <f>DATABASE!W798</f>
        <v>1310000</v>
      </c>
      <c r="W31" s="80">
        <f>DATABASE!X798</f>
        <v>0</v>
      </c>
      <c r="X31" s="79">
        <f>DATABASE!Y798</f>
        <v>0</v>
      </c>
      <c r="Y31" s="79">
        <f>DATABASE!Z798</f>
        <v>0</v>
      </c>
      <c r="Z31" s="79" t="e">
        <f>DATABASE!#REF!</f>
        <v>#REF!</v>
      </c>
      <c r="AA31" s="81">
        <f>DATABASE!AA798</f>
        <v>0</v>
      </c>
      <c r="AB31" s="82" t="str">
        <f>DATABASE!AB798</f>
        <v>TBD</v>
      </c>
    </row>
    <row r="32" spans="1:28">
      <c r="A32" s="71" t="str">
        <f>DATABASE!A799</f>
        <v>MR - Linked Villas</v>
      </c>
      <c r="B32" s="89" t="str">
        <f>DATABASE!B799</f>
        <v>Algarve</v>
      </c>
      <c r="C32" s="129" t="str">
        <f>DATABASE!C799</f>
        <v>K</v>
      </c>
      <c r="D32" s="130" t="str">
        <f>DATABASE!E799</f>
        <v>T3</v>
      </c>
      <c r="E32" s="130">
        <f>DATABASE!F799</f>
        <v>422.07</v>
      </c>
      <c r="F32" s="130">
        <f>DATABASE!G799</f>
        <v>45.06</v>
      </c>
      <c r="G32" s="130" t="str">
        <f>DATABASE!H799</f>
        <v/>
      </c>
      <c r="H32" s="130" t="str">
        <f>DATABASE!I799</f>
        <v/>
      </c>
      <c r="I32" s="75">
        <f>DATABASE!J799</f>
        <v>134.35</v>
      </c>
      <c r="J32" s="130">
        <f>DATABASE!K799</f>
        <v>0</v>
      </c>
      <c r="K32" s="153">
        <f>DATABASE!L799</f>
        <v>0</v>
      </c>
      <c r="L32" s="153">
        <f>DATABASE!M799</f>
        <v>0</v>
      </c>
      <c r="M32" s="93">
        <f>DATABASE!N799</f>
        <v>0</v>
      </c>
      <c r="N32" s="111">
        <f>DATABASE!O799</f>
        <v>242.66</v>
      </c>
      <c r="O32" s="111">
        <f>DATABASE!P799</f>
        <v>0</v>
      </c>
      <c r="P32" s="111" t="str">
        <f>DATABASE!Q799</f>
        <v>AVAILABLE</v>
      </c>
      <c r="Q32" s="113">
        <f>DATABASE!R799</f>
        <v>1250000</v>
      </c>
      <c r="R32" s="79">
        <f>DATABASE!S799</f>
        <v>1250000</v>
      </c>
      <c r="S32" s="79">
        <f>DATABASE!T799</f>
        <v>1380000</v>
      </c>
      <c r="T32" s="79">
        <f>DATABASE!U799</f>
        <v>0</v>
      </c>
      <c r="U32" s="79">
        <f>DATABASE!V799</f>
        <v>0</v>
      </c>
      <c r="V32" s="79">
        <f>DATABASE!W799</f>
        <v>1380000</v>
      </c>
      <c r="W32" s="80">
        <f>DATABASE!X799</f>
        <v>0</v>
      </c>
      <c r="X32" s="79">
        <f>DATABASE!Y799</f>
        <v>0</v>
      </c>
      <c r="Y32" s="79">
        <f>DATABASE!Z799</f>
        <v>0</v>
      </c>
      <c r="Z32" s="79" t="e">
        <f>DATABASE!#REF!</f>
        <v>#REF!</v>
      </c>
      <c r="AA32" s="81">
        <f>DATABASE!AA799</f>
        <v>0</v>
      </c>
      <c r="AB32" s="82" t="str">
        <f>DATABASE!AB799</f>
        <v>TBD</v>
      </c>
    </row>
    <row r="33" spans="1:28">
      <c r="A33" s="71" t="str">
        <f>DATABASE!A800</f>
        <v>MR - Linked Villas</v>
      </c>
      <c r="B33" s="89" t="str">
        <f>DATABASE!B800</f>
        <v>Algarve</v>
      </c>
      <c r="C33" s="129" t="str">
        <f>DATABASE!C800</f>
        <v>M</v>
      </c>
      <c r="D33" s="130" t="str">
        <f>DATABASE!E800</f>
        <v>T3</v>
      </c>
      <c r="E33" s="130">
        <f>DATABASE!F800</f>
        <v>422.36</v>
      </c>
      <c r="F33" s="130">
        <f>DATABASE!G800</f>
        <v>45.06</v>
      </c>
      <c r="G33" s="130" t="str">
        <f>DATABASE!H800</f>
        <v/>
      </c>
      <c r="H33" s="130" t="str">
        <f>DATABASE!I800</f>
        <v/>
      </c>
      <c r="I33" s="75">
        <f>DATABASE!J800</f>
        <v>131.68</v>
      </c>
      <c r="J33" s="130">
        <f>DATABASE!K800</f>
        <v>0</v>
      </c>
      <c r="K33" s="153">
        <f>DATABASE!L800</f>
        <v>0</v>
      </c>
      <c r="L33" s="153">
        <f>DATABASE!M800</f>
        <v>0</v>
      </c>
      <c r="M33" s="93">
        <f>DATABASE!N800</f>
        <v>0</v>
      </c>
      <c r="N33" s="111">
        <f>DATABASE!O800</f>
        <v>245.62</v>
      </c>
      <c r="O33" s="111">
        <f>DATABASE!P800</f>
        <v>0</v>
      </c>
      <c r="P33" s="111" t="str">
        <f>DATABASE!Q800</f>
        <v>AVAILABLE</v>
      </c>
      <c r="Q33" s="113">
        <f>DATABASE!R800</f>
        <v>1250000</v>
      </c>
      <c r="R33" s="79">
        <f>DATABASE!S800</f>
        <v>1250000</v>
      </c>
      <c r="S33" s="79">
        <f>DATABASE!T800</f>
        <v>1170000</v>
      </c>
      <c r="T33" s="79">
        <f>DATABASE!U800</f>
        <v>0</v>
      </c>
      <c r="U33" s="79">
        <f>DATABASE!V800</f>
        <v>0</v>
      </c>
      <c r="V33" s="79">
        <f>DATABASE!W800</f>
        <v>1170000</v>
      </c>
      <c r="W33" s="80">
        <f>DATABASE!X800</f>
        <v>0</v>
      </c>
      <c r="X33" s="79">
        <f>DATABASE!Y800</f>
        <v>0</v>
      </c>
      <c r="Y33" s="79">
        <f>DATABASE!Z800</f>
        <v>0</v>
      </c>
      <c r="Z33" s="79" t="e">
        <f>DATABASE!#REF!</f>
        <v>#REF!</v>
      </c>
      <c r="AA33" s="81">
        <f>DATABASE!AA800</f>
        <v>0</v>
      </c>
      <c r="AB33" s="82" t="str">
        <f>DATABASE!AB800</f>
        <v>TBD</v>
      </c>
    </row>
    <row r="34" spans="1:28">
      <c r="A34" s="71" t="str">
        <f>DATABASE!A801</f>
        <v>MR - Linked Villas</v>
      </c>
      <c r="B34" s="89" t="str">
        <f>DATABASE!B801</f>
        <v>Algarve</v>
      </c>
      <c r="C34" s="129" t="str">
        <f>DATABASE!C801</f>
        <v>P</v>
      </c>
      <c r="D34" s="130" t="str">
        <f>DATABASE!E801</f>
        <v>T3</v>
      </c>
      <c r="E34" s="130">
        <f>DATABASE!F801</f>
        <v>422.07</v>
      </c>
      <c r="F34" s="130">
        <f>DATABASE!G801</f>
        <v>45.06</v>
      </c>
      <c r="G34" s="130" t="str">
        <f>DATABASE!H801</f>
        <v/>
      </c>
      <c r="H34" s="130" t="str">
        <f>DATABASE!I801</f>
        <v/>
      </c>
      <c r="I34" s="75">
        <f>DATABASE!J801</f>
        <v>134.35</v>
      </c>
      <c r="J34" s="130">
        <f>DATABASE!K801</f>
        <v>0</v>
      </c>
      <c r="K34" s="153">
        <f>DATABASE!L801</f>
        <v>0</v>
      </c>
      <c r="L34" s="153">
        <f>DATABASE!M801</f>
        <v>0</v>
      </c>
      <c r="M34" s="93">
        <f>DATABASE!N801</f>
        <v>0</v>
      </c>
      <c r="N34" s="111">
        <f>DATABASE!O801</f>
        <v>242.66</v>
      </c>
      <c r="O34" s="111">
        <f>DATABASE!P801</f>
        <v>0</v>
      </c>
      <c r="P34" s="111" t="str">
        <f>DATABASE!Q801</f>
        <v>AVAILABLE</v>
      </c>
      <c r="Q34" s="113">
        <f>DATABASE!R801</f>
        <v>1250000</v>
      </c>
      <c r="R34" s="79">
        <f>DATABASE!S801</f>
        <v>1250000</v>
      </c>
      <c r="S34" s="79">
        <f>DATABASE!T801</f>
        <v>1240000</v>
      </c>
      <c r="T34" s="79">
        <f>DATABASE!U801</f>
        <v>0</v>
      </c>
      <c r="U34" s="79">
        <f>DATABASE!V801</f>
        <v>0</v>
      </c>
      <c r="V34" s="79">
        <f>DATABASE!W801</f>
        <v>1240000</v>
      </c>
      <c r="W34" s="80">
        <f>DATABASE!X801</f>
        <v>0</v>
      </c>
      <c r="X34" s="79">
        <f>DATABASE!Y801</f>
        <v>0</v>
      </c>
      <c r="Y34" s="79">
        <f>DATABASE!Z801</f>
        <v>0</v>
      </c>
      <c r="Z34" s="79" t="e">
        <f>DATABASE!#REF!</f>
        <v>#REF!</v>
      </c>
      <c r="AA34" s="81">
        <f>DATABASE!AA801</f>
        <v>0</v>
      </c>
      <c r="AB34" s="82" t="str">
        <f>DATABASE!AB801</f>
        <v>TBD</v>
      </c>
    </row>
    <row r="35" spans="1:28">
      <c r="A35" s="71" t="str">
        <f>DATABASE!A802</f>
        <v>MR - Linked Villas</v>
      </c>
      <c r="B35" s="89" t="str">
        <f>DATABASE!B802</f>
        <v>Algarve</v>
      </c>
      <c r="C35" s="129" t="str">
        <f>DATABASE!C802</f>
        <v>S</v>
      </c>
      <c r="D35" s="130" t="str">
        <f>DATABASE!E802</f>
        <v>T3</v>
      </c>
      <c r="E35" s="130">
        <f>DATABASE!F802</f>
        <v>422.07</v>
      </c>
      <c r="F35" s="130">
        <f>DATABASE!G802</f>
        <v>45.06</v>
      </c>
      <c r="G35" s="130" t="str">
        <f>DATABASE!H802</f>
        <v/>
      </c>
      <c r="H35" s="130" t="str">
        <f>DATABASE!I802</f>
        <v/>
      </c>
      <c r="I35" s="75">
        <f>DATABASE!J802</f>
        <v>134.35</v>
      </c>
      <c r="J35" s="130">
        <f>DATABASE!K802</f>
        <v>0</v>
      </c>
      <c r="K35" s="153">
        <f>DATABASE!L802</f>
        <v>0</v>
      </c>
      <c r="L35" s="153">
        <f>DATABASE!M802</f>
        <v>0</v>
      </c>
      <c r="M35" s="93">
        <f>DATABASE!N802</f>
        <v>0</v>
      </c>
      <c r="N35" s="111">
        <f>DATABASE!O802</f>
        <v>242.66</v>
      </c>
      <c r="O35" s="111">
        <f>DATABASE!P802</f>
        <v>0</v>
      </c>
      <c r="P35" s="111" t="str">
        <f>DATABASE!Q802</f>
        <v>AVAILABLE</v>
      </c>
      <c r="Q35" s="113">
        <f>DATABASE!R802</f>
        <v>1250000</v>
      </c>
      <c r="R35" s="79">
        <f>DATABASE!S802</f>
        <v>1250000</v>
      </c>
      <c r="S35" s="79">
        <f>DATABASE!T802</f>
        <v>1240000</v>
      </c>
      <c r="T35" s="79">
        <f>DATABASE!U802</f>
        <v>0</v>
      </c>
      <c r="U35" s="79">
        <f>DATABASE!V802</f>
        <v>0</v>
      </c>
      <c r="V35" s="79">
        <f>DATABASE!W802</f>
        <v>1240000</v>
      </c>
      <c r="W35" s="80">
        <f>DATABASE!X802</f>
        <v>0</v>
      </c>
      <c r="X35" s="79">
        <f>DATABASE!Y802</f>
        <v>0</v>
      </c>
      <c r="Y35" s="79">
        <f>DATABASE!Z802</f>
        <v>0</v>
      </c>
      <c r="Z35" s="79" t="e">
        <f>DATABASE!#REF!</f>
        <v>#REF!</v>
      </c>
      <c r="AA35" s="81">
        <f>DATABASE!AA802</f>
        <v>0</v>
      </c>
      <c r="AB35" s="82" t="str">
        <f>DATABASE!AB802</f>
        <v>TBD</v>
      </c>
    </row>
    <row r="36" spans="1:28">
      <c r="A36" s="71" t="str">
        <f>DATABASE!A803</f>
        <v>MR - Linked Villas</v>
      </c>
      <c r="B36" s="89" t="str">
        <f>DATABASE!B803</f>
        <v>Algarve</v>
      </c>
      <c r="C36" s="129" t="str">
        <f>DATABASE!C803</f>
        <v>AC</v>
      </c>
      <c r="D36" s="130" t="str">
        <f>DATABASE!E803</f>
        <v>T3</v>
      </c>
      <c r="E36" s="130">
        <f>DATABASE!F803</f>
        <v>422.07</v>
      </c>
      <c r="F36" s="130">
        <f>DATABASE!G803</f>
        <v>45.06</v>
      </c>
      <c r="G36" s="130" t="str">
        <f>DATABASE!H803</f>
        <v/>
      </c>
      <c r="H36" s="130" t="str">
        <f>DATABASE!I803</f>
        <v/>
      </c>
      <c r="I36" s="75">
        <f>DATABASE!J803</f>
        <v>134.35</v>
      </c>
      <c r="J36" s="130">
        <f>DATABASE!K803</f>
        <v>0</v>
      </c>
      <c r="K36" s="153">
        <f>DATABASE!L803</f>
        <v>0</v>
      </c>
      <c r="L36" s="153">
        <f>DATABASE!M803</f>
        <v>0</v>
      </c>
      <c r="M36" s="93">
        <f>DATABASE!N803</f>
        <v>0</v>
      </c>
      <c r="N36" s="111">
        <f>DATABASE!O803</f>
        <v>242.66</v>
      </c>
      <c r="O36" s="111">
        <f>DATABASE!P803</f>
        <v>0</v>
      </c>
      <c r="P36" s="111" t="str">
        <f>DATABASE!Q803</f>
        <v>AVAILABLE</v>
      </c>
      <c r="Q36" s="113">
        <f>DATABASE!R803</f>
        <v>1250000</v>
      </c>
      <c r="R36" s="79">
        <f>DATABASE!S803</f>
        <v>1250000</v>
      </c>
      <c r="S36" s="79">
        <f>DATABASE!T803</f>
        <v>1360000</v>
      </c>
      <c r="T36" s="79">
        <f>DATABASE!U803</f>
        <v>0</v>
      </c>
      <c r="U36" s="79">
        <f>DATABASE!V803</f>
        <v>0</v>
      </c>
      <c r="V36" s="79">
        <f>DATABASE!W803</f>
        <v>1360000</v>
      </c>
      <c r="W36" s="80">
        <f>DATABASE!X803</f>
        <v>0</v>
      </c>
      <c r="X36" s="79">
        <f>DATABASE!Y803</f>
        <v>0</v>
      </c>
      <c r="Y36" s="79">
        <f>DATABASE!Z803</f>
        <v>0</v>
      </c>
      <c r="Z36" s="79" t="e">
        <f>DATABASE!#REF!</f>
        <v>#REF!</v>
      </c>
      <c r="AA36" s="81">
        <f>DATABASE!AA803</f>
        <v>0</v>
      </c>
      <c r="AB36" s="82" t="str">
        <f>DATABASE!AB803</f>
        <v>TBD</v>
      </c>
    </row>
    <row r="37" spans="1:28">
      <c r="A37" s="71" t="str">
        <f>DATABASE!A804</f>
        <v>MR - Linked Villas</v>
      </c>
      <c r="B37" s="89" t="str">
        <f>DATABASE!B804</f>
        <v>Algarve</v>
      </c>
      <c r="C37" s="129" t="str">
        <f>DATABASE!C804</f>
        <v>AF</v>
      </c>
      <c r="D37" s="130" t="str">
        <f>DATABASE!E804</f>
        <v>T3</v>
      </c>
      <c r="E37" s="130">
        <f>DATABASE!F804</f>
        <v>422.07</v>
      </c>
      <c r="F37" s="130">
        <f>DATABASE!G804</f>
        <v>45.06</v>
      </c>
      <c r="G37" s="130" t="str">
        <f>DATABASE!H804</f>
        <v/>
      </c>
      <c r="H37" s="130" t="str">
        <f>DATABASE!I804</f>
        <v/>
      </c>
      <c r="I37" s="75">
        <f>DATABASE!J804</f>
        <v>134.35</v>
      </c>
      <c r="J37" s="130">
        <f>DATABASE!K804</f>
        <v>0</v>
      </c>
      <c r="K37" s="153">
        <f>DATABASE!L804</f>
        <v>0</v>
      </c>
      <c r="L37" s="153">
        <f>DATABASE!M804</f>
        <v>0</v>
      </c>
      <c r="M37" s="93">
        <f>DATABASE!N804</f>
        <v>0</v>
      </c>
      <c r="N37" s="111">
        <f>DATABASE!O804</f>
        <v>242.66</v>
      </c>
      <c r="O37" s="111">
        <f>DATABASE!P804</f>
        <v>0</v>
      </c>
      <c r="P37" s="111" t="str">
        <f>DATABASE!Q804</f>
        <v>AVAILABLE</v>
      </c>
      <c r="Q37" s="113">
        <f>DATABASE!R804</f>
        <v>1250000</v>
      </c>
      <c r="R37" s="79">
        <f>DATABASE!S804</f>
        <v>1250000</v>
      </c>
      <c r="S37" s="79">
        <f>DATABASE!T804</f>
        <v>1310000</v>
      </c>
      <c r="T37" s="79">
        <f>DATABASE!U804</f>
        <v>0</v>
      </c>
      <c r="U37" s="79">
        <f>DATABASE!V804</f>
        <v>0</v>
      </c>
      <c r="V37" s="79">
        <f>DATABASE!W804</f>
        <v>1310000</v>
      </c>
      <c r="W37" s="80">
        <f>DATABASE!X804</f>
        <v>0</v>
      </c>
      <c r="X37" s="79">
        <f>DATABASE!Y804</f>
        <v>0</v>
      </c>
      <c r="Y37" s="79">
        <f>DATABASE!Z804</f>
        <v>0</v>
      </c>
      <c r="Z37" s="79" t="e">
        <f>DATABASE!#REF!</f>
        <v>#REF!</v>
      </c>
      <c r="AA37" s="81">
        <f>DATABASE!AA804</f>
        <v>0</v>
      </c>
      <c r="AB37" s="82" t="str">
        <f>DATABASE!AB804</f>
        <v>TBD</v>
      </c>
    </row>
    <row r="38" spans="1:28">
      <c r="A38" s="71" t="str">
        <f>DATABASE!A805</f>
        <v>Rivus</v>
      </c>
      <c r="B38" s="89" t="str">
        <f>DATABASE!B805</f>
        <v>Vilamoura</v>
      </c>
      <c r="C38" s="129" t="str">
        <f>DATABASE!C805</f>
        <v>E</v>
      </c>
      <c r="D38" s="130" t="str">
        <f>DATABASE!E805</f>
        <v>T3</v>
      </c>
      <c r="E38" s="130">
        <f>DATABASE!F805</f>
        <v>0</v>
      </c>
      <c r="F38" s="130">
        <f>DATABASE!G805</f>
        <v>0</v>
      </c>
      <c r="G38" s="130" t="str">
        <f>DATABASE!H805</f>
        <v/>
      </c>
      <c r="H38" s="130" t="str">
        <f>DATABASE!I805</f>
        <v/>
      </c>
      <c r="I38" s="75">
        <f>DATABASE!J805</f>
        <v>0</v>
      </c>
      <c r="J38" s="130">
        <f>DATABASE!K805</f>
        <v>84</v>
      </c>
      <c r="K38" s="153">
        <f>DATABASE!L805</f>
        <v>0</v>
      </c>
      <c r="L38" s="153">
        <f>DATABASE!M805</f>
        <v>0</v>
      </c>
      <c r="M38" s="93">
        <f>DATABASE!N805</f>
        <v>0</v>
      </c>
      <c r="N38" s="111">
        <f>DATABASE!O805</f>
        <v>138</v>
      </c>
      <c r="O38" s="111">
        <f>DATABASE!P805</f>
        <v>0</v>
      </c>
      <c r="P38" s="111" t="str">
        <f>DATABASE!Q805</f>
        <v>RESERVED</v>
      </c>
      <c r="Q38" s="113">
        <f>DATABASE!R805</f>
        <v>1020000</v>
      </c>
      <c r="R38" s="79">
        <f>DATABASE!S805</f>
        <v>1020000</v>
      </c>
      <c r="S38" s="79">
        <f>DATABASE!T805</f>
        <v>1020000</v>
      </c>
      <c r="T38" s="79">
        <f>DATABASE!U805</f>
        <v>0</v>
      </c>
      <c r="U38" s="79">
        <f>DATABASE!V805</f>
        <v>0</v>
      </c>
      <c r="V38" s="79">
        <f>DATABASE!W805</f>
        <v>1020000</v>
      </c>
      <c r="W38" s="80">
        <f>DATABASE!X805</f>
        <v>0.02</v>
      </c>
      <c r="X38" s="79">
        <f>DATABASE!Y805</f>
        <v>999600</v>
      </c>
      <c r="Y38" s="79">
        <f>DATABASE!Z805</f>
        <v>999600</v>
      </c>
      <c r="Z38" s="79" t="e">
        <f>DATABASE!#REF!</f>
        <v>#REF!</v>
      </c>
      <c r="AA38" s="81">
        <f>DATABASE!AA805</f>
        <v>0</v>
      </c>
      <c r="AB38" s="82">
        <f>DATABASE!AB805</f>
        <v>0</v>
      </c>
    </row>
    <row r="39" spans="1:28">
      <c r="A39" s="71" t="str">
        <f>DATABASE!A806</f>
        <v>SPRINGS</v>
      </c>
      <c r="B39" s="89" t="str">
        <f>DATABASE!B806</f>
        <v>Vilamoura</v>
      </c>
      <c r="C39" s="129" t="str">
        <f>DATABASE!C806</f>
        <v>E</v>
      </c>
      <c r="D39" s="130" t="str">
        <f>DATABASE!E806</f>
        <v>V3</v>
      </c>
      <c r="E39" s="130">
        <f>DATABASE!F806</f>
        <v>323.58999999999997</v>
      </c>
      <c r="F39" s="130">
        <f>DATABASE!G806</f>
        <v>165.79</v>
      </c>
      <c r="G39" s="130" t="str">
        <f>DATABASE!H806</f>
        <v/>
      </c>
      <c r="H39" s="130" t="str">
        <f>DATABASE!I806</f>
        <v/>
      </c>
      <c r="I39" s="75">
        <f>DATABASE!J806</f>
        <v>0</v>
      </c>
      <c r="J39" s="130">
        <f>DATABASE!K806</f>
        <v>0</v>
      </c>
      <c r="K39" s="153">
        <f>DATABASE!L806</f>
        <v>0</v>
      </c>
      <c r="L39" s="153">
        <f>DATABASE!M806</f>
        <v>0</v>
      </c>
      <c r="M39" s="93">
        <f>DATABASE!N806</f>
        <v>0</v>
      </c>
      <c r="N39" s="111">
        <f>DATABASE!O806</f>
        <v>157.80000000000001</v>
      </c>
      <c r="O39" s="111">
        <f>DATABASE!P806</f>
        <v>0</v>
      </c>
      <c r="P39" s="111" t="str">
        <f>DATABASE!Q806</f>
        <v>AVAILABLE</v>
      </c>
      <c r="Q39" s="113">
        <f>DATABASE!R806</f>
        <v>1602100</v>
      </c>
      <c r="R39" s="79">
        <f>DATABASE!S806</f>
        <v>1691050</v>
      </c>
      <c r="S39" s="79">
        <f>DATABASE!T806</f>
        <v>1780000</v>
      </c>
      <c r="T39" s="79">
        <f>DATABASE!U806</f>
        <v>24600</v>
      </c>
      <c r="U39" s="79">
        <f>DATABASE!V806</f>
        <v>64350</v>
      </c>
      <c r="V39" s="79">
        <f>DATABASE!W806</f>
        <v>1691050</v>
      </c>
      <c r="W39" s="80">
        <f>DATABASE!X806</f>
        <v>0</v>
      </c>
      <c r="X39" s="79">
        <f>DATABASE!Y806</f>
        <v>1780000</v>
      </c>
      <c r="Y39" s="79">
        <f>DATABASE!Z806</f>
        <v>1691050</v>
      </c>
      <c r="Z39" s="79" t="e">
        <f>DATABASE!#REF!</f>
        <v>#REF!</v>
      </c>
      <c r="AA39" s="81">
        <f>DATABASE!AA806</f>
        <v>0</v>
      </c>
      <c r="AB39" s="82">
        <f>DATABASE!AB806</f>
        <v>0</v>
      </c>
    </row>
    <row r="40" spans="1:28">
      <c r="A40" s="71" t="str">
        <f>DATABASE!A807</f>
        <v>TERRACOTA</v>
      </c>
      <c r="B40" s="89" t="str">
        <f>DATABASE!B807</f>
        <v>Vilamoura</v>
      </c>
      <c r="C40" s="129" t="str">
        <f>DATABASE!C807</f>
        <v>E</v>
      </c>
      <c r="D40" s="130" t="str">
        <f>DATABASE!E807</f>
        <v>T2</v>
      </c>
      <c r="E40" s="130">
        <f>DATABASE!F807</f>
        <v>78.3</v>
      </c>
      <c r="F40" s="130">
        <f>DATABASE!G807</f>
        <v>0</v>
      </c>
      <c r="G40" s="130" t="str">
        <f>DATABASE!H807</f>
        <v/>
      </c>
      <c r="H40" s="130" t="str">
        <f>DATABASE!I807</f>
        <v/>
      </c>
      <c r="I40" s="75">
        <f>DATABASE!J807</f>
        <v>0</v>
      </c>
      <c r="J40" s="130">
        <f>DATABASE!K807</f>
        <v>0</v>
      </c>
      <c r="K40" s="153">
        <f>DATABASE!L807</f>
        <v>0</v>
      </c>
      <c r="L40" s="153">
        <f>DATABASE!M807</f>
        <v>0</v>
      </c>
      <c r="M40" s="93">
        <f>DATABASE!N807</f>
        <v>0</v>
      </c>
      <c r="N40" s="111">
        <f>DATABASE!O807</f>
        <v>78.3</v>
      </c>
      <c r="O40" s="111">
        <f>DATABASE!P807</f>
        <v>0</v>
      </c>
      <c r="P40" s="111" t="str">
        <f>DATABASE!Q807</f>
        <v xml:space="preserve">PSPA </v>
      </c>
      <c r="Q40" s="113">
        <f>DATABASE!R807</f>
        <v>760000</v>
      </c>
      <c r="R40" s="79">
        <f>DATABASE!S807</f>
        <v>760000</v>
      </c>
      <c r="S40" s="79">
        <f>DATABASE!T807</f>
        <v>399000</v>
      </c>
      <c r="T40" s="79">
        <f>DATABASE!U807</f>
        <v>0</v>
      </c>
      <c r="U40" s="79">
        <f>DATABASE!V807</f>
        <v>0</v>
      </c>
      <c r="V40" s="79">
        <f>DATABASE!W807</f>
        <v>399000</v>
      </c>
      <c r="W40" s="80">
        <f>DATABASE!X807</f>
        <v>0</v>
      </c>
      <c r="X40" s="79">
        <f>DATABASE!Y807</f>
        <v>399000</v>
      </c>
      <c r="Y40" s="79">
        <f>DATABASE!Z807</f>
        <v>399000</v>
      </c>
      <c r="Z40" s="79" t="e">
        <f>DATABASE!#REF!</f>
        <v>#REF!</v>
      </c>
      <c r="AA40" s="81" t="e">
        <f>DATABASE!#REF!</f>
        <v>#REF!</v>
      </c>
      <c r="AB40" s="82">
        <f>DATABASE!AB807</f>
        <v>0</v>
      </c>
    </row>
    <row r="41" spans="1:28">
      <c r="A41" s="71" t="str">
        <f>DATABASE!A808</f>
        <v>VP - TOWNHOUSES</v>
      </c>
      <c r="B41" s="89" t="str">
        <f>DATABASE!B808</f>
        <v>North</v>
      </c>
      <c r="C41" s="129" t="str">
        <f>DATABASE!C808</f>
        <v>1D</v>
      </c>
      <c r="D41" s="130" t="str">
        <f>DATABASE!E808</f>
        <v>V4</v>
      </c>
      <c r="E41" s="130">
        <f>DATABASE!F808</f>
        <v>377.21</v>
      </c>
      <c r="F41" s="130">
        <f>DATABASE!G808</f>
        <v>0</v>
      </c>
      <c r="G41" s="130" t="str">
        <f>DATABASE!H808</f>
        <v>4</v>
      </c>
      <c r="H41" s="130" t="str">
        <f>DATABASE!I808</f>
        <v>Yes</v>
      </c>
      <c r="I41" s="75">
        <f>DATABASE!J808</f>
        <v>0</v>
      </c>
      <c r="J41" s="130">
        <f>DATABASE!K808</f>
        <v>98.04</v>
      </c>
      <c r="K41" s="153">
        <f>DATABASE!L808</f>
        <v>55.07</v>
      </c>
      <c r="L41" s="153">
        <f>DATABASE!M808</f>
        <v>0</v>
      </c>
      <c r="M41" s="93">
        <f>DATABASE!N808</f>
        <v>0</v>
      </c>
      <c r="N41" s="111">
        <f>DATABASE!O808</f>
        <v>224.1</v>
      </c>
      <c r="O41" s="111">
        <f>DATABASE!P808</f>
        <v>0</v>
      </c>
      <c r="P41" s="111" t="str">
        <f>DATABASE!Q808</f>
        <v>UPON  REQUEST</v>
      </c>
      <c r="Q41" s="113">
        <f>DATABASE!R808</f>
        <v>1250000</v>
      </c>
      <c r="R41" s="79">
        <f>DATABASE!S808</f>
        <v>1250000</v>
      </c>
      <c r="S41" s="79">
        <f>DATABASE!T808</f>
        <v>1330000</v>
      </c>
      <c r="T41" s="79">
        <f>DATABASE!U808</f>
        <v>0</v>
      </c>
      <c r="U41" s="79">
        <f>DATABASE!V808</f>
        <v>0</v>
      </c>
      <c r="V41" s="79">
        <f>DATABASE!W808</f>
        <v>1330000</v>
      </c>
      <c r="W41" s="80">
        <f>DATABASE!X808</f>
        <v>0</v>
      </c>
      <c r="X41" s="79">
        <f>DATABASE!Y808</f>
        <v>0</v>
      </c>
      <c r="Y41" s="79">
        <f>DATABASE!Z808</f>
        <v>0</v>
      </c>
      <c r="Z41" s="79" t="e">
        <f>DATABASE!#REF!</f>
        <v>#REF!</v>
      </c>
      <c r="AA41" s="81">
        <f>DATABASE!AA808</f>
        <v>0</v>
      </c>
      <c r="AB41" s="82">
        <f>DATABASE!AB808</f>
        <v>47208</v>
      </c>
    </row>
    <row r="42" spans="1:28">
      <c r="A42" s="71" t="str">
        <f>DATABASE!A809</f>
        <v>THE NINE</v>
      </c>
      <c r="B42" s="154" t="str">
        <f>DATABASE!B809</f>
        <v>Vilamoura</v>
      </c>
      <c r="C42" s="129" t="str">
        <f>DATABASE!C809</f>
        <v>E</v>
      </c>
      <c r="D42" s="130" t="str">
        <f>DATABASE!E809</f>
        <v>T2</v>
      </c>
      <c r="E42" s="130">
        <f>DATABASE!F809</f>
        <v>111</v>
      </c>
      <c r="F42" s="130">
        <f>DATABASE!G809</f>
        <v>0</v>
      </c>
      <c r="G42" s="130" t="str">
        <f>DATABASE!H809</f>
        <v/>
      </c>
      <c r="H42" s="130" t="str">
        <f>DATABASE!I809</f>
        <v/>
      </c>
      <c r="I42" s="75">
        <f>DATABASE!J809</f>
        <v>0</v>
      </c>
      <c r="J42" s="130">
        <f>DATABASE!K809</f>
        <v>0</v>
      </c>
      <c r="K42" s="153">
        <f>DATABASE!L809</f>
        <v>0</v>
      </c>
      <c r="L42" s="153">
        <f>DATABASE!M809</f>
        <v>0</v>
      </c>
      <c r="M42" s="93">
        <f>DATABASE!N809</f>
        <v>0</v>
      </c>
      <c r="N42" s="111">
        <f>DATABASE!O809</f>
        <v>111</v>
      </c>
      <c r="O42" s="111">
        <f>DATABASE!P809</f>
        <v>0</v>
      </c>
      <c r="P42" s="111" t="str">
        <f>DATABASE!Q809</f>
        <v xml:space="preserve">DEED </v>
      </c>
      <c r="Q42" s="113">
        <f>DATABASE!R809</f>
        <v>570000</v>
      </c>
      <c r="R42" s="79">
        <f>DATABASE!S809</f>
        <v>570000</v>
      </c>
      <c r="S42" s="79">
        <f>DATABASE!T809</f>
        <v>590000</v>
      </c>
      <c r="T42" s="79">
        <f>DATABASE!U809</f>
        <v>0</v>
      </c>
      <c r="U42" s="79">
        <f>DATABASE!V809</f>
        <v>0</v>
      </c>
      <c r="V42" s="79">
        <f>DATABASE!W809</f>
        <v>590000</v>
      </c>
      <c r="W42" s="80">
        <f>DATABASE!X809</f>
        <v>0</v>
      </c>
      <c r="X42" s="79">
        <f>DATABASE!Y809</f>
        <v>590000</v>
      </c>
      <c r="Y42" s="79">
        <f>DATABASE!Z809</f>
        <v>590000</v>
      </c>
      <c r="Z42" s="79" t="e">
        <f>DATABASE!#REF!</f>
        <v>#REF!</v>
      </c>
      <c r="AA42" s="81">
        <f>DATABASE!AA809</f>
        <v>45140</v>
      </c>
      <c r="AB42" s="82">
        <f>DATABASE!AB809</f>
        <v>0</v>
      </c>
    </row>
    <row r="43" spans="1:28">
      <c r="A43" s="155" t="str">
        <f>DATABASE!A810</f>
        <v>VM PARQUE</v>
      </c>
      <c r="B43" s="154" t="str">
        <f>DATABASE!B810</f>
        <v>Vilamoura</v>
      </c>
      <c r="C43" s="143" t="str">
        <f>DATABASE!C810</f>
        <v>E</v>
      </c>
      <c r="D43" s="144" t="str">
        <f>DATABASE!E810</f>
        <v>V2</v>
      </c>
      <c r="E43" s="144">
        <f>DATABASE!F810</f>
        <v>158.05609999999999</v>
      </c>
      <c r="F43" s="144">
        <f>DATABASE!G810</f>
        <v>0</v>
      </c>
      <c r="G43" s="144" t="str">
        <f>DATABASE!H810</f>
        <v/>
      </c>
      <c r="H43" s="144" t="str">
        <f>DATABASE!I810</f>
        <v/>
      </c>
      <c r="I43" s="75">
        <f>DATABASE!J810</f>
        <v>0</v>
      </c>
      <c r="J43" s="144">
        <f>DATABASE!K810</f>
        <v>0</v>
      </c>
      <c r="K43" s="144">
        <f>DATABASE!L810</f>
        <v>0</v>
      </c>
      <c r="L43" s="144">
        <f>DATABASE!M810</f>
        <v>0</v>
      </c>
      <c r="M43" s="75">
        <f>DATABASE!N810</f>
        <v>0</v>
      </c>
      <c r="N43" s="79">
        <f>DATABASE!O810</f>
        <v>158.05609999999999</v>
      </c>
      <c r="O43" s="79">
        <f>DATABASE!P810</f>
        <v>0</v>
      </c>
      <c r="P43" s="79" t="str">
        <f>DATABASE!Q810</f>
        <v xml:space="preserve">DEED </v>
      </c>
      <c r="Q43" s="79">
        <f>DATABASE!R810</f>
        <v>1009680</v>
      </c>
      <c r="R43" s="79">
        <f>DATABASE!S810</f>
        <v>1009680</v>
      </c>
      <c r="S43" s="79">
        <f>DATABASE!T810</f>
        <v>1040000</v>
      </c>
      <c r="T43" s="79">
        <f>DATABASE!U810</f>
        <v>0</v>
      </c>
      <c r="U43" s="79">
        <f>DATABASE!V810</f>
        <v>0</v>
      </c>
      <c r="V43" s="79">
        <f>DATABASE!W810</f>
        <v>1040000</v>
      </c>
      <c r="W43" s="80">
        <f>DATABASE!X810</f>
        <v>0</v>
      </c>
      <c r="X43" s="79">
        <f>DATABASE!Y810</f>
        <v>1040000</v>
      </c>
      <c r="Y43" s="79">
        <f>DATABASE!Z810</f>
        <v>1040000</v>
      </c>
      <c r="Z43" s="79" t="e">
        <f>DATABASE!#REF!</f>
        <v>#REF!</v>
      </c>
      <c r="AA43" s="81">
        <f>DATABASE!AA810</f>
        <v>45058</v>
      </c>
      <c r="AB43" s="82">
        <f>DATABASE!AB810</f>
        <v>0</v>
      </c>
    </row>
    <row r="44" spans="1:28">
      <c r="A44" s="155" t="str">
        <f>DATABASE!A811</f>
        <v>ZESTIA</v>
      </c>
      <c r="B44" s="154" t="str">
        <f>DATABASE!B811</f>
        <v>Vilamoura</v>
      </c>
      <c r="C44" s="143" t="str">
        <f>DATABASE!C811</f>
        <v>E</v>
      </c>
      <c r="D44" s="144" t="str">
        <f>DATABASE!E811</f>
        <v>T1 +</v>
      </c>
      <c r="E44" s="144">
        <f>DATABASE!F811</f>
        <v>97.59</v>
      </c>
      <c r="F44" s="144">
        <f>DATABASE!G811</f>
        <v>0</v>
      </c>
      <c r="G44" s="144" t="str">
        <f>DATABASE!H811</f>
        <v/>
      </c>
      <c r="H44" s="144" t="str">
        <f>DATABASE!I811</f>
        <v/>
      </c>
      <c r="I44" s="75">
        <f>DATABASE!J811</f>
        <v>26.18</v>
      </c>
      <c r="J44" s="144">
        <f>DATABASE!K811</f>
        <v>0</v>
      </c>
      <c r="K44" s="144">
        <f>DATABASE!L811</f>
        <v>0</v>
      </c>
      <c r="L44" s="144">
        <f>DATABASE!M811</f>
        <v>0</v>
      </c>
      <c r="M44" s="75">
        <f>DATABASE!N811</f>
        <v>0</v>
      </c>
      <c r="N44" s="79">
        <f>DATABASE!O811</f>
        <v>71.41</v>
      </c>
      <c r="O44" s="79">
        <f>DATABASE!P811</f>
        <v>0</v>
      </c>
      <c r="P44" s="79" t="str">
        <f>DATABASE!Q811</f>
        <v>AVAILABLE</v>
      </c>
      <c r="Q44" s="79">
        <f>DATABASE!R811</f>
        <v>572676.78500000003</v>
      </c>
      <c r="R44" s="79">
        <f>DATABASE!S811</f>
        <v>627276.78500000003</v>
      </c>
      <c r="S44" s="79">
        <f>DATABASE!T811</f>
        <v>680000</v>
      </c>
      <c r="T44" s="79">
        <f>DATABASE!U811</f>
        <v>24600</v>
      </c>
      <c r="U44" s="79">
        <f>DATABASE!V811</f>
        <v>30000</v>
      </c>
      <c r="V44" s="79">
        <f>DATABASE!W811</f>
        <v>625400</v>
      </c>
      <c r="W44" s="80">
        <f>DATABASE!X811</f>
        <v>0</v>
      </c>
      <c r="X44" s="79">
        <f>DATABASE!Y811</f>
        <v>680000</v>
      </c>
      <c r="Y44" s="79">
        <f>DATABASE!Z811</f>
        <v>625400</v>
      </c>
      <c r="Z44" s="79" t="e">
        <f>DATABASE!#REF!</f>
        <v>#REF!</v>
      </c>
      <c r="AA44" s="81">
        <f>DATABASE!AA811</f>
        <v>0</v>
      </c>
      <c r="AB44" s="82">
        <f>DATABASE!AB811</f>
        <v>0</v>
      </c>
    </row>
    <row r="45" spans="1:28">
      <c r="A45" s="155" t="str">
        <f>DATABASE!A812</f>
        <v>BOTÂNICA</v>
      </c>
      <c r="B45" s="154" t="str">
        <f>DATABASE!B812</f>
        <v>Vilamoura</v>
      </c>
      <c r="C45" s="143" t="str">
        <f>DATABASE!C812</f>
        <v>F</v>
      </c>
      <c r="D45" s="144" t="str">
        <f>DATABASE!E812</f>
        <v>T2</v>
      </c>
      <c r="E45" s="144">
        <f>DATABASE!F812</f>
        <v>284.64</v>
      </c>
      <c r="F45" s="144">
        <f>DATABASE!G812</f>
        <v>0</v>
      </c>
      <c r="G45" s="144" t="str">
        <f>DATABASE!H812</f>
        <v>2</v>
      </c>
      <c r="H45" s="144" t="str">
        <f>DATABASE!I812</f>
        <v/>
      </c>
      <c r="I45" s="75">
        <f>DATABASE!J812</f>
        <v>0</v>
      </c>
      <c r="J45" s="144">
        <f>DATABASE!K812</f>
        <v>0</v>
      </c>
      <c r="K45" s="144">
        <f>DATABASE!L812</f>
        <v>0</v>
      </c>
      <c r="L45" s="144">
        <f>DATABASE!M812</f>
        <v>158.43</v>
      </c>
      <c r="M45" s="75">
        <f>DATABASE!N812</f>
        <v>0</v>
      </c>
      <c r="N45" s="79">
        <f>DATABASE!O812</f>
        <v>126.21</v>
      </c>
      <c r="O45" s="79">
        <f>DATABASE!P812</f>
        <v>0</v>
      </c>
      <c r="P45" s="79" t="str">
        <f>DATABASE!Q812</f>
        <v xml:space="preserve">PSPA </v>
      </c>
      <c r="Q45" s="79">
        <f>DATABASE!R812</f>
        <v>1066894.29</v>
      </c>
      <c r="R45" s="79">
        <f>DATABASE!S812</f>
        <v>1066894.29</v>
      </c>
      <c r="S45" s="79">
        <f>DATABASE!T812</f>
        <v>1070000</v>
      </c>
      <c r="T45" s="79">
        <f>DATABASE!U812</f>
        <v>0</v>
      </c>
      <c r="U45" s="79">
        <f>DATABASE!V812</f>
        <v>0</v>
      </c>
      <c r="V45" s="79">
        <f>DATABASE!W812</f>
        <v>1070000</v>
      </c>
      <c r="W45" s="80">
        <f>DATABASE!X812</f>
        <v>0</v>
      </c>
      <c r="X45" s="79">
        <f>DATABASE!Y812</f>
        <v>1070000</v>
      </c>
      <c r="Y45" s="79">
        <f>DATABASE!Z812</f>
        <v>1070000</v>
      </c>
      <c r="Z45" s="79" t="e">
        <f>DATABASE!#REF!</f>
        <v>#REF!</v>
      </c>
      <c r="AA45" s="81">
        <f>DATABASE!AA812</f>
        <v>46167</v>
      </c>
      <c r="AB45" s="82">
        <f>DATABASE!AB812</f>
        <v>0</v>
      </c>
    </row>
    <row r="46" spans="1:28">
      <c r="A46" s="155" t="str">
        <f>DATABASE!A813</f>
        <v>NATURA VILLAGE 4</v>
      </c>
      <c r="B46" s="154" t="str">
        <f>DATABASE!B813</f>
        <v>Vilamoura</v>
      </c>
      <c r="C46" s="143" t="str">
        <f>DATABASE!C813</f>
        <v>F</v>
      </c>
      <c r="D46" s="144" t="str">
        <f>DATABASE!E813</f>
        <v>V3</v>
      </c>
      <c r="E46" s="144">
        <f>DATABASE!F813</f>
        <v>177.48</v>
      </c>
      <c r="F46" s="144">
        <f>DATABASE!G813</f>
        <v>0</v>
      </c>
      <c r="G46" s="144" t="str">
        <f>DATABASE!H813</f>
        <v/>
      </c>
      <c r="H46" s="144" t="str">
        <f>DATABASE!I813</f>
        <v/>
      </c>
      <c r="I46" s="75">
        <f>DATABASE!J813</f>
        <v>0</v>
      </c>
      <c r="J46" s="144">
        <f>DATABASE!K813</f>
        <v>0</v>
      </c>
      <c r="K46" s="144">
        <f>DATABASE!L813</f>
        <v>0</v>
      </c>
      <c r="L46" s="144">
        <f>DATABASE!M813</f>
        <v>0</v>
      </c>
      <c r="M46" s="75">
        <f>DATABASE!N813</f>
        <v>0</v>
      </c>
      <c r="N46" s="79">
        <f>DATABASE!O813</f>
        <v>177.48</v>
      </c>
      <c r="O46" s="79">
        <f>DATABASE!P813</f>
        <v>0</v>
      </c>
      <c r="P46" s="79" t="str">
        <f>DATABASE!Q813</f>
        <v xml:space="preserve">DEED </v>
      </c>
      <c r="Q46" s="79">
        <f>DATABASE!R813</f>
        <v>990000</v>
      </c>
      <c r="R46" s="79">
        <f>DATABASE!S813</f>
        <v>990000</v>
      </c>
      <c r="S46" s="79">
        <f>DATABASE!T813</f>
        <v>990000</v>
      </c>
      <c r="T46" s="79">
        <f>DATABASE!U813</f>
        <v>0</v>
      </c>
      <c r="U46" s="79">
        <f>DATABASE!V813</f>
        <v>0</v>
      </c>
      <c r="V46" s="79">
        <f>DATABASE!W813</f>
        <v>990000</v>
      </c>
      <c r="W46" s="80">
        <f>DATABASE!X813</f>
        <v>0</v>
      </c>
      <c r="X46" s="79">
        <f>DATABASE!Y813</f>
        <v>990000</v>
      </c>
      <c r="Y46" s="79">
        <f>DATABASE!Z813</f>
        <v>990000</v>
      </c>
      <c r="Z46" s="79" t="e">
        <f>DATABASE!#REF!</f>
        <v>#REF!</v>
      </c>
      <c r="AA46" s="81">
        <f>DATABASE!AA813</f>
        <v>45133</v>
      </c>
      <c r="AB46" s="82">
        <f>DATABASE!AB813</f>
        <v>0</v>
      </c>
    </row>
    <row r="47" spans="1:28">
      <c r="A47" s="155" t="str">
        <f>DATABASE!A814</f>
        <v>NATURA VILLAGE 7</v>
      </c>
      <c r="B47" s="154" t="str">
        <f>DATABASE!B814</f>
        <v>Vilamoura</v>
      </c>
      <c r="C47" s="143" t="str">
        <f>DATABASE!C814</f>
        <v>F</v>
      </c>
      <c r="D47" s="144" t="str">
        <f>DATABASE!E814</f>
        <v>V2</v>
      </c>
      <c r="E47" s="144">
        <f>DATABASE!F814</f>
        <v>139.58000000000001</v>
      </c>
      <c r="F47" s="144">
        <f>DATABASE!G814</f>
        <v>0</v>
      </c>
      <c r="G47" s="144" t="str">
        <f>DATABASE!H814</f>
        <v/>
      </c>
      <c r="H47" s="144" t="str">
        <f>DATABASE!I814</f>
        <v/>
      </c>
      <c r="I47" s="75">
        <f>DATABASE!J814</f>
        <v>0</v>
      </c>
      <c r="J47" s="144">
        <f>DATABASE!K814</f>
        <v>0</v>
      </c>
      <c r="K47" s="144">
        <f>DATABASE!L814</f>
        <v>0</v>
      </c>
      <c r="L47" s="144">
        <f>DATABASE!M814</f>
        <v>0</v>
      </c>
      <c r="M47" s="75">
        <f>DATABASE!N814</f>
        <v>0</v>
      </c>
      <c r="N47" s="79">
        <f>DATABASE!O814</f>
        <v>139.58000000000001</v>
      </c>
      <c r="O47" s="79">
        <f>DATABASE!P814</f>
        <v>0</v>
      </c>
      <c r="P47" s="79" t="str">
        <f>DATABASE!Q814</f>
        <v xml:space="preserve">DEED </v>
      </c>
      <c r="Q47" s="79">
        <f>DATABASE!R814</f>
        <v>760000</v>
      </c>
      <c r="R47" s="79">
        <f>DATABASE!S814</f>
        <v>760000</v>
      </c>
      <c r="S47" s="79">
        <f>DATABASE!T814</f>
        <v>780000</v>
      </c>
      <c r="T47" s="79">
        <f>DATABASE!U814</f>
        <v>0</v>
      </c>
      <c r="U47" s="79">
        <f>DATABASE!V814</f>
        <v>0</v>
      </c>
      <c r="V47" s="79">
        <f>DATABASE!W814</f>
        <v>780000</v>
      </c>
      <c r="W47" s="80">
        <f>DATABASE!X814</f>
        <v>0</v>
      </c>
      <c r="X47" s="79">
        <f>DATABASE!Y814</f>
        <v>780000</v>
      </c>
      <c r="Y47" s="79">
        <f>DATABASE!Z814</f>
        <v>780000</v>
      </c>
      <c r="Z47" s="79" t="e">
        <f>DATABASE!#REF!</f>
        <v>#REF!</v>
      </c>
      <c r="AA47" s="81">
        <f>DATABASE!AA814</f>
        <v>45841</v>
      </c>
      <c r="AB47" s="82">
        <f>DATABASE!AB814</f>
        <v>0</v>
      </c>
    </row>
    <row r="48" spans="1:28">
      <c r="A48" s="155" t="str">
        <f>DATABASE!A815</f>
        <v>NATURA VILLAGE 9</v>
      </c>
      <c r="B48" s="154" t="str">
        <f>DATABASE!B815</f>
        <v>Vilamoura</v>
      </c>
      <c r="C48" s="143" t="str">
        <f>DATABASE!C815</f>
        <v>F</v>
      </c>
      <c r="D48" s="144" t="str">
        <f>DATABASE!E815</f>
        <v>V3</v>
      </c>
      <c r="E48" s="144">
        <f>DATABASE!F815</f>
        <v>183.88</v>
      </c>
      <c r="F48" s="144">
        <f>DATABASE!G815</f>
        <v>0</v>
      </c>
      <c r="G48" s="144" t="str">
        <f>DATABASE!H815</f>
        <v/>
      </c>
      <c r="H48" s="144" t="str">
        <f>DATABASE!I815</f>
        <v/>
      </c>
      <c r="I48" s="75">
        <f>DATABASE!J815</f>
        <v>0</v>
      </c>
      <c r="J48" s="144">
        <f>DATABASE!K815</f>
        <v>0</v>
      </c>
      <c r="K48" s="144">
        <f>DATABASE!L815</f>
        <v>0</v>
      </c>
      <c r="L48" s="144">
        <f>DATABASE!M815</f>
        <v>0</v>
      </c>
      <c r="M48" s="75">
        <f>DATABASE!N815</f>
        <v>0</v>
      </c>
      <c r="N48" s="79">
        <f>DATABASE!O815</f>
        <v>183.88</v>
      </c>
      <c r="O48" s="79">
        <f>DATABASE!P815</f>
        <v>0</v>
      </c>
      <c r="P48" s="79" t="str">
        <f>DATABASE!Q815</f>
        <v xml:space="preserve">PSPA </v>
      </c>
      <c r="Q48" s="79">
        <f>DATABASE!R815</f>
        <v>1360000</v>
      </c>
      <c r="R48" s="79">
        <f>DATABASE!S815</f>
        <v>1360000</v>
      </c>
      <c r="S48" s="79">
        <f>DATABASE!T815</f>
        <v>1360000</v>
      </c>
      <c r="T48" s="79">
        <f>DATABASE!U815</f>
        <v>0</v>
      </c>
      <c r="U48" s="79">
        <f>DATABASE!V815</f>
        <v>0</v>
      </c>
      <c r="V48" s="79">
        <f>DATABASE!W815</f>
        <v>1360000</v>
      </c>
      <c r="W48" s="80">
        <f>DATABASE!X815</f>
        <v>0</v>
      </c>
      <c r="X48" s="79">
        <f>DATABASE!Y815</f>
        <v>1360000</v>
      </c>
      <c r="Y48" s="79">
        <f>DATABASE!Z815</f>
        <v>1360000</v>
      </c>
      <c r="Z48" s="79" t="e">
        <f>DATABASE!#REF!</f>
        <v>#REF!</v>
      </c>
      <c r="AA48" s="81">
        <f>DATABASE!AA815</f>
        <v>45933</v>
      </c>
      <c r="AB48" s="82">
        <f>DATABASE!AB815</f>
        <v>0</v>
      </c>
    </row>
    <row r="49" spans="1:28">
      <c r="A49" s="155" t="str">
        <f>DATABASE!A816</f>
        <v>NOBILUS</v>
      </c>
      <c r="B49" s="154" t="str">
        <f>DATABASE!B816</f>
        <v>Vilamoura</v>
      </c>
      <c r="C49" s="143" t="str">
        <f>DATABASE!C816</f>
        <v>F</v>
      </c>
      <c r="D49" s="144" t="str">
        <f>DATABASE!E816</f>
        <v>T2</v>
      </c>
      <c r="E49" s="144">
        <f>DATABASE!F816</f>
        <v>106.6</v>
      </c>
      <c r="F49" s="144">
        <f>DATABASE!G816</f>
        <v>3.37</v>
      </c>
      <c r="G49" s="144" t="str">
        <f>DATABASE!H816</f>
        <v>36-37</v>
      </c>
      <c r="H49" s="144" t="str">
        <f>DATABASE!I816</f>
        <v/>
      </c>
      <c r="I49" s="75">
        <f>DATABASE!J816</f>
        <v>0</v>
      </c>
      <c r="J49" s="144">
        <f>DATABASE!K816</f>
        <v>0</v>
      </c>
      <c r="K49" s="144">
        <f>DATABASE!L816</f>
        <v>0</v>
      </c>
      <c r="L49" s="144">
        <f>DATABASE!M816</f>
        <v>0</v>
      </c>
      <c r="M49" s="75">
        <f>DATABASE!N816</f>
        <v>0</v>
      </c>
      <c r="N49" s="79">
        <f>DATABASE!O816</f>
        <v>106.6</v>
      </c>
      <c r="O49" s="79">
        <f>DATABASE!P816</f>
        <v>0</v>
      </c>
      <c r="P49" s="79" t="str">
        <f>DATABASE!Q816</f>
        <v xml:space="preserve">PSPA </v>
      </c>
      <c r="Q49" s="79">
        <f>DATABASE!R816</f>
        <v>700000</v>
      </c>
      <c r="R49" s="79">
        <f>DATABASE!S816</f>
        <v>700000</v>
      </c>
      <c r="S49" s="79">
        <f>DATABASE!T816</f>
        <v>700000</v>
      </c>
      <c r="T49" s="79">
        <f>DATABASE!U816</f>
        <v>0</v>
      </c>
      <c r="U49" s="79">
        <f>DATABASE!V816</f>
        <v>0</v>
      </c>
      <c r="V49" s="79">
        <f>DATABASE!W816</f>
        <v>700000</v>
      </c>
      <c r="W49" s="80">
        <f>DATABASE!X816</f>
        <v>0</v>
      </c>
      <c r="X49" s="79">
        <f>DATABASE!Y816</f>
        <v>700000</v>
      </c>
      <c r="Y49" s="79">
        <f>DATABASE!Z816</f>
        <v>700000</v>
      </c>
      <c r="Z49" s="79" t="e">
        <f>DATABASE!#REF!</f>
        <v>#REF!</v>
      </c>
      <c r="AA49" s="81" t="e">
        <f>DATABASE!#REF!</f>
        <v>#REF!</v>
      </c>
      <c r="AB49" s="82">
        <f>DATABASE!AB816</f>
        <v>0</v>
      </c>
    </row>
    <row r="50" spans="1:28">
      <c r="A50" s="155" t="str">
        <f>DATABASE!A817</f>
        <v>MR - Linked Villas</v>
      </c>
      <c r="B50" s="154" t="str">
        <f>DATABASE!B817</f>
        <v>Algarve</v>
      </c>
      <c r="C50" s="143" t="str">
        <f>DATABASE!C817</f>
        <v>B</v>
      </c>
      <c r="D50" s="144" t="str">
        <f>DATABASE!E817</f>
        <v>T3</v>
      </c>
      <c r="E50" s="144">
        <f>DATABASE!F817</f>
        <v>422.36</v>
      </c>
      <c r="F50" s="144">
        <f>DATABASE!G817</f>
        <v>45.06</v>
      </c>
      <c r="G50" s="144" t="str">
        <f>DATABASE!H817</f>
        <v/>
      </c>
      <c r="H50" s="144" t="str">
        <f>DATABASE!I817</f>
        <v/>
      </c>
      <c r="I50" s="75">
        <f>DATABASE!J817</f>
        <v>131.68</v>
      </c>
      <c r="J50" s="144">
        <f>DATABASE!K817</f>
        <v>0</v>
      </c>
      <c r="K50" s="144">
        <f>DATABASE!L817</f>
        <v>0</v>
      </c>
      <c r="L50" s="144">
        <f>DATABASE!M817</f>
        <v>0</v>
      </c>
      <c r="M50" s="75">
        <f>DATABASE!N817</f>
        <v>0</v>
      </c>
      <c r="N50" s="79">
        <f>DATABASE!O817</f>
        <v>245.62</v>
      </c>
      <c r="O50" s="79">
        <f>DATABASE!P817</f>
        <v>0</v>
      </c>
      <c r="P50" s="79" t="str">
        <f>DATABASE!Q817</f>
        <v>AVAILABLE</v>
      </c>
      <c r="Q50" s="79">
        <f>DATABASE!R817</f>
        <v>1300000</v>
      </c>
      <c r="R50" s="79">
        <f>DATABASE!S817</f>
        <v>1300000</v>
      </c>
      <c r="S50" s="79">
        <f>DATABASE!T817</f>
        <v>1300000</v>
      </c>
      <c r="T50" s="79">
        <f>DATABASE!U817</f>
        <v>0</v>
      </c>
      <c r="U50" s="79">
        <f>DATABASE!V817</f>
        <v>0</v>
      </c>
      <c r="V50" s="79">
        <f>DATABASE!W817</f>
        <v>1300000</v>
      </c>
      <c r="W50" s="80">
        <f>DATABASE!X817</f>
        <v>0</v>
      </c>
      <c r="X50" s="79">
        <f>DATABASE!Y817</f>
        <v>0</v>
      </c>
      <c r="Y50" s="79">
        <f>DATABASE!Z817</f>
        <v>0</v>
      </c>
      <c r="Z50" s="79" t="e">
        <f>DATABASE!#REF!</f>
        <v>#REF!</v>
      </c>
      <c r="AA50" s="81">
        <f>DATABASE!AA817</f>
        <v>0</v>
      </c>
      <c r="AB50" s="82" t="str">
        <f>DATABASE!AB817</f>
        <v>TBD</v>
      </c>
    </row>
    <row r="51" spans="1:28">
      <c r="A51" s="155" t="str">
        <f>DATABASE!A818</f>
        <v>MR - Linked Villas</v>
      </c>
      <c r="B51" s="154" t="str">
        <f>DATABASE!B818</f>
        <v>Algarve</v>
      </c>
      <c r="C51" s="143" t="str">
        <f>DATABASE!C818</f>
        <v>D</v>
      </c>
      <c r="D51" s="144" t="str">
        <f>DATABASE!E818</f>
        <v>T3</v>
      </c>
      <c r="E51" s="144">
        <f>DATABASE!F818</f>
        <v>422.36</v>
      </c>
      <c r="F51" s="144">
        <f>DATABASE!G818</f>
        <v>45.06</v>
      </c>
      <c r="G51" s="144" t="str">
        <f>DATABASE!H818</f>
        <v/>
      </c>
      <c r="H51" s="144" t="str">
        <f>DATABASE!I818</f>
        <v/>
      </c>
      <c r="I51" s="75">
        <f>DATABASE!J818</f>
        <v>131.68</v>
      </c>
      <c r="J51" s="144">
        <f>DATABASE!K818</f>
        <v>0</v>
      </c>
      <c r="K51" s="144">
        <f>DATABASE!L818</f>
        <v>0</v>
      </c>
      <c r="L51" s="144">
        <f>DATABASE!M818</f>
        <v>0</v>
      </c>
      <c r="M51" s="75">
        <f>DATABASE!N818</f>
        <v>0</v>
      </c>
      <c r="N51" s="79">
        <f>DATABASE!O818</f>
        <v>245.62</v>
      </c>
      <c r="O51" s="79">
        <f>DATABASE!P818</f>
        <v>0</v>
      </c>
      <c r="P51" s="79" t="str">
        <f>DATABASE!Q818</f>
        <v>AVAILABLE</v>
      </c>
      <c r="Q51" s="79">
        <f>DATABASE!R818</f>
        <v>1300000</v>
      </c>
      <c r="R51" s="79">
        <f>DATABASE!S818</f>
        <v>1300000</v>
      </c>
      <c r="S51" s="79">
        <f>DATABASE!T818</f>
        <v>1270000</v>
      </c>
      <c r="T51" s="79">
        <f>DATABASE!U818</f>
        <v>0</v>
      </c>
      <c r="U51" s="79">
        <f>DATABASE!V818</f>
        <v>0</v>
      </c>
      <c r="V51" s="79">
        <f>DATABASE!W818</f>
        <v>1270000</v>
      </c>
      <c r="W51" s="80">
        <f>DATABASE!X818</f>
        <v>0</v>
      </c>
      <c r="X51" s="79">
        <f>DATABASE!Y818</f>
        <v>0</v>
      </c>
      <c r="Y51" s="79">
        <f>DATABASE!Z818</f>
        <v>0</v>
      </c>
      <c r="Z51" s="79" t="e">
        <f>DATABASE!#REF!</f>
        <v>#REF!</v>
      </c>
      <c r="AA51" s="81">
        <f>DATABASE!AA818</f>
        <v>0</v>
      </c>
      <c r="AB51" s="82" t="str">
        <f>DATABASE!AB818</f>
        <v>TBD</v>
      </c>
    </row>
    <row r="52" spans="1:28">
      <c r="A52" s="155" t="str">
        <f>DATABASE!A819</f>
        <v>MR - Linked Villas</v>
      </c>
      <c r="B52" s="154" t="str">
        <f>DATABASE!B819</f>
        <v>Algarve</v>
      </c>
      <c r="C52" s="143" t="str">
        <f>DATABASE!C819</f>
        <v>E</v>
      </c>
      <c r="D52" s="144" t="str">
        <f>DATABASE!E819</f>
        <v>T3</v>
      </c>
      <c r="E52" s="144">
        <f>DATABASE!F819</f>
        <v>422.36</v>
      </c>
      <c r="F52" s="144">
        <f>DATABASE!G819</f>
        <v>45.06</v>
      </c>
      <c r="G52" s="144" t="str">
        <f>DATABASE!H819</f>
        <v/>
      </c>
      <c r="H52" s="144" t="str">
        <f>DATABASE!I819</f>
        <v/>
      </c>
      <c r="I52" s="75">
        <f>DATABASE!J819</f>
        <v>131.68</v>
      </c>
      <c r="J52" s="144">
        <f>DATABASE!K819</f>
        <v>0</v>
      </c>
      <c r="K52" s="144">
        <f>DATABASE!L819</f>
        <v>0</v>
      </c>
      <c r="L52" s="144">
        <f>DATABASE!M819</f>
        <v>0</v>
      </c>
      <c r="M52" s="75">
        <f>DATABASE!N819</f>
        <v>0</v>
      </c>
      <c r="N52" s="79">
        <f>DATABASE!O819</f>
        <v>245.62</v>
      </c>
      <c r="O52" s="79">
        <f>DATABASE!P819</f>
        <v>0</v>
      </c>
      <c r="P52" s="79" t="str">
        <f>DATABASE!Q819</f>
        <v>AVAILABLE</v>
      </c>
      <c r="Q52" s="79">
        <f>DATABASE!R819</f>
        <v>1300000</v>
      </c>
      <c r="R52" s="79">
        <f>DATABASE!S819</f>
        <v>1300000</v>
      </c>
      <c r="S52" s="79">
        <f>DATABASE!T819</f>
        <v>1290000</v>
      </c>
      <c r="T52" s="79">
        <f>DATABASE!U819</f>
        <v>0</v>
      </c>
      <c r="U52" s="79">
        <f>DATABASE!V819</f>
        <v>0</v>
      </c>
      <c r="V52" s="79">
        <f>DATABASE!W819</f>
        <v>1290000</v>
      </c>
      <c r="W52" s="80">
        <f>DATABASE!X819</f>
        <v>0</v>
      </c>
      <c r="X52" s="79">
        <f>DATABASE!Y819</f>
        <v>0</v>
      </c>
      <c r="Y52" s="79">
        <f>DATABASE!Z819</f>
        <v>0</v>
      </c>
      <c r="Z52" s="79" t="e">
        <f>DATABASE!#REF!</f>
        <v>#REF!</v>
      </c>
      <c r="AA52" s="81">
        <f>DATABASE!AA819</f>
        <v>0</v>
      </c>
      <c r="AB52" s="82" t="str">
        <f>DATABASE!AB819</f>
        <v>TBD</v>
      </c>
    </row>
    <row r="53" spans="1:28">
      <c r="A53" s="155" t="str">
        <f>DATABASE!A820</f>
        <v>MR - Linked Villas</v>
      </c>
      <c r="B53" s="154" t="str">
        <f>DATABASE!B820</f>
        <v>Algarve</v>
      </c>
      <c r="C53" s="143" t="str">
        <f>DATABASE!C820</f>
        <v>F</v>
      </c>
      <c r="D53" s="144" t="str">
        <f>DATABASE!E820</f>
        <v>T3</v>
      </c>
      <c r="E53" s="144">
        <f>DATABASE!F820</f>
        <v>433.99</v>
      </c>
      <c r="F53" s="144">
        <f>DATABASE!G820</f>
        <v>45.83</v>
      </c>
      <c r="G53" s="144" t="str">
        <f>DATABASE!H820</f>
        <v/>
      </c>
      <c r="H53" s="144" t="str">
        <f>DATABASE!I820</f>
        <v/>
      </c>
      <c r="I53" s="75">
        <f>DATABASE!J820</f>
        <v>136.16</v>
      </c>
      <c r="J53" s="144">
        <f>DATABASE!K820</f>
        <v>0</v>
      </c>
      <c r="K53" s="144">
        <f>DATABASE!L820</f>
        <v>0</v>
      </c>
      <c r="L53" s="144">
        <f>DATABASE!M820</f>
        <v>0</v>
      </c>
      <c r="M53" s="75">
        <f>DATABASE!N820</f>
        <v>0</v>
      </c>
      <c r="N53" s="79">
        <f>DATABASE!O820</f>
        <v>252</v>
      </c>
      <c r="O53" s="79">
        <f>DATABASE!P820</f>
        <v>0</v>
      </c>
      <c r="P53" s="79" t="str">
        <f>DATABASE!Q820</f>
        <v>AVAILABLE</v>
      </c>
      <c r="Q53" s="79">
        <f>DATABASE!R820</f>
        <v>1300000</v>
      </c>
      <c r="R53" s="79">
        <f>DATABASE!S820</f>
        <v>1300000</v>
      </c>
      <c r="S53" s="79">
        <f>DATABASE!T820</f>
        <v>1340000</v>
      </c>
      <c r="T53" s="79">
        <f>DATABASE!U820</f>
        <v>0</v>
      </c>
      <c r="U53" s="79">
        <f>DATABASE!V820</f>
        <v>0</v>
      </c>
      <c r="V53" s="79">
        <f>DATABASE!W820</f>
        <v>1340000</v>
      </c>
      <c r="W53" s="80">
        <f>DATABASE!X820</f>
        <v>0</v>
      </c>
      <c r="X53" s="79">
        <f>DATABASE!Y820</f>
        <v>1340000</v>
      </c>
      <c r="Y53" s="79">
        <f>DATABASE!Z820</f>
        <v>1340000</v>
      </c>
      <c r="Z53" s="79" t="e">
        <f>DATABASE!#REF!</f>
        <v>#REF!</v>
      </c>
      <c r="AA53" s="81">
        <f>DATABASE!AA820</f>
        <v>0</v>
      </c>
      <c r="AB53" s="82" t="str">
        <f>DATABASE!AB820</f>
        <v>TBD</v>
      </c>
    </row>
    <row r="54" spans="1:28">
      <c r="A54" s="155" t="str">
        <f>DATABASE!A821</f>
        <v>MR - Linked Villas</v>
      </c>
      <c r="B54" s="154" t="str">
        <f>DATABASE!B821</f>
        <v>Algarve</v>
      </c>
      <c r="C54" s="143" t="str">
        <f>DATABASE!C821</f>
        <v>G</v>
      </c>
      <c r="D54" s="144" t="str">
        <f>DATABASE!E821</f>
        <v>T3</v>
      </c>
      <c r="E54" s="144">
        <f>DATABASE!F821</f>
        <v>433.99</v>
      </c>
      <c r="F54" s="144">
        <f>DATABASE!G821</f>
        <v>45.83</v>
      </c>
      <c r="G54" s="144" t="str">
        <f>DATABASE!H821</f>
        <v/>
      </c>
      <c r="H54" s="144" t="str">
        <f>DATABASE!I821</f>
        <v/>
      </c>
      <c r="I54" s="75">
        <f>DATABASE!J821</f>
        <v>136.16</v>
      </c>
      <c r="J54" s="144">
        <f>DATABASE!K821</f>
        <v>0</v>
      </c>
      <c r="K54" s="144">
        <f>DATABASE!L821</f>
        <v>0</v>
      </c>
      <c r="L54" s="144">
        <f>DATABASE!M821</f>
        <v>0</v>
      </c>
      <c r="M54" s="75">
        <f>DATABASE!N821</f>
        <v>0</v>
      </c>
      <c r="N54" s="79">
        <f>DATABASE!O821</f>
        <v>252</v>
      </c>
      <c r="O54" s="79">
        <f>DATABASE!P821</f>
        <v>0</v>
      </c>
      <c r="P54" s="79" t="str">
        <f>DATABASE!Q821</f>
        <v>AVAILABLE</v>
      </c>
      <c r="Q54" s="79">
        <f>DATABASE!R821</f>
        <v>1300000</v>
      </c>
      <c r="R54" s="79">
        <f>DATABASE!S821</f>
        <v>1300000</v>
      </c>
      <c r="S54" s="79">
        <f>DATABASE!T821</f>
        <v>1320000</v>
      </c>
      <c r="T54" s="79">
        <f>DATABASE!U821</f>
        <v>0</v>
      </c>
      <c r="U54" s="79">
        <f>DATABASE!V821</f>
        <v>0</v>
      </c>
      <c r="V54" s="79">
        <f>DATABASE!W821</f>
        <v>1320000</v>
      </c>
      <c r="W54" s="80">
        <f>DATABASE!X821</f>
        <v>0</v>
      </c>
      <c r="X54" s="79">
        <f>DATABASE!Y821</f>
        <v>0</v>
      </c>
      <c r="Y54" s="79">
        <f>DATABASE!Z821</f>
        <v>0</v>
      </c>
      <c r="Z54" s="79" t="e">
        <f>DATABASE!#REF!</f>
        <v>#REF!</v>
      </c>
      <c r="AA54" s="81">
        <f>DATABASE!AA821</f>
        <v>0</v>
      </c>
      <c r="AB54" s="82" t="str">
        <f>DATABASE!AB821</f>
        <v>TBD</v>
      </c>
    </row>
    <row r="55" spans="1:28">
      <c r="A55" s="155" t="str">
        <f>DATABASE!A822</f>
        <v>MR - Linked Villas</v>
      </c>
      <c r="B55" s="154" t="str">
        <f>DATABASE!B822</f>
        <v>Algarve</v>
      </c>
      <c r="C55" s="143" t="str">
        <f>DATABASE!C822</f>
        <v>H</v>
      </c>
      <c r="D55" s="144" t="str">
        <f>DATABASE!E822</f>
        <v>T3</v>
      </c>
      <c r="E55" s="144">
        <f>DATABASE!F822</f>
        <v>422.07</v>
      </c>
      <c r="F55" s="144">
        <f>DATABASE!G822</f>
        <v>45.06</v>
      </c>
      <c r="G55" s="144" t="str">
        <f>DATABASE!H822</f>
        <v/>
      </c>
      <c r="H55" s="144" t="str">
        <f>DATABASE!I822</f>
        <v/>
      </c>
      <c r="I55" s="75">
        <f>DATABASE!J822</f>
        <v>134.35</v>
      </c>
      <c r="J55" s="144">
        <f>DATABASE!K822</f>
        <v>0</v>
      </c>
      <c r="K55" s="144">
        <f>DATABASE!L822</f>
        <v>0</v>
      </c>
      <c r="L55" s="144">
        <f>DATABASE!M822</f>
        <v>0</v>
      </c>
      <c r="M55" s="75">
        <f>DATABASE!N822</f>
        <v>0</v>
      </c>
      <c r="N55" s="79">
        <f>DATABASE!O822</f>
        <v>242.66</v>
      </c>
      <c r="O55" s="79">
        <f>DATABASE!P822</f>
        <v>0</v>
      </c>
      <c r="P55" s="79" t="str">
        <f>DATABASE!Q822</f>
        <v>AVAILABLE</v>
      </c>
      <c r="Q55" s="79">
        <f>DATABASE!R822</f>
        <v>1300000</v>
      </c>
      <c r="R55" s="79">
        <f>DATABASE!S822</f>
        <v>1300000</v>
      </c>
      <c r="S55" s="79">
        <f>DATABASE!T822</f>
        <v>1270000</v>
      </c>
      <c r="T55" s="79">
        <f>DATABASE!U822</f>
        <v>0</v>
      </c>
      <c r="U55" s="79">
        <f>DATABASE!V822</f>
        <v>0</v>
      </c>
      <c r="V55" s="79">
        <f>DATABASE!W822</f>
        <v>1270000</v>
      </c>
      <c r="W55" s="80">
        <f>DATABASE!X822</f>
        <v>0</v>
      </c>
      <c r="X55" s="79">
        <f>DATABASE!Y822</f>
        <v>0</v>
      </c>
      <c r="Y55" s="79">
        <f>DATABASE!Z822</f>
        <v>0</v>
      </c>
      <c r="Z55" s="79" t="e">
        <f>DATABASE!#REF!</f>
        <v>#REF!</v>
      </c>
      <c r="AA55" s="81">
        <f>DATABASE!AA822</f>
        <v>0</v>
      </c>
      <c r="AB55" s="82" t="str">
        <f>DATABASE!AB822</f>
        <v>TBD</v>
      </c>
    </row>
    <row r="56" spans="1:28">
      <c r="A56" s="155" t="str">
        <f>DATABASE!A823</f>
        <v>MR - Linked Villas</v>
      </c>
      <c r="B56" s="154" t="str">
        <f>DATABASE!B823</f>
        <v>Algarve</v>
      </c>
      <c r="C56" s="143" t="str">
        <f>DATABASE!C823</f>
        <v>I</v>
      </c>
      <c r="D56" s="144" t="str">
        <f>DATABASE!E823</f>
        <v>T3</v>
      </c>
      <c r="E56" s="144">
        <f>DATABASE!F823</f>
        <v>422.36</v>
      </c>
      <c r="F56" s="144">
        <f>DATABASE!G823</f>
        <v>45.06</v>
      </c>
      <c r="G56" s="144" t="str">
        <f>DATABASE!H823</f>
        <v/>
      </c>
      <c r="H56" s="144" t="str">
        <f>DATABASE!I823</f>
        <v/>
      </c>
      <c r="I56" s="75">
        <f>DATABASE!J823</f>
        <v>131.68</v>
      </c>
      <c r="J56" s="144">
        <f>DATABASE!K823</f>
        <v>0</v>
      </c>
      <c r="K56" s="144">
        <f>DATABASE!L823</f>
        <v>0</v>
      </c>
      <c r="L56" s="144">
        <f>DATABASE!M823</f>
        <v>0</v>
      </c>
      <c r="M56" s="75">
        <f>DATABASE!N823</f>
        <v>0</v>
      </c>
      <c r="N56" s="79">
        <f>DATABASE!O823</f>
        <v>245.62</v>
      </c>
      <c r="O56" s="79">
        <f>DATABASE!P823</f>
        <v>0</v>
      </c>
      <c r="P56" s="79" t="str">
        <f>DATABASE!Q823</f>
        <v>AVAILABLE</v>
      </c>
      <c r="Q56" s="79">
        <f>DATABASE!R823</f>
        <v>1300000</v>
      </c>
      <c r="R56" s="79">
        <f>DATABASE!S823</f>
        <v>1300000</v>
      </c>
      <c r="S56" s="79">
        <f>DATABASE!T823</f>
        <v>1300000</v>
      </c>
      <c r="T56" s="79">
        <f>DATABASE!U823</f>
        <v>0</v>
      </c>
      <c r="U56" s="79">
        <f>DATABASE!V823</f>
        <v>0</v>
      </c>
      <c r="V56" s="79">
        <f>DATABASE!W823</f>
        <v>1300000</v>
      </c>
      <c r="W56" s="80">
        <f>DATABASE!X823</f>
        <v>0</v>
      </c>
      <c r="X56" s="79">
        <f>DATABASE!Y823</f>
        <v>0</v>
      </c>
      <c r="Y56" s="79">
        <f>DATABASE!Z823</f>
        <v>0</v>
      </c>
      <c r="Z56" s="79" t="e">
        <f>DATABASE!#REF!</f>
        <v>#REF!</v>
      </c>
      <c r="AA56" s="81">
        <f>DATABASE!AA823</f>
        <v>0</v>
      </c>
      <c r="AB56" s="82" t="str">
        <f>DATABASE!AB823</f>
        <v>TBD</v>
      </c>
    </row>
    <row r="57" spans="1:28">
      <c r="A57" s="155" t="str">
        <f>DATABASE!A824</f>
        <v>MR - Linked Villas</v>
      </c>
      <c r="B57" s="154" t="str">
        <f>DATABASE!B824</f>
        <v>Algarve</v>
      </c>
      <c r="C57" s="143" t="str">
        <f>DATABASE!C824</f>
        <v>J</v>
      </c>
      <c r="D57" s="144" t="str">
        <f>DATABASE!E824</f>
        <v>T3</v>
      </c>
      <c r="E57" s="144">
        <f>DATABASE!F824</f>
        <v>433.99</v>
      </c>
      <c r="F57" s="144">
        <f>DATABASE!G824</f>
        <v>45.83</v>
      </c>
      <c r="G57" s="144" t="str">
        <f>DATABASE!H824</f>
        <v/>
      </c>
      <c r="H57" s="144" t="str">
        <f>DATABASE!I824</f>
        <v/>
      </c>
      <c r="I57" s="75">
        <f>DATABASE!J824</f>
        <v>136.16</v>
      </c>
      <c r="J57" s="144">
        <f>DATABASE!K824</f>
        <v>0</v>
      </c>
      <c r="K57" s="144">
        <f>DATABASE!L824</f>
        <v>0</v>
      </c>
      <c r="L57" s="144">
        <f>DATABASE!M824</f>
        <v>0</v>
      </c>
      <c r="M57" s="75">
        <f>DATABASE!N824</f>
        <v>0</v>
      </c>
      <c r="N57" s="79">
        <f>DATABASE!O824</f>
        <v>252</v>
      </c>
      <c r="O57" s="79">
        <f>DATABASE!P824</f>
        <v>0</v>
      </c>
      <c r="P57" s="79" t="str">
        <f>DATABASE!Q824</f>
        <v>AVAILABLE</v>
      </c>
      <c r="Q57" s="79">
        <f>DATABASE!R824</f>
        <v>1300000</v>
      </c>
      <c r="R57" s="79">
        <f>DATABASE!S824</f>
        <v>1300000</v>
      </c>
      <c r="S57" s="79">
        <f>DATABASE!T824</f>
        <v>1430000</v>
      </c>
      <c r="T57" s="79">
        <f>DATABASE!U824</f>
        <v>0</v>
      </c>
      <c r="U57" s="79">
        <f>DATABASE!V824</f>
        <v>0</v>
      </c>
      <c r="V57" s="79">
        <f>DATABASE!W824</f>
        <v>1430000</v>
      </c>
      <c r="W57" s="80">
        <f>DATABASE!X824</f>
        <v>0</v>
      </c>
      <c r="X57" s="79">
        <f>DATABASE!Y824</f>
        <v>0</v>
      </c>
      <c r="Y57" s="79">
        <f>DATABASE!Z824</f>
        <v>0</v>
      </c>
      <c r="Z57" s="79" t="e">
        <f>DATABASE!#REF!</f>
        <v>#REF!</v>
      </c>
      <c r="AA57" s="81">
        <f>DATABASE!AA824</f>
        <v>0</v>
      </c>
      <c r="AB57" s="82" t="str">
        <f>DATABASE!AB824</f>
        <v>TBD</v>
      </c>
    </row>
    <row r="58" spans="1:28">
      <c r="A58" s="155" t="str">
        <f>DATABASE!A825</f>
        <v>MR - Linked Villas</v>
      </c>
      <c r="B58" s="154" t="str">
        <f>DATABASE!B825</f>
        <v>Algarve</v>
      </c>
      <c r="C58" s="143" t="str">
        <f>DATABASE!C825</f>
        <v>L</v>
      </c>
      <c r="D58" s="144" t="str">
        <f>DATABASE!E825</f>
        <v>T3</v>
      </c>
      <c r="E58" s="144">
        <f>DATABASE!F825</f>
        <v>422.36</v>
      </c>
      <c r="F58" s="144">
        <f>DATABASE!G825</f>
        <v>45.06</v>
      </c>
      <c r="G58" s="144" t="str">
        <f>DATABASE!H825</f>
        <v/>
      </c>
      <c r="H58" s="144" t="str">
        <f>DATABASE!I825</f>
        <v/>
      </c>
      <c r="I58" s="75">
        <f>DATABASE!J825</f>
        <v>131.68</v>
      </c>
      <c r="J58" s="144">
        <f>DATABASE!K825</f>
        <v>0</v>
      </c>
      <c r="K58" s="144">
        <f>DATABASE!L825</f>
        <v>0</v>
      </c>
      <c r="L58" s="144">
        <f>DATABASE!M825</f>
        <v>0</v>
      </c>
      <c r="M58" s="75">
        <f>DATABASE!N825</f>
        <v>0</v>
      </c>
      <c r="N58" s="79">
        <f>DATABASE!O825</f>
        <v>245.62</v>
      </c>
      <c r="O58" s="79">
        <f>DATABASE!P825</f>
        <v>0</v>
      </c>
      <c r="P58" s="79" t="str">
        <f>DATABASE!Q825</f>
        <v>AVAILABLE</v>
      </c>
      <c r="Q58" s="79">
        <f>DATABASE!R825</f>
        <v>1300000</v>
      </c>
      <c r="R58" s="79">
        <f>DATABASE!S825</f>
        <v>1300000</v>
      </c>
      <c r="S58" s="79">
        <f>DATABASE!T825</f>
        <v>1380000</v>
      </c>
      <c r="T58" s="79">
        <f>DATABASE!U825</f>
        <v>0</v>
      </c>
      <c r="U58" s="79">
        <f>DATABASE!V825</f>
        <v>0</v>
      </c>
      <c r="V58" s="79">
        <f>DATABASE!W825</f>
        <v>1380000</v>
      </c>
      <c r="W58" s="80">
        <f>DATABASE!X825</f>
        <v>0</v>
      </c>
      <c r="X58" s="79">
        <f>DATABASE!Y825</f>
        <v>0</v>
      </c>
      <c r="Y58" s="79">
        <f>DATABASE!Z825</f>
        <v>0</v>
      </c>
      <c r="Z58" s="79" t="e">
        <f>DATABASE!#REF!</f>
        <v>#REF!</v>
      </c>
      <c r="AA58" s="81">
        <f>DATABASE!AA825</f>
        <v>0</v>
      </c>
      <c r="AB58" s="82" t="str">
        <f>DATABASE!AB825</f>
        <v>TBD</v>
      </c>
    </row>
    <row r="59" spans="1:28">
      <c r="A59" s="155" t="str">
        <f>DATABASE!A826</f>
        <v>MR - Linked Villas</v>
      </c>
      <c r="B59" s="154" t="str">
        <f>DATABASE!B826</f>
        <v>Algarve</v>
      </c>
      <c r="C59" s="143" t="str">
        <f>DATABASE!C826</f>
        <v>N</v>
      </c>
      <c r="D59" s="144" t="str">
        <f>DATABASE!E826</f>
        <v>T3</v>
      </c>
      <c r="E59" s="144">
        <f>DATABASE!F826</f>
        <v>433.99</v>
      </c>
      <c r="F59" s="144">
        <f>DATABASE!G826</f>
        <v>45.83</v>
      </c>
      <c r="G59" s="144" t="str">
        <f>DATABASE!H826</f>
        <v/>
      </c>
      <c r="H59" s="144" t="str">
        <f>DATABASE!I826</f>
        <v/>
      </c>
      <c r="I59" s="75">
        <f>DATABASE!J826</f>
        <v>136.16</v>
      </c>
      <c r="J59" s="144">
        <f>DATABASE!K826</f>
        <v>0</v>
      </c>
      <c r="K59" s="144">
        <f>DATABASE!L826</f>
        <v>0</v>
      </c>
      <c r="L59" s="144">
        <f>DATABASE!M826</f>
        <v>0</v>
      </c>
      <c r="M59" s="75">
        <f>DATABASE!N826</f>
        <v>0</v>
      </c>
      <c r="N59" s="79">
        <f>DATABASE!O826</f>
        <v>252</v>
      </c>
      <c r="O59" s="79">
        <f>DATABASE!P826</f>
        <v>0</v>
      </c>
      <c r="P59" s="79" t="str">
        <f>DATABASE!Q826</f>
        <v>AVAILABLE</v>
      </c>
      <c r="Q59" s="79">
        <f>DATABASE!R826</f>
        <v>1300000</v>
      </c>
      <c r="R59" s="79">
        <f>DATABASE!S826</f>
        <v>1300000</v>
      </c>
      <c r="S59" s="79">
        <f>DATABASE!T826</f>
        <v>1190000</v>
      </c>
      <c r="T59" s="79">
        <f>DATABASE!U826</f>
        <v>0</v>
      </c>
      <c r="U59" s="79">
        <f>DATABASE!V826</f>
        <v>0</v>
      </c>
      <c r="V59" s="79">
        <f>DATABASE!W826</f>
        <v>1190000</v>
      </c>
      <c r="W59" s="80">
        <f>DATABASE!X826</f>
        <v>0</v>
      </c>
      <c r="X59" s="79">
        <f>DATABASE!Y826</f>
        <v>0</v>
      </c>
      <c r="Y59" s="79">
        <f>DATABASE!Z826</f>
        <v>0</v>
      </c>
      <c r="Z59" s="79" t="e">
        <f>DATABASE!#REF!</f>
        <v>#REF!</v>
      </c>
      <c r="AA59" s="81">
        <f>DATABASE!AA826</f>
        <v>0</v>
      </c>
      <c r="AB59" s="82" t="str">
        <f>DATABASE!AB826</f>
        <v>TBD</v>
      </c>
    </row>
    <row r="60" spans="1:28">
      <c r="A60" s="155" t="str">
        <f>DATABASE!A827</f>
        <v>MR - Linked Villas</v>
      </c>
      <c r="B60" s="154" t="str">
        <f>DATABASE!B827</f>
        <v>Algarve</v>
      </c>
      <c r="C60" s="143" t="str">
        <f>DATABASE!C827</f>
        <v>O</v>
      </c>
      <c r="D60" s="144" t="str">
        <f>DATABASE!E827</f>
        <v>T3</v>
      </c>
      <c r="E60" s="144">
        <f>DATABASE!F827</f>
        <v>422.36</v>
      </c>
      <c r="F60" s="144">
        <f>DATABASE!G827</f>
        <v>45.06</v>
      </c>
      <c r="G60" s="144" t="str">
        <f>DATABASE!H827</f>
        <v/>
      </c>
      <c r="H60" s="144" t="str">
        <f>DATABASE!I827</f>
        <v/>
      </c>
      <c r="I60" s="75">
        <f>DATABASE!J827</f>
        <v>131.68</v>
      </c>
      <c r="J60" s="144">
        <f>DATABASE!K827</f>
        <v>0</v>
      </c>
      <c r="K60" s="144">
        <f>DATABASE!L827</f>
        <v>0</v>
      </c>
      <c r="L60" s="144">
        <f>DATABASE!M827</f>
        <v>0</v>
      </c>
      <c r="M60" s="75">
        <f>DATABASE!N827</f>
        <v>0</v>
      </c>
      <c r="N60" s="79">
        <f>DATABASE!O827</f>
        <v>245.62</v>
      </c>
      <c r="O60" s="79">
        <f>DATABASE!P827</f>
        <v>0</v>
      </c>
      <c r="P60" s="79" t="str">
        <f>DATABASE!Q827</f>
        <v>AVAILABLE</v>
      </c>
      <c r="Q60" s="79">
        <f>DATABASE!R827</f>
        <v>1300000</v>
      </c>
      <c r="R60" s="79">
        <f>DATABASE!S827</f>
        <v>1300000</v>
      </c>
      <c r="S60" s="79">
        <f>DATABASE!T827</f>
        <v>1250000</v>
      </c>
      <c r="T60" s="79">
        <f>DATABASE!U827</f>
        <v>0</v>
      </c>
      <c r="U60" s="79">
        <f>DATABASE!V827</f>
        <v>0</v>
      </c>
      <c r="V60" s="79">
        <f>DATABASE!W827</f>
        <v>1250000</v>
      </c>
      <c r="W60" s="80">
        <f>DATABASE!X827</f>
        <v>0</v>
      </c>
      <c r="X60" s="79">
        <f>DATABASE!Y827</f>
        <v>0</v>
      </c>
      <c r="Y60" s="79">
        <f>DATABASE!Z827</f>
        <v>0</v>
      </c>
      <c r="Z60" s="79" t="e">
        <f>DATABASE!#REF!</f>
        <v>#REF!</v>
      </c>
      <c r="AA60" s="81">
        <f>DATABASE!AA827</f>
        <v>0</v>
      </c>
      <c r="AB60" s="82" t="str">
        <f>DATABASE!AB827</f>
        <v>TBD</v>
      </c>
    </row>
    <row r="61" spans="1:28">
      <c r="A61" s="155" t="str">
        <f>DATABASE!A828</f>
        <v>MR - Linked Villas</v>
      </c>
      <c r="B61" s="154" t="str">
        <f>DATABASE!B828</f>
        <v>Algarve</v>
      </c>
      <c r="C61" s="143" t="str">
        <f>DATABASE!C828</f>
        <v>Q</v>
      </c>
      <c r="D61" s="144" t="str">
        <f>DATABASE!E828</f>
        <v>T3</v>
      </c>
      <c r="E61" s="144">
        <f>DATABASE!F828</f>
        <v>433.99</v>
      </c>
      <c r="F61" s="144">
        <f>DATABASE!G828</f>
        <v>45.83</v>
      </c>
      <c r="G61" s="144" t="str">
        <f>DATABASE!H828</f>
        <v/>
      </c>
      <c r="H61" s="144" t="str">
        <f>DATABASE!I828</f>
        <v/>
      </c>
      <c r="I61" s="75">
        <f>DATABASE!J828</f>
        <v>136.16</v>
      </c>
      <c r="J61" s="144">
        <f>DATABASE!K828</f>
        <v>0</v>
      </c>
      <c r="K61" s="144">
        <f>DATABASE!L828</f>
        <v>0</v>
      </c>
      <c r="L61" s="144">
        <f>DATABASE!M828</f>
        <v>0</v>
      </c>
      <c r="M61" s="75">
        <f>DATABASE!N828</f>
        <v>0</v>
      </c>
      <c r="N61" s="79">
        <f>DATABASE!O828</f>
        <v>252</v>
      </c>
      <c r="O61" s="79">
        <f>DATABASE!P828</f>
        <v>0</v>
      </c>
      <c r="P61" s="79" t="str">
        <f>DATABASE!Q828</f>
        <v>AVAILABLE</v>
      </c>
      <c r="Q61" s="79">
        <f>DATABASE!R828</f>
        <v>1300000</v>
      </c>
      <c r="R61" s="79">
        <f>DATABASE!S828</f>
        <v>1300000</v>
      </c>
      <c r="S61" s="79">
        <f>DATABASE!T828</f>
        <v>1260000</v>
      </c>
      <c r="T61" s="79">
        <f>DATABASE!U828</f>
        <v>0</v>
      </c>
      <c r="U61" s="79">
        <f>DATABASE!V828</f>
        <v>0</v>
      </c>
      <c r="V61" s="79">
        <f>DATABASE!W828</f>
        <v>1260000</v>
      </c>
      <c r="W61" s="80">
        <f>DATABASE!X828</f>
        <v>0</v>
      </c>
      <c r="X61" s="79">
        <f>DATABASE!Y828</f>
        <v>0</v>
      </c>
      <c r="Y61" s="79">
        <f>DATABASE!Z828</f>
        <v>0</v>
      </c>
      <c r="Z61" s="79" t="e">
        <f>DATABASE!#REF!</f>
        <v>#REF!</v>
      </c>
      <c r="AA61" s="81">
        <f>DATABASE!AA828</f>
        <v>0</v>
      </c>
      <c r="AB61" s="82" t="str">
        <f>DATABASE!AB828</f>
        <v>TBD</v>
      </c>
    </row>
    <row r="62" spans="1:28">
      <c r="A62" s="155" t="str">
        <f>DATABASE!A829</f>
        <v>MR - Linked Villas</v>
      </c>
      <c r="B62" s="154" t="str">
        <f>DATABASE!B829</f>
        <v>Algarve</v>
      </c>
      <c r="C62" s="143" t="str">
        <f>DATABASE!C829</f>
        <v>R</v>
      </c>
      <c r="D62" s="144" t="str">
        <f>DATABASE!E829</f>
        <v>T3</v>
      </c>
      <c r="E62" s="144">
        <f>DATABASE!F829</f>
        <v>433.99</v>
      </c>
      <c r="F62" s="144">
        <f>DATABASE!G829</f>
        <v>45.83</v>
      </c>
      <c r="G62" s="144" t="str">
        <f>DATABASE!H829</f>
        <v/>
      </c>
      <c r="H62" s="144" t="str">
        <f>DATABASE!I829</f>
        <v/>
      </c>
      <c r="I62" s="75">
        <f>DATABASE!J829</f>
        <v>136.16</v>
      </c>
      <c r="J62" s="144">
        <f>DATABASE!K829</f>
        <v>0</v>
      </c>
      <c r="K62" s="144">
        <f>DATABASE!L829</f>
        <v>0</v>
      </c>
      <c r="L62" s="144">
        <f>DATABASE!M829</f>
        <v>0</v>
      </c>
      <c r="M62" s="75">
        <f>DATABASE!N829</f>
        <v>0</v>
      </c>
      <c r="N62" s="79">
        <f>DATABASE!O829</f>
        <v>252</v>
      </c>
      <c r="O62" s="79">
        <f>DATABASE!P829</f>
        <v>0</v>
      </c>
      <c r="P62" s="79" t="str">
        <f>DATABASE!Q829</f>
        <v>AVAILABLE</v>
      </c>
      <c r="Q62" s="79">
        <f>DATABASE!R829</f>
        <v>1300000</v>
      </c>
      <c r="R62" s="79">
        <f>DATABASE!S829</f>
        <v>1300000</v>
      </c>
      <c r="S62" s="79">
        <f>DATABASE!T829</f>
        <v>1190000</v>
      </c>
      <c r="T62" s="79">
        <f>DATABASE!U829</f>
        <v>0</v>
      </c>
      <c r="U62" s="79">
        <f>DATABASE!V829</f>
        <v>0</v>
      </c>
      <c r="V62" s="79">
        <f>DATABASE!W829</f>
        <v>1190000</v>
      </c>
      <c r="W62" s="80">
        <f>DATABASE!X829</f>
        <v>0</v>
      </c>
      <c r="X62" s="79">
        <f>DATABASE!Y829</f>
        <v>0</v>
      </c>
      <c r="Y62" s="79">
        <f>DATABASE!Z829</f>
        <v>0</v>
      </c>
      <c r="Z62" s="79" t="e">
        <f>DATABASE!#REF!</f>
        <v>#REF!</v>
      </c>
      <c r="AA62" s="81">
        <f>DATABASE!AA829</f>
        <v>0</v>
      </c>
      <c r="AB62" s="82" t="str">
        <f>DATABASE!AB829</f>
        <v>TBD</v>
      </c>
    </row>
    <row r="63" spans="1:28">
      <c r="A63" s="155" t="str">
        <f>DATABASE!A830</f>
        <v>MR - Linked Villas</v>
      </c>
      <c r="B63" s="154" t="str">
        <f>DATABASE!B830</f>
        <v>Algarve</v>
      </c>
      <c r="C63" s="143" t="str">
        <f>DATABASE!C830</f>
        <v>Z</v>
      </c>
      <c r="D63" s="144" t="str">
        <f>DATABASE!E830</f>
        <v>T3</v>
      </c>
      <c r="E63" s="144">
        <f>DATABASE!F830</f>
        <v>422.07</v>
      </c>
      <c r="F63" s="144">
        <f>DATABASE!G830</f>
        <v>45.06</v>
      </c>
      <c r="G63" s="144" t="str">
        <f>DATABASE!H830</f>
        <v/>
      </c>
      <c r="H63" s="144" t="str">
        <f>DATABASE!I830</f>
        <v/>
      </c>
      <c r="I63" s="75">
        <f>DATABASE!J830</f>
        <v>134.35</v>
      </c>
      <c r="J63" s="144">
        <f>DATABASE!K830</f>
        <v>0</v>
      </c>
      <c r="K63" s="144">
        <f>DATABASE!L830</f>
        <v>0</v>
      </c>
      <c r="L63" s="144">
        <f>DATABASE!M830</f>
        <v>0</v>
      </c>
      <c r="M63" s="75">
        <f>DATABASE!N830</f>
        <v>0</v>
      </c>
      <c r="N63" s="79">
        <f>DATABASE!O830</f>
        <v>242.66</v>
      </c>
      <c r="O63" s="79">
        <f>DATABASE!P830</f>
        <v>0</v>
      </c>
      <c r="P63" s="79" t="str">
        <f>DATABASE!Q830</f>
        <v>AVAILABLE</v>
      </c>
      <c r="Q63" s="79">
        <f>DATABASE!R830</f>
        <v>1300000</v>
      </c>
      <c r="R63" s="79">
        <f>DATABASE!S830</f>
        <v>1300000</v>
      </c>
      <c r="S63" s="79">
        <f>DATABASE!T830</f>
        <v>1320000</v>
      </c>
      <c r="T63" s="79">
        <f>DATABASE!U830</f>
        <v>0</v>
      </c>
      <c r="U63" s="79">
        <f>DATABASE!V830</f>
        <v>0</v>
      </c>
      <c r="V63" s="79">
        <f>DATABASE!W830</f>
        <v>1320000</v>
      </c>
      <c r="W63" s="80">
        <f>DATABASE!X830</f>
        <v>0</v>
      </c>
      <c r="X63" s="79">
        <f>DATABASE!Y830</f>
        <v>0</v>
      </c>
      <c r="Y63" s="79">
        <f>DATABASE!Z830</f>
        <v>0</v>
      </c>
      <c r="Z63" s="79" t="e">
        <f>DATABASE!#REF!</f>
        <v>#REF!</v>
      </c>
      <c r="AA63" s="81">
        <f>DATABASE!AA830</f>
        <v>0</v>
      </c>
      <c r="AB63" s="82" t="str">
        <f>DATABASE!AB830</f>
        <v>TBD</v>
      </c>
    </row>
    <row r="64" spans="1:28">
      <c r="A64" s="155" t="str">
        <f>DATABASE!A831</f>
        <v>MR - Linked Villas</v>
      </c>
      <c r="B64" s="154" t="str">
        <f>DATABASE!B831</f>
        <v>Algarve</v>
      </c>
      <c r="C64" s="143" t="str">
        <f>DATABASE!C831</f>
        <v>AJ</v>
      </c>
      <c r="D64" s="144" t="str">
        <f>DATABASE!E831</f>
        <v>T3</v>
      </c>
      <c r="E64" s="144">
        <f>DATABASE!F831</f>
        <v>422.36</v>
      </c>
      <c r="F64" s="144">
        <f>DATABASE!G831</f>
        <v>45.06</v>
      </c>
      <c r="G64" s="144" t="str">
        <f>DATABASE!H831</f>
        <v/>
      </c>
      <c r="H64" s="144" t="str">
        <f>DATABASE!I831</f>
        <v/>
      </c>
      <c r="I64" s="75">
        <f>DATABASE!J831</f>
        <v>131.68</v>
      </c>
      <c r="J64" s="144">
        <f>DATABASE!K831</f>
        <v>0</v>
      </c>
      <c r="K64" s="144">
        <f>DATABASE!L831</f>
        <v>0</v>
      </c>
      <c r="L64" s="144">
        <f>DATABASE!M831</f>
        <v>0</v>
      </c>
      <c r="M64" s="75">
        <f>DATABASE!N831</f>
        <v>0</v>
      </c>
      <c r="N64" s="79">
        <f>DATABASE!O831</f>
        <v>245.62</v>
      </c>
      <c r="O64" s="79">
        <f>DATABASE!P831</f>
        <v>0</v>
      </c>
      <c r="P64" s="79" t="str">
        <f>DATABASE!Q831</f>
        <v>AVAILABLE</v>
      </c>
      <c r="Q64" s="79">
        <f>DATABASE!R831</f>
        <v>1300000</v>
      </c>
      <c r="R64" s="79">
        <f>DATABASE!S831</f>
        <v>1300000</v>
      </c>
      <c r="S64" s="79">
        <f>DATABASE!T831</f>
        <v>1350000</v>
      </c>
      <c r="T64" s="79">
        <f>DATABASE!U831</f>
        <v>0</v>
      </c>
      <c r="U64" s="79">
        <f>DATABASE!V831</f>
        <v>0</v>
      </c>
      <c r="V64" s="79">
        <f>DATABASE!W831</f>
        <v>1350000</v>
      </c>
      <c r="W64" s="80">
        <f>DATABASE!X831</f>
        <v>0</v>
      </c>
      <c r="X64" s="79">
        <f>DATABASE!Y831</f>
        <v>1350000</v>
      </c>
      <c r="Y64" s="79">
        <f>DATABASE!Z831</f>
        <v>1350000</v>
      </c>
      <c r="Z64" s="79" t="e">
        <f>DATABASE!#REF!</f>
        <v>#REF!</v>
      </c>
      <c r="AA64" s="81">
        <f>DATABASE!AA831</f>
        <v>0</v>
      </c>
      <c r="AB64" s="82" t="str">
        <f>DATABASE!AB831</f>
        <v>TBD</v>
      </c>
    </row>
    <row r="65" spans="1:28">
      <c r="A65" s="155" t="str">
        <f>DATABASE!A832</f>
        <v>MR - Linked Villas</v>
      </c>
      <c r="B65" s="154" t="str">
        <f>DATABASE!B832</f>
        <v>Algarve</v>
      </c>
      <c r="C65" s="143" t="str">
        <f>DATABASE!C832</f>
        <v>AK</v>
      </c>
      <c r="D65" s="144" t="str">
        <f>DATABASE!E832</f>
        <v>T3</v>
      </c>
      <c r="E65" s="144">
        <f>DATABASE!F832</f>
        <v>433.99</v>
      </c>
      <c r="F65" s="144">
        <f>DATABASE!G832</f>
        <v>45.83</v>
      </c>
      <c r="G65" s="144" t="str">
        <f>DATABASE!H832</f>
        <v/>
      </c>
      <c r="H65" s="144" t="str">
        <f>DATABASE!I832</f>
        <v/>
      </c>
      <c r="I65" s="75">
        <f>DATABASE!J832</f>
        <v>136.16</v>
      </c>
      <c r="J65" s="144">
        <f>DATABASE!K832</f>
        <v>0</v>
      </c>
      <c r="K65" s="144">
        <f>DATABASE!L832</f>
        <v>0</v>
      </c>
      <c r="L65" s="144">
        <f>DATABASE!M832</f>
        <v>0</v>
      </c>
      <c r="M65" s="75">
        <f>DATABASE!N832</f>
        <v>0</v>
      </c>
      <c r="N65" s="79">
        <f>DATABASE!O832</f>
        <v>252</v>
      </c>
      <c r="O65" s="79">
        <f>DATABASE!P832</f>
        <v>0</v>
      </c>
      <c r="P65" s="79" t="str">
        <f>DATABASE!Q832</f>
        <v>AVAILABLE</v>
      </c>
      <c r="Q65" s="79">
        <f>DATABASE!R832</f>
        <v>1300000</v>
      </c>
      <c r="R65" s="79">
        <f>DATABASE!S832</f>
        <v>1300000</v>
      </c>
      <c r="S65" s="79">
        <f>DATABASE!T832</f>
        <v>1390000</v>
      </c>
      <c r="T65" s="79">
        <f>DATABASE!U832</f>
        <v>0</v>
      </c>
      <c r="U65" s="79">
        <f>DATABASE!V832</f>
        <v>0</v>
      </c>
      <c r="V65" s="79">
        <f>DATABASE!W832</f>
        <v>1390000</v>
      </c>
      <c r="W65" s="80">
        <f>DATABASE!X832</f>
        <v>0</v>
      </c>
      <c r="X65" s="79">
        <f>DATABASE!Y832</f>
        <v>0</v>
      </c>
      <c r="Y65" s="79">
        <f>DATABASE!Z832</f>
        <v>0</v>
      </c>
      <c r="Z65" s="79" t="e">
        <f>DATABASE!#REF!</f>
        <v>#REF!</v>
      </c>
      <c r="AA65" s="81">
        <f>DATABASE!AA832</f>
        <v>0</v>
      </c>
      <c r="AB65" s="82" t="str">
        <f>DATABASE!AB832</f>
        <v>TBD</v>
      </c>
    </row>
    <row r="66" spans="1:28">
      <c r="A66" s="155" t="str">
        <f>DATABASE!A833</f>
        <v>Rivus</v>
      </c>
      <c r="B66" s="154" t="str">
        <f>DATABASE!B833</f>
        <v>Vilamoura</v>
      </c>
      <c r="C66" s="143" t="str">
        <f>DATABASE!C833</f>
        <v>F</v>
      </c>
      <c r="D66" s="144" t="str">
        <f>DATABASE!E833</f>
        <v>T2</v>
      </c>
      <c r="E66" s="144">
        <f>DATABASE!F833</f>
        <v>0</v>
      </c>
      <c r="F66" s="144">
        <f>DATABASE!G833</f>
        <v>0</v>
      </c>
      <c r="G66" s="144" t="str">
        <f>DATABASE!H833</f>
        <v/>
      </c>
      <c r="H66" s="144" t="str">
        <f>DATABASE!I833</f>
        <v/>
      </c>
      <c r="I66" s="75">
        <f>DATABASE!J833</f>
        <v>0</v>
      </c>
      <c r="J66" s="144">
        <f>DATABASE!K833</f>
        <v>78</v>
      </c>
      <c r="K66" s="144">
        <f>DATABASE!L833</f>
        <v>0</v>
      </c>
      <c r="L66" s="144">
        <f>DATABASE!M833</f>
        <v>0</v>
      </c>
      <c r="M66" s="75">
        <f>DATABASE!N833</f>
        <v>0</v>
      </c>
      <c r="N66" s="79">
        <f>DATABASE!O833</f>
        <v>105</v>
      </c>
      <c r="O66" s="79">
        <f>DATABASE!P833</f>
        <v>0</v>
      </c>
      <c r="P66" s="79" t="str">
        <f>DATABASE!Q833</f>
        <v>RESERVED</v>
      </c>
      <c r="Q66" s="79">
        <f>DATABASE!R833</f>
        <v>760000</v>
      </c>
      <c r="R66" s="79">
        <f>DATABASE!S833</f>
        <v>760000</v>
      </c>
      <c r="S66" s="79">
        <f>DATABASE!T833</f>
        <v>760000</v>
      </c>
      <c r="T66" s="79">
        <f>DATABASE!U833</f>
        <v>0</v>
      </c>
      <c r="U66" s="79">
        <f>DATABASE!V833</f>
        <v>0</v>
      </c>
      <c r="V66" s="79">
        <f>DATABASE!W833</f>
        <v>760000</v>
      </c>
      <c r="W66" s="80">
        <f>DATABASE!X833</f>
        <v>0.02</v>
      </c>
      <c r="X66" s="79">
        <f>DATABASE!Y833</f>
        <v>744800</v>
      </c>
      <c r="Y66" s="79">
        <f>DATABASE!Z833</f>
        <v>744800</v>
      </c>
      <c r="Z66" s="79" t="e">
        <f>DATABASE!#REF!</f>
        <v>#REF!</v>
      </c>
      <c r="AA66" s="81">
        <f>DATABASE!AA833</f>
        <v>0</v>
      </c>
      <c r="AB66" s="82">
        <f>DATABASE!AB833</f>
        <v>0</v>
      </c>
    </row>
    <row r="67" spans="1:28">
      <c r="A67" s="155" t="str">
        <f>DATABASE!A834</f>
        <v>SPRINGS</v>
      </c>
      <c r="B67" s="154" t="str">
        <f>DATABASE!B834</f>
        <v>Vilamoura</v>
      </c>
      <c r="C67" s="143" t="str">
        <f>DATABASE!C834</f>
        <v>F</v>
      </c>
      <c r="D67" s="144" t="str">
        <f>DATABASE!E834</f>
        <v>V3</v>
      </c>
      <c r="E67" s="144">
        <f>DATABASE!F834</f>
        <v>321.57</v>
      </c>
      <c r="F67" s="144">
        <f>DATABASE!G834</f>
        <v>163.77000000000001</v>
      </c>
      <c r="G67" s="144" t="str">
        <f>DATABASE!H834</f>
        <v/>
      </c>
      <c r="H67" s="144" t="str">
        <f>DATABASE!I834</f>
        <v/>
      </c>
      <c r="I67" s="75">
        <f>DATABASE!J834</f>
        <v>0</v>
      </c>
      <c r="J67" s="144">
        <f>DATABASE!K834</f>
        <v>0</v>
      </c>
      <c r="K67" s="144">
        <f>DATABASE!L834</f>
        <v>0</v>
      </c>
      <c r="L67" s="144">
        <f>DATABASE!M834</f>
        <v>0</v>
      </c>
      <c r="M67" s="75">
        <f>DATABASE!N834</f>
        <v>0</v>
      </c>
      <c r="N67" s="79">
        <f>DATABASE!O834</f>
        <v>157.80000000000001</v>
      </c>
      <c r="O67" s="79">
        <f>DATABASE!P834</f>
        <v>0</v>
      </c>
      <c r="P67" s="79" t="str">
        <f>DATABASE!Q834</f>
        <v>AVAILABLE</v>
      </c>
      <c r="Q67" s="79">
        <f>DATABASE!R834</f>
        <v>1702100</v>
      </c>
      <c r="R67" s="79">
        <f>DATABASE!S834</f>
        <v>1791050</v>
      </c>
      <c r="S67" s="79">
        <f>DATABASE!T834</f>
        <v>1880000</v>
      </c>
      <c r="T67" s="79">
        <f>DATABASE!U834</f>
        <v>24600</v>
      </c>
      <c r="U67" s="79">
        <f>DATABASE!V834</f>
        <v>64350</v>
      </c>
      <c r="V67" s="79">
        <f>DATABASE!W834</f>
        <v>1791050</v>
      </c>
      <c r="W67" s="80">
        <f>DATABASE!X834</f>
        <v>0</v>
      </c>
      <c r="X67" s="79">
        <f>DATABASE!Y834</f>
        <v>1880000</v>
      </c>
      <c r="Y67" s="79">
        <f>DATABASE!Z834</f>
        <v>1791050</v>
      </c>
      <c r="Z67" s="79" t="e">
        <f>DATABASE!#REF!</f>
        <v>#REF!</v>
      </c>
      <c r="AA67" s="81">
        <f>DATABASE!AA834</f>
        <v>0</v>
      </c>
      <c r="AB67" s="82">
        <f>DATABASE!AB834</f>
        <v>0</v>
      </c>
    </row>
    <row r="68" spans="1:28">
      <c r="A68" s="155" t="str">
        <f>DATABASE!A835</f>
        <v>TERRACOTA</v>
      </c>
      <c r="B68" s="154" t="str">
        <f>DATABASE!B835</f>
        <v>Vilamoura</v>
      </c>
      <c r="C68" s="143" t="str">
        <f>DATABASE!C835</f>
        <v>F</v>
      </c>
      <c r="D68" s="144" t="str">
        <f>DATABASE!E835</f>
        <v>T2</v>
      </c>
      <c r="E68" s="144">
        <f>DATABASE!F835</f>
        <v>78.3</v>
      </c>
      <c r="F68" s="144">
        <f>DATABASE!G835</f>
        <v>0</v>
      </c>
      <c r="G68" s="144" t="str">
        <f>DATABASE!H835</f>
        <v/>
      </c>
      <c r="H68" s="144" t="str">
        <f>DATABASE!I835</f>
        <v/>
      </c>
      <c r="I68" s="75">
        <f>DATABASE!J835</f>
        <v>0</v>
      </c>
      <c r="J68" s="144">
        <f>DATABASE!K835</f>
        <v>0</v>
      </c>
      <c r="K68" s="144">
        <f>DATABASE!L835</f>
        <v>0</v>
      </c>
      <c r="L68" s="144">
        <f>DATABASE!M835</f>
        <v>0</v>
      </c>
      <c r="M68" s="75">
        <f>DATABASE!N835</f>
        <v>0</v>
      </c>
      <c r="N68" s="79">
        <f>DATABASE!O835</f>
        <v>78.3</v>
      </c>
      <c r="O68" s="79">
        <f>DATABASE!P835</f>
        <v>0</v>
      </c>
      <c r="P68" s="79" t="str">
        <f>DATABASE!Q835</f>
        <v xml:space="preserve">PSPA </v>
      </c>
      <c r="Q68" s="79">
        <f>DATABASE!R835</f>
        <v>840000</v>
      </c>
      <c r="R68" s="79">
        <f>DATABASE!S835</f>
        <v>840000</v>
      </c>
      <c r="S68" s="79">
        <f>DATABASE!T835</f>
        <v>420000</v>
      </c>
      <c r="T68" s="79">
        <f>DATABASE!U835</f>
        <v>0</v>
      </c>
      <c r="U68" s="79">
        <f>DATABASE!V835</f>
        <v>0</v>
      </c>
      <c r="V68" s="79">
        <f>DATABASE!W835</f>
        <v>420000</v>
      </c>
      <c r="W68" s="80">
        <f>DATABASE!X835</f>
        <v>0</v>
      </c>
      <c r="X68" s="79">
        <f>DATABASE!Y835</f>
        <v>420000</v>
      </c>
      <c r="Y68" s="79">
        <f>DATABASE!Z835</f>
        <v>420000</v>
      </c>
      <c r="Z68" s="79" t="e">
        <f>DATABASE!#REF!</f>
        <v>#REF!</v>
      </c>
      <c r="AA68" s="81" t="e">
        <f>DATABASE!#REF!</f>
        <v>#REF!</v>
      </c>
      <c r="AB68" s="82">
        <f>DATABASE!AB835</f>
        <v>0</v>
      </c>
    </row>
    <row r="69" spans="1:28">
      <c r="A69" s="155" t="str">
        <f>DATABASE!A836</f>
        <v>THE NINE</v>
      </c>
      <c r="B69" s="154" t="str">
        <f>DATABASE!B836</f>
        <v>Vilamoura</v>
      </c>
      <c r="C69" s="143" t="str">
        <f>DATABASE!C836</f>
        <v>F</v>
      </c>
      <c r="D69" s="144" t="str">
        <f>DATABASE!E836</f>
        <v>T2</v>
      </c>
      <c r="E69" s="144">
        <f>DATABASE!F836</f>
        <v>111</v>
      </c>
      <c r="F69" s="144">
        <f>DATABASE!G836</f>
        <v>0</v>
      </c>
      <c r="G69" s="144" t="str">
        <f>DATABASE!H836</f>
        <v/>
      </c>
      <c r="H69" s="144" t="str">
        <f>DATABASE!I836</f>
        <v/>
      </c>
      <c r="I69" s="75">
        <f>DATABASE!J836</f>
        <v>0</v>
      </c>
      <c r="J69" s="144">
        <f>DATABASE!K836</f>
        <v>0</v>
      </c>
      <c r="K69" s="144">
        <f>DATABASE!L836</f>
        <v>0</v>
      </c>
      <c r="L69" s="144">
        <f>DATABASE!M836</f>
        <v>0</v>
      </c>
      <c r="M69" s="75">
        <f>DATABASE!N836</f>
        <v>0</v>
      </c>
      <c r="N69" s="79">
        <f>DATABASE!O836</f>
        <v>111</v>
      </c>
      <c r="O69" s="79">
        <f>DATABASE!P836</f>
        <v>0</v>
      </c>
      <c r="P69" s="79" t="str">
        <f>DATABASE!Q836</f>
        <v xml:space="preserve">DEED </v>
      </c>
      <c r="Q69" s="79">
        <f>DATABASE!R836</f>
        <v>570000</v>
      </c>
      <c r="R69" s="79">
        <f>DATABASE!S836</f>
        <v>570000</v>
      </c>
      <c r="S69" s="79">
        <f>DATABASE!T836</f>
        <v>590000</v>
      </c>
      <c r="T69" s="79">
        <f>DATABASE!U836</f>
        <v>0</v>
      </c>
      <c r="U69" s="79">
        <f>DATABASE!V836</f>
        <v>0</v>
      </c>
      <c r="V69" s="79">
        <f>DATABASE!W836</f>
        <v>590000</v>
      </c>
      <c r="W69" s="80">
        <f>DATABASE!X836</f>
        <v>0</v>
      </c>
      <c r="X69" s="79">
        <f>DATABASE!Y836</f>
        <v>590000</v>
      </c>
      <c r="Y69" s="79">
        <f>DATABASE!Z836</f>
        <v>590000</v>
      </c>
      <c r="Z69" s="79" t="e">
        <f>DATABASE!#REF!</f>
        <v>#REF!</v>
      </c>
      <c r="AA69" s="81">
        <f>DATABASE!AA836</f>
        <v>45140</v>
      </c>
      <c r="AB69" s="82">
        <f>DATABASE!AB836</f>
        <v>0</v>
      </c>
    </row>
    <row r="70" spans="1:28">
      <c r="A70" s="155" t="str">
        <f>DATABASE!A837</f>
        <v>VM PARQUE</v>
      </c>
      <c r="B70" s="154" t="str">
        <f>DATABASE!B837</f>
        <v>Vilamoura</v>
      </c>
      <c r="C70" s="143" t="str">
        <f>DATABASE!C837</f>
        <v>F</v>
      </c>
      <c r="D70" s="144" t="str">
        <f>DATABASE!E837</f>
        <v>V2</v>
      </c>
      <c r="E70" s="144">
        <f>DATABASE!F837</f>
        <v>152.87280000000001</v>
      </c>
      <c r="F70" s="144">
        <f>DATABASE!G837</f>
        <v>0</v>
      </c>
      <c r="G70" s="144" t="str">
        <f>DATABASE!H837</f>
        <v/>
      </c>
      <c r="H70" s="144" t="str">
        <f>DATABASE!I837</f>
        <v/>
      </c>
      <c r="I70" s="75">
        <f>DATABASE!J837</f>
        <v>0</v>
      </c>
      <c r="J70" s="144">
        <f>DATABASE!K837</f>
        <v>0</v>
      </c>
      <c r="K70" s="144">
        <f>DATABASE!L837</f>
        <v>0</v>
      </c>
      <c r="L70" s="144">
        <f>DATABASE!M837</f>
        <v>0</v>
      </c>
      <c r="M70" s="75">
        <f>DATABASE!N837</f>
        <v>0</v>
      </c>
      <c r="N70" s="79">
        <f>DATABASE!O837</f>
        <v>152.87280000000001</v>
      </c>
      <c r="O70" s="79">
        <f>DATABASE!P837</f>
        <v>0</v>
      </c>
      <c r="P70" s="79" t="str">
        <f>DATABASE!Q837</f>
        <v xml:space="preserve">DEED </v>
      </c>
      <c r="Q70" s="79">
        <f>DATABASE!R837</f>
        <v>984375</v>
      </c>
      <c r="R70" s="79">
        <f>DATABASE!S837</f>
        <v>984375</v>
      </c>
      <c r="S70" s="79">
        <f>DATABASE!T837</f>
        <v>1050000</v>
      </c>
      <c r="T70" s="79">
        <f>DATABASE!U837</f>
        <v>0</v>
      </c>
      <c r="U70" s="79">
        <f>DATABASE!V837</f>
        <v>0</v>
      </c>
      <c r="V70" s="79">
        <f>DATABASE!W837</f>
        <v>1050000</v>
      </c>
      <c r="W70" s="80">
        <f>DATABASE!X837</f>
        <v>0</v>
      </c>
      <c r="X70" s="79">
        <f>DATABASE!Y837</f>
        <v>1050000</v>
      </c>
      <c r="Y70" s="79">
        <f>DATABASE!Z837</f>
        <v>1050000</v>
      </c>
      <c r="Z70" s="79" t="e">
        <f>DATABASE!#REF!</f>
        <v>#REF!</v>
      </c>
      <c r="AA70" s="81">
        <f>DATABASE!AA837</f>
        <v>45348</v>
      </c>
      <c r="AB70" s="82">
        <f>DATABASE!AB837</f>
        <v>0</v>
      </c>
    </row>
    <row r="71" spans="1:28">
      <c r="A71" s="155" t="str">
        <f>DATABASE!A838</f>
        <v>ZESTIA</v>
      </c>
      <c r="B71" s="154" t="str">
        <f>DATABASE!B838</f>
        <v>Vilamoura</v>
      </c>
      <c r="C71" s="143" t="str">
        <f>DATABASE!C838</f>
        <v>F</v>
      </c>
      <c r="D71" s="144" t="str">
        <f>DATABASE!E838</f>
        <v>T2 +</v>
      </c>
      <c r="E71" s="144">
        <f>DATABASE!F838</f>
        <v>166.6</v>
      </c>
      <c r="F71" s="144">
        <f>DATABASE!G838</f>
        <v>0</v>
      </c>
      <c r="G71" s="144" t="str">
        <f>DATABASE!H838</f>
        <v/>
      </c>
      <c r="H71" s="144" t="str">
        <f>DATABASE!I838</f>
        <v/>
      </c>
      <c r="I71" s="75">
        <f>DATABASE!J838</f>
        <v>51.68</v>
      </c>
      <c r="J71" s="144">
        <f>DATABASE!K838</f>
        <v>0</v>
      </c>
      <c r="K71" s="144">
        <f>DATABASE!L838</f>
        <v>0</v>
      </c>
      <c r="L71" s="144">
        <f>DATABASE!M838</f>
        <v>0</v>
      </c>
      <c r="M71" s="75">
        <f>DATABASE!N838</f>
        <v>0</v>
      </c>
      <c r="N71" s="79">
        <f>DATABASE!O838</f>
        <v>114.92</v>
      </c>
      <c r="O71" s="79">
        <f>DATABASE!P838</f>
        <v>0</v>
      </c>
      <c r="P71" s="79" t="str">
        <f>DATABASE!Q838</f>
        <v>AVAILABLE</v>
      </c>
      <c r="Q71" s="79">
        <f>DATABASE!R838</f>
        <v>985565.96</v>
      </c>
      <c r="R71" s="79">
        <f>DATABASE!S838</f>
        <v>1060165.96</v>
      </c>
      <c r="S71" s="79">
        <f>DATABASE!T838</f>
        <v>1100000</v>
      </c>
      <c r="T71" s="79">
        <f>DATABASE!U838</f>
        <v>24600</v>
      </c>
      <c r="U71" s="79">
        <f>DATABASE!V838</f>
        <v>50000</v>
      </c>
      <c r="V71" s="79">
        <f>DATABASE!W838</f>
        <v>1025400</v>
      </c>
      <c r="W71" s="80">
        <f>DATABASE!X838</f>
        <v>0</v>
      </c>
      <c r="X71" s="79">
        <f>DATABASE!Y838</f>
        <v>1100000</v>
      </c>
      <c r="Y71" s="79">
        <f>DATABASE!Z838</f>
        <v>1025400</v>
      </c>
      <c r="Z71" s="79" t="e">
        <f>DATABASE!#REF!</f>
        <v>#REF!</v>
      </c>
      <c r="AA71" s="81">
        <f>DATABASE!AA838</f>
        <v>0</v>
      </c>
      <c r="AB71" s="82">
        <f>DATABASE!AB838</f>
        <v>0</v>
      </c>
    </row>
    <row r="72" spans="1:28">
      <c r="A72" s="155" t="str">
        <f>DATABASE!A839</f>
        <v>MR - LT do Golfe</v>
      </c>
      <c r="B72" s="154" t="str">
        <f>DATABASE!B839</f>
        <v>Algarve</v>
      </c>
      <c r="C72" s="143" t="str">
        <f>DATABASE!C839</f>
        <v>8</v>
      </c>
      <c r="D72" s="144" t="str">
        <f>DATABASE!E839</f>
        <v>Plot</v>
      </c>
      <c r="E72" s="144">
        <f>DATABASE!F839</f>
        <v>500</v>
      </c>
      <c r="F72" s="144">
        <f>DATABASE!G839</f>
        <v>0</v>
      </c>
      <c r="G72" s="144" t="str">
        <f>DATABASE!H839</f>
        <v/>
      </c>
      <c r="H72" s="144" t="str">
        <f>DATABASE!I839</f>
        <v/>
      </c>
      <c r="I72" s="75">
        <f>DATABASE!J839</f>
        <v>0</v>
      </c>
      <c r="J72" s="144">
        <f>DATABASE!K839</f>
        <v>0</v>
      </c>
      <c r="K72" s="144">
        <f>DATABASE!L839</f>
        <v>0</v>
      </c>
      <c r="L72" s="144">
        <f>DATABASE!M839</f>
        <v>0</v>
      </c>
      <c r="M72" s="75">
        <f>DATABASE!N839</f>
        <v>0</v>
      </c>
      <c r="N72" s="79">
        <f>DATABASE!O839</f>
        <v>500</v>
      </c>
      <c r="O72" s="79">
        <f>DATABASE!P839</f>
        <v>0</v>
      </c>
      <c r="P72" s="79" t="str">
        <f>DATABASE!Q839</f>
        <v>AVAILABLE</v>
      </c>
      <c r="Q72" s="79">
        <f>DATABASE!R839</f>
        <v>1326000</v>
      </c>
      <c r="R72" s="79">
        <f>DATABASE!S839</f>
        <v>1326000</v>
      </c>
      <c r="S72" s="79">
        <f>DATABASE!T839</f>
        <v>1150000</v>
      </c>
      <c r="T72" s="79">
        <f>DATABASE!U839</f>
        <v>0</v>
      </c>
      <c r="U72" s="79">
        <f>DATABASE!V839</f>
        <v>0</v>
      </c>
      <c r="V72" s="79">
        <f>DATABASE!W839</f>
        <v>1150000</v>
      </c>
      <c r="W72" s="80">
        <f>DATABASE!X839</f>
        <v>0</v>
      </c>
      <c r="X72" s="79">
        <f>DATABASE!Y839</f>
        <v>0</v>
      </c>
      <c r="Y72" s="79">
        <f>DATABASE!Z839</f>
        <v>0</v>
      </c>
      <c r="Z72" s="79" t="e">
        <f>DATABASE!#REF!</f>
        <v>#REF!</v>
      </c>
      <c r="AA72" s="81">
        <f>DATABASE!AA839</f>
        <v>0</v>
      </c>
      <c r="AB72" s="82" t="str">
        <f>DATABASE!AB839</f>
        <v>TBD</v>
      </c>
    </row>
    <row r="73" spans="1:28">
      <c r="A73" s="155" t="str">
        <f>DATABASE!A840</f>
        <v>BOTÂNICA</v>
      </c>
      <c r="B73" s="154" t="str">
        <f>DATABASE!B840</f>
        <v>Vilamoura</v>
      </c>
      <c r="C73" s="143" t="str">
        <f>DATABASE!C840</f>
        <v>G</v>
      </c>
      <c r="D73" s="144" t="str">
        <f>DATABASE!E840</f>
        <v>T2</v>
      </c>
      <c r="E73" s="144">
        <f>DATABASE!F840</f>
        <v>260.27</v>
      </c>
      <c r="F73" s="144">
        <f>DATABASE!G840</f>
        <v>0</v>
      </c>
      <c r="G73" s="144" t="str">
        <f>DATABASE!H840</f>
        <v>2</v>
      </c>
      <c r="H73" s="144" t="str">
        <f>DATABASE!I840</f>
        <v/>
      </c>
      <c r="I73" s="75">
        <f>DATABASE!J840</f>
        <v>0</v>
      </c>
      <c r="J73" s="144">
        <f>DATABASE!K840</f>
        <v>0</v>
      </c>
      <c r="K73" s="144">
        <f>DATABASE!L840</f>
        <v>0</v>
      </c>
      <c r="L73" s="144">
        <f>DATABASE!M840</f>
        <v>135.21</v>
      </c>
      <c r="M73" s="75">
        <f>DATABASE!N840</f>
        <v>0</v>
      </c>
      <c r="N73" s="79">
        <f>DATABASE!O840</f>
        <v>125.06</v>
      </c>
      <c r="O73" s="79">
        <f>DATABASE!P840</f>
        <v>0</v>
      </c>
      <c r="P73" s="79" t="str">
        <f>DATABASE!Q840</f>
        <v xml:space="preserve">PSPA </v>
      </c>
      <c r="Q73" s="79">
        <f>DATABASE!R840</f>
        <v>1042833.33</v>
      </c>
      <c r="R73" s="79">
        <f>DATABASE!S840</f>
        <v>1042833.33</v>
      </c>
      <c r="S73" s="79">
        <f>DATABASE!T840</f>
        <v>1050000</v>
      </c>
      <c r="T73" s="79">
        <f>DATABASE!U840</f>
        <v>0</v>
      </c>
      <c r="U73" s="79">
        <f>DATABASE!V840</f>
        <v>0</v>
      </c>
      <c r="V73" s="79">
        <f>DATABASE!W840</f>
        <v>1050000</v>
      </c>
      <c r="W73" s="80">
        <f>DATABASE!X840</f>
        <v>0.04</v>
      </c>
      <c r="X73" s="79">
        <f>DATABASE!Y840</f>
        <v>1008000</v>
      </c>
      <c r="Y73" s="79">
        <f>DATABASE!Z840</f>
        <v>1008000</v>
      </c>
      <c r="Z73" s="79" t="e">
        <f>DATABASE!#REF!</f>
        <v>#REF!</v>
      </c>
      <c r="AA73" s="81" t="str">
        <f>DATABASE!AA840</f>
        <v>27/042/2026</v>
      </c>
      <c r="AB73" s="82">
        <f>DATABASE!AB840</f>
        <v>0</v>
      </c>
    </row>
    <row r="74" spans="1:28">
      <c r="A74" s="155" t="str">
        <f>DATABASE!A841</f>
        <v>NATURA VILLAGE 4</v>
      </c>
      <c r="B74" s="154" t="str">
        <f>DATABASE!B841</f>
        <v>Vilamoura</v>
      </c>
      <c r="C74" s="143" t="str">
        <f>DATABASE!C841</f>
        <v>G</v>
      </c>
      <c r="D74" s="144" t="str">
        <f>DATABASE!E841</f>
        <v>V2</v>
      </c>
      <c r="E74" s="144">
        <f>DATABASE!F841</f>
        <v>146.72</v>
      </c>
      <c r="F74" s="144">
        <f>DATABASE!G841</f>
        <v>0</v>
      </c>
      <c r="G74" s="144" t="str">
        <f>DATABASE!H841</f>
        <v/>
      </c>
      <c r="H74" s="144" t="str">
        <f>DATABASE!I841</f>
        <v/>
      </c>
      <c r="I74" s="75">
        <f>DATABASE!J841</f>
        <v>0</v>
      </c>
      <c r="J74" s="144">
        <f>DATABASE!K841</f>
        <v>0</v>
      </c>
      <c r="K74" s="144">
        <f>DATABASE!L841</f>
        <v>0</v>
      </c>
      <c r="L74" s="144">
        <f>DATABASE!M841</f>
        <v>0</v>
      </c>
      <c r="M74" s="75">
        <f>DATABASE!N841</f>
        <v>0</v>
      </c>
      <c r="N74" s="79">
        <f>DATABASE!O841</f>
        <v>146.72</v>
      </c>
      <c r="O74" s="79">
        <f>DATABASE!P841</f>
        <v>0</v>
      </c>
      <c r="P74" s="79" t="str">
        <f>DATABASE!Q841</f>
        <v xml:space="preserve">DEED </v>
      </c>
      <c r="Q74" s="79">
        <f>DATABASE!R841</f>
        <v>860000</v>
      </c>
      <c r="R74" s="79">
        <f>DATABASE!S841</f>
        <v>860000</v>
      </c>
      <c r="S74" s="79">
        <f>DATABASE!T841</f>
        <v>860000</v>
      </c>
      <c r="T74" s="79">
        <f>DATABASE!U841</f>
        <v>0</v>
      </c>
      <c r="U74" s="79">
        <f>DATABASE!V841</f>
        <v>0</v>
      </c>
      <c r="V74" s="79">
        <f>DATABASE!W841</f>
        <v>860000</v>
      </c>
      <c r="W74" s="80">
        <f>DATABASE!X841</f>
        <v>0.03</v>
      </c>
      <c r="X74" s="79">
        <f>DATABASE!Y841</f>
        <v>834200</v>
      </c>
      <c r="Y74" s="79">
        <f>DATABASE!Z841</f>
        <v>834200</v>
      </c>
      <c r="Z74" s="79" t="e">
        <f>DATABASE!#REF!</f>
        <v>#REF!</v>
      </c>
      <c r="AA74" s="81">
        <f>DATABASE!AA841</f>
        <v>45848</v>
      </c>
      <c r="AB74" s="82">
        <f>DATABASE!AB841</f>
        <v>0</v>
      </c>
    </row>
    <row r="75" spans="1:28">
      <c r="A75" s="155" t="str">
        <f>DATABASE!A842</f>
        <v>NATURA VILLAGE 7</v>
      </c>
      <c r="B75" s="154" t="str">
        <f>DATABASE!B842</f>
        <v>Vilamoura</v>
      </c>
      <c r="C75" s="143" t="str">
        <f>DATABASE!C842</f>
        <v>G</v>
      </c>
      <c r="D75" s="144" t="str">
        <f>DATABASE!E842</f>
        <v>V3</v>
      </c>
      <c r="E75" s="144">
        <f>DATABASE!F842</f>
        <v>163.53</v>
      </c>
      <c r="F75" s="144">
        <f>DATABASE!G842</f>
        <v>0</v>
      </c>
      <c r="G75" s="144" t="str">
        <f>DATABASE!H842</f>
        <v/>
      </c>
      <c r="H75" s="144" t="str">
        <f>DATABASE!I842</f>
        <v/>
      </c>
      <c r="I75" s="75">
        <f>DATABASE!J842</f>
        <v>0</v>
      </c>
      <c r="J75" s="144">
        <f>DATABASE!K842</f>
        <v>0</v>
      </c>
      <c r="K75" s="144">
        <f>DATABASE!L842</f>
        <v>0</v>
      </c>
      <c r="L75" s="144">
        <f>DATABASE!M842</f>
        <v>0</v>
      </c>
      <c r="M75" s="75">
        <f>DATABASE!N842</f>
        <v>0</v>
      </c>
      <c r="N75" s="79">
        <f>DATABASE!O842</f>
        <v>163.53</v>
      </c>
      <c r="O75" s="79">
        <f>DATABASE!P842</f>
        <v>0</v>
      </c>
      <c r="P75" s="79" t="str">
        <f>DATABASE!Q842</f>
        <v xml:space="preserve">DEED </v>
      </c>
      <c r="Q75" s="79">
        <f>DATABASE!R842</f>
        <v>920000</v>
      </c>
      <c r="R75" s="79">
        <f>DATABASE!S842</f>
        <v>920000</v>
      </c>
      <c r="S75" s="79">
        <f>DATABASE!T842</f>
        <v>960000</v>
      </c>
      <c r="T75" s="79">
        <f>DATABASE!U842</f>
        <v>0</v>
      </c>
      <c r="U75" s="79">
        <f>DATABASE!V842</f>
        <v>0</v>
      </c>
      <c r="V75" s="79">
        <f>DATABASE!W842</f>
        <v>960000</v>
      </c>
      <c r="W75" s="80">
        <f>DATABASE!X842</f>
        <v>0</v>
      </c>
      <c r="X75" s="79">
        <f>DATABASE!Y842</f>
        <v>960000</v>
      </c>
      <c r="Y75" s="79">
        <f>DATABASE!Z842</f>
        <v>960000</v>
      </c>
      <c r="Z75" s="79" t="e">
        <f>DATABASE!#REF!</f>
        <v>#REF!</v>
      </c>
      <c r="AA75" s="81">
        <f>DATABASE!AA842</f>
        <v>45532</v>
      </c>
      <c r="AB75" s="82">
        <f>DATABASE!AB842</f>
        <v>0</v>
      </c>
    </row>
    <row r="76" spans="1:28">
      <c r="A76" s="155" t="str">
        <f>DATABASE!A843</f>
        <v>Palmares - Signature Apartments</v>
      </c>
      <c r="B76" s="154" t="str">
        <f>DATABASE!B843</f>
        <v>Algarve</v>
      </c>
      <c r="C76" s="143" t="str">
        <f>DATABASE!C843</f>
        <v>828B</v>
      </c>
      <c r="D76" s="144" t="str">
        <f>DATABASE!E843</f>
        <v>T2</v>
      </c>
      <c r="E76" s="144">
        <f>DATABASE!F843</f>
        <v>158.30000000000001</v>
      </c>
      <c r="F76" s="144">
        <f>DATABASE!G843</f>
        <v>0</v>
      </c>
      <c r="G76" s="144" t="str">
        <f>DATABASE!H843</f>
        <v>42+43</v>
      </c>
      <c r="H76" s="144" t="str">
        <f>DATABASE!I843</f>
        <v/>
      </c>
      <c r="I76" s="75">
        <f>DATABASE!J843</f>
        <v>0</v>
      </c>
      <c r="J76" s="144">
        <f>DATABASE!K843</f>
        <v>0</v>
      </c>
      <c r="K76" s="144">
        <f>DATABASE!L843</f>
        <v>0</v>
      </c>
      <c r="L76" s="144">
        <f>DATABASE!M843</f>
        <v>36.799999999999997</v>
      </c>
      <c r="M76" s="75">
        <f>DATABASE!N843</f>
        <v>0</v>
      </c>
      <c r="N76" s="79">
        <f>DATABASE!O843</f>
        <v>121.5</v>
      </c>
      <c r="O76" s="79">
        <f>DATABASE!P843</f>
        <v>0</v>
      </c>
      <c r="P76" s="79" t="str">
        <f>DATABASE!Q843</f>
        <v xml:space="preserve">PSPA </v>
      </c>
      <c r="Q76" s="79">
        <f>DATABASE!R843</f>
        <v>790000</v>
      </c>
      <c r="R76" s="79">
        <f>DATABASE!S843</f>
        <v>790000</v>
      </c>
      <c r="S76" s="79">
        <f>DATABASE!T843</f>
        <v>900000</v>
      </c>
      <c r="T76" s="79">
        <f>DATABASE!U843</f>
        <v>0</v>
      </c>
      <c r="U76" s="79">
        <f>DATABASE!V843</f>
        <v>0</v>
      </c>
      <c r="V76" s="79">
        <f>DATABASE!W843</f>
        <v>900000</v>
      </c>
      <c r="W76" s="80">
        <f>DATABASE!X843</f>
        <v>0</v>
      </c>
      <c r="X76" s="79">
        <f>DATABASE!Y843</f>
        <v>900000</v>
      </c>
      <c r="Y76" s="79">
        <f>DATABASE!Z843</f>
        <v>900000</v>
      </c>
      <c r="Z76" s="79" t="e">
        <f>DATABASE!#REF!</f>
        <v>#REF!</v>
      </c>
      <c r="AA76" s="81" t="e">
        <f>DATABASE!#REF!</f>
        <v>#REF!</v>
      </c>
      <c r="AB76" s="82">
        <f>DATABASE!AB843</f>
        <v>46843</v>
      </c>
    </row>
    <row r="77" spans="1:28">
      <c r="A77" s="155" t="str">
        <f>DATABASE!A844</f>
        <v>NATURA VILLAGE 9</v>
      </c>
      <c r="B77" s="154" t="str">
        <f>DATABASE!B844</f>
        <v>Vilamoura</v>
      </c>
      <c r="C77" s="143" t="str">
        <f>DATABASE!C844</f>
        <v>G</v>
      </c>
      <c r="D77" s="144" t="str">
        <f>DATABASE!E844</f>
        <v>V3</v>
      </c>
      <c r="E77" s="144">
        <f>DATABASE!F844</f>
        <v>193.26</v>
      </c>
      <c r="F77" s="144">
        <f>DATABASE!G844</f>
        <v>0</v>
      </c>
      <c r="G77" s="144" t="str">
        <f>DATABASE!H844</f>
        <v/>
      </c>
      <c r="H77" s="144" t="str">
        <f>DATABASE!I844</f>
        <v/>
      </c>
      <c r="I77" s="75">
        <f>DATABASE!J844</f>
        <v>0</v>
      </c>
      <c r="J77" s="144">
        <f>DATABASE!K844</f>
        <v>0</v>
      </c>
      <c r="K77" s="144">
        <f>DATABASE!L844</f>
        <v>0</v>
      </c>
      <c r="L77" s="144">
        <f>DATABASE!M844</f>
        <v>0</v>
      </c>
      <c r="M77" s="75">
        <f>DATABASE!N844</f>
        <v>0</v>
      </c>
      <c r="N77" s="79">
        <f>DATABASE!O844</f>
        <v>193.26</v>
      </c>
      <c r="O77" s="79">
        <f>DATABASE!P844</f>
        <v>0</v>
      </c>
      <c r="P77" s="79" t="str">
        <f>DATABASE!Q844</f>
        <v>AVAILABLE</v>
      </c>
      <c r="Q77" s="79">
        <f>DATABASE!R844</f>
        <v>1320000</v>
      </c>
      <c r="R77" s="79">
        <f>DATABASE!S844</f>
        <v>1320000</v>
      </c>
      <c r="S77" s="79">
        <f>DATABASE!T844</f>
        <v>1320000</v>
      </c>
      <c r="T77" s="79">
        <f>DATABASE!U844</f>
        <v>0</v>
      </c>
      <c r="U77" s="79">
        <f>DATABASE!V844</f>
        <v>0</v>
      </c>
      <c r="V77" s="79">
        <f>DATABASE!W844</f>
        <v>1320000</v>
      </c>
      <c r="W77" s="80">
        <f>DATABASE!X844</f>
        <v>0</v>
      </c>
      <c r="X77" s="79">
        <f>DATABASE!Y844</f>
        <v>1320000</v>
      </c>
      <c r="Y77" s="79">
        <f>DATABASE!Z844</f>
        <v>1320000</v>
      </c>
      <c r="Z77" s="79" t="e">
        <f>DATABASE!#REF!</f>
        <v>#REF!</v>
      </c>
      <c r="AA77" s="81">
        <f>DATABASE!AA844</f>
        <v>0</v>
      </c>
      <c r="AB77" s="82">
        <f>DATABASE!AB844</f>
        <v>0</v>
      </c>
    </row>
    <row r="78" spans="1:28">
      <c r="A78" s="155" t="str">
        <f>DATABASE!A845</f>
        <v>NOBILUS</v>
      </c>
      <c r="B78" s="154" t="str">
        <f>DATABASE!B845</f>
        <v>Vilamoura</v>
      </c>
      <c r="C78" s="143" t="str">
        <f>DATABASE!C845</f>
        <v>G</v>
      </c>
      <c r="D78" s="144" t="str">
        <f>DATABASE!E845</f>
        <v>T3</v>
      </c>
      <c r="E78" s="144">
        <f>DATABASE!F845</f>
        <v>153.5</v>
      </c>
      <c r="F78" s="144">
        <f>DATABASE!G845</f>
        <v>3.99</v>
      </c>
      <c r="G78" s="144" t="str">
        <f>DATABASE!H845</f>
        <v>38-39</v>
      </c>
      <c r="H78" s="144" t="str">
        <f>DATABASE!I845</f>
        <v>Yes</v>
      </c>
      <c r="I78" s="75">
        <f>DATABASE!J845</f>
        <v>0</v>
      </c>
      <c r="J78" s="144">
        <f>DATABASE!K845</f>
        <v>0</v>
      </c>
      <c r="K78" s="144">
        <f>DATABASE!L845</f>
        <v>0</v>
      </c>
      <c r="L78" s="144">
        <f>DATABASE!M845</f>
        <v>0</v>
      </c>
      <c r="M78" s="75">
        <f>DATABASE!N845</f>
        <v>0</v>
      </c>
      <c r="N78" s="79">
        <f>DATABASE!O845</f>
        <v>153.5</v>
      </c>
      <c r="O78" s="79">
        <f>DATABASE!P845</f>
        <v>0</v>
      </c>
      <c r="P78" s="79" t="str">
        <f>DATABASE!Q845</f>
        <v>AVAILABLE</v>
      </c>
      <c r="Q78" s="79">
        <f>DATABASE!R845</f>
        <v>1080000</v>
      </c>
      <c r="R78" s="79">
        <f>DATABASE!S845</f>
        <v>1080000</v>
      </c>
      <c r="S78" s="79">
        <f>DATABASE!T845</f>
        <v>1080000</v>
      </c>
      <c r="T78" s="79">
        <f>DATABASE!U845</f>
        <v>0</v>
      </c>
      <c r="U78" s="79">
        <f>DATABASE!V845</f>
        <v>0</v>
      </c>
      <c r="V78" s="79">
        <f>DATABASE!W845</f>
        <v>1080000</v>
      </c>
      <c r="W78" s="80">
        <f>DATABASE!X845</f>
        <v>0</v>
      </c>
      <c r="X78" s="79">
        <f>DATABASE!Y845</f>
        <v>1080000</v>
      </c>
      <c r="Y78" s="79">
        <f>DATABASE!Z845</f>
        <v>1080000</v>
      </c>
      <c r="Z78" s="79" t="e">
        <f>DATABASE!#REF!</f>
        <v>#REF!</v>
      </c>
      <c r="AA78" s="81">
        <f>DATABASE!AA845</f>
        <v>0</v>
      </c>
      <c r="AB78" s="82">
        <f>DATABASE!AB845</f>
        <v>0</v>
      </c>
    </row>
    <row r="79" spans="1:28">
      <c r="A79" s="155" t="str">
        <f>DATABASE!A846</f>
        <v>Aroeira - HOUSES</v>
      </c>
      <c r="B79" s="154" t="str">
        <f>DATABASE!B846</f>
        <v>Center</v>
      </c>
      <c r="C79" s="143" t="str">
        <f>DATABASE!C846</f>
        <v>17C</v>
      </c>
      <c r="D79" s="144" t="str">
        <f>DATABASE!E846</f>
        <v>T3</v>
      </c>
      <c r="E79" s="144">
        <f>DATABASE!F846</f>
        <v>249.2</v>
      </c>
      <c r="F79" s="144">
        <f>DATABASE!G846</f>
        <v>0</v>
      </c>
      <c r="G79" s="144" t="str">
        <f>DATABASE!H846</f>
        <v>1</v>
      </c>
      <c r="H79" s="144" t="str">
        <f>DATABASE!I846</f>
        <v/>
      </c>
      <c r="I79" s="75">
        <f>DATABASE!J846</f>
        <v>0</v>
      </c>
      <c r="J79" s="144">
        <f>DATABASE!K846</f>
        <v>0</v>
      </c>
      <c r="K79" s="144">
        <f>DATABASE!L846</f>
        <v>0</v>
      </c>
      <c r="L79" s="144">
        <f>DATABASE!M846</f>
        <v>34</v>
      </c>
      <c r="M79" s="75">
        <f>DATABASE!N846</f>
        <v>40</v>
      </c>
      <c r="N79" s="79">
        <f>DATABASE!O846</f>
        <v>175.2</v>
      </c>
      <c r="O79" s="79">
        <f>DATABASE!P846</f>
        <v>0</v>
      </c>
      <c r="P79" s="79" t="str">
        <f>DATABASE!Q846</f>
        <v>AVAILABLE</v>
      </c>
      <c r="Q79" s="79">
        <f>DATABASE!R846</f>
        <v>1350000</v>
      </c>
      <c r="R79" s="79">
        <f>DATABASE!S846</f>
        <v>1350000</v>
      </c>
      <c r="S79" s="79">
        <f>DATABASE!T846</f>
        <v>1380000</v>
      </c>
      <c r="T79" s="79">
        <f>DATABASE!U846</f>
        <v>0</v>
      </c>
      <c r="U79" s="79">
        <f>DATABASE!V846</f>
        <v>0</v>
      </c>
      <c r="V79" s="79">
        <f>DATABASE!W846</f>
        <v>1380000</v>
      </c>
      <c r="W79" s="80">
        <f>DATABASE!X846</f>
        <v>0</v>
      </c>
      <c r="X79" s="79">
        <f>DATABASE!Y846</f>
        <v>0</v>
      </c>
      <c r="Y79" s="79">
        <f>DATABASE!Z846</f>
        <v>0</v>
      </c>
      <c r="Z79" s="79" t="e">
        <f>DATABASE!#REF!</f>
        <v>#REF!</v>
      </c>
      <c r="AA79" s="81">
        <f>DATABASE!AA846</f>
        <v>0</v>
      </c>
      <c r="AB79" s="82">
        <f>DATABASE!AB846</f>
        <v>47118</v>
      </c>
    </row>
    <row r="80" spans="1:28">
      <c r="A80" s="155" t="str">
        <f>DATABASE!A847</f>
        <v>Aroeira - HOUSES</v>
      </c>
      <c r="B80" s="154" t="str">
        <f>DATABASE!B847</f>
        <v>Center</v>
      </c>
      <c r="C80" s="143" t="str">
        <f>DATABASE!C847</f>
        <v>18C</v>
      </c>
      <c r="D80" s="144" t="str">
        <f>DATABASE!E847</f>
        <v>T3</v>
      </c>
      <c r="E80" s="144">
        <f>DATABASE!F847</f>
        <v>250.2</v>
      </c>
      <c r="F80" s="144">
        <f>DATABASE!G847</f>
        <v>0</v>
      </c>
      <c r="G80" s="144" t="str">
        <f>DATABASE!H847</f>
        <v>1</v>
      </c>
      <c r="H80" s="144" t="str">
        <f>DATABASE!I847</f>
        <v/>
      </c>
      <c r="I80" s="75">
        <f>DATABASE!J847</f>
        <v>0</v>
      </c>
      <c r="J80" s="144">
        <f>DATABASE!K847</f>
        <v>0</v>
      </c>
      <c r="K80" s="144">
        <f>DATABASE!L847</f>
        <v>0</v>
      </c>
      <c r="L80" s="144">
        <f>DATABASE!M847</f>
        <v>35</v>
      </c>
      <c r="M80" s="75">
        <f>DATABASE!N847</f>
        <v>40</v>
      </c>
      <c r="N80" s="79">
        <f>DATABASE!O847</f>
        <v>175.2</v>
      </c>
      <c r="O80" s="79">
        <f>DATABASE!P847</f>
        <v>0</v>
      </c>
      <c r="P80" s="79" t="str">
        <f>DATABASE!Q847</f>
        <v>AVAILABLE</v>
      </c>
      <c r="Q80" s="79">
        <f>DATABASE!R847</f>
        <v>1350000</v>
      </c>
      <c r="R80" s="79">
        <f>DATABASE!S847</f>
        <v>1350000</v>
      </c>
      <c r="S80" s="79">
        <f>DATABASE!T847</f>
        <v>1380000</v>
      </c>
      <c r="T80" s="79">
        <f>DATABASE!U847</f>
        <v>0</v>
      </c>
      <c r="U80" s="79">
        <f>DATABASE!V847</f>
        <v>0</v>
      </c>
      <c r="V80" s="79">
        <f>DATABASE!W847</f>
        <v>1380000</v>
      </c>
      <c r="W80" s="80">
        <f>DATABASE!X847</f>
        <v>0</v>
      </c>
      <c r="X80" s="79">
        <f>DATABASE!Y847</f>
        <v>0</v>
      </c>
      <c r="Y80" s="79">
        <f>DATABASE!Z847</f>
        <v>0</v>
      </c>
      <c r="Z80" s="79" t="e">
        <f>DATABASE!#REF!</f>
        <v>#REF!</v>
      </c>
      <c r="AA80" s="81">
        <f>DATABASE!AA847</f>
        <v>0</v>
      </c>
      <c r="AB80" s="82">
        <f>DATABASE!AB847</f>
        <v>47118</v>
      </c>
    </row>
    <row r="81" spans="1:28">
      <c r="A81" s="155" t="str">
        <f>DATABASE!A848</f>
        <v>MR - Linked Villas</v>
      </c>
      <c r="B81" s="154" t="str">
        <f>DATABASE!B848</f>
        <v>Algarve</v>
      </c>
      <c r="C81" s="143" t="str">
        <f>DATABASE!C848</f>
        <v>AI</v>
      </c>
      <c r="D81" s="144" t="str">
        <f>DATABASE!E848</f>
        <v>T3</v>
      </c>
      <c r="E81" s="144">
        <f>DATABASE!F848</f>
        <v>422.36</v>
      </c>
      <c r="F81" s="144">
        <f>DATABASE!G848</f>
        <v>45.06</v>
      </c>
      <c r="G81" s="144" t="str">
        <f>DATABASE!H848</f>
        <v/>
      </c>
      <c r="H81" s="144" t="str">
        <f>DATABASE!I848</f>
        <v/>
      </c>
      <c r="I81" s="75">
        <f>DATABASE!J848</f>
        <v>131.68</v>
      </c>
      <c r="J81" s="144">
        <f>DATABASE!K848</f>
        <v>0</v>
      </c>
      <c r="K81" s="144">
        <f>DATABASE!L848</f>
        <v>0</v>
      </c>
      <c r="L81" s="144">
        <f>DATABASE!M848</f>
        <v>0</v>
      </c>
      <c r="M81" s="75">
        <f>DATABASE!N848</f>
        <v>0</v>
      </c>
      <c r="N81" s="79">
        <f>DATABASE!O848</f>
        <v>245.62</v>
      </c>
      <c r="O81" s="79">
        <f>DATABASE!P848</f>
        <v>0</v>
      </c>
      <c r="P81" s="79" t="str">
        <f>DATABASE!Q848</f>
        <v>PRE-RESERVED</v>
      </c>
      <c r="Q81" s="79">
        <f>DATABASE!R848</f>
        <v>1350000</v>
      </c>
      <c r="R81" s="79">
        <f>DATABASE!S848</f>
        <v>1350000</v>
      </c>
      <c r="S81" s="79">
        <f>DATABASE!T848</f>
        <v>1120000</v>
      </c>
      <c r="T81" s="79">
        <f>DATABASE!U848</f>
        <v>0</v>
      </c>
      <c r="U81" s="79">
        <f>DATABASE!V848</f>
        <v>0</v>
      </c>
      <c r="V81" s="79">
        <f>DATABASE!W848</f>
        <v>1120000</v>
      </c>
      <c r="W81" s="80">
        <f>DATABASE!X848</f>
        <v>9.375E-2</v>
      </c>
      <c r="X81" s="79">
        <f>DATABASE!Y848</f>
        <v>1015000</v>
      </c>
      <c r="Y81" s="79">
        <f>DATABASE!Z848</f>
        <v>1015000</v>
      </c>
      <c r="Z81" s="79" t="e">
        <f>DATABASE!#REF!</f>
        <v>#REF!</v>
      </c>
      <c r="AA81" s="81">
        <f>DATABASE!AA848</f>
        <v>46170</v>
      </c>
      <c r="AB81" s="82" t="str">
        <f>DATABASE!AB848</f>
        <v>TBD</v>
      </c>
    </row>
    <row r="82" spans="1:28">
      <c r="A82" s="155" t="str">
        <f>DATABASE!A849</f>
        <v>MR - Linked Villas</v>
      </c>
      <c r="B82" s="154" t="str">
        <f>DATABASE!B849</f>
        <v>Algarve</v>
      </c>
      <c r="C82" s="143" t="str">
        <f>DATABASE!C849</f>
        <v>AH</v>
      </c>
      <c r="D82" s="144" t="str">
        <f>DATABASE!E849</f>
        <v>T3</v>
      </c>
      <c r="E82" s="144">
        <f>DATABASE!F849</f>
        <v>433.99</v>
      </c>
      <c r="F82" s="144">
        <f>DATABASE!G849</f>
        <v>45.83</v>
      </c>
      <c r="G82" s="144" t="str">
        <f>DATABASE!H849</f>
        <v/>
      </c>
      <c r="H82" s="144" t="str">
        <f>DATABASE!I849</f>
        <v/>
      </c>
      <c r="I82" s="75">
        <f>DATABASE!J849</f>
        <v>136.16</v>
      </c>
      <c r="J82" s="144">
        <f>DATABASE!K849</f>
        <v>0</v>
      </c>
      <c r="K82" s="144">
        <f>DATABASE!L849</f>
        <v>0</v>
      </c>
      <c r="L82" s="144">
        <f>DATABASE!M849</f>
        <v>0</v>
      </c>
      <c r="M82" s="75">
        <f>DATABASE!N849</f>
        <v>0</v>
      </c>
      <c r="N82" s="79">
        <f>DATABASE!O849</f>
        <v>252</v>
      </c>
      <c r="O82" s="79">
        <f>DATABASE!P849</f>
        <v>0</v>
      </c>
      <c r="P82" s="79" t="str">
        <f>DATABASE!Q849</f>
        <v>PRE-RESERVED</v>
      </c>
      <c r="Q82" s="79">
        <f>DATABASE!R849</f>
        <v>1350000</v>
      </c>
      <c r="R82" s="79">
        <f>DATABASE!S849</f>
        <v>1350000</v>
      </c>
      <c r="S82" s="79">
        <f>DATABASE!T849</f>
        <v>1150000</v>
      </c>
      <c r="T82" s="79">
        <f>DATABASE!U849</f>
        <v>0</v>
      </c>
      <c r="U82" s="79">
        <f>DATABASE!V849</f>
        <v>0</v>
      </c>
      <c r="V82" s="79">
        <f>DATABASE!W849</f>
        <v>1150000</v>
      </c>
      <c r="W82" s="80">
        <f>DATABASE!X849</f>
        <v>0.11739130434782601</v>
      </c>
      <c r="X82" s="79">
        <f>DATABASE!Y849</f>
        <v>1015000</v>
      </c>
      <c r="Y82" s="79">
        <f>DATABASE!Z849</f>
        <v>1015000</v>
      </c>
      <c r="Z82" s="79" t="e">
        <f>DATABASE!#REF!</f>
        <v>#REF!</v>
      </c>
      <c r="AA82" s="81">
        <f>DATABASE!AA849</f>
        <v>46170</v>
      </c>
      <c r="AB82" s="82" t="str">
        <f>DATABASE!AB849</f>
        <v>TBD</v>
      </c>
    </row>
    <row r="83" spans="1:28">
      <c r="A83" s="155" t="str">
        <f>DATABASE!A850</f>
        <v>Rivus</v>
      </c>
      <c r="B83" s="154" t="str">
        <f>DATABASE!B850</f>
        <v>Vilamoura</v>
      </c>
      <c r="C83" s="143" t="str">
        <f>DATABASE!C850</f>
        <v>G</v>
      </c>
      <c r="D83" s="144" t="str">
        <f>DATABASE!E850</f>
        <v>T2</v>
      </c>
      <c r="E83" s="144">
        <f>DATABASE!F850</f>
        <v>0</v>
      </c>
      <c r="F83" s="144">
        <f>DATABASE!G850</f>
        <v>0</v>
      </c>
      <c r="G83" s="144" t="str">
        <f>DATABASE!H850</f>
        <v/>
      </c>
      <c r="H83" s="144" t="str">
        <f>DATABASE!I850</f>
        <v/>
      </c>
      <c r="I83" s="75">
        <f>DATABASE!J850</f>
        <v>0</v>
      </c>
      <c r="J83" s="144">
        <f>DATABASE!K850</f>
        <v>150</v>
      </c>
      <c r="K83" s="144">
        <f>DATABASE!L850</f>
        <v>0</v>
      </c>
      <c r="L83" s="144">
        <f>DATABASE!M850</f>
        <v>0</v>
      </c>
      <c r="M83" s="75">
        <f>DATABASE!N850</f>
        <v>0</v>
      </c>
      <c r="N83" s="79">
        <f>DATABASE!O850</f>
        <v>111</v>
      </c>
      <c r="O83" s="79">
        <f>DATABASE!P850</f>
        <v>0</v>
      </c>
      <c r="P83" s="79" t="str">
        <f>DATABASE!Q850</f>
        <v>AVAILABLE</v>
      </c>
      <c r="Q83" s="79">
        <f>DATABASE!R850</f>
        <v>890000</v>
      </c>
      <c r="R83" s="79">
        <f>DATABASE!S850</f>
        <v>890000</v>
      </c>
      <c r="S83" s="79">
        <f>DATABASE!T850</f>
        <v>890000</v>
      </c>
      <c r="T83" s="79">
        <f>DATABASE!U850</f>
        <v>0</v>
      </c>
      <c r="U83" s="79">
        <f>DATABASE!V850</f>
        <v>0</v>
      </c>
      <c r="V83" s="79">
        <f>DATABASE!W850</f>
        <v>890000</v>
      </c>
      <c r="W83" s="80">
        <f>DATABASE!X850</f>
        <v>0</v>
      </c>
      <c r="X83" s="79">
        <f>DATABASE!Y850</f>
        <v>870000</v>
      </c>
      <c r="Y83" s="79">
        <f>DATABASE!Z850</f>
        <v>870000</v>
      </c>
      <c r="Z83" s="79" t="e">
        <f>DATABASE!#REF!</f>
        <v>#REF!</v>
      </c>
      <c r="AA83" s="81">
        <f>DATABASE!AA850</f>
        <v>0</v>
      </c>
      <c r="AB83" s="82">
        <f>DATABASE!AB850</f>
        <v>0</v>
      </c>
    </row>
    <row r="84" spans="1:28">
      <c r="A84" s="155" t="str">
        <f>DATABASE!A851</f>
        <v>SPRINGS</v>
      </c>
      <c r="B84" s="154" t="str">
        <f>DATABASE!B851</f>
        <v>Vilamoura</v>
      </c>
      <c r="C84" s="143" t="str">
        <f>DATABASE!C851</f>
        <v>G</v>
      </c>
      <c r="D84" s="144" t="str">
        <f>DATABASE!E851</f>
        <v>V3</v>
      </c>
      <c r="E84" s="144">
        <f>DATABASE!F851</f>
        <v>323.58999999999997</v>
      </c>
      <c r="F84" s="144">
        <f>DATABASE!G851</f>
        <v>165.79</v>
      </c>
      <c r="G84" s="144" t="str">
        <f>DATABASE!H851</f>
        <v/>
      </c>
      <c r="H84" s="144" t="str">
        <f>DATABASE!I851</f>
        <v/>
      </c>
      <c r="I84" s="75">
        <f>DATABASE!J851</f>
        <v>0</v>
      </c>
      <c r="J84" s="144">
        <f>DATABASE!K851</f>
        <v>0</v>
      </c>
      <c r="K84" s="144">
        <f>DATABASE!L851</f>
        <v>0</v>
      </c>
      <c r="L84" s="144">
        <f>DATABASE!M851</f>
        <v>0</v>
      </c>
      <c r="M84" s="75">
        <f>DATABASE!N851</f>
        <v>0</v>
      </c>
      <c r="N84" s="79">
        <f>DATABASE!O851</f>
        <v>157.80000000000001</v>
      </c>
      <c r="O84" s="79">
        <f>DATABASE!P851</f>
        <v>0</v>
      </c>
      <c r="P84" s="79" t="str">
        <f>DATABASE!Q851</f>
        <v>AVAILABLE</v>
      </c>
      <c r="Q84" s="79">
        <f>DATABASE!R851</f>
        <v>1702100</v>
      </c>
      <c r="R84" s="79">
        <f>DATABASE!S851</f>
        <v>1791050</v>
      </c>
      <c r="S84" s="79">
        <f>DATABASE!T851</f>
        <v>1880000</v>
      </c>
      <c r="T84" s="79">
        <f>DATABASE!U851</f>
        <v>24600</v>
      </c>
      <c r="U84" s="79">
        <f>DATABASE!V851</f>
        <v>64350</v>
      </c>
      <c r="V84" s="79">
        <f>DATABASE!W851</f>
        <v>1791050</v>
      </c>
      <c r="W84" s="80">
        <f>DATABASE!X851</f>
        <v>0</v>
      </c>
      <c r="X84" s="79">
        <f>DATABASE!Y851</f>
        <v>1880000</v>
      </c>
      <c r="Y84" s="79">
        <f>DATABASE!Z851</f>
        <v>1791050</v>
      </c>
      <c r="Z84" s="79" t="e">
        <f>DATABASE!#REF!</f>
        <v>#REF!</v>
      </c>
      <c r="AA84" s="81">
        <f>DATABASE!AA851</f>
        <v>0</v>
      </c>
      <c r="AB84" s="82">
        <f>DATABASE!AB851</f>
        <v>0</v>
      </c>
    </row>
    <row r="85" spans="1:28">
      <c r="A85" s="155" t="str">
        <f>DATABASE!A852</f>
        <v>TERRACOTA</v>
      </c>
      <c r="B85" s="154" t="str">
        <f>DATABASE!B852</f>
        <v>Vilamoura</v>
      </c>
      <c r="C85" s="143" t="str">
        <f>DATABASE!C852</f>
        <v>G</v>
      </c>
      <c r="D85" s="144" t="str">
        <f>DATABASE!E852</f>
        <v>T2</v>
      </c>
      <c r="E85" s="144">
        <f>DATABASE!F852</f>
        <v>78.3</v>
      </c>
      <c r="F85" s="144">
        <f>DATABASE!G852</f>
        <v>0</v>
      </c>
      <c r="G85" s="144" t="str">
        <f>DATABASE!H852</f>
        <v/>
      </c>
      <c r="H85" s="144" t="str">
        <f>DATABASE!I852</f>
        <v/>
      </c>
      <c r="I85" s="75">
        <f>DATABASE!J852</f>
        <v>0</v>
      </c>
      <c r="J85" s="144">
        <f>DATABASE!K852</f>
        <v>0</v>
      </c>
      <c r="K85" s="144">
        <f>DATABASE!L852</f>
        <v>0</v>
      </c>
      <c r="L85" s="144">
        <f>DATABASE!M852</f>
        <v>0</v>
      </c>
      <c r="M85" s="75">
        <f>DATABASE!N852</f>
        <v>0</v>
      </c>
      <c r="N85" s="79">
        <f>DATABASE!O852</f>
        <v>78.3</v>
      </c>
      <c r="O85" s="79">
        <f>DATABASE!P852</f>
        <v>0</v>
      </c>
      <c r="P85" s="79" t="str">
        <f>DATABASE!Q852</f>
        <v xml:space="preserve">PSPA </v>
      </c>
      <c r="Q85" s="79">
        <f>DATABASE!R852</f>
        <v>860000</v>
      </c>
      <c r="R85" s="79">
        <f>DATABASE!S852</f>
        <v>860000</v>
      </c>
      <c r="S85" s="79">
        <f>DATABASE!T852</f>
        <v>399000</v>
      </c>
      <c r="T85" s="79">
        <f>DATABASE!U852</f>
        <v>0</v>
      </c>
      <c r="U85" s="79">
        <f>DATABASE!V852</f>
        <v>0</v>
      </c>
      <c r="V85" s="79">
        <f>DATABASE!W852</f>
        <v>399000</v>
      </c>
      <c r="W85" s="80">
        <f>DATABASE!X852</f>
        <v>0</v>
      </c>
      <c r="X85" s="79">
        <f>DATABASE!Y852</f>
        <v>399000</v>
      </c>
      <c r="Y85" s="79">
        <f>DATABASE!Z852</f>
        <v>399000</v>
      </c>
      <c r="Z85" s="79" t="e">
        <f>DATABASE!#REF!</f>
        <v>#REF!</v>
      </c>
      <c r="AA85" s="81" t="e">
        <f>DATABASE!#REF!</f>
        <v>#REF!</v>
      </c>
      <c r="AB85" s="82">
        <f>DATABASE!AB852</f>
        <v>0</v>
      </c>
    </row>
    <row r="86" spans="1:28">
      <c r="A86" s="155" t="str">
        <f>DATABASE!A853</f>
        <v>THE NINE</v>
      </c>
      <c r="B86" s="154" t="str">
        <f>DATABASE!B853</f>
        <v>Vilamoura</v>
      </c>
      <c r="C86" s="143" t="str">
        <f>DATABASE!C853</f>
        <v>G</v>
      </c>
      <c r="D86" s="144" t="str">
        <f>DATABASE!E853</f>
        <v>T2</v>
      </c>
      <c r="E86" s="144">
        <f>DATABASE!F853</f>
        <v>111</v>
      </c>
      <c r="F86" s="144">
        <f>DATABASE!G853</f>
        <v>0</v>
      </c>
      <c r="G86" s="144" t="str">
        <f>DATABASE!H853</f>
        <v/>
      </c>
      <c r="H86" s="144" t="str">
        <f>DATABASE!I853</f>
        <v/>
      </c>
      <c r="I86" s="75">
        <f>DATABASE!J853</f>
        <v>0</v>
      </c>
      <c r="J86" s="144">
        <f>DATABASE!K853</f>
        <v>0</v>
      </c>
      <c r="K86" s="144">
        <f>DATABASE!L853</f>
        <v>0</v>
      </c>
      <c r="L86" s="144">
        <f>DATABASE!M853</f>
        <v>0</v>
      </c>
      <c r="M86" s="75">
        <f>DATABASE!N853</f>
        <v>0</v>
      </c>
      <c r="N86" s="79">
        <f>DATABASE!O853</f>
        <v>111</v>
      </c>
      <c r="O86" s="79">
        <f>DATABASE!P853</f>
        <v>0</v>
      </c>
      <c r="P86" s="79" t="str">
        <f>DATABASE!Q853</f>
        <v xml:space="preserve">DEED </v>
      </c>
      <c r="Q86" s="79">
        <f>DATABASE!R853</f>
        <v>570000</v>
      </c>
      <c r="R86" s="79">
        <f>DATABASE!S853</f>
        <v>570000</v>
      </c>
      <c r="S86" s="79">
        <f>DATABASE!T853</f>
        <v>600000</v>
      </c>
      <c r="T86" s="79">
        <f>DATABASE!U853</f>
        <v>0</v>
      </c>
      <c r="U86" s="79">
        <f>DATABASE!V853</f>
        <v>0</v>
      </c>
      <c r="V86" s="79">
        <f>DATABASE!W853</f>
        <v>600000</v>
      </c>
      <c r="W86" s="80">
        <f>DATABASE!X853</f>
        <v>0</v>
      </c>
      <c r="X86" s="79">
        <f>DATABASE!Y853</f>
        <v>600000</v>
      </c>
      <c r="Y86" s="79">
        <f>DATABASE!Z853</f>
        <v>600000</v>
      </c>
      <c r="Z86" s="79" t="e">
        <f>DATABASE!#REF!</f>
        <v>#REF!</v>
      </c>
      <c r="AA86" s="81">
        <f>DATABASE!AA853</f>
        <v>45086</v>
      </c>
      <c r="AB86" s="82">
        <f>DATABASE!AB853</f>
        <v>0</v>
      </c>
    </row>
    <row r="87" spans="1:28">
      <c r="A87" s="155" t="str">
        <f>DATABASE!A854</f>
        <v>VM PARQUE</v>
      </c>
      <c r="B87" s="154" t="str">
        <f>DATABASE!B854</f>
        <v>Vilamoura</v>
      </c>
      <c r="C87" s="143" t="str">
        <f>DATABASE!C854</f>
        <v>G</v>
      </c>
      <c r="D87" s="144" t="str">
        <f>DATABASE!E854</f>
        <v>V2</v>
      </c>
      <c r="E87" s="144">
        <f>DATABASE!F854</f>
        <v>152.87280000000001</v>
      </c>
      <c r="F87" s="144">
        <f>DATABASE!G854</f>
        <v>0</v>
      </c>
      <c r="G87" s="144" t="str">
        <f>DATABASE!H854</f>
        <v/>
      </c>
      <c r="H87" s="144" t="str">
        <f>DATABASE!I854</f>
        <v/>
      </c>
      <c r="I87" s="75">
        <f>DATABASE!J854</f>
        <v>0</v>
      </c>
      <c r="J87" s="144">
        <f>DATABASE!K854</f>
        <v>0</v>
      </c>
      <c r="K87" s="144">
        <f>DATABASE!L854</f>
        <v>0</v>
      </c>
      <c r="L87" s="144">
        <f>DATABASE!M854</f>
        <v>0</v>
      </c>
      <c r="M87" s="75">
        <f>DATABASE!N854</f>
        <v>0</v>
      </c>
      <c r="N87" s="79">
        <f>DATABASE!O854</f>
        <v>152.87280000000001</v>
      </c>
      <c r="O87" s="79">
        <f>DATABASE!P854</f>
        <v>0</v>
      </c>
      <c r="P87" s="79" t="str">
        <f>DATABASE!Q854</f>
        <v xml:space="preserve">DEED </v>
      </c>
      <c r="Q87" s="79">
        <f>DATABASE!R854</f>
        <v>984375</v>
      </c>
      <c r="R87" s="79">
        <f>DATABASE!S854</f>
        <v>984375</v>
      </c>
      <c r="S87" s="79">
        <f>DATABASE!T854</f>
        <v>1050000</v>
      </c>
      <c r="T87" s="79">
        <f>DATABASE!U854</f>
        <v>0</v>
      </c>
      <c r="U87" s="79">
        <f>DATABASE!V854</f>
        <v>0</v>
      </c>
      <c r="V87" s="79">
        <f>DATABASE!W854</f>
        <v>1050000</v>
      </c>
      <c r="W87" s="80">
        <f>DATABASE!X854</f>
        <v>0</v>
      </c>
      <c r="X87" s="79">
        <f>DATABASE!Y854</f>
        <v>1050000</v>
      </c>
      <c r="Y87" s="79">
        <f>DATABASE!Z854</f>
        <v>1050000</v>
      </c>
      <c r="Z87" s="79" t="e">
        <f>DATABASE!#REF!</f>
        <v>#REF!</v>
      </c>
      <c r="AA87" s="81">
        <f>DATABASE!AA854</f>
        <v>45531</v>
      </c>
      <c r="AB87" s="82">
        <f>DATABASE!AB854</f>
        <v>0</v>
      </c>
    </row>
    <row r="88" spans="1:28">
      <c r="A88" s="155" t="str">
        <f>DATABASE!A855</f>
        <v>ZESTIA</v>
      </c>
      <c r="B88" s="154" t="str">
        <f>DATABASE!B855</f>
        <v>Vilamoura</v>
      </c>
      <c r="C88" s="143" t="str">
        <f>DATABASE!C855</f>
        <v>G</v>
      </c>
      <c r="D88" s="144" t="str">
        <f>DATABASE!E855</f>
        <v>T1</v>
      </c>
      <c r="E88" s="144">
        <f>DATABASE!F855</f>
        <v>97.45</v>
      </c>
      <c r="F88" s="144">
        <f>DATABASE!G855</f>
        <v>0</v>
      </c>
      <c r="G88" s="144" t="str">
        <f>DATABASE!H855</f>
        <v/>
      </c>
      <c r="H88" s="144" t="str">
        <f>DATABASE!I855</f>
        <v/>
      </c>
      <c r="I88" s="75">
        <f>DATABASE!J855</f>
        <v>34.520000000000003</v>
      </c>
      <c r="J88" s="144">
        <f>DATABASE!K855</f>
        <v>0</v>
      </c>
      <c r="K88" s="144">
        <f>DATABASE!L855</f>
        <v>0</v>
      </c>
      <c r="L88" s="144">
        <f>DATABASE!M855</f>
        <v>0</v>
      </c>
      <c r="M88" s="75">
        <f>DATABASE!N855</f>
        <v>0</v>
      </c>
      <c r="N88" s="79">
        <f>DATABASE!O855</f>
        <v>62.93</v>
      </c>
      <c r="O88" s="79">
        <f>DATABASE!P855</f>
        <v>0</v>
      </c>
      <c r="P88" s="79" t="str">
        <f>DATABASE!Q855</f>
        <v>AVAILABLE</v>
      </c>
      <c r="Q88" s="79">
        <f>DATABASE!R855</f>
        <v>521702.81000000006</v>
      </c>
      <c r="R88" s="79">
        <f>DATABASE!S855</f>
        <v>576302.81000000006</v>
      </c>
      <c r="S88" s="79">
        <f>DATABASE!T855</f>
        <v>630000</v>
      </c>
      <c r="T88" s="79">
        <f>DATABASE!U855</f>
        <v>24600</v>
      </c>
      <c r="U88" s="79">
        <f>DATABASE!V855</f>
        <v>30000</v>
      </c>
      <c r="V88" s="79">
        <f>DATABASE!W855</f>
        <v>575400</v>
      </c>
      <c r="W88" s="80">
        <f>DATABASE!X855</f>
        <v>0</v>
      </c>
      <c r="X88" s="79">
        <f>DATABASE!Y855</f>
        <v>630000</v>
      </c>
      <c r="Y88" s="79">
        <f>DATABASE!Z855</f>
        <v>575400</v>
      </c>
      <c r="Z88" s="79" t="e">
        <f>DATABASE!#REF!</f>
        <v>#REF!</v>
      </c>
      <c r="AA88" s="81">
        <f>DATABASE!AA855</f>
        <v>0</v>
      </c>
      <c r="AB88" s="82">
        <f>DATABASE!AB855</f>
        <v>0</v>
      </c>
    </row>
    <row r="89" spans="1:28">
      <c r="A89" s="155" t="str">
        <f>DATABASE!A856</f>
        <v>Aroeira - HOUSES</v>
      </c>
      <c r="B89" s="154" t="str">
        <f>DATABASE!B856</f>
        <v>Center</v>
      </c>
      <c r="C89" s="143" t="str">
        <f>DATABASE!C856</f>
        <v>24C</v>
      </c>
      <c r="D89" s="144" t="str">
        <f>DATABASE!E856</f>
        <v>T3</v>
      </c>
      <c r="E89" s="144">
        <f>DATABASE!F856</f>
        <v>251.2</v>
      </c>
      <c r="F89" s="144">
        <f>DATABASE!G856</f>
        <v>0</v>
      </c>
      <c r="G89" s="144" t="str">
        <f>DATABASE!H856</f>
        <v>1</v>
      </c>
      <c r="H89" s="144" t="str">
        <f>DATABASE!I856</f>
        <v/>
      </c>
      <c r="I89" s="75">
        <f>DATABASE!J856</f>
        <v>0</v>
      </c>
      <c r="J89" s="144">
        <f>DATABASE!K856</f>
        <v>0</v>
      </c>
      <c r="K89" s="144">
        <f>DATABASE!L856</f>
        <v>0</v>
      </c>
      <c r="L89" s="144">
        <f>DATABASE!M856</f>
        <v>35</v>
      </c>
      <c r="M89" s="75">
        <f>DATABASE!N856</f>
        <v>41</v>
      </c>
      <c r="N89" s="79">
        <f>DATABASE!O856</f>
        <v>175.2</v>
      </c>
      <c r="O89" s="79">
        <f>DATABASE!P856</f>
        <v>0</v>
      </c>
      <c r="P89" s="79" t="str">
        <f>DATABASE!Q856</f>
        <v xml:space="preserve">PSPA </v>
      </c>
      <c r="Q89" s="79">
        <f>DATABASE!R856</f>
        <v>1320000</v>
      </c>
      <c r="R89" s="79">
        <f>DATABASE!S856</f>
        <v>1380000</v>
      </c>
      <c r="S89" s="79">
        <f>DATABASE!T856</f>
        <v>1410000</v>
      </c>
      <c r="T89" s="79">
        <f>DATABASE!U856</f>
        <v>0</v>
      </c>
      <c r="U89" s="79">
        <f>DATABASE!V856</f>
        <v>60000</v>
      </c>
      <c r="V89" s="79">
        <f>DATABASE!W856</f>
        <v>1350000</v>
      </c>
      <c r="W89" s="80">
        <f>DATABASE!X856</f>
        <v>0</v>
      </c>
      <c r="X89" s="79">
        <f>DATABASE!Y856</f>
        <v>1410000</v>
      </c>
      <c r="Y89" s="79">
        <f>DATABASE!Z856</f>
        <v>1350000</v>
      </c>
      <c r="Z89" s="79" t="e">
        <f>DATABASE!#REF!</f>
        <v>#REF!</v>
      </c>
      <c r="AA89" s="81" t="e">
        <f>DATABASE!#REF!</f>
        <v>#REF!</v>
      </c>
      <c r="AB89" s="82">
        <f>DATABASE!AB856</f>
        <v>47118</v>
      </c>
    </row>
    <row r="90" spans="1:28">
      <c r="A90" s="155" t="str">
        <f>DATABASE!A857</f>
        <v>Aroeira - HOTEL APARTMENTS</v>
      </c>
      <c r="B90" s="154" t="str">
        <f>DATABASE!B857</f>
        <v>Center</v>
      </c>
      <c r="C90" s="143" t="str">
        <f>DATABASE!C857</f>
        <v>301B</v>
      </c>
      <c r="D90" s="144" t="str">
        <f>DATABASE!E857</f>
        <v>2-BR*</v>
      </c>
      <c r="E90" s="144">
        <f>DATABASE!F857</f>
        <v>98.7</v>
      </c>
      <c r="F90" s="144">
        <f>DATABASE!G857</f>
        <v>0</v>
      </c>
      <c r="G90" s="144" t="str">
        <f>DATABASE!H857</f>
        <v>1</v>
      </c>
      <c r="H90" s="144" t="str">
        <f>DATABASE!I857</f>
        <v/>
      </c>
      <c r="I90" s="75">
        <f>DATABASE!J857</f>
        <v>13.3</v>
      </c>
      <c r="J90" s="144">
        <f>DATABASE!K857</f>
        <v>0</v>
      </c>
      <c r="K90" s="144">
        <f>DATABASE!L857</f>
        <v>0</v>
      </c>
      <c r="L90" s="144">
        <f>DATABASE!M857</f>
        <v>0</v>
      </c>
      <c r="M90" s="75">
        <f>DATABASE!N857</f>
        <v>0</v>
      </c>
      <c r="N90" s="79">
        <f>DATABASE!O857</f>
        <v>85.4</v>
      </c>
      <c r="O90" s="79">
        <f>DATABASE!P857</f>
        <v>0</v>
      </c>
      <c r="P90" s="79" t="str">
        <f>DATABASE!Q857</f>
        <v xml:space="preserve">PSPA </v>
      </c>
      <c r="Q90" s="79">
        <f>DATABASE!R857</f>
        <v>625000</v>
      </c>
      <c r="R90" s="79">
        <f>DATABASE!S857</f>
        <v>670000</v>
      </c>
      <c r="S90" s="79">
        <f>DATABASE!T857</f>
        <v>670000</v>
      </c>
      <c r="T90" s="79">
        <f>DATABASE!U857</f>
        <v>0</v>
      </c>
      <c r="U90" s="79">
        <f>DATABASE!V857</f>
        <v>45000</v>
      </c>
      <c r="V90" s="79">
        <f>DATABASE!W857</f>
        <v>625000</v>
      </c>
      <c r="W90" s="80">
        <f>DATABASE!X857</f>
        <v>7.4626865671641998E-3</v>
      </c>
      <c r="X90" s="79">
        <f>DATABASE!Y857</f>
        <v>665000</v>
      </c>
      <c r="Y90" s="79">
        <f>DATABASE!Z857</f>
        <v>620000</v>
      </c>
      <c r="Z90" s="79" t="e">
        <f>DATABASE!#REF!</f>
        <v>#REF!</v>
      </c>
      <c r="AA90" s="81" t="e">
        <f>DATABASE!#REF!</f>
        <v>#REF!</v>
      </c>
      <c r="AB90" s="82">
        <f>DATABASE!AB857</f>
        <v>47118</v>
      </c>
    </row>
    <row r="91" spans="1:28">
      <c r="A91" s="155" t="str">
        <f>DATABASE!A858</f>
        <v>Aroeira - HOUSES</v>
      </c>
      <c r="B91" s="154" t="str">
        <f>DATABASE!B858</f>
        <v>Center</v>
      </c>
      <c r="C91" s="143" t="str">
        <f>DATABASE!C858</f>
        <v>12C</v>
      </c>
      <c r="D91" s="144" t="str">
        <f>DATABASE!E858</f>
        <v>T3</v>
      </c>
      <c r="E91" s="144">
        <f>DATABASE!F858</f>
        <v>249</v>
      </c>
      <c r="F91" s="144">
        <f>DATABASE!G858</f>
        <v>0</v>
      </c>
      <c r="G91" s="144" t="str">
        <f>DATABASE!H858</f>
        <v>1</v>
      </c>
      <c r="H91" s="144" t="str">
        <f>DATABASE!I858</f>
        <v/>
      </c>
      <c r="I91" s="75">
        <f>DATABASE!J858</f>
        <v>0</v>
      </c>
      <c r="J91" s="144">
        <f>DATABASE!K858</f>
        <v>0</v>
      </c>
      <c r="K91" s="144">
        <f>DATABASE!L858</f>
        <v>0</v>
      </c>
      <c r="L91" s="144">
        <f>DATABASE!M858</f>
        <v>30</v>
      </c>
      <c r="M91" s="75">
        <f>DATABASE!N858</f>
        <v>44</v>
      </c>
      <c r="N91" s="79">
        <f>DATABASE!O858</f>
        <v>175</v>
      </c>
      <c r="O91" s="79">
        <f>DATABASE!P858</f>
        <v>0</v>
      </c>
      <c r="P91" s="79" t="str">
        <f>DATABASE!Q858</f>
        <v>AVAILABLE</v>
      </c>
      <c r="Q91" s="79">
        <f>DATABASE!R858</f>
        <v>1380000</v>
      </c>
      <c r="R91" s="79">
        <f>DATABASE!S858</f>
        <v>1380000</v>
      </c>
      <c r="S91" s="79">
        <f>DATABASE!T858</f>
        <v>1410000</v>
      </c>
      <c r="T91" s="79">
        <f>DATABASE!U858</f>
        <v>0</v>
      </c>
      <c r="U91" s="79">
        <f>DATABASE!V858</f>
        <v>0</v>
      </c>
      <c r="V91" s="79">
        <f>DATABASE!W858</f>
        <v>1410000</v>
      </c>
      <c r="W91" s="80">
        <f>DATABASE!X858</f>
        <v>0</v>
      </c>
      <c r="X91" s="79">
        <f>DATABASE!Y858</f>
        <v>0</v>
      </c>
      <c r="Y91" s="79">
        <f>DATABASE!Z858</f>
        <v>0</v>
      </c>
      <c r="Z91" s="79" t="e">
        <f>DATABASE!#REF!</f>
        <v>#REF!</v>
      </c>
      <c r="AA91" s="81">
        <f>DATABASE!AA858</f>
        <v>0</v>
      </c>
      <c r="AB91" s="82">
        <f>DATABASE!AB858</f>
        <v>47118</v>
      </c>
    </row>
    <row r="92" spans="1:28">
      <c r="A92" s="155" t="str">
        <f>DATABASE!A859</f>
        <v>MR - LT do Golfe</v>
      </c>
      <c r="B92" s="154" t="str">
        <f>DATABASE!B859</f>
        <v>Algarve</v>
      </c>
      <c r="C92" s="143" t="str">
        <f>DATABASE!C859</f>
        <v>4</v>
      </c>
      <c r="D92" s="144" t="str">
        <f>DATABASE!E859</f>
        <v>Plot</v>
      </c>
      <c r="E92" s="144">
        <f>DATABASE!F859</f>
        <v>500</v>
      </c>
      <c r="F92" s="144">
        <f>DATABASE!G859</f>
        <v>0</v>
      </c>
      <c r="G92" s="144" t="str">
        <f>DATABASE!H859</f>
        <v/>
      </c>
      <c r="H92" s="144" t="str">
        <f>DATABASE!I859</f>
        <v/>
      </c>
      <c r="I92" s="75">
        <f>DATABASE!J859</f>
        <v>0</v>
      </c>
      <c r="J92" s="144">
        <f>DATABASE!K859</f>
        <v>0</v>
      </c>
      <c r="K92" s="144">
        <f>DATABASE!L859</f>
        <v>0</v>
      </c>
      <c r="L92" s="144">
        <f>DATABASE!M859</f>
        <v>0</v>
      </c>
      <c r="M92" s="75">
        <f>DATABASE!N859</f>
        <v>0</v>
      </c>
      <c r="N92" s="79">
        <f>DATABASE!O859</f>
        <v>500</v>
      </c>
      <c r="O92" s="79">
        <f>DATABASE!P859</f>
        <v>0</v>
      </c>
      <c r="P92" s="79" t="str">
        <f>DATABASE!Q859</f>
        <v>AVAILABLE</v>
      </c>
      <c r="Q92" s="79">
        <f>DATABASE!R859</f>
        <v>1380000</v>
      </c>
      <c r="R92" s="79">
        <f>DATABASE!S859</f>
        <v>1380000</v>
      </c>
      <c r="S92" s="79">
        <f>DATABASE!T859</f>
        <v>1050000</v>
      </c>
      <c r="T92" s="79">
        <f>DATABASE!U859</f>
        <v>0</v>
      </c>
      <c r="U92" s="79">
        <f>DATABASE!V859</f>
        <v>0</v>
      </c>
      <c r="V92" s="79">
        <f>DATABASE!W859</f>
        <v>1050000</v>
      </c>
      <c r="W92" s="80">
        <f>DATABASE!X859</f>
        <v>0</v>
      </c>
      <c r="X92" s="79">
        <f>DATABASE!Y859</f>
        <v>0</v>
      </c>
      <c r="Y92" s="79">
        <f>DATABASE!Z859</f>
        <v>0</v>
      </c>
      <c r="Z92" s="79" t="e">
        <f>DATABASE!#REF!</f>
        <v>#REF!</v>
      </c>
      <c r="AA92" s="81">
        <f>DATABASE!AA859</f>
        <v>0</v>
      </c>
      <c r="AB92" s="82" t="str">
        <f>DATABASE!AB859</f>
        <v>TBD</v>
      </c>
    </row>
    <row r="93" spans="1:28">
      <c r="A93" s="155" t="str">
        <f>DATABASE!A860</f>
        <v>MR - LT do Golfe</v>
      </c>
      <c r="B93" s="154" t="str">
        <f>DATABASE!B860</f>
        <v>Algarve</v>
      </c>
      <c r="C93" s="143" t="str">
        <f>DATABASE!C860</f>
        <v>9</v>
      </c>
      <c r="D93" s="144" t="str">
        <f>DATABASE!E860</f>
        <v>Plot</v>
      </c>
      <c r="E93" s="144">
        <f>DATABASE!F860</f>
        <v>500</v>
      </c>
      <c r="F93" s="144">
        <f>DATABASE!G860</f>
        <v>0</v>
      </c>
      <c r="G93" s="144" t="str">
        <f>DATABASE!H860</f>
        <v/>
      </c>
      <c r="H93" s="144" t="str">
        <f>DATABASE!I860</f>
        <v/>
      </c>
      <c r="I93" s="75">
        <f>DATABASE!J860</f>
        <v>0</v>
      </c>
      <c r="J93" s="144">
        <f>DATABASE!K860</f>
        <v>0</v>
      </c>
      <c r="K93" s="144">
        <f>DATABASE!L860</f>
        <v>0</v>
      </c>
      <c r="L93" s="144">
        <f>DATABASE!M860</f>
        <v>0</v>
      </c>
      <c r="M93" s="75">
        <f>DATABASE!N860</f>
        <v>0</v>
      </c>
      <c r="N93" s="79">
        <f>DATABASE!O860</f>
        <v>500</v>
      </c>
      <c r="O93" s="79">
        <f>DATABASE!P860</f>
        <v>0</v>
      </c>
      <c r="P93" s="79" t="str">
        <f>DATABASE!Q860</f>
        <v>AVAILABLE</v>
      </c>
      <c r="Q93" s="79">
        <f>DATABASE!R860</f>
        <v>1380000</v>
      </c>
      <c r="R93" s="79">
        <f>DATABASE!S860</f>
        <v>1380000</v>
      </c>
      <c r="S93" s="79">
        <f>DATABASE!T860</f>
        <v>1200000</v>
      </c>
      <c r="T93" s="79">
        <f>DATABASE!U860</f>
        <v>0</v>
      </c>
      <c r="U93" s="79">
        <f>DATABASE!V860</f>
        <v>0</v>
      </c>
      <c r="V93" s="79">
        <f>DATABASE!W860</f>
        <v>1200000</v>
      </c>
      <c r="W93" s="80">
        <f>DATABASE!X860</f>
        <v>0</v>
      </c>
      <c r="X93" s="79">
        <f>DATABASE!Y860</f>
        <v>0</v>
      </c>
      <c r="Y93" s="79">
        <f>DATABASE!Z860</f>
        <v>0</v>
      </c>
      <c r="Z93" s="79" t="e">
        <f>DATABASE!#REF!</f>
        <v>#REF!</v>
      </c>
      <c r="AA93" s="81">
        <f>DATABASE!AA860</f>
        <v>0</v>
      </c>
      <c r="AB93" s="82" t="str">
        <f>DATABASE!AB860</f>
        <v>TBD</v>
      </c>
    </row>
    <row r="94" spans="1:28">
      <c r="A94" s="155" t="str">
        <f>DATABASE!A861</f>
        <v>MR - LT do Golfe</v>
      </c>
      <c r="B94" s="154" t="str">
        <f>DATABASE!B861</f>
        <v>Algarve</v>
      </c>
      <c r="C94" s="143" t="str">
        <f>DATABASE!C861</f>
        <v>7</v>
      </c>
      <c r="D94" s="144" t="str">
        <f>DATABASE!E861</f>
        <v>Plot</v>
      </c>
      <c r="E94" s="144">
        <f>DATABASE!F861</f>
        <v>500</v>
      </c>
      <c r="F94" s="144">
        <f>DATABASE!G861</f>
        <v>0</v>
      </c>
      <c r="G94" s="144" t="str">
        <f>DATABASE!H861</f>
        <v/>
      </c>
      <c r="H94" s="144" t="str">
        <f>DATABASE!I861</f>
        <v/>
      </c>
      <c r="I94" s="75">
        <f>DATABASE!J861</f>
        <v>0</v>
      </c>
      <c r="J94" s="144">
        <f>DATABASE!K861</f>
        <v>0</v>
      </c>
      <c r="K94" s="144">
        <f>DATABASE!L861</f>
        <v>0</v>
      </c>
      <c r="L94" s="144">
        <f>DATABASE!M861</f>
        <v>0</v>
      </c>
      <c r="M94" s="75">
        <f>DATABASE!N861</f>
        <v>0</v>
      </c>
      <c r="N94" s="79">
        <f>DATABASE!O861</f>
        <v>500</v>
      </c>
      <c r="O94" s="79">
        <f>DATABASE!P861</f>
        <v>0</v>
      </c>
      <c r="P94" s="79" t="str">
        <f>DATABASE!Q861</f>
        <v>AVAILABLE</v>
      </c>
      <c r="Q94" s="79">
        <f>DATABASE!R861</f>
        <v>1390000</v>
      </c>
      <c r="R94" s="79">
        <f>DATABASE!S861</f>
        <v>1390000</v>
      </c>
      <c r="S94" s="79">
        <f>DATABASE!T861</f>
        <v>1210000</v>
      </c>
      <c r="T94" s="79">
        <f>DATABASE!U861</f>
        <v>0</v>
      </c>
      <c r="U94" s="79">
        <f>DATABASE!V861</f>
        <v>0</v>
      </c>
      <c r="V94" s="79">
        <f>DATABASE!W861</f>
        <v>1210000</v>
      </c>
      <c r="W94" s="80">
        <f>DATABASE!X861</f>
        <v>0</v>
      </c>
      <c r="X94" s="79">
        <f>DATABASE!Y861</f>
        <v>0</v>
      </c>
      <c r="Y94" s="79">
        <f>DATABASE!Z861</f>
        <v>0</v>
      </c>
      <c r="Z94" s="79" t="e">
        <f>DATABASE!#REF!</f>
        <v>#REF!</v>
      </c>
      <c r="AA94" s="81">
        <f>DATABASE!AA861</f>
        <v>0</v>
      </c>
      <c r="AB94" s="82" t="str">
        <f>DATABASE!AB861</f>
        <v>TBD</v>
      </c>
    </row>
    <row r="95" spans="1:28">
      <c r="A95" s="155" t="str">
        <f>DATABASE!A862</f>
        <v>BOTÂNICA</v>
      </c>
      <c r="B95" s="154" t="str">
        <f>DATABASE!B862</f>
        <v>Vilamoura</v>
      </c>
      <c r="C95" s="143" t="str">
        <f>DATABASE!C862</f>
        <v>H</v>
      </c>
      <c r="D95" s="144" t="str">
        <f>DATABASE!E862</f>
        <v>T2</v>
      </c>
      <c r="E95" s="144">
        <f>DATABASE!F862</f>
        <v>255.53</v>
      </c>
      <c r="F95" s="144">
        <f>DATABASE!G862</f>
        <v>0</v>
      </c>
      <c r="G95" s="144" t="str">
        <f>DATABASE!H862</f>
        <v>2</v>
      </c>
      <c r="H95" s="144" t="str">
        <f>DATABASE!I862</f>
        <v/>
      </c>
      <c r="I95" s="75">
        <f>DATABASE!J862</f>
        <v>0</v>
      </c>
      <c r="J95" s="144">
        <f>DATABASE!K862</f>
        <v>0</v>
      </c>
      <c r="K95" s="144">
        <f>DATABASE!L862</f>
        <v>0</v>
      </c>
      <c r="L95" s="144">
        <f>DATABASE!M862</f>
        <v>130.37</v>
      </c>
      <c r="M95" s="75">
        <f>DATABASE!N862</f>
        <v>0</v>
      </c>
      <c r="N95" s="79">
        <f>DATABASE!O862</f>
        <v>125.16</v>
      </c>
      <c r="O95" s="79">
        <f>DATABASE!P862</f>
        <v>0</v>
      </c>
      <c r="P95" s="79" t="str">
        <f>DATABASE!Q862</f>
        <v xml:space="preserve">PSPA </v>
      </c>
      <c r="Q95" s="79">
        <f>DATABASE!R862</f>
        <v>1040172.21</v>
      </c>
      <c r="R95" s="79">
        <f>DATABASE!S862</f>
        <v>1040172.21</v>
      </c>
      <c r="S95" s="79">
        <f>DATABASE!T862</f>
        <v>1050000</v>
      </c>
      <c r="T95" s="79">
        <f>DATABASE!U862</f>
        <v>0</v>
      </c>
      <c r="U95" s="79">
        <f>DATABASE!V862</f>
        <v>0</v>
      </c>
      <c r="V95" s="79">
        <f>DATABASE!W862</f>
        <v>1050000</v>
      </c>
      <c r="W95" s="80">
        <f>DATABASE!X862</f>
        <v>0.04</v>
      </c>
      <c r="X95" s="79">
        <f>DATABASE!Y862</f>
        <v>1008000</v>
      </c>
      <c r="Y95" s="79">
        <f>DATABASE!Z862</f>
        <v>1008000</v>
      </c>
      <c r="Z95" s="79" t="e">
        <f>DATABASE!#REF!</f>
        <v>#REF!</v>
      </c>
      <c r="AA95" s="81">
        <f>DATABASE!AA862</f>
        <v>46171</v>
      </c>
      <c r="AB95" s="82">
        <f>DATABASE!AB862</f>
        <v>0</v>
      </c>
    </row>
    <row r="96" spans="1:28">
      <c r="A96" s="155" t="str">
        <f>DATABASE!A863</f>
        <v>Aroeira - HOUSES</v>
      </c>
      <c r="B96" s="154" t="str">
        <f>DATABASE!B863</f>
        <v>Center</v>
      </c>
      <c r="C96" s="143" t="str">
        <f>DATABASE!C863</f>
        <v>20C</v>
      </c>
      <c r="D96" s="144" t="str">
        <f>DATABASE!E863</f>
        <v>T3</v>
      </c>
      <c r="E96" s="144">
        <f>DATABASE!F863</f>
        <v>248.2</v>
      </c>
      <c r="F96" s="144">
        <f>DATABASE!G863</f>
        <v>0</v>
      </c>
      <c r="G96" s="144" t="str">
        <f>DATABASE!H863</f>
        <v>1</v>
      </c>
      <c r="H96" s="144" t="str">
        <f>DATABASE!I863</f>
        <v/>
      </c>
      <c r="I96" s="75">
        <f>DATABASE!J863</f>
        <v>0</v>
      </c>
      <c r="J96" s="144">
        <f>DATABASE!K863</f>
        <v>0</v>
      </c>
      <c r="K96" s="144">
        <f>DATABASE!L863</f>
        <v>0</v>
      </c>
      <c r="L96" s="144">
        <f>DATABASE!M863</f>
        <v>30</v>
      </c>
      <c r="M96" s="75">
        <f>DATABASE!N863</f>
        <v>43</v>
      </c>
      <c r="N96" s="79">
        <f>DATABASE!O863</f>
        <v>175.2</v>
      </c>
      <c r="O96" s="79">
        <f>DATABASE!P863</f>
        <v>0</v>
      </c>
      <c r="P96" s="79" t="str">
        <f>DATABASE!Q863</f>
        <v>AVAILABLE</v>
      </c>
      <c r="Q96" s="79">
        <f>DATABASE!R863</f>
        <v>1395000</v>
      </c>
      <c r="R96" s="79">
        <f>DATABASE!S863</f>
        <v>1395000</v>
      </c>
      <c r="S96" s="79">
        <f>DATABASE!T863</f>
        <v>1450000</v>
      </c>
      <c r="T96" s="79">
        <f>DATABASE!U863</f>
        <v>0</v>
      </c>
      <c r="U96" s="79">
        <f>DATABASE!V863</f>
        <v>0</v>
      </c>
      <c r="V96" s="79">
        <f>DATABASE!W863</f>
        <v>1450000</v>
      </c>
      <c r="W96" s="80">
        <f>DATABASE!X863</f>
        <v>0</v>
      </c>
      <c r="X96" s="79">
        <f>DATABASE!Y863</f>
        <v>0</v>
      </c>
      <c r="Y96" s="79">
        <f>DATABASE!Z863</f>
        <v>0</v>
      </c>
      <c r="Z96" s="79" t="e">
        <f>DATABASE!#REF!</f>
        <v>#REF!</v>
      </c>
      <c r="AA96" s="81">
        <f>DATABASE!AA863</f>
        <v>0</v>
      </c>
      <c r="AB96" s="82">
        <f>DATABASE!AB863</f>
        <v>47118</v>
      </c>
    </row>
    <row r="97" spans="1:28">
      <c r="A97" s="155" t="str">
        <f>DATABASE!A864</f>
        <v>NATURA VILLAGE 4</v>
      </c>
      <c r="B97" s="154" t="str">
        <f>DATABASE!B864</f>
        <v>Vilamoura</v>
      </c>
      <c r="C97" s="143" t="str">
        <f>DATABASE!C864</f>
        <v>H</v>
      </c>
      <c r="D97" s="144" t="str">
        <f>DATABASE!E864</f>
        <v>V2</v>
      </c>
      <c r="E97" s="144">
        <f>DATABASE!F864</f>
        <v>149.33000000000001</v>
      </c>
      <c r="F97" s="144">
        <f>DATABASE!G864</f>
        <v>0</v>
      </c>
      <c r="G97" s="144" t="str">
        <f>DATABASE!H864</f>
        <v/>
      </c>
      <c r="H97" s="144" t="str">
        <f>DATABASE!I864</f>
        <v/>
      </c>
      <c r="I97" s="75">
        <f>DATABASE!J864</f>
        <v>0</v>
      </c>
      <c r="J97" s="144">
        <f>DATABASE!K864</f>
        <v>0</v>
      </c>
      <c r="K97" s="144">
        <f>DATABASE!L864</f>
        <v>0</v>
      </c>
      <c r="L97" s="144">
        <f>DATABASE!M864</f>
        <v>0</v>
      </c>
      <c r="M97" s="75">
        <f>DATABASE!N864</f>
        <v>0</v>
      </c>
      <c r="N97" s="79">
        <f>DATABASE!O864</f>
        <v>149.33000000000001</v>
      </c>
      <c r="O97" s="79">
        <f>DATABASE!P864</f>
        <v>0</v>
      </c>
      <c r="P97" s="79" t="str">
        <f>DATABASE!Q864</f>
        <v>PRE-RESERVED</v>
      </c>
      <c r="Q97" s="79">
        <f>DATABASE!R864</f>
        <v>820000</v>
      </c>
      <c r="R97" s="79">
        <f>DATABASE!S864</f>
        <v>820000</v>
      </c>
      <c r="S97" s="79">
        <f>DATABASE!T864</f>
        <v>820000</v>
      </c>
      <c r="T97" s="79">
        <f>DATABASE!U864</f>
        <v>0</v>
      </c>
      <c r="U97" s="79">
        <f>DATABASE!V864</f>
        <v>0</v>
      </c>
      <c r="V97" s="79">
        <f>DATABASE!W864</f>
        <v>820000</v>
      </c>
      <c r="W97" s="80">
        <f>DATABASE!X864</f>
        <v>0</v>
      </c>
      <c r="X97" s="79">
        <f>DATABASE!Y864</f>
        <v>820000</v>
      </c>
      <c r="Y97" s="79">
        <f>DATABASE!Z864</f>
        <v>820000</v>
      </c>
      <c r="Z97" s="79" t="e">
        <f>DATABASE!#REF!</f>
        <v>#REF!</v>
      </c>
      <c r="AA97" s="81">
        <f>DATABASE!AA864</f>
        <v>46165</v>
      </c>
      <c r="AB97" s="82">
        <f>DATABASE!AB864</f>
        <v>0</v>
      </c>
    </row>
    <row r="98" spans="1:28">
      <c r="A98" s="155" t="str">
        <f>DATABASE!A865</f>
        <v>MR - Linked Villas</v>
      </c>
      <c r="B98" s="154" t="str">
        <f>DATABASE!B865</f>
        <v>Algarve</v>
      </c>
      <c r="C98" s="143" t="str">
        <f>DATABASE!C865</f>
        <v>W</v>
      </c>
      <c r="D98" s="144" t="str">
        <f>DATABASE!E865</f>
        <v>T3</v>
      </c>
      <c r="E98" s="144">
        <f>DATABASE!F865</f>
        <v>422.36</v>
      </c>
      <c r="F98" s="144">
        <f>DATABASE!G865</f>
        <v>45.06</v>
      </c>
      <c r="G98" s="144" t="str">
        <f>DATABASE!H865</f>
        <v/>
      </c>
      <c r="H98" s="144" t="str">
        <f>DATABASE!I865</f>
        <v/>
      </c>
      <c r="I98" s="75">
        <f>DATABASE!J865</f>
        <v>131.68</v>
      </c>
      <c r="J98" s="144">
        <f>DATABASE!K865</f>
        <v>0</v>
      </c>
      <c r="K98" s="144">
        <f>DATABASE!L865</f>
        <v>0</v>
      </c>
      <c r="L98" s="144">
        <f>DATABASE!M865</f>
        <v>0</v>
      </c>
      <c r="M98" s="75">
        <f>DATABASE!N865</f>
        <v>0</v>
      </c>
      <c r="N98" s="79">
        <f>DATABASE!O865</f>
        <v>245.62</v>
      </c>
      <c r="O98" s="79">
        <f>DATABASE!P865</f>
        <v>0</v>
      </c>
      <c r="P98" s="79" t="str">
        <f>DATABASE!Q865</f>
        <v>AVAILABLE</v>
      </c>
      <c r="Q98" s="79">
        <f>DATABASE!R865</f>
        <v>1400000</v>
      </c>
      <c r="R98" s="79">
        <f>DATABASE!S865</f>
        <v>1400000</v>
      </c>
      <c r="S98" s="79">
        <f>DATABASE!T865</f>
        <v>1440000</v>
      </c>
      <c r="T98" s="79">
        <f>DATABASE!U865</f>
        <v>0</v>
      </c>
      <c r="U98" s="79">
        <f>DATABASE!V865</f>
        <v>0</v>
      </c>
      <c r="V98" s="79">
        <f>DATABASE!W865</f>
        <v>1440000</v>
      </c>
      <c r="W98" s="80">
        <f>DATABASE!X865</f>
        <v>0</v>
      </c>
      <c r="X98" s="79">
        <f>DATABASE!Y865</f>
        <v>0</v>
      </c>
      <c r="Y98" s="79">
        <f>DATABASE!Z865</f>
        <v>0</v>
      </c>
      <c r="Z98" s="79" t="e">
        <f>DATABASE!#REF!</f>
        <v>#REF!</v>
      </c>
      <c r="AA98" s="81">
        <f>DATABASE!AA865</f>
        <v>0</v>
      </c>
      <c r="AB98" s="82" t="str">
        <f>DATABASE!AB865</f>
        <v>TBD</v>
      </c>
    </row>
    <row r="99" spans="1:28">
      <c r="A99" s="155" t="str">
        <f>DATABASE!A866</f>
        <v>MR - LT do Golfe</v>
      </c>
      <c r="B99" s="154" t="str">
        <f>DATABASE!B866</f>
        <v>Algarve</v>
      </c>
      <c r="C99" s="143" t="str">
        <f>DATABASE!C866</f>
        <v>2</v>
      </c>
      <c r="D99" s="144" t="str">
        <f>DATABASE!E866</f>
        <v>Plot</v>
      </c>
      <c r="E99" s="144">
        <f>DATABASE!F866</f>
        <v>500</v>
      </c>
      <c r="F99" s="144">
        <f>DATABASE!G866</f>
        <v>0</v>
      </c>
      <c r="G99" s="144" t="str">
        <f>DATABASE!H866</f>
        <v/>
      </c>
      <c r="H99" s="144" t="str">
        <f>DATABASE!I866</f>
        <v/>
      </c>
      <c r="I99" s="75">
        <f>DATABASE!J866</f>
        <v>0</v>
      </c>
      <c r="J99" s="144">
        <f>DATABASE!K866</f>
        <v>0</v>
      </c>
      <c r="K99" s="144">
        <f>DATABASE!L866</f>
        <v>0</v>
      </c>
      <c r="L99" s="144">
        <f>DATABASE!M866</f>
        <v>0</v>
      </c>
      <c r="M99" s="75">
        <f>DATABASE!N866</f>
        <v>0</v>
      </c>
      <c r="N99" s="79">
        <f>DATABASE!O866</f>
        <v>500</v>
      </c>
      <c r="O99" s="79">
        <f>DATABASE!P866</f>
        <v>0</v>
      </c>
      <c r="P99" s="79" t="str">
        <f>DATABASE!Q866</f>
        <v>AVAILABLE</v>
      </c>
      <c r="Q99" s="79">
        <f>DATABASE!R866</f>
        <v>1405000</v>
      </c>
      <c r="R99" s="79">
        <f>DATABASE!S866</f>
        <v>1405000</v>
      </c>
      <c r="S99" s="79">
        <f>DATABASE!T866</f>
        <v>1030000</v>
      </c>
      <c r="T99" s="79">
        <f>DATABASE!U866</f>
        <v>0</v>
      </c>
      <c r="U99" s="79">
        <f>DATABASE!V866</f>
        <v>0</v>
      </c>
      <c r="V99" s="79">
        <f>DATABASE!W866</f>
        <v>1030000</v>
      </c>
      <c r="W99" s="80">
        <f>DATABASE!X866</f>
        <v>0</v>
      </c>
      <c r="X99" s="79">
        <f>DATABASE!Y866</f>
        <v>0</v>
      </c>
      <c r="Y99" s="79">
        <f>DATABASE!Z866</f>
        <v>0</v>
      </c>
      <c r="Z99" s="79" t="e">
        <f>DATABASE!#REF!</f>
        <v>#REF!</v>
      </c>
      <c r="AA99" s="81">
        <f>DATABASE!AA866</f>
        <v>0</v>
      </c>
      <c r="AB99" s="82" t="str">
        <f>DATABASE!AB866</f>
        <v>TBD</v>
      </c>
    </row>
    <row r="100" spans="1:28">
      <c r="A100" s="156" t="str">
        <f>DATABASE!A867</f>
        <v>NATURA VILLAGE 7</v>
      </c>
      <c r="B100" s="157" t="str">
        <f>DATABASE!B867</f>
        <v>Vilamoura</v>
      </c>
      <c r="C100" s="146" t="str">
        <f>DATABASE!C867</f>
        <v>H</v>
      </c>
      <c r="D100" s="147" t="str">
        <f>DATABASE!E867</f>
        <v>V2</v>
      </c>
      <c r="E100" s="147">
        <f>DATABASE!F867</f>
        <v>148.86000000000001</v>
      </c>
      <c r="F100" s="147">
        <f>DATABASE!G867</f>
        <v>0</v>
      </c>
      <c r="G100" s="147" t="str">
        <f>DATABASE!H867</f>
        <v/>
      </c>
      <c r="H100" s="147" t="str">
        <f>DATABASE!I867</f>
        <v/>
      </c>
      <c r="I100" s="98">
        <f>DATABASE!J867</f>
        <v>0</v>
      </c>
      <c r="J100" s="147">
        <f>DATABASE!K867</f>
        <v>0</v>
      </c>
      <c r="K100" s="147">
        <f>DATABASE!L867</f>
        <v>0</v>
      </c>
      <c r="L100" s="147">
        <f>DATABASE!M867</f>
        <v>0</v>
      </c>
      <c r="M100" s="98">
        <f>DATABASE!N867</f>
        <v>0</v>
      </c>
      <c r="N100" s="102">
        <f>DATABASE!O867</f>
        <v>148.86000000000001</v>
      </c>
      <c r="O100" s="102">
        <f>DATABASE!P867</f>
        <v>0</v>
      </c>
      <c r="P100" s="102" t="str">
        <f>DATABASE!Q867</f>
        <v xml:space="preserve">DEED </v>
      </c>
      <c r="Q100" s="102">
        <f>DATABASE!R867</f>
        <v>850000</v>
      </c>
      <c r="R100" s="102">
        <f>DATABASE!S867</f>
        <v>850000</v>
      </c>
      <c r="S100" s="102">
        <f>DATABASE!T867</f>
        <v>870000</v>
      </c>
      <c r="T100" s="102">
        <f>DATABASE!U867</f>
        <v>0</v>
      </c>
      <c r="U100" s="102">
        <f>DATABASE!V867</f>
        <v>0</v>
      </c>
      <c r="V100" s="102">
        <f>DATABASE!W867</f>
        <v>870000</v>
      </c>
      <c r="W100" s="103">
        <f>DATABASE!X867</f>
        <v>0</v>
      </c>
      <c r="X100" s="102">
        <f>DATABASE!Y867</f>
        <v>870000</v>
      </c>
      <c r="Y100" s="102">
        <f>DATABASE!Z867</f>
        <v>870000</v>
      </c>
      <c r="Z100" s="102" t="e">
        <f>DATABASE!#REF!</f>
        <v>#REF!</v>
      </c>
      <c r="AA100" s="104">
        <f>DATABASE!AA867</f>
        <v>45954</v>
      </c>
      <c r="AB100" s="105">
        <f>DATABASE!AB867</f>
        <v>0</v>
      </c>
    </row>
  </sheetData>
  <conditionalFormatting sqref="A1">
    <cfRule type="containsText" dxfId="18" priority="1" operator="containsText" text="Center">
      <formula>NOT(ISERROR(SEARCH("Center",A1)))</formula>
    </cfRule>
    <cfRule type="containsText" dxfId="17" priority="2" operator="containsText" text="North">
      <formula>NOT(ISERROR(SEARCH("North",A1)))</formula>
    </cfRule>
    <cfRule type="containsText" dxfId="16" priority="3" operator="containsText" text="Algarve">
      <formula>NOT(ISERROR(SEARCH("Algarve",A1)))</formula>
    </cfRule>
    <cfRule type="containsText" dxfId="15" priority="4" operator="containsText" text="Vilamoura">
      <formula>NOT(ISERROR(SEARCH("Vilamoura",A1)))</formula>
    </cfRule>
  </conditionalFormatting>
  <pageMargins left="0.7" right="0.7" top="0.75" bottom="0.75" header="0.3" footer="0.3"/>
  <pageSetup paperSize="8" scale="49" fitToHeight="0" orientation="landscape"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EA02D-66FE-4649-9D3F-62C9EEA81C85}">
  <sheetPr>
    <tabColor rgb="FFA7AAB0"/>
    <pageSetUpPr fitToPage="1"/>
  </sheetPr>
  <dimension ref="A1:AD419"/>
  <sheetViews>
    <sheetView showGridLines="0" zoomScale="75" zoomScaleNormal="65" zoomScaleSheetLayoutView="70" workbookViewId="0"/>
  </sheetViews>
  <sheetFormatPr defaultColWidth="8.7109375" defaultRowHeight="15" outlineLevelCol="2"/>
  <cols>
    <col min="1" max="1" width="33.140625" customWidth="1"/>
    <col min="2" max="2" width="25.140625" customWidth="1"/>
    <col min="3" max="3" width="18.28515625" customWidth="1"/>
    <col min="4" max="4" width="24.42578125" customWidth="1"/>
    <col min="5" max="5" width="15.42578125" style="6" customWidth="1" outlineLevel="2"/>
    <col min="6" max="9" width="16.7109375" style="6" customWidth="1" outlineLevel="2"/>
    <col min="10" max="10" width="19.42578125" style="6" customWidth="1" outlineLevel="2"/>
    <col min="11" max="11" width="16.28515625" customWidth="1" outlineLevel="1"/>
    <col min="12" max="12" width="14.7109375" customWidth="1" outlineLevel="1"/>
    <col min="13" max="13" width="38" style="7" customWidth="1"/>
    <col min="14" max="14" width="36.140625" style="7" customWidth="1"/>
    <col min="15" max="15" width="45.7109375" customWidth="1" outlineLevel="1"/>
    <col min="16" max="16" width="36" customWidth="1" outlineLevel="1"/>
    <col min="17" max="17" width="41.140625" customWidth="1" outlineLevel="1"/>
    <col min="18" max="18" width="28.42578125" customWidth="1" outlineLevel="1"/>
    <col min="19" max="19" width="45.7109375" customWidth="1"/>
    <col min="20" max="20" width="30.28515625" customWidth="1" outlineLevel="1"/>
    <col min="21" max="21" width="30.28515625" customWidth="1"/>
    <col min="22" max="22" width="34.42578125" customWidth="1"/>
    <col min="23" max="23" width="20.42578125" customWidth="1"/>
  </cols>
  <sheetData>
    <row r="1" spans="1:30" s="1" customFormat="1" ht="60" customHeight="1">
      <c r="A1" s="58"/>
      <c r="B1" s="59" t="s">
        <v>687</v>
      </c>
      <c r="C1" s="59" t="s">
        <v>770</v>
      </c>
      <c r="D1" s="59" t="s">
        <v>93</v>
      </c>
      <c r="E1" s="59" t="s">
        <v>766</v>
      </c>
      <c r="F1" s="60" t="s">
        <v>678</v>
      </c>
      <c r="G1" s="60" t="s">
        <v>679</v>
      </c>
      <c r="H1" s="60" t="s">
        <v>680</v>
      </c>
      <c r="I1" s="60" t="s">
        <v>681</v>
      </c>
      <c r="J1" s="60" t="s">
        <v>682</v>
      </c>
      <c r="K1" s="60" t="s">
        <v>785</v>
      </c>
      <c r="L1" s="60" t="s">
        <v>683</v>
      </c>
      <c r="M1" s="59" t="s">
        <v>684</v>
      </c>
      <c r="N1" s="59" t="s">
        <v>94</v>
      </c>
      <c r="O1" s="59" t="s">
        <v>95</v>
      </c>
      <c r="P1" s="59" t="s">
        <v>627</v>
      </c>
      <c r="Q1" s="61" t="s">
        <v>331</v>
      </c>
      <c r="R1" s="61" t="s">
        <v>332</v>
      </c>
      <c r="S1" s="61" t="s">
        <v>333</v>
      </c>
      <c r="T1" s="61" t="s">
        <v>685</v>
      </c>
      <c r="U1" s="61" t="s">
        <v>97</v>
      </c>
      <c r="V1" s="59" t="s">
        <v>330</v>
      </c>
      <c r="W1" s="62" t="s">
        <v>767</v>
      </c>
      <c r="X1" s="61" t="s">
        <v>334</v>
      </c>
      <c r="Y1" s="59" t="s">
        <v>98</v>
      </c>
      <c r="Z1" s="59" t="s">
        <v>771</v>
      </c>
      <c r="AA1" s="63" t="s">
        <v>768</v>
      </c>
      <c r="AB1" s="59" t="s">
        <v>7</v>
      </c>
      <c r="AC1" s="179"/>
    </row>
    <row r="2" spans="1:30" s="14" customFormat="1">
      <c r="A2" s="158" t="str">
        <f>DATABASE!A868</f>
        <v>NATURA VILLAGE 9</v>
      </c>
      <c r="B2" s="167" t="str">
        <f>DATABASE!B868</f>
        <v>Vilamoura</v>
      </c>
      <c r="C2" s="168" t="str">
        <f>DATABASE!C868</f>
        <v>H</v>
      </c>
      <c r="D2" s="169" t="str">
        <f>DATABASE!E868</f>
        <v>V3</v>
      </c>
      <c r="E2" s="169">
        <f>DATABASE!F868</f>
        <v>192.99</v>
      </c>
      <c r="F2" s="169">
        <f>DATABASE!G868</f>
        <v>0</v>
      </c>
      <c r="G2" s="169" t="str">
        <f>DATABASE!H868</f>
        <v/>
      </c>
      <c r="H2" s="169" t="str">
        <f>DATABASE!I868</f>
        <v/>
      </c>
      <c r="I2" s="169">
        <f>DATABASE!J868</f>
        <v>0</v>
      </c>
      <c r="J2" s="169">
        <f>DATABASE!K868</f>
        <v>0</v>
      </c>
      <c r="K2" s="170">
        <f>DATABASE!L868</f>
        <v>0</v>
      </c>
      <c r="L2" s="171">
        <f>DATABASE!M868</f>
        <v>0</v>
      </c>
      <c r="M2" s="172">
        <f>DATABASE!N868</f>
        <v>0</v>
      </c>
      <c r="N2" s="173">
        <f>DATABASE!O868</f>
        <v>192.99</v>
      </c>
      <c r="O2" s="173">
        <f>DATABASE!P868</f>
        <v>0</v>
      </c>
      <c r="P2" s="173" t="str">
        <f>DATABASE!Q868</f>
        <v>AVAILABLE</v>
      </c>
      <c r="Q2" s="154">
        <f>DATABASE!R868</f>
        <v>1110000</v>
      </c>
      <c r="R2" s="174">
        <f>DATABASE!S868</f>
        <v>1110000</v>
      </c>
      <c r="S2" s="173">
        <f>DATABASE!T868</f>
        <v>1110000</v>
      </c>
      <c r="T2" s="175">
        <f>DATABASE!U868</f>
        <v>0</v>
      </c>
      <c r="U2" s="175">
        <f>DATABASE!V868</f>
        <v>0</v>
      </c>
      <c r="V2" s="176">
        <f>DATABASE!W868</f>
        <v>1110000</v>
      </c>
      <c r="W2" s="80">
        <f>DATABASE!X868</f>
        <v>0</v>
      </c>
      <c r="X2" s="79">
        <f>DATABASE!Y868</f>
        <v>1110000</v>
      </c>
      <c r="Y2" s="79">
        <f>DATABASE!Z868</f>
        <v>1110000</v>
      </c>
      <c r="Z2" s="79" t="e">
        <f>DATABASE!#REF!</f>
        <v>#REF!</v>
      </c>
      <c r="AA2" s="81">
        <f>DATABASE!AA868</f>
        <v>0</v>
      </c>
      <c r="AB2" s="177">
        <f>DATABASE!AB868</f>
        <v>0</v>
      </c>
      <c r="AC2" s="159"/>
      <c r="AD2" s="51"/>
    </row>
    <row r="3" spans="1:30" s="14" customFormat="1">
      <c r="A3" s="158" t="str">
        <f>DATABASE!A869</f>
        <v>NOBILUS</v>
      </c>
      <c r="B3" s="167" t="str">
        <f>DATABASE!B869</f>
        <v>Vilamoura</v>
      </c>
      <c r="C3" s="168" t="str">
        <f>DATABASE!C869</f>
        <v>H</v>
      </c>
      <c r="D3" s="169" t="str">
        <f>DATABASE!E869</f>
        <v>T3</v>
      </c>
      <c r="E3" s="169">
        <f>DATABASE!F869</f>
        <v>164.44</v>
      </c>
      <c r="F3" s="169">
        <f>DATABASE!G869</f>
        <v>4.46</v>
      </c>
      <c r="G3" s="169" t="str">
        <f>DATABASE!H869</f>
        <v>87-88</v>
      </c>
      <c r="H3" s="169" t="str">
        <f>DATABASE!I869</f>
        <v>Yes</v>
      </c>
      <c r="I3" s="169">
        <f>DATABASE!J869</f>
        <v>5.67</v>
      </c>
      <c r="J3" s="169">
        <f>DATABASE!K869</f>
        <v>0</v>
      </c>
      <c r="K3" s="170">
        <f>DATABASE!L869</f>
        <v>0</v>
      </c>
      <c r="L3" s="171">
        <f>DATABASE!M869</f>
        <v>0</v>
      </c>
      <c r="M3" s="172">
        <f>DATABASE!N869</f>
        <v>0</v>
      </c>
      <c r="N3" s="173">
        <f>DATABASE!O869</f>
        <v>164.44</v>
      </c>
      <c r="O3" s="173">
        <f>DATABASE!P869</f>
        <v>0</v>
      </c>
      <c r="P3" s="173" t="str">
        <f>DATABASE!Q869</f>
        <v xml:space="preserve">PSPA </v>
      </c>
      <c r="Q3" s="154">
        <f>DATABASE!R869</f>
        <v>1170000</v>
      </c>
      <c r="R3" s="174">
        <f>DATABASE!S869</f>
        <v>1170000</v>
      </c>
      <c r="S3" s="173">
        <f>DATABASE!T869</f>
        <v>1170000</v>
      </c>
      <c r="T3" s="175">
        <f>DATABASE!U869</f>
        <v>0</v>
      </c>
      <c r="U3" s="175">
        <f>DATABASE!V869</f>
        <v>0</v>
      </c>
      <c r="V3" s="178">
        <f>DATABASE!W869</f>
        <v>1170000</v>
      </c>
      <c r="W3" s="80">
        <f>DATABASE!X869</f>
        <v>0.03</v>
      </c>
      <c r="X3" s="79">
        <f>DATABASE!Y869</f>
        <v>1134900</v>
      </c>
      <c r="Y3" s="79">
        <f>DATABASE!Z869</f>
        <v>1134900</v>
      </c>
      <c r="Z3" s="79" t="e">
        <f>DATABASE!#REF!</f>
        <v>#REF!</v>
      </c>
      <c r="AA3" s="81" t="e">
        <f>DATABASE!#REF!</f>
        <v>#REF!</v>
      </c>
      <c r="AB3" s="177">
        <f>DATABASE!AB869</f>
        <v>0</v>
      </c>
      <c r="AC3" s="159"/>
      <c r="AD3" s="51"/>
    </row>
    <row r="4" spans="1:30" s="14" customFormat="1">
      <c r="A4" s="158" t="str">
        <f>DATABASE!A870</f>
        <v>Rivus</v>
      </c>
      <c r="B4" s="167" t="str">
        <f>DATABASE!B870</f>
        <v>Vilamoura</v>
      </c>
      <c r="C4" s="168" t="str">
        <f>DATABASE!C870</f>
        <v>H</v>
      </c>
      <c r="D4" s="169" t="str">
        <f>DATABASE!E870</f>
        <v>T2</v>
      </c>
      <c r="E4" s="169">
        <f>DATABASE!F870</f>
        <v>0</v>
      </c>
      <c r="F4" s="169">
        <f>DATABASE!G870</f>
        <v>0</v>
      </c>
      <c r="G4" s="169" t="str">
        <f>DATABASE!H870</f>
        <v/>
      </c>
      <c r="H4" s="169" t="str">
        <f>DATABASE!I870</f>
        <v/>
      </c>
      <c r="I4" s="169">
        <f>DATABASE!J870</f>
        <v>0</v>
      </c>
      <c r="J4" s="169">
        <f>DATABASE!K870</f>
        <v>181</v>
      </c>
      <c r="K4" s="170">
        <f>DATABASE!L870</f>
        <v>0</v>
      </c>
      <c r="L4" s="171">
        <f>DATABASE!M870</f>
        <v>0</v>
      </c>
      <c r="M4" s="172">
        <f>DATABASE!N870</f>
        <v>0</v>
      </c>
      <c r="N4" s="173">
        <f>DATABASE!O870</f>
        <v>111</v>
      </c>
      <c r="O4" s="173">
        <f>DATABASE!P870</f>
        <v>0</v>
      </c>
      <c r="P4" s="173" t="str">
        <f>DATABASE!Q870</f>
        <v>AVAILABLE</v>
      </c>
      <c r="Q4" s="154">
        <f>DATABASE!R870</f>
        <v>860000</v>
      </c>
      <c r="R4" s="174">
        <f>DATABASE!S870</f>
        <v>860000</v>
      </c>
      <c r="S4" s="173">
        <f>DATABASE!T870</f>
        <v>860000</v>
      </c>
      <c r="T4" s="175">
        <f>DATABASE!U870</f>
        <v>0</v>
      </c>
      <c r="U4" s="175">
        <f>DATABASE!V870</f>
        <v>0</v>
      </c>
      <c r="V4" s="79">
        <f>DATABASE!W870</f>
        <v>860000</v>
      </c>
      <c r="W4" s="80">
        <f>DATABASE!X870</f>
        <v>0</v>
      </c>
      <c r="X4" s="79">
        <f>DATABASE!Y870</f>
        <v>840000</v>
      </c>
      <c r="Y4" s="79">
        <f>DATABASE!Z870</f>
        <v>840000</v>
      </c>
      <c r="Z4" s="79" t="e">
        <f>DATABASE!#REF!</f>
        <v>#REF!</v>
      </c>
      <c r="AA4" s="81">
        <f>DATABASE!AA870</f>
        <v>0</v>
      </c>
      <c r="AB4" s="177">
        <f>DATABASE!AB870</f>
        <v>0</v>
      </c>
      <c r="AC4" s="159"/>
      <c r="AD4" s="51"/>
    </row>
    <row r="5" spans="1:30" s="14" customFormat="1">
      <c r="A5" s="158" t="str">
        <f>DATABASE!A871</f>
        <v>SPRINGS</v>
      </c>
      <c r="B5" s="167" t="str">
        <f>DATABASE!B871</f>
        <v>Vilamoura</v>
      </c>
      <c r="C5" s="168" t="str">
        <f>DATABASE!C871</f>
        <v>H</v>
      </c>
      <c r="D5" s="169" t="str">
        <f>DATABASE!E871</f>
        <v>V4 Duplex</v>
      </c>
      <c r="E5" s="169">
        <f>DATABASE!F871</f>
        <v>406.88</v>
      </c>
      <c r="F5" s="169">
        <f>DATABASE!G871</f>
        <v>165.79</v>
      </c>
      <c r="G5" s="169" t="str">
        <f>DATABASE!H871</f>
        <v/>
      </c>
      <c r="H5" s="169" t="str">
        <f>DATABASE!I871</f>
        <v/>
      </c>
      <c r="I5" s="169">
        <f>DATABASE!J871</f>
        <v>19.649999999999999</v>
      </c>
      <c r="J5" s="169">
        <f>DATABASE!K871</f>
        <v>0</v>
      </c>
      <c r="K5" s="170">
        <f>DATABASE!L871</f>
        <v>0</v>
      </c>
      <c r="L5" s="171">
        <f>DATABASE!M871</f>
        <v>0</v>
      </c>
      <c r="M5" s="172">
        <f>DATABASE!N871</f>
        <v>0</v>
      </c>
      <c r="N5" s="173">
        <f>DATABASE!O871</f>
        <v>221.44</v>
      </c>
      <c r="O5" s="173">
        <f>DATABASE!P871</f>
        <v>0</v>
      </c>
      <c r="P5" s="173" t="str">
        <f>DATABASE!Q871</f>
        <v>AVAILABLE</v>
      </c>
      <c r="Q5" s="154">
        <f>DATABASE!R871</f>
        <v>2614600</v>
      </c>
      <c r="R5" s="174">
        <f>DATABASE!S871</f>
        <v>2722300</v>
      </c>
      <c r="S5" s="173">
        <f>DATABASE!T871</f>
        <v>2830000</v>
      </c>
      <c r="T5" s="175">
        <f>DATABASE!U871</f>
        <v>24600</v>
      </c>
      <c r="U5" s="175">
        <f>DATABASE!V871</f>
        <v>83100</v>
      </c>
      <c r="V5" s="79">
        <f>DATABASE!W871</f>
        <v>2722300</v>
      </c>
      <c r="W5" s="80">
        <f>DATABASE!X871</f>
        <v>0</v>
      </c>
      <c r="X5" s="79">
        <f>DATABASE!Y871</f>
        <v>2830000</v>
      </c>
      <c r="Y5" s="79">
        <f>DATABASE!Z871</f>
        <v>2722300</v>
      </c>
      <c r="Z5" s="79" t="e">
        <f>DATABASE!#REF!</f>
        <v>#REF!</v>
      </c>
      <c r="AA5" s="81">
        <f>DATABASE!AA871</f>
        <v>0</v>
      </c>
      <c r="AB5" s="177">
        <f>DATABASE!AB871</f>
        <v>0</v>
      </c>
      <c r="AC5" s="159"/>
      <c r="AD5" s="51"/>
    </row>
    <row r="6" spans="1:30" s="14" customFormat="1">
      <c r="A6" s="158" t="str">
        <f>DATABASE!A872</f>
        <v>TERRACOTA</v>
      </c>
      <c r="B6" s="167" t="str">
        <f>DATABASE!B872</f>
        <v>Vilamoura</v>
      </c>
      <c r="C6" s="168" t="str">
        <f>DATABASE!C872</f>
        <v>H</v>
      </c>
      <c r="D6" s="169" t="str">
        <f>DATABASE!E872</f>
        <v>T2</v>
      </c>
      <c r="E6" s="169">
        <f>DATABASE!F872</f>
        <v>78.3</v>
      </c>
      <c r="F6" s="169">
        <f>DATABASE!G872</f>
        <v>0</v>
      </c>
      <c r="G6" s="169" t="str">
        <f>DATABASE!H872</f>
        <v/>
      </c>
      <c r="H6" s="169" t="str">
        <f>DATABASE!I872</f>
        <v/>
      </c>
      <c r="I6" s="169">
        <f>DATABASE!J872</f>
        <v>0</v>
      </c>
      <c r="J6" s="169">
        <f>DATABASE!K872</f>
        <v>0</v>
      </c>
      <c r="K6" s="170">
        <f>DATABASE!L872</f>
        <v>0</v>
      </c>
      <c r="L6" s="171">
        <f>DATABASE!M872</f>
        <v>0</v>
      </c>
      <c r="M6" s="172">
        <f>DATABASE!N872</f>
        <v>0</v>
      </c>
      <c r="N6" s="173">
        <f>DATABASE!O872</f>
        <v>78.3</v>
      </c>
      <c r="O6" s="173">
        <f>DATABASE!P872</f>
        <v>0</v>
      </c>
      <c r="P6" s="173" t="str">
        <f>DATABASE!Q872</f>
        <v xml:space="preserve">PSPA </v>
      </c>
      <c r="Q6" s="154">
        <f>DATABASE!R872</f>
        <v>1760000</v>
      </c>
      <c r="R6" s="174">
        <f>DATABASE!S872</f>
        <v>1760000</v>
      </c>
      <c r="S6" s="173">
        <f>DATABASE!T872</f>
        <v>399000</v>
      </c>
      <c r="T6" s="175">
        <f>DATABASE!U872</f>
        <v>0</v>
      </c>
      <c r="U6" s="175">
        <f>DATABASE!V872</f>
        <v>0</v>
      </c>
      <c r="V6" s="79">
        <f>DATABASE!W872</f>
        <v>399000</v>
      </c>
      <c r="W6" s="80">
        <f>DATABASE!X872</f>
        <v>0</v>
      </c>
      <c r="X6" s="79">
        <f>DATABASE!Y872</f>
        <v>399000</v>
      </c>
      <c r="Y6" s="79">
        <f>DATABASE!Z872</f>
        <v>399000</v>
      </c>
      <c r="Z6" s="79" t="e">
        <f>DATABASE!#REF!</f>
        <v>#REF!</v>
      </c>
      <c r="AA6" s="81" t="e">
        <f>DATABASE!#REF!</f>
        <v>#REF!</v>
      </c>
      <c r="AB6" s="177">
        <f>DATABASE!AB872</f>
        <v>0</v>
      </c>
      <c r="AC6" s="159"/>
      <c r="AD6" s="51"/>
    </row>
    <row r="7" spans="1:30" s="14" customFormat="1">
      <c r="A7" s="158" t="str">
        <f>DATABASE!A873</f>
        <v>MR - LT do Golfe</v>
      </c>
      <c r="B7" s="167" t="str">
        <f>DATABASE!B873</f>
        <v>Algarve</v>
      </c>
      <c r="C7" s="168" t="str">
        <f>DATABASE!C873</f>
        <v>10</v>
      </c>
      <c r="D7" s="169" t="str">
        <f>DATABASE!E873</f>
        <v>Plot</v>
      </c>
      <c r="E7" s="169">
        <f>DATABASE!F873</f>
        <v>500</v>
      </c>
      <c r="F7" s="169">
        <f>DATABASE!G873</f>
        <v>0</v>
      </c>
      <c r="G7" s="169" t="str">
        <f>DATABASE!H873</f>
        <v/>
      </c>
      <c r="H7" s="169" t="str">
        <f>DATABASE!I873</f>
        <v/>
      </c>
      <c r="I7" s="169">
        <f>DATABASE!J873</f>
        <v>0</v>
      </c>
      <c r="J7" s="169">
        <f>DATABASE!K873</f>
        <v>0</v>
      </c>
      <c r="K7" s="170">
        <f>DATABASE!L873</f>
        <v>0</v>
      </c>
      <c r="L7" s="171">
        <f>DATABASE!M873</f>
        <v>0</v>
      </c>
      <c r="M7" s="172">
        <f>DATABASE!N873</f>
        <v>0</v>
      </c>
      <c r="N7" s="173">
        <f>DATABASE!O873</f>
        <v>500</v>
      </c>
      <c r="O7" s="173">
        <f>DATABASE!P873</f>
        <v>0</v>
      </c>
      <c r="P7" s="173" t="str">
        <f>DATABASE!Q873</f>
        <v>AVAILABLE</v>
      </c>
      <c r="Q7" s="154">
        <f>DATABASE!R873</f>
        <v>1430000</v>
      </c>
      <c r="R7" s="174">
        <f>DATABASE!S873</f>
        <v>1430000</v>
      </c>
      <c r="S7" s="173">
        <f>DATABASE!T873</f>
        <v>1230000</v>
      </c>
      <c r="T7" s="175">
        <f>DATABASE!U873</f>
        <v>0</v>
      </c>
      <c r="U7" s="175">
        <f>DATABASE!V873</f>
        <v>0</v>
      </c>
      <c r="V7" s="79">
        <f>DATABASE!W873</f>
        <v>1230000</v>
      </c>
      <c r="W7" s="80">
        <f>DATABASE!X873</f>
        <v>0</v>
      </c>
      <c r="X7" s="79">
        <f>DATABASE!Y873</f>
        <v>0</v>
      </c>
      <c r="Y7" s="79">
        <f>DATABASE!Z873</f>
        <v>0</v>
      </c>
      <c r="Z7" s="79" t="e">
        <f>DATABASE!#REF!</f>
        <v>#REF!</v>
      </c>
      <c r="AA7" s="81">
        <f>DATABASE!AA873</f>
        <v>0</v>
      </c>
      <c r="AB7" s="177" t="str">
        <f>DATABASE!AB873</f>
        <v>TBD</v>
      </c>
      <c r="AC7" s="159"/>
      <c r="AD7" s="51"/>
    </row>
    <row r="8" spans="1:30" s="14" customFormat="1">
      <c r="A8" s="158" t="str">
        <f>DATABASE!A874</f>
        <v>Palmares - Signature Apartments</v>
      </c>
      <c r="B8" s="167" t="str">
        <f>DATABASE!B874</f>
        <v>Algarve</v>
      </c>
      <c r="C8" s="168" t="str">
        <f>DATABASE!C874</f>
        <v>829B</v>
      </c>
      <c r="D8" s="169" t="str">
        <f>DATABASE!E874</f>
        <v>T3 Duplex</v>
      </c>
      <c r="E8" s="169">
        <f>DATABASE!F874</f>
        <v>213.55</v>
      </c>
      <c r="F8" s="169">
        <f>DATABASE!G874</f>
        <v>0</v>
      </c>
      <c r="G8" s="169" t="str">
        <f>DATABASE!H874</f>
        <v>44+45</v>
      </c>
      <c r="H8" s="169" t="str">
        <f>DATABASE!I874</f>
        <v/>
      </c>
      <c r="I8" s="169">
        <f>DATABASE!J874</f>
        <v>0</v>
      </c>
      <c r="J8" s="169">
        <f>DATABASE!K874</f>
        <v>0</v>
      </c>
      <c r="K8" s="170">
        <f>DATABASE!L874</f>
        <v>0</v>
      </c>
      <c r="L8" s="171">
        <f>DATABASE!M874</f>
        <v>63.55</v>
      </c>
      <c r="M8" s="172">
        <f>DATABASE!N874</f>
        <v>0</v>
      </c>
      <c r="N8" s="173">
        <f>DATABASE!O874</f>
        <v>150</v>
      </c>
      <c r="O8" s="173">
        <f>DATABASE!P874</f>
        <v>0</v>
      </c>
      <c r="P8" s="173" t="str">
        <f>DATABASE!Q874</f>
        <v xml:space="preserve">PSPA </v>
      </c>
      <c r="Q8" s="154">
        <f>DATABASE!R874</f>
        <v>650000</v>
      </c>
      <c r="R8" s="174">
        <f>DATABASE!S874</f>
        <v>650000</v>
      </c>
      <c r="S8" s="173">
        <f>DATABASE!T874</f>
        <v>1315000</v>
      </c>
      <c r="T8" s="175">
        <f>DATABASE!U874</f>
        <v>0</v>
      </c>
      <c r="U8" s="175">
        <f>DATABASE!V874</f>
        <v>0</v>
      </c>
      <c r="V8" s="79">
        <f>DATABASE!W874</f>
        <v>1315000</v>
      </c>
      <c r="W8" s="80">
        <f>DATABASE!X874</f>
        <v>0</v>
      </c>
      <c r="X8" s="79">
        <f>DATABASE!Y874</f>
        <v>1315000</v>
      </c>
      <c r="Y8" s="79">
        <f>DATABASE!Z874</f>
        <v>1315000</v>
      </c>
      <c r="Z8" s="79" t="e">
        <f>DATABASE!#REF!</f>
        <v>#REF!</v>
      </c>
      <c r="AA8" s="81" t="e">
        <f>DATABASE!#REF!</f>
        <v>#REF!</v>
      </c>
      <c r="AB8" s="177">
        <f>DATABASE!AB874</f>
        <v>46843</v>
      </c>
      <c r="AC8" s="159"/>
      <c r="AD8" s="51"/>
    </row>
    <row r="9" spans="1:30" s="14" customFormat="1">
      <c r="A9" s="158" t="str">
        <f>DATABASE!A875</f>
        <v>THE NINE</v>
      </c>
      <c r="B9" s="167" t="str">
        <f>DATABASE!B875</f>
        <v>Vilamoura</v>
      </c>
      <c r="C9" s="168" t="str">
        <f>DATABASE!C875</f>
        <v>H</v>
      </c>
      <c r="D9" s="169" t="str">
        <f>DATABASE!E875</f>
        <v>T2</v>
      </c>
      <c r="E9" s="169">
        <f>DATABASE!F875</f>
        <v>111</v>
      </c>
      <c r="F9" s="169">
        <f>DATABASE!G875</f>
        <v>0</v>
      </c>
      <c r="G9" s="169" t="str">
        <f>DATABASE!H875</f>
        <v/>
      </c>
      <c r="H9" s="169" t="str">
        <f>DATABASE!I875</f>
        <v/>
      </c>
      <c r="I9" s="169">
        <f>DATABASE!J875</f>
        <v>0</v>
      </c>
      <c r="J9" s="169">
        <f>DATABASE!K875</f>
        <v>0</v>
      </c>
      <c r="K9" s="170">
        <f>DATABASE!L875</f>
        <v>0</v>
      </c>
      <c r="L9" s="171">
        <f>DATABASE!M875</f>
        <v>0</v>
      </c>
      <c r="M9" s="172">
        <f>DATABASE!N875</f>
        <v>0</v>
      </c>
      <c r="N9" s="173">
        <f>DATABASE!O875</f>
        <v>111</v>
      </c>
      <c r="O9" s="173">
        <f>DATABASE!P875</f>
        <v>0</v>
      </c>
      <c r="P9" s="173" t="str">
        <f>DATABASE!Q875</f>
        <v xml:space="preserve">DEED </v>
      </c>
      <c r="Q9" s="154">
        <f>DATABASE!R875</f>
        <v>570000</v>
      </c>
      <c r="R9" s="174">
        <f>DATABASE!S875</f>
        <v>570000</v>
      </c>
      <c r="S9" s="173">
        <f>DATABASE!T875</f>
        <v>600000</v>
      </c>
      <c r="T9" s="175">
        <f>DATABASE!U875</f>
        <v>0</v>
      </c>
      <c r="U9" s="175">
        <f>DATABASE!V875</f>
        <v>0</v>
      </c>
      <c r="V9" s="79">
        <f>DATABASE!W875</f>
        <v>600000</v>
      </c>
      <c r="W9" s="80">
        <f>DATABASE!X875</f>
        <v>0</v>
      </c>
      <c r="X9" s="79">
        <f>DATABASE!Y875</f>
        <v>600000</v>
      </c>
      <c r="Y9" s="79">
        <f>DATABASE!Z875</f>
        <v>600000</v>
      </c>
      <c r="Z9" s="79" t="e">
        <f>DATABASE!#REF!</f>
        <v>#REF!</v>
      </c>
      <c r="AA9" s="81">
        <f>DATABASE!AA875</f>
        <v>45443</v>
      </c>
      <c r="AB9" s="177">
        <f>DATABASE!AB875</f>
        <v>0</v>
      </c>
      <c r="AC9" s="159"/>
      <c r="AD9" s="51"/>
    </row>
    <row r="10" spans="1:30" s="14" customFormat="1">
      <c r="A10" s="158" t="str">
        <f>DATABASE!A876</f>
        <v>VM PARQUE</v>
      </c>
      <c r="B10" s="167" t="str">
        <f>DATABASE!B876</f>
        <v>Vilamoura</v>
      </c>
      <c r="C10" s="168" t="str">
        <f>DATABASE!C876</f>
        <v>H</v>
      </c>
      <c r="D10" s="169" t="str">
        <f>DATABASE!E876</f>
        <v>V2</v>
      </c>
      <c r="E10" s="169">
        <f>DATABASE!F876</f>
        <v>152.87280000000001</v>
      </c>
      <c r="F10" s="169">
        <f>DATABASE!G876</f>
        <v>0</v>
      </c>
      <c r="G10" s="169" t="str">
        <f>DATABASE!H876</f>
        <v/>
      </c>
      <c r="H10" s="169" t="str">
        <f>DATABASE!I876</f>
        <v/>
      </c>
      <c r="I10" s="169">
        <f>DATABASE!J876</f>
        <v>0</v>
      </c>
      <c r="J10" s="169">
        <f>DATABASE!K876</f>
        <v>0</v>
      </c>
      <c r="K10" s="170">
        <f>DATABASE!L876</f>
        <v>0</v>
      </c>
      <c r="L10" s="171">
        <f>DATABASE!M876</f>
        <v>0</v>
      </c>
      <c r="M10" s="172">
        <f>DATABASE!N876</f>
        <v>0</v>
      </c>
      <c r="N10" s="173">
        <f>DATABASE!O876</f>
        <v>152.87280000000001</v>
      </c>
      <c r="O10" s="173">
        <f>DATABASE!P876</f>
        <v>0</v>
      </c>
      <c r="P10" s="173" t="str">
        <f>DATABASE!Q876</f>
        <v xml:space="preserve">DEED </v>
      </c>
      <c r="Q10" s="154">
        <f>DATABASE!R876</f>
        <v>984375</v>
      </c>
      <c r="R10" s="174">
        <f>DATABASE!S876</f>
        <v>984375</v>
      </c>
      <c r="S10" s="173">
        <f>DATABASE!T876</f>
        <v>1030000</v>
      </c>
      <c r="T10" s="175">
        <f>DATABASE!U876</f>
        <v>0</v>
      </c>
      <c r="U10" s="175">
        <f>DATABASE!V876</f>
        <v>0</v>
      </c>
      <c r="V10" s="79">
        <f>DATABASE!W876</f>
        <v>1030000</v>
      </c>
      <c r="W10" s="80">
        <f>DATABASE!X876</f>
        <v>0</v>
      </c>
      <c r="X10" s="79">
        <f>DATABASE!Y876</f>
        <v>1030000</v>
      </c>
      <c r="Y10" s="79">
        <f>DATABASE!Z876</f>
        <v>1030000</v>
      </c>
      <c r="Z10" s="79" t="e">
        <f>DATABASE!#REF!</f>
        <v>#REF!</v>
      </c>
      <c r="AA10" s="81">
        <f>DATABASE!AA876</f>
        <v>45223</v>
      </c>
      <c r="AB10" s="177">
        <f>DATABASE!AB876</f>
        <v>0</v>
      </c>
      <c r="AC10" s="159"/>
      <c r="AD10" s="51"/>
    </row>
    <row r="11" spans="1:30" s="14" customFormat="1">
      <c r="A11" s="158" t="str">
        <f>DATABASE!A877</f>
        <v>ZESTIA</v>
      </c>
      <c r="B11" s="167" t="str">
        <f>DATABASE!B877</f>
        <v>Vilamoura</v>
      </c>
      <c r="C11" s="168" t="str">
        <f>DATABASE!C877</f>
        <v>H</v>
      </c>
      <c r="D11" s="169" t="str">
        <f>DATABASE!E877</f>
        <v>T1</v>
      </c>
      <c r="E11" s="169">
        <f>DATABASE!F877</f>
        <v>83.62</v>
      </c>
      <c r="F11" s="169">
        <f>DATABASE!G877</f>
        <v>0</v>
      </c>
      <c r="G11" s="169" t="str">
        <f>DATABASE!H877</f>
        <v/>
      </c>
      <c r="H11" s="169" t="str">
        <f>DATABASE!I877</f>
        <v/>
      </c>
      <c r="I11" s="169">
        <f>DATABASE!J877</f>
        <v>25.6</v>
      </c>
      <c r="J11" s="169">
        <f>DATABASE!K877</f>
        <v>0</v>
      </c>
      <c r="K11" s="170">
        <f>DATABASE!L877</f>
        <v>0</v>
      </c>
      <c r="L11" s="171">
        <f>DATABASE!M877</f>
        <v>0</v>
      </c>
      <c r="M11" s="172">
        <f>DATABASE!N877</f>
        <v>0</v>
      </c>
      <c r="N11" s="173">
        <f>DATABASE!O877</f>
        <v>58.02</v>
      </c>
      <c r="O11" s="173">
        <f>DATABASE!P877</f>
        <v>0</v>
      </c>
      <c r="P11" s="173" t="str">
        <f>DATABASE!Q877</f>
        <v>AVAILABLE</v>
      </c>
      <c r="Q11" s="154">
        <f>DATABASE!R877</f>
        <v>470158.14</v>
      </c>
      <c r="R11" s="174">
        <f>DATABASE!S877</f>
        <v>524758.14</v>
      </c>
      <c r="S11" s="173">
        <f>DATABASE!T877</f>
        <v>560000</v>
      </c>
      <c r="T11" s="175">
        <f>DATABASE!U877</f>
        <v>24600</v>
      </c>
      <c r="U11" s="175">
        <f>DATABASE!V877</f>
        <v>30000</v>
      </c>
      <c r="V11" s="79">
        <f>DATABASE!W877</f>
        <v>505400</v>
      </c>
      <c r="W11" s="80">
        <f>DATABASE!X877</f>
        <v>0</v>
      </c>
      <c r="X11" s="79">
        <f>DATABASE!Y877</f>
        <v>560000</v>
      </c>
      <c r="Y11" s="79">
        <f>DATABASE!Z877</f>
        <v>505400</v>
      </c>
      <c r="Z11" s="79" t="e">
        <f>DATABASE!#REF!</f>
        <v>#REF!</v>
      </c>
      <c r="AA11" s="81">
        <f>DATABASE!AA877</f>
        <v>0</v>
      </c>
      <c r="AB11" s="177">
        <f>DATABASE!AB877</f>
        <v>0</v>
      </c>
      <c r="AC11" s="159"/>
      <c r="AD11" s="51"/>
    </row>
    <row r="12" spans="1:30" s="14" customFormat="1">
      <c r="A12" s="158" t="str">
        <f>DATABASE!A878</f>
        <v>BOTÂNICA</v>
      </c>
      <c r="B12" s="167" t="str">
        <f>DATABASE!B878</f>
        <v>Vilamoura</v>
      </c>
      <c r="C12" s="168" t="str">
        <f>DATABASE!C878</f>
        <v>I</v>
      </c>
      <c r="D12" s="169" t="str">
        <f>DATABASE!E878</f>
        <v>T2</v>
      </c>
      <c r="E12" s="169">
        <f>DATABASE!F878</f>
        <v>249.77</v>
      </c>
      <c r="F12" s="169">
        <f>DATABASE!G878</f>
        <v>0</v>
      </c>
      <c r="G12" s="169" t="str">
        <f>DATABASE!H878</f>
        <v>2</v>
      </c>
      <c r="H12" s="169" t="str">
        <f>DATABASE!I878</f>
        <v/>
      </c>
      <c r="I12" s="169">
        <f>DATABASE!J878</f>
        <v>0</v>
      </c>
      <c r="J12" s="169">
        <f>DATABASE!K878</f>
        <v>0</v>
      </c>
      <c r="K12" s="170">
        <f>DATABASE!L878</f>
        <v>0</v>
      </c>
      <c r="L12" s="171">
        <f>DATABASE!M878</f>
        <v>123.56</v>
      </c>
      <c r="M12" s="172">
        <f>DATABASE!N878</f>
        <v>0</v>
      </c>
      <c r="N12" s="173">
        <f>DATABASE!O878</f>
        <v>126.21</v>
      </c>
      <c r="O12" s="173">
        <f>DATABASE!P878</f>
        <v>0</v>
      </c>
      <c r="P12" s="173" t="str">
        <f>DATABASE!Q878</f>
        <v>AVAILABLE</v>
      </c>
      <c r="Q12" s="154">
        <f>DATABASE!R878</f>
        <v>1042729.38</v>
      </c>
      <c r="R12" s="174">
        <f>DATABASE!S878</f>
        <v>1042729.38</v>
      </c>
      <c r="S12" s="173">
        <f>DATABASE!T878</f>
        <v>1095500</v>
      </c>
      <c r="T12" s="175">
        <f>DATABASE!U878</f>
        <v>0</v>
      </c>
      <c r="U12" s="175">
        <f>DATABASE!V878</f>
        <v>0</v>
      </c>
      <c r="V12" s="79">
        <f>DATABASE!W878</f>
        <v>1095500</v>
      </c>
      <c r="W12" s="80">
        <f>DATABASE!X878</f>
        <v>0</v>
      </c>
      <c r="X12" s="79">
        <f>DATABASE!Y878</f>
        <v>1081500</v>
      </c>
      <c r="Y12" s="79">
        <f>DATABASE!Z878</f>
        <v>1081500</v>
      </c>
      <c r="Z12" s="79" t="e">
        <f>DATABASE!#REF!</f>
        <v>#REF!</v>
      </c>
      <c r="AA12" s="81">
        <f>DATABASE!AA878</f>
        <v>0</v>
      </c>
      <c r="AB12" s="177">
        <f>DATABASE!AB878</f>
        <v>0</v>
      </c>
      <c r="AC12" s="159"/>
      <c r="AD12" s="51"/>
    </row>
    <row r="13" spans="1:30" s="14" customFormat="1">
      <c r="A13" s="158" t="str">
        <f>DATABASE!A879</f>
        <v>Palmares - Signature Apartments</v>
      </c>
      <c r="B13" s="167" t="str">
        <f>DATABASE!B879</f>
        <v>Algarve</v>
      </c>
      <c r="C13" s="168" t="str">
        <f>DATABASE!C879</f>
        <v>830B</v>
      </c>
      <c r="D13" s="169" t="str">
        <f>DATABASE!E879</f>
        <v>T3 (T2+1)</v>
      </c>
      <c r="E13" s="169">
        <f>DATABASE!F879</f>
        <v>283.3</v>
      </c>
      <c r="F13" s="169">
        <f>DATABASE!G879</f>
        <v>0</v>
      </c>
      <c r="G13" s="169" t="str">
        <f>DATABASE!H879</f>
        <v>46+47</v>
      </c>
      <c r="H13" s="169" t="str">
        <f>DATABASE!I879</f>
        <v/>
      </c>
      <c r="I13" s="169">
        <f>DATABASE!J879</f>
        <v>0</v>
      </c>
      <c r="J13" s="169">
        <f>DATABASE!K879</f>
        <v>0</v>
      </c>
      <c r="K13" s="170">
        <f>DATABASE!L879</f>
        <v>0</v>
      </c>
      <c r="L13" s="171">
        <f>DATABASE!M879</f>
        <v>133.65</v>
      </c>
      <c r="M13" s="172">
        <f>DATABASE!N879</f>
        <v>0</v>
      </c>
      <c r="N13" s="173">
        <f>DATABASE!O879</f>
        <v>149.65</v>
      </c>
      <c r="O13" s="173">
        <f>DATABASE!P879</f>
        <v>0</v>
      </c>
      <c r="P13" s="173" t="str">
        <f>DATABASE!Q879</f>
        <v xml:space="preserve">PSPA </v>
      </c>
      <c r="Q13" s="154">
        <f>DATABASE!R879</f>
        <v>710000</v>
      </c>
      <c r="R13" s="174">
        <f>DATABASE!S879</f>
        <v>710000</v>
      </c>
      <c r="S13" s="173">
        <f>DATABASE!T879</f>
        <v>1350000</v>
      </c>
      <c r="T13" s="175">
        <f>DATABASE!U879</f>
        <v>0</v>
      </c>
      <c r="U13" s="175">
        <f>DATABASE!V879</f>
        <v>0</v>
      </c>
      <c r="V13" s="79">
        <f>DATABASE!W879</f>
        <v>1350000</v>
      </c>
      <c r="W13" s="80">
        <f>DATABASE!X879</f>
        <v>0</v>
      </c>
      <c r="X13" s="79">
        <f>DATABASE!Y879</f>
        <v>1350000</v>
      </c>
      <c r="Y13" s="79">
        <f>DATABASE!Z879</f>
        <v>1350000</v>
      </c>
      <c r="Z13" s="79" t="e">
        <f>DATABASE!#REF!</f>
        <v>#REF!</v>
      </c>
      <c r="AA13" s="81" t="e">
        <f>DATABASE!#REF!</f>
        <v>#REF!</v>
      </c>
      <c r="AB13" s="177">
        <f>DATABASE!AB879</f>
        <v>46843</v>
      </c>
      <c r="AC13" s="159"/>
      <c r="AD13" s="51"/>
    </row>
    <row r="14" spans="1:30" s="14" customFormat="1">
      <c r="A14" s="158" t="str">
        <f>DATABASE!A880</f>
        <v>NATURA VILLAGE 4</v>
      </c>
      <c r="B14" s="167" t="str">
        <f>DATABASE!B880</f>
        <v>Vilamoura</v>
      </c>
      <c r="C14" s="168" t="str">
        <f>DATABASE!C880</f>
        <v>I</v>
      </c>
      <c r="D14" s="169" t="str">
        <f>DATABASE!E880</f>
        <v>V2</v>
      </c>
      <c r="E14" s="169">
        <f>DATABASE!F880</f>
        <v>146.21</v>
      </c>
      <c r="F14" s="169">
        <f>DATABASE!G880</f>
        <v>0</v>
      </c>
      <c r="G14" s="169" t="str">
        <f>DATABASE!H880</f>
        <v/>
      </c>
      <c r="H14" s="169" t="str">
        <f>DATABASE!I880</f>
        <v/>
      </c>
      <c r="I14" s="169">
        <f>DATABASE!J880</f>
        <v>0</v>
      </c>
      <c r="J14" s="169">
        <f>DATABASE!K880</f>
        <v>0</v>
      </c>
      <c r="K14" s="170">
        <f>DATABASE!L880</f>
        <v>0</v>
      </c>
      <c r="L14" s="171">
        <f>DATABASE!M880</f>
        <v>0</v>
      </c>
      <c r="M14" s="172">
        <f>DATABASE!N880</f>
        <v>0</v>
      </c>
      <c r="N14" s="173">
        <f>DATABASE!O880</f>
        <v>146.21</v>
      </c>
      <c r="O14" s="173">
        <f>DATABASE!P880</f>
        <v>0</v>
      </c>
      <c r="P14" s="173" t="str">
        <f>DATABASE!Q880</f>
        <v>AVAILABLE</v>
      </c>
      <c r="Q14" s="154">
        <f>DATABASE!R880</f>
        <v>790000</v>
      </c>
      <c r="R14" s="174">
        <f>DATABASE!S880</f>
        <v>790000</v>
      </c>
      <c r="S14" s="173">
        <f>DATABASE!T880</f>
        <v>790000</v>
      </c>
      <c r="T14" s="175">
        <f>DATABASE!U880</f>
        <v>0</v>
      </c>
      <c r="U14" s="175">
        <f>DATABASE!V880</f>
        <v>0</v>
      </c>
      <c r="V14" s="79">
        <f>DATABASE!W880</f>
        <v>790000</v>
      </c>
      <c r="W14" s="80">
        <f>DATABASE!X880</f>
        <v>0</v>
      </c>
      <c r="X14" s="79">
        <f>DATABASE!Y880</f>
        <v>790000</v>
      </c>
      <c r="Y14" s="79">
        <f>DATABASE!Z880</f>
        <v>790000</v>
      </c>
      <c r="Z14" s="79" t="e">
        <f>DATABASE!#REF!</f>
        <v>#REF!</v>
      </c>
      <c r="AA14" s="81">
        <f>DATABASE!AA880</f>
        <v>0</v>
      </c>
      <c r="AB14" s="177">
        <f>DATABASE!AB880</f>
        <v>0</v>
      </c>
      <c r="AC14" s="159"/>
      <c r="AD14" s="51"/>
    </row>
    <row r="15" spans="1:30" s="14" customFormat="1">
      <c r="A15" s="158" t="str">
        <f>DATABASE!A881</f>
        <v>NATURA VILLAGE 7</v>
      </c>
      <c r="B15" s="167" t="str">
        <f>DATABASE!B881</f>
        <v>Vilamoura</v>
      </c>
      <c r="C15" s="168" t="str">
        <f>DATABASE!C881</f>
        <v>I</v>
      </c>
      <c r="D15" s="169" t="str">
        <f>DATABASE!E881</f>
        <v>V2</v>
      </c>
      <c r="E15" s="169">
        <f>DATABASE!F881</f>
        <v>145.41</v>
      </c>
      <c r="F15" s="169">
        <f>DATABASE!G881</f>
        <v>0</v>
      </c>
      <c r="G15" s="169" t="str">
        <f>DATABASE!H881</f>
        <v/>
      </c>
      <c r="H15" s="169" t="str">
        <f>DATABASE!I881</f>
        <v/>
      </c>
      <c r="I15" s="169">
        <f>DATABASE!J881</f>
        <v>0</v>
      </c>
      <c r="J15" s="169">
        <f>DATABASE!K881</f>
        <v>0</v>
      </c>
      <c r="K15" s="170">
        <f>DATABASE!L881</f>
        <v>0</v>
      </c>
      <c r="L15" s="171">
        <f>DATABASE!M881</f>
        <v>0</v>
      </c>
      <c r="M15" s="172">
        <f>DATABASE!N881</f>
        <v>0</v>
      </c>
      <c r="N15" s="173">
        <f>DATABASE!O881</f>
        <v>145.41</v>
      </c>
      <c r="O15" s="173">
        <f>DATABASE!P881</f>
        <v>0</v>
      </c>
      <c r="P15" s="173" t="str">
        <f>DATABASE!Q881</f>
        <v>RESERVED</v>
      </c>
      <c r="Q15" s="154">
        <f>DATABASE!R881</f>
        <v>810000</v>
      </c>
      <c r="R15" s="174">
        <f>DATABASE!S881</f>
        <v>810000</v>
      </c>
      <c r="S15" s="173">
        <f>DATABASE!T881</f>
        <v>830000</v>
      </c>
      <c r="T15" s="175">
        <f>DATABASE!U881</f>
        <v>0</v>
      </c>
      <c r="U15" s="175">
        <f>DATABASE!V881</f>
        <v>0</v>
      </c>
      <c r="V15" s="79">
        <f>DATABASE!W881</f>
        <v>830000</v>
      </c>
      <c r="W15" s="80">
        <f>DATABASE!X881</f>
        <v>8.4337349397590692E-3</v>
      </c>
      <c r="X15" s="79">
        <f>DATABASE!Y881</f>
        <v>823000</v>
      </c>
      <c r="Y15" s="79">
        <f>DATABASE!Z881</f>
        <v>823000</v>
      </c>
      <c r="Z15" s="79" t="e">
        <f>DATABASE!#REF!</f>
        <v>#REF!</v>
      </c>
      <c r="AA15" s="81">
        <f>DATABASE!AA881</f>
        <v>46188</v>
      </c>
      <c r="AB15" s="177">
        <f>DATABASE!AB881</f>
        <v>0</v>
      </c>
      <c r="AC15" s="159"/>
      <c r="AD15" s="51"/>
    </row>
    <row r="16" spans="1:30" s="14" customFormat="1">
      <c r="A16" s="158" t="str">
        <f>DATABASE!A882</f>
        <v>NATURA VILLAGE 9</v>
      </c>
      <c r="B16" s="167" t="str">
        <f>DATABASE!B882</f>
        <v>Vilamoura</v>
      </c>
      <c r="C16" s="168" t="str">
        <f>DATABASE!C882</f>
        <v>I</v>
      </c>
      <c r="D16" s="169" t="str">
        <f>DATABASE!E882</f>
        <v>V3</v>
      </c>
      <c r="E16" s="169">
        <f>DATABASE!F882</f>
        <v>183.29</v>
      </c>
      <c r="F16" s="169">
        <f>DATABASE!G882</f>
        <v>0</v>
      </c>
      <c r="G16" s="169" t="str">
        <f>DATABASE!H882</f>
        <v/>
      </c>
      <c r="H16" s="169" t="str">
        <f>DATABASE!I882</f>
        <v/>
      </c>
      <c r="I16" s="169">
        <f>DATABASE!J882</f>
        <v>0</v>
      </c>
      <c r="J16" s="169">
        <f>DATABASE!K882</f>
        <v>0</v>
      </c>
      <c r="K16" s="170">
        <f>DATABASE!L882</f>
        <v>0</v>
      </c>
      <c r="L16" s="171">
        <f>DATABASE!M882</f>
        <v>0</v>
      </c>
      <c r="M16" s="172">
        <f>DATABASE!N882</f>
        <v>0</v>
      </c>
      <c r="N16" s="173">
        <f>DATABASE!O882</f>
        <v>183.29</v>
      </c>
      <c r="O16" s="173">
        <f>DATABASE!P882</f>
        <v>0</v>
      </c>
      <c r="P16" s="173" t="str">
        <f>DATABASE!Q882</f>
        <v>RESERVED</v>
      </c>
      <c r="Q16" s="154">
        <f>DATABASE!R882</f>
        <v>1220000</v>
      </c>
      <c r="R16" s="174">
        <f>DATABASE!S882</f>
        <v>1220000</v>
      </c>
      <c r="S16" s="173">
        <f>DATABASE!T882</f>
        <v>1220000</v>
      </c>
      <c r="T16" s="175">
        <f>DATABASE!U882</f>
        <v>0</v>
      </c>
      <c r="U16" s="175">
        <f>DATABASE!V882</f>
        <v>0</v>
      </c>
      <c r="V16" s="79">
        <f>DATABASE!W882</f>
        <v>1220000</v>
      </c>
      <c r="W16" s="80">
        <f>DATABASE!X882</f>
        <v>0</v>
      </c>
      <c r="X16" s="79">
        <f>DATABASE!Y882</f>
        <v>1220000</v>
      </c>
      <c r="Y16" s="79">
        <f>DATABASE!Z882</f>
        <v>1220000</v>
      </c>
      <c r="Z16" s="79" t="e">
        <f>DATABASE!#REF!</f>
        <v>#REF!</v>
      </c>
      <c r="AA16" s="81">
        <f>DATABASE!AA882</f>
        <v>46163</v>
      </c>
      <c r="AB16" s="177">
        <f>DATABASE!AB882</f>
        <v>0</v>
      </c>
      <c r="AC16" s="159"/>
      <c r="AD16" s="51"/>
    </row>
    <row r="17" spans="1:30" s="14" customFormat="1">
      <c r="A17" s="158" t="str">
        <f>DATABASE!A883</f>
        <v>NOBILUS</v>
      </c>
      <c r="B17" s="167" t="str">
        <f>DATABASE!B883</f>
        <v>Vilamoura</v>
      </c>
      <c r="C17" s="168" t="str">
        <f>DATABASE!C883</f>
        <v>I</v>
      </c>
      <c r="D17" s="169" t="str">
        <f>DATABASE!E883</f>
        <v>T3</v>
      </c>
      <c r="E17" s="169">
        <f>DATABASE!F883</f>
        <v>164.33</v>
      </c>
      <c r="F17" s="169">
        <f>DATABASE!G883</f>
        <v>4.46</v>
      </c>
      <c r="G17" s="169" t="str">
        <f>DATABASE!H883</f>
        <v>92</v>
      </c>
      <c r="H17" s="169" t="str">
        <f>DATABASE!I883</f>
        <v>Yes</v>
      </c>
      <c r="I17" s="169">
        <f>DATABASE!J883</f>
        <v>5.67</v>
      </c>
      <c r="J17" s="169">
        <f>DATABASE!K883</f>
        <v>0</v>
      </c>
      <c r="K17" s="170">
        <f>DATABASE!L883</f>
        <v>0</v>
      </c>
      <c r="L17" s="171">
        <f>DATABASE!M883</f>
        <v>0</v>
      </c>
      <c r="M17" s="172">
        <f>DATABASE!N883</f>
        <v>0</v>
      </c>
      <c r="N17" s="173">
        <f>DATABASE!O883</f>
        <v>164.33</v>
      </c>
      <c r="O17" s="173">
        <f>DATABASE!P883</f>
        <v>0</v>
      </c>
      <c r="P17" s="173" t="str">
        <f>DATABASE!Q883</f>
        <v xml:space="preserve">PSPA </v>
      </c>
      <c r="Q17" s="154">
        <f>DATABASE!R883</f>
        <v>1130000</v>
      </c>
      <c r="R17" s="174">
        <f>DATABASE!S883</f>
        <v>1130000</v>
      </c>
      <c r="S17" s="173">
        <f>DATABASE!T883</f>
        <v>1130000</v>
      </c>
      <c r="T17" s="175">
        <f>DATABASE!U883</f>
        <v>0</v>
      </c>
      <c r="U17" s="175">
        <f>DATABASE!V883</f>
        <v>0</v>
      </c>
      <c r="V17" s="79">
        <f>DATABASE!W883</f>
        <v>1130000</v>
      </c>
      <c r="W17" s="80">
        <f>DATABASE!X883</f>
        <v>2.6548672566371698E-2</v>
      </c>
      <c r="X17" s="79">
        <f>DATABASE!Y883</f>
        <v>1100000</v>
      </c>
      <c r="Y17" s="79">
        <f>DATABASE!Z883</f>
        <v>1100000</v>
      </c>
      <c r="Z17" s="79" t="e">
        <f>DATABASE!#REF!</f>
        <v>#REF!</v>
      </c>
      <c r="AA17" s="81" t="e">
        <f>DATABASE!#REF!</f>
        <v>#REF!</v>
      </c>
      <c r="AB17" s="177">
        <f>DATABASE!AB883</f>
        <v>0</v>
      </c>
      <c r="AC17" s="159"/>
      <c r="AD17" s="51"/>
    </row>
    <row r="18" spans="1:30" s="14" customFormat="1">
      <c r="A18" s="158" t="str">
        <f>DATABASE!A884</f>
        <v>Aroeira - VILLAS</v>
      </c>
      <c r="B18" s="167" t="str">
        <f>DATABASE!B884</f>
        <v>Center</v>
      </c>
      <c r="C18" s="168" t="str">
        <f>DATABASE!C884</f>
        <v>19C</v>
      </c>
      <c r="D18" s="169" t="str">
        <f>DATABASE!E884</f>
        <v>T2+1</v>
      </c>
      <c r="E18" s="169">
        <f>DATABASE!F884</f>
        <v>283.5</v>
      </c>
      <c r="F18" s="169">
        <f>DATABASE!G884</f>
        <v>0</v>
      </c>
      <c r="G18" s="169" t="str">
        <f>DATABASE!H884</f>
        <v>1</v>
      </c>
      <c r="H18" s="169" t="str">
        <f>DATABASE!I884</f>
        <v>1</v>
      </c>
      <c r="I18" s="169">
        <f>DATABASE!J884</f>
        <v>0</v>
      </c>
      <c r="J18" s="169">
        <f>DATABASE!K884</f>
        <v>0</v>
      </c>
      <c r="K18" s="170">
        <f>DATABASE!L884</f>
        <v>0</v>
      </c>
      <c r="L18" s="171">
        <f>DATABASE!M884</f>
        <v>84</v>
      </c>
      <c r="M18" s="172">
        <f>DATABASE!N884</f>
        <v>25</v>
      </c>
      <c r="N18" s="173">
        <f>DATABASE!O884</f>
        <v>174.5</v>
      </c>
      <c r="O18" s="173">
        <f>DATABASE!P884</f>
        <v>0</v>
      </c>
      <c r="P18" s="173" t="str">
        <f>DATABASE!Q884</f>
        <v>AVAILABLE</v>
      </c>
      <c r="Q18" s="154">
        <f>DATABASE!R884</f>
        <v>1435000</v>
      </c>
      <c r="R18" s="174">
        <f>DATABASE!S884</f>
        <v>1495000</v>
      </c>
      <c r="S18" s="173">
        <f>DATABASE!T884</f>
        <v>1495000</v>
      </c>
      <c r="T18" s="175">
        <f>DATABASE!U884</f>
        <v>0</v>
      </c>
      <c r="U18" s="175">
        <f>DATABASE!V884</f>
        <v>60000</v>
      </c>
      <c r="V18" s="79">
        <f>DATABASE!W884</f>
        <v>1435000</v>
      </c>
      <c r="W18" s="80">
        <f>DATABASE!X884</f>
        <v>0</v>
      </c>
      <c r="X18" s="79">
        <f>DATABASE!Y884</f>
        <v>0</v>
      </c>
      <c r="Y18" s="79">
        <f>DATABASE!Z884</f>
        <v>-60000</v>
      </c>
      <c r="Z18" s="79" t="e">
        <f>DATABASE!#REF!</f>
        <v>#REF!</v>
      </c>
      <c r="AA18" s="81">
        <f>DATABASE!AA884</f>
        <v>0</v>
      </c>
      <c r="AB18" s="177">
        <f>DATABASE!AB884</f>
        <v>47118</v>
      </c>
      <c r="AC18" s="159"/>
      <c r="AD18" s="51"/>
    </row>
    <row r="19" spans="1:30" s="14" customFormat="1">
      <c r="A19" s="158" t="str">
        <f>DATABASE!A885</f>
        <v xml:space="preserve">MR - CHR </v>
      </c>
      <c r="B19" s="167" t="str">
        <f>DATABASE!B885</f>
        <v>Algarve</v>
      </c>
      <c r="C19" s="168" t="str">
        <f>DATABASE!C885</f>
        <v>N</v>
      </c>
      <c r="D19" s="169" t="str">
        <f>DATABASE!E885</f>
        <v>T3 Duplex</v>
      </c>
      <c r="E19" s="169">
        <f>DATABASE!F885</f>
        <v>317.38</v>
      </c>
      <c r="F19" s="169">
        <f>DATABASE!G885</f>
        <v>0</v>
      </c>
      <c r="G19" s="169" t="str">
        <f>DATABASE!H885</f>
        <v/>
      </c>
      <c r="H19" s="169" t="str">
        <f>DATABASE!I885</f>
        <v/>
      </c>
      <c r="I19" s="169">
        <f>DATABASE!J885</f>
        <v>0</v>
      </c>
      <c r="J19" s="169">
        <f>DATABASE!K885</f>
        <v>0</v>
      </c>
      <c r="K19" s="170">
        <f>DATABASE!L885</f>
        <v>0</v>
      </c>
      <c r="L19" s="171">
        <f>DATABASE!M885</f>
        <v>84.58</v>
      </c>
      <c r="M19" s="172">
        <f>DATABASE!N885</f>
        <v>0</v>
      </c>
      <c r="N19" s="173">
        <f>DATABASE!O885</f>
        <v>232.8</v>
      </c>
      <c r="O19" s="173">
        <f>DATABASE!P885</f>
        <v>0</v>
      </c>
      <c r="P19" s="173" t="str">
        <f>DATABASE!Q885</f>
        <v>PRE-RESERVED</v>
      </c>
      <c r="Q19" s="154">
        <f>DATABASE!R885</f>
        <v>1500000</v>
      </c>
      <c r="R19" s="174">
        <f>DATABASE!S885</f>
        <v>1500000</v>
      </c>
      <c r="S19" s="173">
        <f>DATABASE!T885</f>
        <v>1220000</v>
      </c>
      <c r="T19" s="175">
        <f>DATABASE!U885</f>
        <v>0</v>
      </c>
      <c r="U19" s="175">
        <f>DATABASE!V885</f>
        <v>0</v>
      </c>
      <c r="V19" s="79">
        <f>DATABASE!W885</f>
        <v>1220000</v>
      </c>
      <c r="W19" s="80">
        <f>DATABASE!X885</f>
        <v>0</v>
      </c>
      <c r="X19" s="79">
        <f>DATABASE!Y885</f>
        <v>1220000</v>
      </c>
      <c r="Y19" s="79">
        <f>DATABASE!Z885</f>
        <v>1220000</v>
      </c>
      <c r="Z19" s="79" t="e">
        <f>DATABASE!#REF!</f>
        <v>#REF!</v>
      </c>
      <c r="AA19" s="81">
        <f>DATABASE!AA885</f>
        <v>46171</v>
      </c>
      <c r="AB19" s="177" t="str">
        <f>DATABASE!AB885</f>
        <v>TBD</v>
      </c>
      <c r="AC19" s="159"/>
      <c r="AD19" s="51"/>
    </row>
    <row r="20" spans="1:30" s="14" customFormat="1">
      <c r="A20" s="158" t="str">
        <f>DATABASE!A886</f>
        <v>Rivus</v>
      </c>
      <c r="B20" s="167" t="str">
        <f>DATABASE!B886</f>
        <v>Vilamoura</v>
      </c>
      <c r="C20" s="168" t="str">
        <f>DATABASE!C886</f>
        <v>I</v>
      </c>
      <c r="D20" s="169" t="str">
        <f>DATABASE!E886</f>
        <v>T3</v>
      </c>
      <c r="E20" s="169">
        <f>DATABASE!F886</f>
        <v>0</v>
      </c>
      <c r="F20" s="169">
        <f>DATABASE!G886</f>
        <v>0</v>
      </c>
      <c r="G20" s="169" t="str">
        <f>DATABASE!H886</f>
        <v/>
      </c>
      <c r="H20" s="169" t="str">
        <f>DATABASE!I886</f>
        <v/>
      </c>
      <c r="I20" s="169">
        <f>DATABASE!J886</f>
        <v>0</v>
      </c>
      <c r="J20" s="169">
        <f>DATABASE!K886</f>
        <v>95</v>
      </c>
      <c r="K20" s="170">
        <f>DATABASE!L886</f>
        <v>0</v>
      </c>
      <c r="L20" s="171">
        <f>DATABASE!M886</f>
        <v>0</v>
      </c>
      <c r="M20" s="172">
        <f>DATABASE!N886</f>
        <v>0</v>
      </c>
      <c r="N20" s="173">
        <f>DATABASE!O886</f>
        <v>139</v>
      </c>
      <c r="O20" s="173">
        <f>DATABASE!P886</f>
        <v>0</v>
      </c>
      <c r="P20" s="173" t="str">
        <f>DATABASE!Q886</f>
        <v>AVAILABLE</v>
      </c>
      <c r="Q20" s="154">
        <f>DATABASE!R886</f>
        <v>960000</v>
      </c>
      <c r="R20" s="174">
        <f>DATABASE!S886</f>
        <v>960000</v>
      </c>
      <c r="S20" s="173">
        <f>DATABASE!T886</f>
        <v>960000</v>
      </c>
      <c r="T20" s="175">
        <f>DATABASE!U886</f>
        <v>0</v>
      </c>
      <c r="U20" s="175">
        <f>DATABASE!V886</f>
        <v>0</v>
      </c>
      <c r="V20" s="79">
        <f>DATABASE!W886</f>
        <v>960000</v>
      </c>
      <c r="W20" s="80">
        <f>DATABASE!X886</f>
        <v>0</v>
      </c>
      <c r="X20" s="79">
        <f>DATABASE!Y886</f>
        <v>940000</v>
      </c>
      <c r="Y20" s="79">
        <f>DATABASE!Z886</f>
        <v>940000</v>
      </c>
      <c r="Z20" s="79" t="e">
        <f>DATABASE!#REF!</f>
        <v>#REF!</v>
      </c>
      <c r="AA20" s="81">
        <f>DATABASE!AA886</f>
        <v>0</v>
      </c>
      <c r="AB20" s="177">
        <f>DATABASE!AB886</f>
        <v>0</v>
      </c>
      <c r="AC20" s="159"/>
      <c r="AD20" s="51"/>
    </row>
    <row r="21" spans="1:30" s="14" customFormat="1">
      <c r="A21" s="158" t="str">
        <f>DATABASE!A887</f>
        <v>SPRINGS</v>
      </c>
      <c r="B21" s="167" t="str">
        <f>DATABASE!B887</f>
        <v>Vilamoura</v>
      </c>
      <c r="C21" s="168" t="str">
        <f>DATABASE!C887</f>
        <v>I</v>
      </c>
      <c r="D21" s="169" t="str">
        <f>DATABASE!E887</f>
        <v>V3 Duplex</v>
      </c>
      <c r="E21" s="169">
        <f>DATABASE!F887</f>
        <v>296.95999999999998</v>
      </c>
      <c r="F21" s="169">
        <f>DATABASE!G887</f>
        <v>113.29</v>
      </c>
      <c r="G21" s="169" t="str">
        <f>DATABASE!H887</f>
        <v/>
      </c>
      <c r="H21" s="169" t="str">
        <f>DATABASE!I887</f>
        <v/>
      </c>
      <c r="I21" s="169">
        <f>DATABASE!J887</f>
        <v>18.66</v>
      </c>
      <c r="J21" s="169">
        <f>DATABASE!K887</f>
        <v>0</v>
      </c>
      <c r="K21" s="170">
        <f>DATABASE!L887</f>
        <v>0</v>
      </c>
      <c r="L21" s="171">
        <f>DATABASE!M887</f>
        <v>0</v>
      </c>
      <c r="M21" s="172">
        <f>DATABASE!N887</f>
        <v>0</v>
      </c>
      <c r="N21" s="173">
        <f>DATABASE!O887</f>
        <v>165.01</v>
      </c>
      <c r="O21" s="173">
        <f>DATABASE!P887</f>
        <v>0</v>
      </c>
      <c r="P21" s="173" t="str">
        <f>DATABASE!Q887</f>
        <v>AVAILABLE</v>
      </c>
      <c r="Q21" s="154">
        <f>DATABASE!R887</f>
        <v>1952100</v>
      </c>
      <c r="R21" s="174">
        <f>DATABASE!S887</f>
        <v>2041050</v>
      </c>
      <c r="S21" s="173">
        <f>DATABASE!T887</f>
        <v>2130000</v>
      </c>
      <c r="T21" s="175">
        <f>DATABASE!U887</f>
        <v>24600</v>
      </c>
      <c r="U21" s="175">
        <f>DATABASE!V887</f>
        <v>64350</v>
      </c>
      <c r="V21" s="79">
        <f>DATABASE!W887</f>
        <v>2041050</v>
      </c>
      <c r="W21" s="80">
        <f>DATABASE!X887</f>
        <v>0</v>
      </c>
      <c r="X21" s="79">
        <f>DATABASE!Y887</f>
        <v>2130000</v>
      </c>
      <c r="Y21" s="79">
        <f>DATABASE!Z887</f>
        <v>2041050</v>
      </c>
      <c r="Z21" s="79" t="e">
        <f>DATABASE!#REF!</f>
        <v>#REF!</v>
      </c>
      <c r="AA21" s="81">
        <f>DATABASE!AA887</f>
        <v>0</v>
      </c>
      <c r="AB21" s="177">
        <f>DATABASE!AB887</f>
        <v>0</v>
      </c>
      <c r="AC21" s="159"/>
      <c r="AD21" s="51"/>
    </row>
    <row r="22" spans="1:30" s="14" customFormat="1">
      <c r="A22" s="158" t="str">
        <f>DATABASE!A888</f>
        <v>TERRACOTA</v>
      </c>
      <c r="B22" s="167" t="str">
        <f>DATABASE!B888</f>
        <v>Vilamoura</v>
      </c>
      <c r="C22" s="168" t="str">
        <f>DATABASE!C888</f>
        <v>I</v>
      </c>
      <c r="D22" s="169" t="str">
        <f>DATABASE!E888</f>
        <v>T2</v>
      </c>
      <c r="E22" s="169">
        <f>DATABASE!F888</f>
        <v>78.3</v>
      </c>
      <c r="F22" s="169">
        <f>DATABASE!G888</f>
        <v>0</v>
      </c>
      <c r="G22" s="169" t="str">
        <f>DATABASE!H888</f>
        <v/>
      </c>
      <c r="H22" s="169" t="str">
        <f>DATABASE!I888</f>
        <v/>
      </c>
      <c r="I22" s="169">
        <f>DATABASE!J888</f>
        <v>0</v>
      </c>
      <c r="J22" s="169">
        <f>DATABASE!K888</f>
        <v>0</v>
      </c>
      <c r="K22" s="170">
        <f>DATABASE!L888</f>
        <v>0</v>
      </c>
      <c r="L22" s="171">
        <f>DATABASE!M888</f>
        <v>0</v>
      </c>
      <c r="M22" s="172">
        <f>DATABASE!N888</f>
        <v>0</v>
      </c>
      <c r="N22" s="173">
        <f>DATABASE!O888</f>
        <v>78.3</v>
      </c>
      <c r="O22" s="173">
        <f>DATABASE!P888</f>
        <v>0</v>
      </c>
      <c r="P22" s="173" t="str">
        <f>DATABASE!Q888</f>
        <v xml:space="preserve">PSPA </v>
      </c>
      <c r="Q22" s="154">
        <f>DATABASE!R888</f>
        <v>1870000</v>
      </c>
      <c r="R22" s="174">
        <f>DATABASE!S888</f>
        <v>1870000</v>
      </c>
      <c r="S22" s="173">
        <f>DATABASE!T888</f>
        <v>420000</v>
      </c>
      <c r="T22" s="175">
        <f>DATABASE!U888</f>
        <v>0</v>
      </c>
      <c r="U22" s="175">
        <f>DATABASE!V888</f>
        <v>0</v>
      </c>
      <c r="V22" s="79">
        <f>DATABASE!W888</f>
        <v>420000</v>
      </c>
      <c r="W22" s="80">
        <f>DATABASE!X888</f>
        <v>0</v>
      </c>
      <c r="X22" s="79">
        <f>DATABASE!Y888</f>
        <v>420000</v>
      </c>
      <c r="Y22" s="79">
        <f>DATABASE!Z888</f>
        <v>420000</v>
      </c>
      <c r="Z22" s="79" t="e">
        <f>DATABASE!#REF!</f>
        <v>#REF!</v>
      </c>
      <c r="AA22" s="81" t="e">
        <f>DATABASE!#REF!</f>
        <v>#REF!</v>
      </c>
      <c r="AB22" s="177">
        <f>DATABASE!AB888</f>
        <v>0</v>
      </c>
      <c r="AC22" s="159"/>
      <c r="AD22" s="51"/>
    </row>
    <row r="23" spans="1:30" s="14" customFormat="1">
      <c r="A23" s="158" t="str">
        <f>DATABASE!A889</f>
        <v>THE NINE</v>
      </c>
      <c r="B23" s="167" t="str">
        <f>DATABASE!B889</f>
        <v>Vilamoura</v>
      </c>
      <c r="C23" s="168" t="str">
        <f>DATABASE!C889</f>
        <v>I</v>
      </c>
      <c r="D23" s="169" t="str">
        <f>DATABASE!E889</f>
        <v>T2</v>
      </c>
      <c r="E23" s="169">
        <f>DATABASE!F889</f>
        <v>111</v>
      </c>
      <c r="F23" s="169">
        <f>DATABASE!G889</f>
        <v>0</v>
      </c>
      <c r="G23" s="169" t="str">
        <f>DATABASE!H889</f>
        <v/>
      </c>
      <c r="H23" s="169" t="str">
        <f>DATABASE!I889</f>
        <v/>
      </c>
      <c r="I23" s="169">
        <f>DATABASE!J889</f>
        <v>0</v>
      </c>
      <c r="J23" s="169">
        <f>DATABASE!K889</f>
        <v>0</v>
      </c>
      <c r="K23" s="170">
        <f>DATABASE!L889</f>
        <v>0</v>
      </c>
      <c r="L23" s="171">
        <f>DATABASE!M889</f>
        <v>0</v>
      </c>
      <c r="M23" s="172">
        <f>DATABASE!N889</f>
        <v>0</v>
      </c>
      <c r="N23" s="173">
        <f>DATABASE!O889</f>
        <v>111</v>
      </c>
      <c r="O23" s="173">
        <f>DATABASE!P889</f>
        <v>0</v>
      </c>
      <c r="P23" s="173" t="str">
        <f>DATABASE!Q889</f>
        <v xml:space="preserve">DEED </v>
      </c>
      <c r="Q23" s="154">
        <f>DATABASE!R889</f>
        <v>570000</v>
      </c>
      <c r="R23" s="174">
        <f>DATABASE!S889</f>
        <v>570000</v>
      </c>
      <c r="S23" s="173">
        <f>DATABASE!T889</f>
        <v>630000</v>
      </c>
      <c r="T23" s="175">
        <f>DATABASE!U889</f>
        <v>0</v>
      </c>
      <c r="U23" s="175">
        <f>DATABASE!V889</f>
        <v>0</v>
      </c>
      <c r="V23" s="79">
        <f>DATABASE!W889</f>
        <v>630000</v>
      </c>
      <c r="W23" s="80">
        <f>DATABASE!X889</f>
        <v>0.18</v>
      </c>
      <c r="X23" s="79">
        <f>DATABASE!Y889</f>
        <v>516600</v>
      </c>
      <c r="Y23" s="79">
        <f>DATABASE!Z889</f>
        <v>516600</v>
      </c>
      <c r="Z23" s="79" t="e">
        <f>DATABASE!#REF!</f>
        <v>#REF!</v>
      </c>
      <c r="AA23" s="81">
        <f>DATABASE!AA889</f>
        <v>45904</v>
      </c>
      <c r="AB23" s="177">
        <f>DATABASE!AB889</f>
        <v>0</v>
      </c>
      <c r="AC23" s="159"/>
      <c r="AD23" s="51"/>
    </row>
    <row r="24" spans="1:30" s="14" customFormat="1">
      <c r="A24" s="158" t="str">
        <f>DATABASE!A890</f>
        <v>VM PARQUE</v>
      </c>
      <c r="B24" s="167" t="str">
        <f>DATABASE!B890</f>
        <v>Vilamoura</v>
      </c>
      <c r="C24" s="168" t="str">
        <f>DATABASE!C890</f>
        <v>I</v>
      </c>
      <c r="D24" s="169" t="str">
        <f>DATABASE!E890</f>
        <v>V2</v>
      </c>
      <c r="E24" s="169">
        <f>DATABASE!F890</f>
        <v>152.87280000000001</v>
      </c>
      <c r="F24" s="169">
        <f>DATABASE!G890</f>
        <v>0</v>
      </c>
      <c r="G24" s="169" t="str">
        <f>DATABASE!H890</f>
        <v/>
      </c>
      <c r="H24" s="169" t="str">
        <f>DATABASE!I890</f>
        <v/>
      </c>
      <c r="I24" s="169">
        <f>DATABASE!J890</f>
        <v>0</v>
      </c>
      <c r="J24" s="169">
        <f>DATABASE!K890</f>
        <v>0</v>
      </c>
      <c r="K24" s="170">
        <f>DATABASE!L890</f>
        <v>0</v>
      </c>
      <c r="L24" s="171">
        <f>DATABASE!M890</f>
        <v>0</v>
      </c>
      <c r="M24" s="172">
        <f>DATABASE!N890</f>
        <v>0</v>
      </c>
      <c r="N24" s="173">
        <f>DATABASE!O890</f>
        <v>152.87280000000001</v>
      </c>
      <c r="O24" s="173">
        <f>DATABASE!P890</f>
        <v>0</v>
      </c>
      <c r="P24" s="173" t="str">
        <f>DATABASE!Q890</f>
        <v xml:space="preserve">DEED </v>
      </c>
      <c r="Q24" s="154">
        <f>DATABASE!R890</f>
        <v>984375</v>
      </c>
      <c r="R24" s="174">
        <f>DATABASE!S890</f>
        <v>984375</v>
      </c>
      <c r="S24" s="173">
        <f>DATABASE!T890</f>
        <v>1050000</v>
      </c>
      <c r="T24" s="175">
        <f>DATABASE!U890</f>
        <v>0</v>
      </c>
      <c r="U24" s="175">
        <f>DATABASE!V890</f>
        <v>0</v>
      </c>
      <c r="V24" s="79">
        <f>DATABASE!W890</f>
        <v>1050000</v>
      </c>
      <c r="W24" s="80">
        <f>DATABASE!X890</f>
        <v>0</v>
      </c>
      <c r="X24" s="79">
        <f>DATABASE!Y890</f>
        <v>1050000</v>
      </c>
      <c r="Y24" s="79">
        <f>DATABASE!Z890</f>
        <v>1050000</v>
      </c>
      <c r="Z24" s="79" t="e">
        <f>DATABASE!#REF!</f>
        <v>#REF!</v>
      </c>
      <c r="AA24" s="81">
        <f>DATABASE!AA890</f>
        <v>45764</v>
      </c>
      <c r="AB24" s="177">
        <f>DATABASE!AB890</f>
        <v>0</v>
      </c>
      <c r="AC24" s="159"/>
      <c r="AD24" s="51"/>
    </row>
    <row r="25" spans="1:30" s="14" customFormat="1">
      <c r="A25" s="158" t="str">
        <f>DATABASE!A891</f>
        <v>ZESTIA</v>
      </c>
      <c r="B25" s="167" t="str">
        <f>DATABASE!B891</f>
        <v>Vilamoura</v>
      </c>
      <c r="C25" s="168" t="str">
        <f>DATABASE!C891</f>
        <v>I</v>
      </c>
      <c r="D25" s="169" t="str">
        <f>DATABASE!E891</f>
        <v>T2</v>
      </c>
      <c r="E25" s="169">
        <f>DATABASE!F891</f>
        <v>145.47</v>
      </c>
      <c r="F25" s="169">
        <f>DATABASE!G891</f>
        <v>0</v>
      </c>
      <c r="G25" s="169" t="str">
        <f>DATABASE!H891</f>
        <v/>
      </c>
      <c r="H25" s="169" t="str">
        <f>DATABASE!I891</f>
        <v/>
      </c>
      <c r="I25" s="169">
        <f>DATABASE!J891</f>
        <v>54.84</v>
      </c>
      <c r="J25" s="169">
        <f>DATABASE!K891</f>
        <v>0</v>
      </c>
      <c r="K25" s="170">
        <f>DATABASE!L891</f>
        <v>0</v>
      </c>
      <c r="L25" s="171">
        <f>DATABASE!M891</f>
        <v>0</v>
      </c>
      <c r="M25" s="172">
        <f>DATABASE!N891</f>
        <v>0</v>
      </c>
      <c r="N25" s="173">
        <f>DATABASE!O891</f>
        <v>90.63</v>
      </c>
      <c r="O25" s="173">
        <f>DATABASE!P891</f>
        <v>0</v>
      </c>
      <c r="P25" s="173" t="str">
        <f>DATABASE!Q891</f>
        <v>AVAILABLE</v>
      </c>
      <c r="Q25" s="154">
        <f>DATABASE!R891</f>
        <v>731567.5</v>
      </c>
      <c r="R25" s="174">
        <f>DATABASE!S891</f>
        <v>796167.5</v>
      </c>
      <c r="S25" s="173">
        <f>DATABASE!T891</f>
        <v>870000</v>
      </c>
      <c r="T25" s="175">
        <f>DATABASE!U891</f>
        <v>24600</v>
      </c>
      <c r="U25" s="175">
        <f>DATABASE!V891</f>
        <v>40000</v>
      </c>
      <c r="V25" s="79">
        <f>DATABASE!W891</f>
        <v>805400</v>
      </c>
      <c r="W25" s="80">
        <f>DATABASE!X891</f>
        <v>0</v>
      </c>
      <c r="X25" s="79">
        <f>DATABASE!Y891</f>
        <v>870000</v>
      </c>
      <c r="Y25" s="79">
        <f>DATABASE!Z891</f>
        <v>805400</v>
      </c>
      <c r="Z25" s="79" t="e">
        <f>DATABASE!#REF!</f>
        <v>#REF!</v>
      </c>
      <c r="AA25" s="81">
        <f>DATABASE!AA891</f>
        <v>0</v>
      </c>
      <c r="AB25" s="177">
        <f>DATABASE!AB891</f>
        <v>0</v>
      </c>
      <c r="AC25" s="159"/>
      <c r="AD25" s="51"/>
    </row>
    <row r="26" spans="1:30" s="14" customFormat="1">
      <c r="A26" s="158" t="str">
        <f>DATABASE!A892</f>
        <v>BOTÂNICA</v>
      </c>
      <c r="B26" s="167" t="str">
        <f>DATABASE!B892</f>
        <v>Vilamoura</v>
      </c>
      <c r="C26" s="168" t="str">
        <f>DATABASE!C892</f>
        <v>J</v>
      </c>
      <c r="D26" s="169" t="str">
        <f>DATABASE!E892</f>
        <v>T3</v>
      </c>
      <c r="E26" s="169">
        <f>DATABASE!F892</f>
        <v>924.59</v>
      </c>
      <c r="F26" s="169">
        <f>DATABASE!G892</f>
        <v>0</v>
      </c>
      <c r="G26" s="169" t="str">
        <f>DATABASE!H892</f>
        <v>2</v>
      </c>
      <c r="H26" s="169" t="str">
        <f>DATABASE!I892</f>
        <v/>
      </c>
      <c r="I26" s="169">
        <f>DATABASE!J892</f>
        <v>9.86</v>
      </c>
      <c r="J26" s="169">
        <f>DATABASE!K892</f>
        <v>0</v>
      </c>
      <c r="K26" s="170">
        <f>DATABASE!L892</f>
        <v>0</v>
      </c>
      <c r="L26" s="171">
        <f>DATABASE!M892</f>
        <v>739.52</v>
      </c>
      <c r="M26" s="172">
        <f>DATABASE!N892</f>
        <v>0</v>
      </c>
      <c r="N26" s="173">
        <f>DATABASE!O892</f>
        <v>175.21</v>
      </c>
      <c r="O26" s="173">
        <f>DATABASE!P892</f>
        <v>0</v>
      </c>
      <c r="P26" s="173" t="str">
        <f>DATABASE!Q892</f>
        <v>PRE-RESERVED</v>
      </c>
      <c r="Q26" s="154">
        <f>DATABASE!R892</f>
        <v>1737489.39</v>
      </c>
      <c r="R26" s="174">
        <f>DATABASE!S892</f>
        <v>1737489.39</v>
      </c>
      <c r="S26" s="173">
        <f>DATABASE!T892</f>
        <v>1670400</v>
      </c>
      <c r="T26" s="175">
        <f>DATABASE!U892</f>
        <v>0</v>
      </c>
      <c r="U26" s="175">
        <f>DATABASE!V892</f>
        <v>0</v>
      </c>
      <c r="V26" s="79">
        <f>DATABASE!W892</f>
        <v>1670400</v>
      </c>
      <c r="W26" s="80">
        <f>DATABASE!X892</f>
        <v>-4.1666666666666699E-2</v>
      </c>
      <c r="X26" s="79">
        <f>DATABASE!Y892</f>
        <v>1740000</v>
      </c>
      <c r="Y26" s="79">
        <f>DATABASE!Z892</f>
        <v>1740000</v>
      </c>
      <c r="Z26" s="79" t="e">
        <f>DATABASE!#REF!</f>
        <v>#REF!</v>
      </c>
      <c r="AA26" s="81">
        <f>DATABASE!AA892</f>
        <v>0</v>
      </c>
      <c r="AB26" s="177">
        <f>DATABASE!AB892</f>
        <v>0</v>
      </c>
      <c r="AC26" s="159"/>
      <c r="AD26" s="51"/>
    </row>
    <row r="27" spans="1:30" s="14" customFormat="1">
      <c r="A27" s="158" t="str">
        <f>DATABASE!A893</f>
        <v>NATURA VILLAGE 4</v>
      </c>
      <c r="B27" s="167" t="str">
        <f>DATABASE!B893</f>
        <v>Vilamoura</v>
      </c>
      <c r="C27" s="168" t="str">
        <f>DATABASE!C893</f>
        <v>J</v>
      </c>
      <c r="D27" s="169" t="str">
        <f>DATABASE!E893</f>
        <v>V2</v>
      </c>
      <c r="E27" s="169">
        <f>DATABASE!F893</f>
        <v>146.38</v>
      </c>
      <c r="F27" s="169">
        <f>DATABASE!G893</f>
        <v>0</v>
      </c>
      <c r="G27" s="169" t="str">
        <f>DATABASE!H893</f>
        <v/>
      </c>
      <c r="H27" s="169" t="str">
        <f>DATABASE!I893</f>
        <v/>
      </c>
      <c r="I27" s="169">
        <f>DATABASE!J893</f>
        <v>0</v>
      </c>
      <c r="J27" s="169">
        <f>DATABASE!K893</f>
        <v>0</v>
      </c>
      <c r="K27" s="170">
        <f>DATABASE!L893</f>
        <v>0</v>
      </c>
      <c r="L27" s="171">
        <f>DATABASE!M893</f>
        <v>0</v>
      </c>
      <c r="M27" s="172">
        <f>DATABASE!N893</f>
        <v>0</v>
      </c>
      <c r="N27" s="173">
        <f>DATABASE!O893</f>
        <v>146.38</v>
      </c>
      <c r="O27" s="173">
        <f>DATABASE!P893</f>
        <v>0</v>
      </c>
      <c r="P27" s="173" t="str">
        <f>DATABASE!Q893</f>
        <v xml:space="preserve">DEED </v>
      </c>
      <c r="Q27" s="154">
        <f>DATABASE!R893</f>
        <v>810000</v>
      </c>
      <c r="R27" s="174">
        <f>DATABASE!S893</f>
        <v>810000</v>
      </c>
      <c r="S27" s="173">
        <f>DATABASE!T893</f>
        <v>830000</v>
      </c>
      <c r="T27" s="175">
        <f>DATABASE!U893</f>
        <v>0</v>
      </c>
      <c r="U27" s="175">
        <f>DATABASE!V893</f>
        <v>0</v>
      </c>
      <c r="V27" s="79">
        <f>DATABASE!W893</f>
        <v>830000</v>
      </c>
      <c r="W27" s="80">
        <f>DATABASE!X893</f>
        <v>0</v>
      </c>
      <c r="X27" s="79">
        <f>DATABASE!Y893</f>
        <v>830000</v>
      </c>
      <c r="Y27" s="79">
        <f>DATABASE!Z893</f>
        <v>830000</v>
      </c>
      <c r="Z27" s="79" t="e">
        <f>DATABASE!#REF!</f>
        <v>#REF!</v>
      </c>
      <c r="AA27" s="81">
        <f>DATABASE!AA893</f>
        <v>45841</v>
      </c>
      <c r="AB27" s="177">
        <f>DATABASE!AB893</f>
        <v>0</v>
      </c>
      <c r="AC27" s="159"/>
      <c r="AD27" s="51"/>
    </row>
    <row r="28" spans="1:30" s="14" customFormat="1">
      <c r="A28" s="158" t="str">
        <f>DATABASE!A894</f>
        <v>NATURA VILLAGE 7</v>
      </c>
      <c r="B28" s="167" t="str">
        <f>DATABASE!B894</f>
        <v>Vilamoura</v>
      </c>
      <c r="C28" s="168" t="str">
        <f>DATABASE!C894</f>
        <v>J</v>
      </c>
      <c r="D28" s="169" t="str">
        <f>DATABASE!E894</f>
        <v>V2</v>
      </c>
      <c r="E28" s="169">
        <f>DATABASE!F894</f>
        <v>145.87</v>
      </c>
      <c r="F28" s="169">
        <f>DATABASE!G894</f>
        <v>0</v>
      </c>
      <c r="G28" s="169" t="str">
        <f>DATABASE!H894</f>
        <v/>
      </c>
      <c r="H28" s="169" t="str">
        <f>DATABASE!I894</f>
        <v/>
      </c>
      <c r="I28" s="169">
        <f>DATABASE!J894</f>
        <v>0</v>
      </c>
      <c r="J28" s="169">
        <f>DATABASE!K894</f>
        <v>0</v>
      </c>
      <c r="K28" s="170">
        <f>DATABASE!L894</f>
        <v>0</v>
      </c>
      <c r="L28" s="171">
        <f>DATABASE!M894</f>
        <v>0</v>
      </c>
      <c r="M28" s="172">
        <f>DATABASE!N894</f>
        <v>0</v>
      </c>
      <c r="N28" s="173">
        <f>DATABASE!O894</f>
        <v>145.87</v>
      </c>
      <c r="O28" s="173">
        <f>DATABASE!P894</f>
        <v>0</v>
      </c>
      <c r="P28" s="173" t="str">
        <f>DATABASE!Q894</f>
        <v xml:space="preserve">DEED </v>
      </c>
      <c r="Q28" s="154">
        <f>DATABASE!R894</f>
        <v>810000</v>
      </c>
      <c r="R28" s="174">
        <f>DATABASE!S894</f>
        <v>810000</v>
      </c>
      <c r="S28" s="173">
        <f>DATABASE!T894</f>
        <v>830000</v>
      </c>
      <c r="T28" s="175">
        <f>DATABASE!U894</f>
        <v>0</v>
      </c>
      <c r="U28" s="175">
        <f>DATABASE!V894</f>
        <v>0</v>
      </c>
      <c r="V28" s="79">
        <f>DATABASE!W894</f>
        <v>830000</v>
      </c>
      <c r="W28" s="80">
        <f>DATABASE!X894</f>
        <v>0</v>
      </c>
      <c r="X28" s="79">
        <f>DATABASE!Y894</f>
        <v>830000</v>
      </c>
      <c r="Y28" s="79">
        <f>DATABASE!Z894</f>
        <v>830000</v>
      </c>
      <c r="Z28" s="79" t="e">
        <f>DATABASE!#REF!</f>
        <v>#REF!</v>
      </c>
      <c r="AA28" s="81">
        <f>DATABASE!AA894</f>
        <v>45657</v>
      </c>
      <c r="AB28" s="177">
        <f>DATABASE!AB894</f>
        <v>0</v>
      </c>
      <c r="AC28" s="159"/>
      <c r="AD28" s="51"/>
    </row>
    <row r="29" spans="1:30" s="14" customFormat="1">
      <c r="A29" s="158" t="str">
        <f>DATABASE!A895</f>
        <v>NATURA VILLAGE 9</v>
      </c>
      <c r="B29" s="167" t="str">
        <f>DATABASE!B895</f>
        <v>Vilamoura</v>
      </c>
      <c r="C29" s="168" t="str">
        <f>DATABASE!C895</f>
        <v>J</v>
      </c>
      <c r="D29" s="169" t="str">
        <f>DATABASE!E895</f>
        <v>V3</v>
      </c>
      <c r="E29" s="169">
        <f>DATABASE!F895</f>
        <v>192.67</v>
      </c>
      <c r="F29" s="169">
        <f>DATABASE!G895</f>
        <v>0</v>
      </c>
      <c r="G29" s="169" t="str">
        <f>DATABASE!H895</f>
        <v/>
      </c>
      <c r="H29" s="169" t="str">
        <f>DATABASE!I895</f>
        <v/>
      </c>
      <c r="I29" s="169">
        <f>DATABASE!J895</f>
        <v>0</v>
      </c>
      <c r="J29" s="169">
        <f>DATABASE!K895</f>
        <v>0</v>
      </c>
      <c r="K29" s="170">
        <f>DATABASE!L895</f>
        <v>0</v>
      </c>
      <c r="L29" s="171">
        <f>DATABASE!M895</f>
        <v>0</v>
      </c>
      <c r="M29" s="172">
        <f>DATABASE!N895</f>
        <v>0</v>
      </c>
      <c r="N29" s="173">
        <f>DATABASE!O895</f>
        <v>192.67</v>
      </c>
      <c r="O29" s="173">
        <f>DATABASE!P895</f>
        <v>0</v>
      </c>
      <c r="P29" s="173" t="str">
        <f>DATABASE!Q895</f>
        <v xml:space="preserve">PSPA </v>
      </c>
      <c r="Q29" s="154">
        <f>DATABASE!R895</f>
        <v>1390000</v>
      </c>
      <c r="R29" s="174">
        <f>DATABASE!S895</f>
        <v>1390000</v>
      </c>
      <c r="S29" s="173">
        <f>DATABASE!T895</f>
        <v>1390000</v>
      </c>
      <c r="T29" s="175">
        <f>DATABASE!U895</f>
        <v>0</v>
      </c>
      <c r="U29" s="175">
        <f>DATABASE!V895</f>
        <v>0</v>
      </c>
      <c r="V29" s="79">
        <f>DATABASE!W895</f>
        <v>1390000</v>
      </c>
      <c r="W29" s="80">
        <f>DATABASE!X895</f>
        <v>0</v>
      </c>
      <c r="X29" s="79">
        <f>DATABASE!Y895</f>
        <v>1390000</v>
      </c>
      <c r="Y29" s="79">
        <f>DATABASE!Z895</f>
        <v>1390000</v>
      </c>
      <c r="Z29" s="79" t="e">
        <f>DATABASE!#REF!</f>
        <v>#REF!</v>
      </c>
      <c r="AA29" s="81">
        <f>DATABASE!AA895</f>
        <v>45747</v>
      </c>
      <c r="AB29" s="177">
        <f>DATABASE!AB895</f>
        <v>0</v>
      </c>
      <c r="AC29" s="159"/>
      <c r="AD29" s="51"/>
    </row>
    <row r="30" spans="1:30" s="14" customFormat="1">
      <c r="A30" s="158" t="str">
        <f>DATABASE!A896</f>
        <v>NOBILUS</v>
      </c>
      <c r="B30" s="167" t="str">
        <f>DATABASE!B896</f>
        <v>Vilamoura</v>
      </c>
      <c r="C30" s="168" t="str">
        <f>DATABASE!C896</f>
        <v>J</v>
      </c>
      <c r="D30" s="169" t="str">
        <f>DATABASE!E896</f>
        <v>T3</v>
      </c>
      <c r="E30" s="169">
        <f>DATABASE!F896</f>
        <v>153.72</v>
      </c>
      <c r="F30" s="169">
        <f>DATABASE!G896</f>
        <v>4.45</v>
      </c>
      <c r="G30" s="169" t="str">
        <f>DATABASE!H896</f>
        <v>33-34</v>
      </c>
      <c r="H30" s="169" t="str">
        <f>DATABASE!I896</f>
        <v>Yes</v>
      </c>
      <c r="I30" s="169">
        <f>DATABASE!J896</f>
        <v>0</v>
      </c>
      <c r="J30" s="169">
        <f>DATABASE!K896</f>
        <v>0</v>
      </c>
      <c r="K30" s="170">
        <f>DATABASE!L896</f>
        <v>0</v>
      </c>
      <c r="L30" s="171">
        <f>DATABASE!M896</f>
        <v>0</v>
      </c>
      <c r="M30" s="172">
        <f>DATABASE!N896</f>
        <v>0</v>
      </c>
      <c r="N30" s="173">
        <f>DATABASE!O896</f>
        <v>153.72</v>
      </c>
      <c r="O30" s="173">
        <f>DATABASE!P896</f>
        <v>0</v>
      </c>
      <c r="P30" s="173" t="str">
        <f>DATABASE!Q896</f>
        <v xml:space="preserve">PSPA </v>
      </c>
      <c r="Q30" s="154">
        <f>DATABASE!R896</f>
        <v>1080000</v>
      </c>
      <c r="R30" s="174">
        <f>DATABASE!S896</f>
        <v>1080000</v>
      </c>
      <c r="S30" s="173">
        <f>DATABASE!T896</f>
        <v>1080000</v>
      </c>
      <c r="T30" s="175">
        <f>DATABASE!U896</f>
        <v>0</v>
      </c>
      <c r="U30" s="175">
        <f>DATABASE!V896</f>
        <v>0</v>
      </c>
      <c r="V30" s="79">
        <f>DATABASE!W896</f>
        <v>1080000</v>
      </c>
      <c r="W30" s="80">
        <f>DATABASE!X896</f>
        <v>0</v>
      </c>
      <c r="X30" s="79">
        <f>DATABASE!Y896</f>
        <v>1080000</v>
      </c>
      <c r="Y30" s="79">
        <f>DATABASE!Z896</f>
        <v>1080000</v>
      </c>
      <c r="Z30" s="79" t="e">
        <f>DATABASE!#REF!</f>
        <v>#REF!</v>
      </c>
      <c r="AA30" s="81" t="e">
        <f>DATABASE!#REF!</f>
        <v>#REF!</v>
      </c>
      <c r="AB30" s="177">
        <f>DATABASE!AB896</f>
        <v>0</v>
      </c>
      <c r="AC30" s="159"/>
      <c r="AD30" s="51"/>
    </row>
    <row r="31" spans="1:30" s="14" customFormat="1">
      <c r="A31" s="158" t="str">
        <f>DATABASE!A897</f>
        <v xml:space="preserve">MR - CHR </v>
      </c>
      <c r="B31" s="167" t="str">
        <f>DATABASE!B897</f>
        <v>Algarve</v>
      </c>
      <c r="C31" s="168" t="str">
        <f>DATABASE!C897</f>
        <v>J</v>
      </c>
      <c r="D31" s="169" t="str">
        <f>DATABASE!E897</f>
        <v>T3 Duplex</v>
      </c>
      <c r="E31" s="169">
        <f>DATABASE!F897</f>
        <v>317.38</v>
      </c>
      <c r="F31" s="169">
        <f>DATABASE!G897</f>
        <v>0</v>
      </c>
      <c r="G31" s="169" t="str">
        <f>DATABASE!H897</f>
        <v/>
      </c>
      <c r="H31" s="169" t="str">
        <f>DATABASE!I897</f>
        <v/>
      </c>
      <c r="I31" s="169">
        <f>DATABASE!J897</f>
        <v>0</v>
      </c>
      <c r="J31" s="169">
        <f>DATABASE!K897</f>
        <v>0</v>
      </c>
      <c r="K31" s="170">
        <f>DATABASE!L897</f>
        <v>0</v>
      </c>
      <c r="L31" s="171">
        <f>DATABASE!M897</f>
        <v>84.58</v>
      </c>
      <c r="M31" s="172">
        <f>DATABASE!N897</f>
        <v>0</v>
      </c>
      <c r="N31" s="173">
        <f>DATABASE!O897</f>
        <v>232.8</v>
      </c>
      <c r="O31" s="173">
        <f>DATABASE!P897</f>
        <v>0</v>
      </c>
      <c r="P31" s="173" t="str">
        <f>DATABASE!Q897</f>
        <v>AVAILABLE</v>
      </c>
      <c r="Q31" s="154">
        <f>DATABASE!R897</f>
        <v>1550000</v>
      </c>
      <c r="R31" s="174">
        <f>DATABASE!S897</f>
        <v>1550000</v>
      </c>
      <c r="S31" s="173">
        <f>DATABASE!T897</f>
        <v>1200000</v>
      </c>
      <c r="T31" s="175">
        <f>DATABASE!U897</f>
        <v>0</v>
      </c>
      <c r="U31" s="175">
        <f>DATABASE!V897</f>
        <v>0</v>
      </c>
      <c r="V31" s="79">
        <f>DATABASE!W897</f>
        <v>1200000</v>
      </c>
      <c r="W31" s="80">
        <f>DATABASE!X897</f>
        <v>0</v>
      </c>
      <c r="X31" s="79">
        <f>DATABASE!Y897</f>
        <v>0</v>
      </c>
      <c r="Y31" s="79">
        <f>DATABASE!Z897</f>
        <v>0</v>
      </c>
      <c r="Z31" s="79" t="e">
        <f>DATABASE!#REF!</f>
        <v>#REF!</v>
      </c>
      <c r="AA31" s="81">
        <f>DATABASE!AA897</f>
        <v>0</v>
      </c>
      <c r="AB31" s="177" t="str">
        <f>DATABASE!AB897</f>
        <v>TBD</v>
      </c>
      <c r="AC31" s="159"/>
      <c r="AD31" s="51"/>
    </row>
    <row r="32" spans="1:30" s="14" customFormat="1">
      <c r="A32" s="158" t="str">
        <f>DATABASE!A898</f>
        <v>Rivus</v>
      </c>
      <c r="B32" s="167" t="str">
        <f>DATABASE!B898</f>
        <v>Vilamoura</v>
      </c>
      <c r="C32" s="168" t="str">
        <f>DATABASE!C898</f>
        <v>J</v>
      </c>
      <c r="D32" s="169" t="str">
        <f>DATABASE!E898</f>
        <v>T2</v>
      </c>
      <c r="E32" s="169">
        <f>DATABASE!F898</f>
        <v>0</v>
      </c>
      <c r="F32" s="169">
        <f>DATABASE!G898</f>
        <v>0</v>
      </c>
      <c r="G32" s="169" t="str">
        <f>DATABASE!H898</f>
        <v/>
      </c>
      <c r="H32" s="169" t="str">
        <f>DATABASE!I898</f>
        <v/>
      </c>
      <c r="I32" s="169">
        <f>DATABASE!J898</f>
        <v>0</v>
      </c>
      <c r="J32" s="169">
        <f>DATABASE!K898</f>
        <v>82</v>
      </c>
      <c r="K32" s="170">
        <f>DATABASE!L898</f>
        <v>0</v>
      </c>
      <c r="L32" s="171">
        <f>DATABASE!M898</f>
        <v>0</v>
      </c>
      <c r="M32" s="172">
        <f>DATABASE!N898</f>
        <v>0</v>
      </c>
      <c r="N32" s="173">
        <f>DATABASE!O898</f>
        <v>106</v>
      </c>
      <c r="O32" s="173">
        <f>DATABASE!P898</f>
        <v>0</v>
      </c>
      <c r="P32" s="173" t="str">
        <f>DATABASE!Q898</f>
        <v>AVAILABLE</v>
      </c>
      <c r="Q32" s="154">
        <f>DATABASE!R898</f>
        <v>820000</v>
      </c>
      <c r="R32" s="174">
        <f>DATABASE!S898</f>
        <v>820000</v>
      </c>
      <c r="S32" s="173">
        <f>DATABASE!T898</f>
        <v>820000</v>
      </c>
      <c r="T32" s="175">
        <f>DATABASE!U898</f>
        <v>0</v>
      </c>
      <c r="U32" s="175">
        <f>DATABASE!V898</f>
        <v>0</v>
      </c>
      <c r="V32" s="79">
        <f>DATABASE!W898</f>
        <v>820000</v>
      </c>
      <c r="W32" s="80">
        <f>DATABASE!X898</f>
        <v>0</v>
      </c>
      <c r="X32" s="79">
        <f>DATABASE!Y898</f>
        <v>800000</v>
      </c>
      <c r="Y32" s="79">
        <f>DATABASE!Z898</f>
        <v>800000</v>
      </c>
      <c r="Z32" s="79" t="e">
        <f>DATABASE!#REF!</f>
        <v>#REF!</v>
      </c>
      <c r="AA32" s="81">
        <f>DATABASE!AA898</f>
        <v>0</v>
      </c>
      <c r="AB32" s="177">
        <f>DATABASE!AB898</f>
        <v>0</v>
      </c>
      <c r="AC32" s="159"/>
      <c r="AD32" s="51"/>
    </row>
    <row r="33" spans="1:30" s="14" customFormat="1">
      <c r="A33" s="158" t="str">
        <f>DATABASE!A899</f>
        <v>SPRINGS</v>
      </c>
      <c r="B33" s="167" t="str">
        <f>DATABASE!B899</f>
        <v>Vilamoura</v>
      </c>
      <c r="C33" s="168" t="str">
        <f>DATABASE!C899</f>
        <v>J</v>
      </c>
      <c r="D33" s="169" t="str">
        <f>DATABASE!E899</f>
        <v>V3</v>
      </c>
      <c r="E33" s="169">
        <f>DATABASE!F899</f>
        <v>323.58999999999997</v>
      </c>
      <c r="F33" s="169">
        <f>DATABASE!G899</f>
        <v>165.79</v>
      </c>
      <c r="G33" s="169" t="str">
        <f>DATABASE!H899</f>
        <v/>
      </c>
      <c r="H33" s="169" t="str">
        <f>DATABASE!I899</f>
        <v/>
      </c>
      <c r="I33" s="169">
        <f>DATABASE!J899</f>
        <v>0</v>
      </c>
      <c r="J33" s="169">
        <f>DATABASE!K899</f>
        <v>0</v>
      </c>
      <c r="K33" s="170">
        <f>DATABASE!L899</f>
        <v>0</v>
      </c>
      <c r="L33" s="171">
        <f>DATABASE!M899</f>
        <v>0</v>
      </c>
      <c r="M33" s="172">
        <f>DATABASE!N899</f>
        <v>0</v>
      </c>
      <c r="N33" s="173">
        <f>DATABASE!O899</f>
        <v>157.80000000000001</v>
      </c>
      <c r="O33" s="173">
        <f>DATABASE!P899</f>
        <v>0</v>
      </c>
      <c r="P33" s="173" t="str">
        <f>DATABASE!Q899</f>
        <v>AVAILABLE</v>
      </c>
      <c r="Q33" s="154">
        <f>DATABASE!R899</f>
        <v>1952100</v>
      </c>
      <c r="R33" s="174">
        <f>DATABASE!S899</f>
        <v>2041050</v>
      </c>
      <c r="S33" s="173">
        <f>DATABASE!T899</f>
        <v>2130000</v>
      </c>
      <c r="T33" s="175">
        <f>DATABASE!U899</f>
        <v>24600</v>
      </c>
      <c r="U33" s="175">
        <f>DATABASE!V899</f>
        <v>64350</v>
      </c>
      <c r="V33" s="79">
        <f>DATABASE!W899</f>
        <v>2041050</v>
      </c>
      <c r="W33" s="80">
        <f>DATABASE!X899</f>
        <v>0</v>
      </c>
      <c r="X33" s="79">
        <f>DATABASE!Y899</f>
        <v>2130000</v>
      </c>
      <c r="Y33" s="79">
        <f>DATABASE!Z899</f>
        <v>2041050</v>
      </c>
      <c r="Z33" s="79" t="e">
        <f>DATABASE!#REF!</f>
        <v>#REF!</v>
      </c>
      <c r="AA33" s="81">
        <f>DATABASE!AA899</f>
        <v>0</v>
      </c>
      <c r="AB33" s="177">
        <f>DATABASE!AB899</f>
        <v>0</v>
      </c>
      <c r="AC33" s="159"/>
      <c r="AD33" s="51"/>
    </row>
    <row r="34" spans="1:30" s="14" customFormat="1">
      <c r="A34" s="158" t="str">
        <f>DATABASE!A900</f>
        <v>TERRACOTA</v>
      </c>
      <c r="B34" s="167" t="str">
        <f>DATABASE!B900</f>
        <v>Vilamoura</v>
      </c>
      <c r="C34" s="168" t="str">
        <f>DATABASE!C900</f>
        <v>J</v>
      </c>
      <c r="D34" s="169" t="str">
        <f>DATABASE!E900</f>
        <v>T2</v>
      </c>
      <c r="E34" s="169">
        <f>DATABASE!F900</f>
        <v>78.3</v>
      </c>
      <c r="F34" s="169">
        <f>DATABASE!G900</f>
        <v>0</v>
      </c>
      <c r="G34" s="169" t="str">
        <f>DATABASE!H900</f>
        <v/>
      </c>
      <c r="H34" s="169" t="str">
        <f>DATABASE!I900</f>
        <v/>
      </c>
      <c r="I34" s="169">
        <f>DATABASE!J900</f>
        <v>0</v>
      </c>
      <c r="J34" s="169">
        <f>DATABASE!K900</f>
        <v>0</v>
      </c>
      <c r="K34" s="170">
        <f>DATABASE!L900</f>
        <v>0</v>
      </c>
      <c r="L34" s="171">
        <f>DATABASE!M900</f>
        <v>0</v>
      </c>
      <c r="M34" s="172">
        <f>DATABASE!N900</f>
        <v>0</v>
      </c>
      <c r="N34" s="173">
        <f>DATABASE!O900</f>
        <v>78.3</v>
      </c>
      <c r="O34" s="173">
        <f>DATABASE!P900</f>
        <v>0</v>
      </c>
      <c r="P34" s="173" t="str">
        <f>DATABASE!Q900</f>
        <v xml:space="preserve">PSPA </v>
      </c>
      <c r="Q34" s="154">
        <f>DATABASE!R900</f>
        <v>440000</v>
      </c>
      <c r="R34" s="174">
        <f>DATABASE!S900</f>
        <v>440000</v>
      </c>
      <c r="S34" s="173">
        <f>DATABASE!T900</f>
        <v>418000</v>
      </c>
      <c r="T34" s="175">
        <f>DATABASE!U900</f>
        <v>0</v>
      </c>
      <c r="U34" s="175">
        <f>DATABASE!V900</f>
        <v>0</v>
      </c>
      <c r="V34" s="79">
        <f>DATABASE!W900</f>
        <v>418000</v>
      </c>
      <c r="W34" s="80">
        <f>DATABASE!X900</f>
        <v>0</v>
      </c>
      <c r="X34" s="79">
        <f>DATABASE!Y900</f>
        <v>418000</v>
      </c>
      <c r="Y34" s="79">
        <f>DATABASE!Z900</f>
        <v>418000</v>
      </c>
      <c r="Z34" s="79" t="e">
        <f>DATABASE!#REF!</f>
        <v>#REF!</v>
      </c>
      <c r="AA34" s="81" t="e">
        <f>DATABASE!#REF!</f>
        <v>#REF!</v>
      </c>
      <c r="AB34" s="177">
        <f>DATABASE!AB900</f>
        <v>0</v>
      </c>
      <c r="AC34" s="159"/>
      <c r="AD34" s="51"/>
    </row>
    <row r="35" spans="1:30" s="14" customFormat="1">
      <c r="A35" s="158" t="str">
        <f>DATABASE!A901</f>
        <v>THE NINE</v>
      </c>
      <c r="B35" s="167" t="str">
        <f>DATABASE!B901</f>
        <v>Vilamoura</v>
      </c>
      <c r="C35" s="168" t="str">
        <f>DATABASE!C901</f>
        <v>J</v>
      </c>
      <c r="D35" s="169" t="str">
        <f>DATABASE!E901</f>
        <v>T2</v>
      </c>
      <c r="E35" s="169">
        <f>DATABASE!F901</f>
        <v>111</v>
      </c>
      <c r="F35" s="169">
        <f>DATABASE!G901</f>
        <v>0</v>
      </c>
      <c r="G35" s="169" t="str">
        <f>DATABASE!H901</f>
        <v/>
      </c>
      <c r="H35" s="169" t="str">
        <f>DATABASE!I901</f>
        <v/>
      </c>
      <c r="I35" s="169">
        <f>DATABASE!J901</f>
        <v>0</v>
      </c>
      <c r="J35" s="169">
        <f>DATABASE!K901</f>
        <v>0</v>
      </c>
      <c r="K35" s="170">
        <f>DATABASE!L901</f>
        <v>0</v>
      </c>
      <c r="L35" s="171">
        <f>DATABASE!M901</f>
        <v>0</v>
      </c>
      <c r="M35" s="172">
        <f>DATABASE!N901</f>
        <v>0</v>
      </c>
      <c r="N35" s="173">
        <f>DATABASE!O901</f>
        <v>111</v>
      </c>
      <c r="O35" s="173">
        <f>DATABASE!P901</f>
        <v>0</v>
      </c>
      <c r="P35" s="173" t="str">
        <f>DATABASE!Q901</f>
        <v xml:space="preserve">DEED </v>
      </c>
      <c r="Q35" s="154">
        <f>DATABASE!R901</f>
        <v>620000</v>
      </c>
      <c r="R35" s="174">
        <f>DATABASE!S901</f>
        <v>620000</v>
      </c>
      <c r="S35" s="173">
        <f>DATABASE!T901</f>
        <v>680000</v>
      </c>
      <c r="T35" s="175">
        <f>DATABASE!U901</f>
        <v>0</v>
      </c>
      <c r="U35" s="175">
        <f>DATABASE!V901</f>
        <v>0</v>
      </c>
      <c r="V35" s="79">
        <f>DATABASE!W901</f>
        <v>680000</v>
      </c>
      <c r="W35" s="80">
        <f>DATABASE!X901</f>
        <v>0</v>
      </c>
      <c r="X35" s="79">
        <f>DATABASE!Y901</f>
        <v>680000</v>
      </c>
      <c r="Y35" s="79">
        <f>DATABASE!Z901</f>
        <v>680000</v>
      </c>
      <c r="Z35" s="79" t="e">
        <f>DATABASE!#REF!</f>
        <v>#REF!</v>
      </c>
      <c r="AA35" s="81">
        <f>DATABASE!AA901</f>
        <v>45923</v>
      </c>
      <c r="AB35" s="177">
        <f>DATABASE!AB901</f>
        <v>0</v>
      </c>
      <c r="AC35" s="159"/>
      <c r="AD35" s="51"/>
    </row>
    <row r="36" spans="1:30" s="14" customFormat="1">
      <c r="A36" s="158" t="str">
        <f>DATABASE!A902</f>
        <v>VM PARQUE</v>
      </c>
      <c r="B36" s="167" t="str">
        <f>DATABASE!B902</f>
        <v>Vilamoura</v>
      </c>
      <c r="C36" s="168" t="str">
        <f>DATABASE!C902</f>
        <v>J</v>
      </c>
      <c r="D36" s="169" t="str">
        <f>DATABASE!E902</f>
        <v>V2</v>
      </c>
      <c r="E36" s="169">
        <f>DATABASE!F902</f>
        <v>152.87280000000001</v>
      </c>
      <c r="F36" s="169">
        <f>DATABASE!G902</f>
        <v>0</v>
      </c>
      <c r="G36" s="169" t="str">
        <f>DATABASE!H902</f>
        <v/>
      </c>
      <c r="H36" s="169" t="str">
        <f>DATABASE!I902</f>
        <v/>
      </c>
      <c r="I36" s="169">
        <f>DATABASE!J902</f>
        <v>0</v>
      </c>
      <c r="J36" s="169">
        <f>DATABASE!K902</f>
        <v>0</v>
      </c>
      <c r="K36" s="170">
        <f>DATABASE!L902</f>
        <v>0</v>
      </c>
      <c r="L36" s="171">
        <f>DATABASE!M902</f>
        <v>0</v>
      </c>
      <c r="M36" s="172">
        <f>DATABASE!N902</f>
        <v>0</v>
      </c>
      <c r="N36" s="173">
        <f>DATABASE!O902</f>
        <v>152.87280000000001</v>
      </c>
      <c r="O36" s="173">
        <f>DATABASE!P902</f>
        <v>0</v>
      </c>
      <c r="P36" s="173" t="str">
        <f>DATABASE!Q902</f>
        <v xml:space="preserve">DEED </v>
      </c>
      <c r="Q36" s="154">
        <f>DATABASE!R902</f>
        <v>984375</v>
      </c>
      <c r="R36" s="174">
        <f>DATABASE!S902</f>
        <v>984375</v>
      </c>
      <c r="S36" s="173">
        <f>DATABASE!T902</f>
        <v>1100000</v>
      </c>
      <c r="T36" s="175">
        <f>DATABASE!U902</f>
        <v>0</v>
      </c>
      <c r="U36" s="175">
        <f>DATABASE!V902</f>
        <v>0</v>
      </c>
      <c r="V36" s="79">
        <f>DATABASE!W902</f>
        <v>1100000</v>
      </c>
      <c r="W36" s="80">
        <f>DATABASE!X902</f>
        <v>0</v>
      </c>
      <c r="X36" s="79">
        <f>DATABASE!Y902</f>
        <v>1100000</v>
      </c>
      <c r="Y36" s="79">
        <f>DATABASE!Z902</f>
        <v>1100000</v>
      </c>
      <c r="Z36" s="79" t="e">
        <f>DATABASE!#REF!</f>
        <v>#REF!</v>
      </c>
      <c r="AA36" s="81">
        <f>DATABASE!AA902</f>
        <v>45678</v>
      </c>
      <c r="AB36" s="177">
        <f>DATABASE!AB902</f>
        <v>0</v>
      </c>
      <c r="AC36" s="159"/>
      <c r="AD36" s="51"/>
    </row>
    <row r="37" spans="1:30" s="14" customFormat="1">
      <c r="A37" s="158" t="str">
        <f>DATABASE!A903</f>
        <v>ZESTIA</v>
      </c>
      <c r="B37" s="167" t="str">
        <f>DATABASE!B903</f>
        <v>Vilamoura</v>
      </c>
      <c r="C37" s="168" t="str">
        <f>DATABASE!C903</f>
        <v>J</v>
      </c>
      <c r="D37" s="169" t="str">
        <f>DATABASE!E903</f>
        <v>T2 LO</v>
      </c>
      <c r="E37" s="169">
        <f>DATABASE!F903</f>
        <v>127.24</v>
      </c>
      <c r="F37" s="169">
        <f>DATABASE!G903</f>
        <v>0</v>
      </c>
      <c r="G37" s="169" t="str">
        <f>DATABASE!H903</f>
        <v/>
      </c>
      <c r="H37" s="169" t="str">
        <f>DATABASE!I903</f>
        <v/>
      </c>
      <c r="I37" s="169">
        <f>DATABASE!J903</f>
        <v>29.68</v>
      </c>
      <c r="J37" s="169">
        <f>DATABASE!K903</f>
        <v>0</v>
      </c>
      <c r="K37" s="170">
        <f>DATABASE!L903</f>
        <v>0</v>
      </c>
      <c r="L37" s="171">
        <f>DATABASE!M903</f>
        <v>0</v>
      </c>
      <c r="M37" s="172">
        <f>DATABASE!N903</f>
        <v>0</v>
      </c>
      <c r="N37" s="173">
        <f>DATABASE!O903</f>
        <v>97.56</v>
      </c>
      <c r="O37" s="173">
        <f>DATABASE!P903</f>
        <v>0</v>
      </c>
      <c r="P37" s="173" t="str">
        <f>DATABASE!Q903</f>
        <v>AVAILABLE</v>
      </c>
      <c r="Q37" s="154">
        <f>DATABASE!R903</f>
        <v>735709.28</v>
      </c>
      <c r="R37" s="174">
        <f>DATABASE!S903</f>
        <v>800309.28</v>
      </c>
      <c r="S37" s="173">
        <f>DATABASE!T903</f>
        <v>850000</v>
      </c>
      <c r="T37" s="175">
        <f>DATABASE!U903</f>
        <v>24600</v>
      </c>
      <c r="U37" s="175">
        <f>DATABASE!V903</f>
        <v>40000</v>
      </c>
      <c r="V37" s="79">
        <f>DATABASE!W903</f>
        <v>785400</v>
      </c>
      <c r="W37" s="80">
        <f>DATABASE!X903</f>
        <v>0</v>
      </c>
      <c r="X37" s="79">
        <f>DATABASE!Y903</f>
        <v>850000</v>
      </c>
      <c r="Y37" s="79">
        <f>DATABASE!Z903</f>
        <v>785400</v>
      </c>
      <c r="Z37" s="79" t="e">
        <f>DATABASE!#REF!</f>
        <v>#REF!</v>
      </c>
      <c r="AA37" s="81">
        <f>DATABASE!AA903</f>
        <v>0</v>
      </c>
      <c r="AB37" s="177">
        <f>DATABASE!AB903</f>
        <v>0</v>
      </c>
      <c r="AC37" s="159"/>
      <c r="AD37" s="51"/>
    </row>
    <row r="38" spans="1:30" s="14" customFormat="1">
      <c r="A38" s="158" t="str">
        <f>DATABASE!A904</f>
        <v>BOTÂNICA</v>
      </c>
      <c r="B38" s="167" t="str">
        <f>DATABASE!B904</f>
        <v>Vilamoura</v>
      </c>
      <c r="C38" s="168" t="str">
        <f>DATABASE!C904</f>
        <v>K</v>
      </c>
      <c r="D38" s="169" t="str">
        <f>DATABASE!E904</f>
        <v>T2</v>
      </c>
      <c r="E38" s="169">
        <f>DATABASE!F904</f>
        <v>701.9</v>
      </c>
      <c r="F38" s="169">
        <f>DATABASE!G904</f>
        <v>0</v>
      </c>
      <c r="G38" s="169" t="str">
        <f>DATABASE!H904</f>
        <v>2</v>
      </c>
      <c r="H38" s="169" t="str">
        <f>DATABASE!I904</f>
        <v/>
      </c>
      <c r="I38" s="169">
        <f>DATABASE!J904</f>
        <v>0</v>
      </c>
      <c r="J38" s="169">
        <f>DATABASE!K904</f>
        <v>0</v>
      </c>
      <c r="K38" s="170">
        <f>DATABASE!L904</f>
        <v>0</v>
      </c>
      <c r="L38" s="171">
        <f>DATABASE!M904</f>
        <v>577.21</v>
      </c>
      <c r="M38" s="172">
        <f>DATABASE!N904</f>
        <v>0</v>
      </c>
      <c r="N38" s="173">
        <f>DATABASE!O904</f>
        <v>124.69</v>
      </c>
      <c r="O38" s="173">
        <f>DATABASE!P904</f>
        <v>0</v>
      </c>
      <c r="P38" s="173" t="str">
        <f>DATABASE!Q904</f>
        <v>RESERVED</v>
      </c>
      <c r="Q38" s="154">
        <f>DATABASE!R904</f>
        <v>1330910.2949999999</v>
      </c>
      <c r="R38" s="174">
        <f>DATABASE!S904</f>
        <v>1330910.2949999999</v>
      </c>
      <c r="S38" s="173">
        <f>DATABASE!T904</f>
        <v>1393600</v>
      </c>
      <c r="T38" s="175">
        <f>DATABASE!U904</f>
        <v>0</v>
      </c>
      <c r="U38" s="175">
        <f>DATABASE!V904</f>
        <v>0</v>
      </c>
      <c r="V38" s="79">
        <f>DATABASE!W904</f>
        <v>1393600</v>
      </c>
      <c r="W38" s="80">
        <f>DATABASE!X904</f>
        <v>0</v>
      </c>
      <c r="X38" s="79">
        <f>DATABASE!Y904</f>
        <v>1393600</v>
      </c>
      <c r="Y38" s="79">
        <f>DATABASE!Z904</f>
        <v>1393600</v>
      </c>
      <c r="Z38" s="79" t="e">
        <f>DATABASE!#REF!</f>
        <v>#REF!</v>
      </c>
      <c r="AA38" s="81">
        <f>DATABASE!AA904</f>
        <v>0</v>
      </c>
      <c r="AB38" s="177">
        <f>DATABASE!AB904</f>
        <v>0</v>
      </c>
      <c r="AC38" s="159"/>
      <c r="AD38" s="51"/>
    </row>
    <row r="39" spans="1:30" s="14" customFormat="1">
      <c r="A39" s="158" t="str">
        <f>DATABASE!A905</f>
        <v>NATURA VILLAGE 4</v>
      </c>
      <c r="B39" s="167" t="str">
        <f>DATABASE!B905</f>
        <v>Vilamoura</v>
      </c>
      <c r="C39" s="168" t="str">
        <f>DATABASE!C905</f>
        <v>K</v>
      </c>
      <c r="D39" s="169" t="str">
        <f>DATABASE!E905</f>
        <v>V2</v>
      </c>
      <c r="E39" s="169">
        <f>DATABASE!F905</f>
        <v>139.88</v>
      </c>
      <c r="F39" s="169">
        <f>DATABASE!G905</f>
        <v>0</v>
      </c>
      <c r="G39" s="169" t="str">
        <f>DATABASE!H905</f>
        <v/>
      </c>
      <c r="H39" s="169" t="str">
        <f>DATABASE!I905</f>
        <v/>
      </c>
      <c r="I39" s="169">
        <f>DATABASE!J905</f>
        <v>0</v>
      </c>
      <c r="J39" s="169">
        <f>DATABASE!K905</f>
        <v>0</v>
      </c>
      <c r="K39" s="170">
        <f>DATABASE!L905</f>
        <v>0</v>
      </c>
      <c r="L39" s="171">
        <f>DATABASE!M905</f>
        <v>0</v>
      </c>
      <c r="M39" s="172">
        <f>DATABASE!N905</f>
        <v>0</v>
      </c>
      <c r="N39" s="173">
        <f>DATABASE!O905</f>
        <v>139.88</v>
      </c>
      <c r="O39" s="173">
        <f>DATABASE!P905</f>
        <v>0</v>
      </c>
      <c r="P39" s="173" t="str">
        <f>DATABASE!Q905</f>
        <v xml:space="preserve">DEED </v>
      </c>
      <c r="Q39" s="154">
        <f>DATABASE!R905</f>
        <v>740000</v>
      </c>
      <c r="R39" s="174">
        <f>DATABASE!S905</f>
        <v>740000</v>
      </c>
      <c r="S39" s="173">
        <f>DATABASE!T905</f>
        <v>760000</v>
      </c>
      <c r="T39" s="175">
        <f>DATABASE!U905</f>
        <v>0</v>
      </c>
      <c r="U39" s="175">
        <f>DATABASE!V905</f>
        <v>0</v>
      </c>
      <c r="V39" s="79">
        <f>DATABASE!W905</f>
        <v>760000</v>
      </c>
      <c r="W39" s="80">
        <f>DATABASE!X905</f>
        <v>0</v>
      </c>
      <c r="X39" s="79">
        <f>DATABASE!Y905</f>
        <v>760000</v>
      </c>
      <c r="Y39" s="79">
        <f>DATABASE!Z905</f>
        <v>760000</v>
      </c>
      <c r="Z39" s="79" t="e">
        <f>DATABASE!#REF!</f>
        <v>#REF!</v>
      </c>
      <c r="AA39" s="81">
        <f>DATABASE!AA905</f>
        <v>45287</v>
      </c>
      <c r="AB39" s="177">
        <f>DATABASE!AB905</f>
        <v>0</v>
      </c>
      <c r="AC39" s="159"/>
      <c r="AD39" s="51"/>
    </row>
    <row r="40" spans="1:30" s="14" customFormat="1">
      <c r="A40" s="158" t="str">
        <f>DATABASE!A906</f>
        <v>NATURA VILLAGE 7</v>
      </c>
      <c r="B40" s="167" t="str">
        <f>DATABASE!B906</f>
        <v>Vilamoura</v>
      </c>
      <c r="C40" s="168" t="str">
        <f>DATABASE!C906</f>
        <v>K</v>
      </c>
      <c r="D40" s="169" t="str">
        <f>DATABASE!E906</f>
        <v>V3</v>
      </c>
      <c r="E40" s="169">
        <f>DATABASE!F906</f>
        <v>164.09</v>
      </c>
      <c r="F40" s="169">
        <f>DATABASE!G906</f>
        <v>0</v>
      </c>
      <c r="G40" s="169" t="str">
        <f>DATABASE!H906</f>
        <v/>
      </c>
      <c r="H40" s="169" t="str">
        <f>DATABASE!I906</f>
        <v/>
      </c>
      <c r="I40" s="169">
        <f>DATABASE!J906</f>
        <v>0</v>
      </c>
      <c r="J40" s="169">
        <f>DATABASE!K906</f>
        <v>0</v>
      </c>
      <c r="K40" s="170">
        <f>DATABASE!L906</f>
        <v>0</v>
      </c>
      <c r="L40" s="171">
        <f>DATABASE!M906</f>
        <v>0</v>
      </c>
      <c r="M40" s="172">
        <f>DATABASE!N906</f>
        <v>0</v>
      </c>
      <c r="N40" s="173">
        <f>DATABASE!O906</f>
        <v>164.09</v>
      </c>
      <c r="O40" s="173">
        <f>DATABASE!P906</f>
        <v>0</v>
      </c>
      <c r="P40" s="173" t="str">
        <f>DATABASE!Q906</f>
        <v xml:space="preserve">DEED </v>
      </c>
      <c r="Q40" s="154">
        <f>DATABASE!R906</f>
        <v>930000</v>
      </c>
      <c r="R40" s="174">
        <f>DATABASE!S906</f>
        <v>930000</v>
      </c>
      <c r="S40" s="173">
        <f>DATABASE!T906</f>
        <v>950000</v>
      </c>
      <c r="T40" s="175">
        <f>DATABASE!U906</f>
        <v>0</v>
      </c>
      <c r="U40" s="175">
        <f>DATABASE!V906</f>
        <v>0</v>
      </c>
      <c r="V40" s="79">
        <f>DATABASE!W906</f>
        <v>950000</v>
      </c>
      <c r="W40" s="80">
        <f>DATABASE!X906</f>
        <v>0</v>
      </c>
      <c r="X40" s="79">
        <f>DATABASE!Y906</f>
        <v>950000</v>
      </c>
      <c r="Y40" s="79">
        <f>DATABASE!Z906</f>
        <v>950000</v>
      </c>
      <c r="Z40" s="79" t="e">
        <f>DATABASE!#REF!</f>
        <v>#REF!</v>
      </c>
      <c r="AA40" s="81">
        <f>DATABASE!AA906</f>
        <v>45967</v>
      </c>
      <c r="AB40" s="177">
        <f>DATABASE!AB906</f>
        <v>0</v>
      </c>
      <c r="AC40" s="159"/>
      <c r="AD40" s="51"/>
    </row>
    <row r="41" spans="1:30" s="14" customFormat="1">
      <c r="A41" s="158" t="str">
        <f>DATABASE!A907</f>
        <v>Aroeira - VILLAS</v>
      </c>
      <c r="B41" s="167" t="str">
        <f>DATABASE!B907</f>
        <v>Center</v>
      </c>
      <c r="C41" s="168" t="str">
        <f>DATABASE!C907</f>
        <v>20C</v>
      </c>
      <c r="D41" s="169" t="str">
        <f>DATABASE!E907</f>
        <v>T2+1</v>
      </c>
      <c r="E41" s="169">
        <f>DATABASE!F907</f>
        <v>299.39999999999998</v>
      </c>
      <c r="F41" s="169">
        <f>DATABASE!G907</f>
        <v>0</v>
      </c>
      <c r="G41" s="169" t="str">
        <f>DATABASE!H907</f>
        <v>1</v>
      </c>
      <c r="H41" s="169" t="str">
        <f>DATABASE!I907</f>
        <v>1</v>
      </c>
      <c r="I41" s="169">
        <f>DATABASE!J907</f>
        <v>0</v>
      </c>
      <c r="J41" s="169">
        <f>DATABASE!K907</f>
        <v>0</v>
      </c>
      <c r="K41" s="170">
        <f>DATABASE!L907</f>
        <v>0</v>
      </c>
      <c r="L41" s="171">
        <f>DATABASE!M907</f>
        <v>78</v>
      </c>
      <c r="M41" s="172">
        <f>DATABASE!N907</f>
        <v>36</v>
      </c>
      <c r="N41" s="173">
        <f>DATABASE!O907</f>
        <v>185.4</v>
      </c>
      <c r="O41" s="173">
        <f>DATABASE!P907</f>
        <v>0</v>
      </c>
      <c r="P41" s="173" t="str">
        <f>DATABASE!Q907</f>
        <v>AVAILABLE</v>
      </c>
      <c r="Q41" s="154">
        <f>DATABASE!R907</f>
        <v>1535000</v>
      </c>
      <c r="R41" s="174">
        <f>DATABASE!S907</f>
        <v>1595000</v>
      </c>
      <c r="S41" s="173">
        <f>DATABASE!T907</f>
        <v>1595000</v>
      </c>
      <c r="T41" s="175">
        <f>DATABASE!U907</f>
        <v>0</v>
      </c>
      <c r="U41" s="175">
        <f>DATABASE!V907</f>
        <v>60000</v>
      </c>
      <c r="V41" s="79">
        <f>DATABASE!W907</f>
        <v>1535000</v>
      </c>
      <c r="W41" s="80">
        <f>DATABASE!X907</f>
        <v>0</v>
      </c>
      <c r="X41" s="79">
        <f>DATABASE!Y907</f>
        <v>0</v>
      </c>
      <c r="Y41" s="79">
        <f>DATABASE!Z907</f>
        <v>-60000</v>
      </c>
      <c r="Z41" s="79" t="e">
        <f>DATABASE!#REF!</f>
        <v>#REF!</v>
      </c>
      <c r="AA41" s="81">
        <f>DATABASE!AA907</f>
        <v>0</v>
      </c>
      <c r="AB41" s="177">
        <f>DATABASE!AB907</f>
        <v>47118</v>
      </c>
      <c r="AC41" s="159"/>
      <c r="AD41" s="51"/>
    </row>
    <row r="42" spans="1:30" s="14" customFormat="1">
      <c r="A42" s="158" t="str">
        <f>DATABASE!A908</f>
        <v>Aroeira - VILLAS</v>
      </c>
      <c r="B42" s="167" t="str">
        <f>DATABASE!B908</f>
        <v>Center</v>
      </c>
      <c r="C42" s="168" t="str">
        <f>DATABASE!C908</f>
        <v>21C</v>
      </c>
      <c r="D42" s="169" t="str">
        <f>DATABASE!E908</f>
        <v>T2+1</v>
      </c>
      <c r="E42" s="169">
        <f>DATABASE!F908</f>
        <v>299.39999999999998</v>
      </c>
      <c r="F42" s="169">
        <f>DATABASE!G908</f>
        <v>0</v>
      </c>
      <c r="G42" s="169" t="str">
        <f>DATABASE!H908</f>
        <v>1</v>
      </c>
      <c r="H42" s="169" t="str">
        <f>DATABASE!I908</f>
        <v>1</v>
      </c>
      <c r="I42" s="169">
        <f>DATABASE!J908</f>
        <v>0</v>
      </c>
      <c r="J42" s="169">
        <f>DATABASE!K908</f>
        <v>0</v>
      </c>
      <c r="K42" s="170">
        <f>DATABASE!L908</f>
        <v>0</v>
      </c>
      <c r="L42" s="171">
        <f>DATABASE!M908</f>
        <v>78</v>
      </c>
      <c r="M42" s="172">
        <f>DATABASE!N908</f>
        <v>36</v>
      </c>
      <c r="N42" s="173">
        <f>DATABASE!O908</f>
        <v>185.4</v>
      </c>
      <c r="O42" s="173">
        <f>DATABASE!P908</f>
        <v>0</v>
      </c>
      <c r="P42" s="173" t="str">
        <f>DATABASE!Q908</f>
        <v>AVAILABLE</v>
      </c>
      <c r="Q42" s="154">
        <f>DATABASE!R908</f>
        <v>1535000</v>
      </c>
      <c r="R42" s="174">
        <f>DATABASE!S908</f>
        <v>1595000</v>
      </c>
      <c r="S42" s="173">
        <f>DATABASE!T908</f>
        <v>1595000</v>
      </c>
      <c r="T42" s="175">
        <f>DATABASE!U908</f>
        <v>0</v>
      </c>
      <c r="U42" s="175">
        <f>DATABASE!V908</f>
        <v>60000</v>
      </c>
      <c r="V42" s="79">
        <f>DATABASE!W908</f>
        <v>1535000</v>
      </c>
      <c r="W42" s="80">
        <f>DATABASE!X908</f>
        <v>0</v>
      </c>
      <c r="X42" s="79">
        <f>DATABASE!Y908</f>
        <v>0</v>
      </c>
      <c r="Y42" s="79">
        <f>DATABASE!Z908</f>
        <v>-60000</v>
      </c>
      <c r="Z42" s="79" t="e">
        <f>DATABASE!#REF!</f>
        <v>#REF!</v>
      </c>
      <c r="AA42" s="81">
        <f>DATABASE!AA908</f>
        <v>0</v>
      </c>
      <c r="AB42" s="177">
        <f>DATABASE!AB908</f>
        <v>47118</v>
      </c>
      <c r="AC42" s="159"/>
      <c r="AD42" s="51"/>
    </row>
    <row r="43" spans="1:30" s="14" customFormat="1">
      <c r="A43" s="158" t="str">
        <f>DATABASE!A909</f>
        <v>Aroeira - VILLAS</v>
      </c>
      <c r="B43" s="167" t="str">
        <f>DATABASE!B909</f>
        <v>Center</v>
      </c>
      <c r="C43" s="168" t="str">
        <f>DATABASE!C909</f>
        <v>22C</v>
      </c>
      <c r="D43" s="169" t="str">
        <f>DATABASE!E909</f>
        <v>T3</v>
      </c>
      <c r="E43" s="169">
        <f>DATABASE!F909</f>
        <v>299.39999999999998</v>
      </c>
      <c r="F43" s="169">
        <f>DATABASE!G909</f>
        <v>0</v>
      </c>
      <c r="G43" s="169" t="str">
        <f>DATABASE!H909</f>
        <v>1</v>
      </c>
      <c r="H43" s="169" t="str">
        <f>DATABASE!I909</f>
        <v>1</v>
      </c>
      <c r="I43" s="169">
        <f>DATABASE!J909</f>
        <v>0</v>
      </c>
      <c r="J43" s="169">
        <f>DATABASE!K909</f>
        <v>0</v>
      </c>
      <c r="K43" s="170">
        <f>DATABASE!L909</f>
        <v>0</v>
      </c>
      <c r="L43" s="171">
        <f>DATABASE!M909</f>
        <v>78</v>
      </c>
      <c r="M43" s="172">
        <f>DATABASE!N909</f>
        <v>36</v>
      </c>
      <c r="N43" s="173">
        <f>DATABASE!O909</f>
        <v>185.4</v>
      </c>
      <c r="O43" s="173">
        <f>DATABASE!P909</f>
        <v>0</v>
      </c>
      <c r="P43" s="173" t="str">
        <f>DATABASE!Q909</f>
        <v>AVAILABLE</v>
      </c>
      <c r="Q43" s="154">
        <f>DATABASE!R909</f>
        <v>1535000</v>
      </c>
      <c r="R43" s="174">
        <f>DATABASE!S909</f>
        <v>1595000</v>
      </c>
      <c r="S43" s="173">
        <f>DATABASE!T909</f>
        <v>1595000</v>
      </c>
      <c r="T43" s="175">
        <f>DATABASE!U909</f>
        <v>0</v>
      </c>
      <c r="U43" s="175">
        <f>DATABASE!V909</f>
        <v>60000</v>
      </c>
      <c r="V43" s="79">
        <f>DATABASE!W909</f>
        <v>1535000</v>
      </c>
      <c r="W43" s="80">
        <f>DATABASE!X909</f>
        <v>0</v>
      </c>
      <c r="X43" s="79">
        <f>DATABASE!Y909</f>
        <v>0</v>
      </c>
      <c r="Y43" s="79">
        <f>DATABASE!Z909</f>
        <v>-60000</v>
      </c>
      <c r="Z43" s="79" t="e">
        <f>DATABASE!#REF!</f>
        <v>#REF!</v>
      </c>
      <c r="AA43" s="81">
        <f>DATABASE!AA909</f>
        <v>0</v>
      </c>
      <c r="AB43" s="177">
        <f>DATABASE!AB909</f>
        <v>47118</v>
      </c>
      <c r="AC43" s="159"/>
      <c r="AD43" s="51"/>
    </row>
    <row r="44" spans="1:30" s="14" customFormat="1">
      <c r="A44" s="158" t="str">
        <f>DATABASE!A910</f>
        <v>Aroeira - VILLAS</v>
      </c>
      <c r="B44" s="167" t="str">
        <f>DATABASE!B910</f>
        <v>Center</v>
      </c>
      <c r="C44" s="168" t="str">
        <f>DATABASE!C910</f>
        <v>23C</v>
      </c>
      <c r="D44" s="169" t="str">
        <f>DATABASE!E910</f>
        <v>T3</v>
      </c>
      <c r="E44" s="169">
        <f>DATABASE!F910</f>
        <v>299.39999999999998</v>
      </c>
      <c r="F44" s="169">
        <f>DATABASE!G910</f>
        <v>0</v>
      </c>
      <c r="G44" s="169" t="str">
        <f>DATABASE!H910</f>
        <v>1</v>
      </c>
      <c r="H44" s="169" t="str">
        <f>DATABASE!I910</f>
        <v>1</v>
      </c>
      <c r="I44" s="169">
        <f>DATABASE!J910</f>
        <v>0</v>
      </c>
      <c r="J44" s="169">
        <f>DATABASE!K910</f>
        <v>0</v>
      </c>
      <c r="K44" s="170">
        <f>DATABASE!L910</f>
        <v>0</v>
      </c>
      <c r="L44" s="171">
        <f>DATABASE!M910</f>
        <v>78</v>
      </c>
      <c r="M44" s="172">
        <f>DATABASE!N910</f>
        <v>36</v>
      </c>
      <c r="N44" s="173">
        <f>DATABASE!O910</f>
        <v>185.4</v>
      </c>
      <c r="O44" s="173">
        <f>DATABASE!P910</f>
        <v>0</v>
      </c>
      <c r="P44" s="173" t="str">
        <f>DATABASE!Q910</f>
        <v>AVAILABLE</v>
      </c>
      <c r="Q44" s="154">
        <f>DATABASE!R910</f>
        <v>1535000</v>
      </c>
      <c r="R44" s="174">
        <f>DATABASE!S910</f>
        <v>1595000</v>
      </c>
      <c r="S44" s="173">
        <f>DATABASE!T910</f>
        <v>1595000</v>
      </c>
      <c r="T44" s="175">
        <f>DATABASE!U910</f>
        <v>0</v>
      </c>
      <c r="U44" s="175">
        <f>DATABASE!V910</f>
        <v>60000</v>
      </c>
      <c r="V44" s="79">
        <f>DATABASE!W910</f>
        <v>1535000</v>
      </c>
      <c r="W44" s="80">
        <f>DATABASE!X910</f>
        <v>0</v>
      </c>
      <c r="X44" s="79">
        <f>DATABASE!Y910</f>
        <v>0</v>
      </c>
      <c r="Y44" s="79">
        <f>DATABASE!Z910</f>
        <v>-60000</v>
      </c>
      <c r="Z44" s="79" t="e">
        <f>DATABASE!#REF!</f>
        <v>#REF!</v>
      </c>
      <c r="AA44" s="81">
        <f>DATABASE!AA910</f>
        <v>0</v>
      </c>
      <c r="AB44" s="177">
        <f>DATABASE!AB910</f>
        <v>47118</v>
      </c>
      <c r="AC44" s="159"/>
      <c r="AD44" s="51"/>
    </row>
    <row r="45" spans="1:30" s="14" customFormat="1">
      <c r="A45" s="158" t="str">
        <f>DATABASE!A911</f>
        <v>Aroeira - VILLAS</v>
      </c>
      <c r="B45" s="167" t="str">
        <f>DATABASE!B911</f>
        <v>Center</v>
      </c>
      <c r="C45" s="168" t="str">
        <f>DATABASE!C911</f>
        <v>24C</v>
      </c>
      <c r="D45" s="169" t="str">
        <f>DATABASE!E911</f>
        <v>T3</v>
      </c>
      <c r="E45" s="169">
        <f>DATABASE!F911</f>
        <v>287</v>
      </c>
      <c r="F45" s="169">
        <f>DATABASE!G911</f>
        <v>0</v>
      </c>
      <c r="G45" s="169" t="str">
        <f>DATABASE!H911</f>
        <v>1</v>
      </c>
      <c r="H45" s="169" t="str">
        <f>DATABASE!I911</f>
        <v>1</v>
      </c>
      <c r="I45" s="169">
        <f>DATABASE!J911</f>
        <v>0</v>
      </c>
      <c r="J45" s="169">
        <f>DATABASE!K911</f>
        <v>0</v>
      </c>
      <c r="K45" s="170">
        <f>DATABASE!L911</f>
        <v>0</v>
      </c>
      <c r="L45" s="171">
        <f>DATABASE!M911</f>
        <v>72</v>
      </c>
      <c r="M45" s="172">
        <f>DATABASE!N911</f>
        <v>25</v>
      </c>
      <c r="N45" s="173">
        <f>DATABASE!O911</f>
        <v>190</v>
      </c>
      <c r="O45" s="173">
        <f>DATABASE!P911</f>
        <v>0</v>
      </c>
      <c r="P45" s="173" t="str">
        <f>DATABASE!Q911</f>
        <v>AVAILABLE</v>
      </c>
      <c r="Q45" s="154">
        <f>DATABASE!R911</f>
        <v>1540000</v>
      </c>
      <c r="R45" s="174">
        <f>DATABASE!S911</f>
        <v>1600000</v>
      </c>
      <c r="S45" s="173">
        <f>DATABASE!T911</f>
        <v>1600000</v>
      </c>
      <c r="T45" s="175">
        <f>DATABASE!U911</f>
        <v>0</v>
      </c>
      <c r="U45" s="175">
        <f>DATABASE!V911</f>
        <v>60000</v>
      </c>
      <c r="V45" s="79">
        <f>DATABASE!W911</f>
        <v>1540000</v>
      </c>
      <c r="W45" s="80">
        <f>DATABASE!X911</f>
        <v>0</v>
      </c>
      <c r="X45" s="79">
        <f>DATABASE!Y911</f>
        <v>0</v>
      </c>
      <c r="Y45" s="79">
        <f>DATABASE!Z911</f>
        <v>-60000</v>
      </c>
      <c r="Z45" s="79" t="e">
        <f>DATABASE!#REF!</f>
        <v>#REF!</v>
      </c>
      <c r="AA45" s="81">
        <f>DATABASE!AA911</f>
        <v>0</v>
      </c>
      <c r="AB45" s="177">
        <f>DATABASE!AB911</f>
        <v>47118</v>
      </c>
      <c r="AC45" s="159"/>
      <c r="AD45" s="51"/>
    </row>
    <row r="46" spans="1:30" s="14" customFormat="1">
      <c r="A46" s="158" t="str">
        <f>DATABASE!A912</f>
        <v>NATURA VILLAGE 9</v>
      </c>
      <c r="B46" s="167" t="str">
        <f>DATABASE!B912</f>
        <v>Vilamoura</v>
      </c>
      <c r="C46" s="168" t="str">
        <f>DATABASE!C912</f>
        <v>K</v>
      </c>
      <c r="D46" s="169" t="str">
        <f>DATABASE!E912</f>
        <v>V3</v>
      </c>
      <c r="E46" s="169">
        <f>DATABASE!F912</f>
        <v>192.99</v>
      </c>
      <c r="F46" s="169">
        <f>DATABASE!G912</f>
        <v>0</v>
      </c>
      <c r="G46" s="169" t="str">
        <f>DATABASE!H912</f>
        <v/>
      </c>
      <c r="H46" s="169" t="str">
        <f>DATABASE!I912</f>
        <v/>
      </c>
      <c r="I46" s="169">
        <f>DATABASE!J912</f>
        <v>0</v>
      </c>
      <c r="J46" s="169">
        <f>DATABASE!K912</f>
        <v>0</v>
      </c>
      <c r="K46" s="170">
        <f>DATABASE!L912</f>
        <v>0</v>
      </c>
      <c r="L46" s="171">
        <f>DATABASE!M912</f>
        <v>0</v>
      </c>
      <c r="M46" s="172">
        <f>DATABASE!N912</f>
        <v>0</v>
      </c>
      <c r="N46" s="173">
        <f>DATABASE!O912</f>
        <v>192.99</v>
      </c>
      <c r="O46" s="173">
        <f>DATABASE!P912</f>
        <v>0</v>
      </c>
      <c r="P46" s="173" t="str">
        <f>DATABASE!Q912</f>
        <v>AVAILABLE</v>
      </c>
      <c r="Q46" s="154">
        <f>DATABASE!R912</f>
        <v>1180000</v>
      </c>
      <c r="R46" s="174">
        <f>DATABASE!S912</f>
        <v>1180000</v>
      </c>
      <c r="S46" s="173">
        <f>DATABASE!T912</f>
        <v>1180000</v>
      </c>
      <c r="T46" s="175">
        <f>DATABASE!U912</f>
        <v>0</v>
      </c>
      <c r="U46" s="175">
        <f>DATABASE!V912</f>
        <v>0</v>
      </c>
      <c r="V46" s="79">
        <f>DATABASE!W912</f>
        <v>1180000</v>
      </c>
      <c r="W46" s="80">
        <f>DATABASE!X912</f>
        <v>0</v>
      </c>
      <c r="X46" s="79">
        <f>DATABASE!Y912</f>
        <v>1180000</v>
      </c>
      <c r="Y46" s="79">
        <f>DATABASE!Z912</f>
        <v>1180000</v>
      </c>
      <c r="Z46" s="79" t="e">
        <f>DATABASE!#REF!</f>
        <v>#REF!</v>
      </c>
      <c r="AA46" s="81">
        <f>DATABASE!AA912</f>
        <v>0</v>
      </c>
      <c r="AB46" s="177">
        <f>DATABASE!AB912</f>
        <v>0</v>
      </c>
      <c r="AC46" s="159"/>
      <c r="AD46" s="51"/>
    </row>
    <row r="47" spans="1:30" s="14" customFormat="1">
      <c r="A47" s="158" t="str">
        <f>DATABASE!A913</f>
        <v>NOBILUS</v>
      </c>
      <c r="B47" s="167" t="str">
        <f>DATABASE!B913</f>
        <v>Vilamoura</v>
      </c>
      <c r="C47" s="168" t="str">
        <f>DATABASE!C913</f>
        <v>K</v>
      </c>
      <c r="D47" s="169" t="str">
        <f>DATABASE!E913</f>
        <v>T2</v>
      </c>
      <c r="E47" s="169">
        <f>DATABASE!F913</f>
        <v>106.73</v>
      </c>
      <c r="F47" s="169">
        <f>DATABASE!G913</f>
        <v>3.37</v>
      </c>
      <c r="G47" s="169" t="str">
        <f>DATABASE!H913</f>
        <v>89-90</v>
      </c>
      <c r="H47" s="169" t="str">
        <f>DATABASE!I913</f>
        <v/>
      </c>
      <c r="I47" s="169">
        <f>DATABASE!J913</f>
        <v>0</v>
      </c>
      <c r="J47" s="169">
        <f>DATABASE!K913</f>
        <v>0</v>
      </c>
      <c r="K47" s="170">
        <f>DATABASE!L913</f>
        <v>0</v>
      </c>
      <c r="L47" s="171">
        <f>DATABASE!M913</f>
        <v>0</v>
      </c>
      <c r="M47" s="172">
        <f>DATABASE!N913</f>
        <v>0</v>
      </c>
      <c r="N47" s="173">
        <f>DATABASE!O913</f>
        <v>106.73</v>
      </c>
      <c r="O47" s="173">
        <f>DATABASE!P913</f>
        <v>0</v>
      </c>
      <c r="P47" s="173" t="str">
        <f>DATABASE!Q913</f>
        <v>AVAILABLE</v>
      </c>
      <c r="Q47" s="154">
        <f>DATABASE!R913</f>
        <v>680000</v>
      </c>
      <c r="R47" s="174">
        <f>DATABASE!S913</f>
        <v>680000</v>
      </c>
      <c r="S47" s="173">
        <f>DATABASE!T913</f>
        <v>680000</v>
      </c>
      <c r="T47" s="175">
        <f>DATABASE!U913</f>
        <v>0</v>
      </c>
      <c r="U47" s="175">
        <f>DATABASE!V913</f>
        <v>0</v>
      </c>
      <c r="V47" s="79">
        <f>DATABASE!W913</f>
        <v>680000</v>
      </c>
      <c r="W47" s="80">
        <f>DATABASE!X913</f>
        <v>0</v>
      </c>
      <c r="X47" s="79">
        <f>DATABASE!Y913</f>
        <v>680000</v>
      </c>
      <c r="Y47" s="79">
        <f>DATABASE!Z913</f>
        <v>680000</v>
      </c>
      <c r="Z47" s="79" t="e">
        <f>DATABASE!#REF!</f>
        <v>#REF!</v>
      </c>
      <c r="AA47" s="81">
        <f>DATABASE!AA913</f>
        <v>0</v>
      </c>
      <c r="AB47" s="177">
        <f>DATABASE!AB913</f>
        <v>0</v>
      </c>
      <c r="AC47" s="159"/>
      <c r="AD47" s="51"/>
    </row>
    <row r="48" spans="1:30" s="14" customFormat="1">
      <c r="A48" s="158" t="str">
        <f>DATABASE!A914</f>
        <v>Aroeira - VILLAS</v>
      </c>
      <c r="B48" s="167" t="str">
        <f>DATABASE!B914</f>
        <v>Center</v>
      </c>
      <c r="C48" s="168" t="str">
        <f>DATABASE!C914</f>
        <v>25C</v>
      </c>
      <c r="D48" s="169" t="str">
        <f>DATABASE!E914</f>
        <v>T2+1</v>
      </c>
      <c r="E48" s="169">
        <f>DATABASE!F914</f>
        <v>297.60000000000002</v>
      </c>
      <c r="F48" s="169">
        <f>DATABASE!G914</f>
        <v>0</v>
      </c>
      <c r="G48" s="169" t="str">
        <f>DATABASE!H914</f>
        <v>1</v>
      </c>
      <c r="H48" s="169" t="str">
        <f>DATABASE!I914</f>
        <v>1</v>
      </c>
      <c r="I48" s="169">
        <f>DATABASE!J914</f>
        <v>0</v>
      </c>
      <c r="J48" s="169">
        <f>DATABASE!K914</f>
        <v>0</v>
      </c>
      <c r="K48" s="170">
        <f>DATABASE!L914</f>
        <v>0</v>
      </c>
      <c r="L48" s="171">
        <f>DATABASE!M914</f>
        <v>81</v>
      </c>
      <c r="M48" s="172">
        <f>DATABASE!N914</f>
        <v>23</v>
      </c>
      <c r="N48" s="173">
        <f>DATABASE!O914</f>
        <v>193.6</v>
      </c>
      <c r="O48" s="173">
        <f>DATABASE!P914</f>
        <v>0</v>
      </c>
      <c r="P48" s="173" t="str">
        <f>DATABASE!Q914</f>
        <v>AVAILABLE</v>
      </c>
      <c r="Q48" s="154">
        <f>DATABASE!R914</f>
        <v>1560000</v>
      </c>
      <c r="R48" s="174">
        <f>DATABASE!S914</f>
        <v>1620000</v>
      </c>
      <c r="S48" s="173">
        <f>DATABASE!T914</f>
        <v>1620000</v>
      </c>
      <c r="T48" s="175">
        <f>DATABASE!U914</f>
        <v>0</v>
      </c>
      <c r="U48" s="175">
        <f>DATABASE!V914</f>
        <v>60000</v>
      </c>
      <c r="V48" s="79">
        <f>DATABASE!W914</f>
        <v>1560000</v>
      </c>
      <c r="W48" s="80">
        <f>DATABASE!X914</f>
        <v>0</v>
      </c>
      <c r="X48" s="79">
        <f>DATABASE!Y914</f>
        <v>0</v>
      </c>
      <c r="Y48" s="79">
        <f>DATABASE!Z914</f>
        <v>-60000</v>
      </c>
      <c r="Z48" s="79" t="e">
        <f>DATABASE!#REF!</f>
        <v>#REF!</v>
      </c>
      <c r="AA48" s="81">
        <f>DATABASE!AA914</f>
        <v>0</v>
      </c>
      <c r="AB48" s="177">
        <f>DATABASE!AB914</f>
        <v>47118</v>
      </c>
      <c r="AC48" s="159"/>
      <c r="AD48" s="51"/>
    </row>
    <row r="49" spans="1:30" s="14" customFormat="1">
      <c r="A49" s="158" t="str">
        <f>DATABASE!A915</f>
        <v>MR - LT do Golfe</v>
      </c>
      <c r="B49" s="167" t="str">
        <f>DATABASE!B915</f>
        <v>Algarve</v>
      </c>
      <c r="C49" s="168" t="str">
        <f>DATABASE!C915</f>
        <v>13</v>
      </c>
      <c r="D49" s="169" t="str">
        <f>DATABASE!E915</f>
        <v>Plot</v>
      </c>
      <c r="E49" s="169">
        <f>DATABASE!F915</f>
        <v>650</v>
      </c>
      <c r="F49" s="169">
        <f>DATABASE!G915</f>
        <v>0</v>
      </c>
      <c r="G49" s="169" t="str">
        <f>DATABASE!H915</f>
        <v/>
      </c>
      <c r="H49" s="169" t="str">
        <f>DATABASE!I915</f>
        <v/>
      </c>
      <c r="I49" s="169">
        <f>DATABASE!J915</f>
        <v>0</v>
      </c>
      <c r="J49" s="169">
        <f>DATABASE!K915</f>
        <v>0</v>
      </c>
      <c r="K49" s="170">
        <f>DATABASE!L915</f>
        <v>0</v>
      </c>
      <c r="L49" s="171">
        <f>DATABASE!M915</f>
        <v>0</v>
      </c>
      <c r="M49" s="172">
        <f>DATABASE!N915</f>
        <v>0</v>
      </c>
      <c r="N49" s="173">
        <f>DATABASE!O915</f>
        <v>650</v>
      </c>
      <c r="O49" s="173">
        <f>DATABASE!P915</f>
        <v>0</v>
      </c>
      <c r="P49" s="173" t="str">
        <f>DATABASE!Q915</f>
        <v>AVAILABLE</v>
      </c>
      <c r="Q49" s="154">
        <f>DATABASE!R915</f>
        <v>1622000</v>
      </c>
      <c r="R49" s="174">
        <f>DATABASE!S915</f>
        <v>1622000</v>
      </c>
      <c r="S49" s="173">
        <f>DATABASE!T915</f>
        <v>1420000</v>
      </c>
      <c r="T49" s="175">
        <f>DATABASE!U915</f>
        <v>0</v>
      </c>
      <c r="U49" s="175">
        <f>DATABASE!V915</f>
        <v>0</v>
      </c>
      <c r="V49" s="79">
        <f>DATABASE!W915</f>
        <v>1420000</v>
      </c>
      <c r="W49" s="80">
        <f>DATABASE!X915</f>
        <v>0</v>
      </c>
      <c r="X49" s="79">
        <f>DATABASE!Y915</f>
        <v>0</v>
      </c>
      <c r="Y49" s="79">
        <f>DATABASE!Z915</f>
        <v>0</v>
      </c>
      <c r="Z49" s="79" t="e">
        <f>DATABASE!#REF!</f>
        <v>#REF!</v>
      </c>
      <c r="AA49" s="81">
        <f>DATABASE!AA915</f>
        <v>0</v>
      </c>
      <c r="AB49" s="177" t="str">
        <f>DATABASE!AB915</f>
        <v>TBD</v>
      </c>
      <c r="AC49" s="159"/>
      <c r="AD49" s="51"/>
    </row>
    <row r="50" spans="1:30" s="14" customFormat="1">
      <c r="A50" s="158" t="str">
        <f>DATABASE!A916</f>
        <v>MR - LT do Golfe</v>
      </c>
      <c r="B50" s="167" t="str">
        <f>DATABASE!B916</f>
        <v>Algarve</v>
      </c>
      <c r="C50" s="168" t="str">
        <f>DATABASE!C916</f>
        <v>12</v>
      </c>
      <c r="D50" s="169" t="str">
        <f>DATABASE!E916</f>
        <v>Plot</v>
      </c>
      <c r="E50" s="169">
        <f>DATABASE!F916</f>
        <v>650</v>
      </c>
      <c r="F50" s="169">
        <f>DATABASE!G916</f>
        <v>0</v>
      </c>
      <c r="G50" s="169" t="str">
        <f>DATABASE!H916</f>
        <v/>
      </c>
      <c r="H50" s="169" t="str">
        <f>DATABASE!I916</f>
        <v/>
      </c>
      <c r="I50" s="169">
        <f>DATABASE!J916</f>
        <v>0</v>
      </c>
      <c r="J50" s="169">
        <f>DATABASE!K916</f>
        <v>0</v>
      </c>
      <c r="K50" s="170">
        <f>DATABASE!L916</f>
        <v>0</v>
      </c>
      <c r="L50" s="171">
        <f>DATABASE!M916</f>
        <v>0</v>
      </c>
      <c r="M50" s="172">
        <f>DATABASE!N916</f>
        <v>0</v>
      </c>
      <c r="N50" s="173">
        <f>DATABASE!O916</f>
        <v>650</v>
      </c>
      <c r="O50" s="173">
        <f>DATABASE!P916</f>
        <v>0</v>
      </c>
      <c r="P50" s="173" t="str">
        <f>DATABASE!Q916</f>
        <v>AVAILABLE</v>
      </c>
      <c r="Q50" s="154">
        <f>DATABASE!R916</f>
        <v>1633000</v>
      </c>
      <c r="R50" s="174">
        <f>DATABASE!S916</f>
        <v>1633000</v>
      </c>
      <c r="S50" s="173">
        <f>DATABASE!T916</f>
        <v>1420000</v>
      </c>
      <c r="T50" s="175">
        <f>DATABASE!U916</f>
        <v>0</v>
      </c>
      <c r="U50" s="175">
        <f>DATABASE!V916</f>
        <v>0</v>
      </c>
      <c r="V50" s="79">
        <f>DATABASE!W916</f>
        <v>1420000</v>
      </c>
      <c r="W50" s="80">
        <f>DATABASE!X916</f>
        <v>0</v>
      </c>
      <c r="X50" s="79">
        <f>DATABASE!Y916</f>
        <v>0</v>
      </c>
      <c r="Y50" s="79">
        <f>DATABASE!Z916</f>
        <v>0</v>
      </c>
      <c r="Z50" s="79" t="e">
        <f>DATABASE!#REF!</f>
        <v>#REF!</v>
      </c>
      <c r="AA50" s="81">
        <f>DATABASE!AA916</f>
        <v>0</v>
      </c>
      <c r="AB50" s="177" t="str">
        <f>DATABASE!AB916</f>
        <v>TBD</v>
      </c>
      <c r="AC50" s="159"/>
      <c r="AD50" s="51"/>
    </row>
    <row r="51" spans="1:30" s="14" customFormat="1">
      <c r="A51" s="158" t="str">
        <f>DATABASE!A917</f>
        <v>Rivus</v>
      </c>
      <c r="B51" s="167" t="str">
        <f>DATABASE!B917</f>
        <v>Vilamoura</v>
      </c>
      <c r="C51" s="168" t="str">
        <f>DATABASE!C917</f>
        <v>K</v>
      </c>
      <c r="D51" s="169" t="str">
        <f>DATABASE!E917</f>
        <v>T3</v>
      </c>
      <c r="E51" s="169">
        <f>DATABASE!F917</f>
        <v>0</v>
      </c>
      <c r="F51" s="169">
        <f>DATABASE!G917</f>
        <v>0</v>
      </c>
      <c r="G51" s="169" t="str">
        <f>DATABASE!H917</f>
        <v/>
      </c>
      <c r="H51" s="169" t="str">
        <f>DATABASE!I917</f>
        <v/>
      </c>
      <c r="I51" s="169">
        <f>DATABASE!J917</f>
        <v>0</v>
      </c>
      <c r="J51" s="169">
        <f>DATABASE!K917</f>
        <v>77</v>
      </c>
      <c r="K51" s="170">
        <f>DATABASE!L917</f>
        <v>0</v>
      </c>
      <c r="L51" s="171">
        <f>DATABASE!M917</f>
        <v>0</v>
      </c>
      <c r="M51" s="172">
        <f>DATABASE!N917</f>
        <v>0</v>
      </c>
      <c r="N51" s="173">
        <f>DATABASE!O917</f>
        <v>139</v>
      </c>
      <c r="O51" s="173">
        <f>DATABASE!P917</f>
        <v>0</v>
      </c>
      <c r="P51" s="173" t="str">
        <f>DATABASE!Q917</f>
        <v xml:space="preserve">PSPA </v>
      </c>
      <c r="Q51" s="154">
        <f>DATABASE!R917</f>
        <v>900000</v>
      </c>
      <c r="R51" s="174">
        <f>DATABASE!S917</f>
        <v>900000</v>
      </c>
      <c r="S51" s="173">
        <f>DATABASE!T917</f>
        <v>900000</v>
      </c>
      <c r="T51" s="175">
        <f>DATABASE!U917</f>
        <v>0</v>
      </c>
      <c r="U51" s="175">
        <f>DATABASE!V917</f>
        <v>0</v>
      </c>
      <c r="V51" s="79">
        <f>DATABASE!W917</f>
        <v>900000</v>
      </c>
      <c r="W51" s="80">
        <f>DATABASE!X917</f>
        <v>0</v>
      </c>
      <c r="X51" s="79">
        <f>DATABASE!Y917</f>
        <v>900000</v>
      </c>
      <c r="Y51" s="79">
        <f>DATABASE!Z917</f>
        <v>900000</v>
      </c>
      <c r="Z51" s="79" t="e">
        <f>DATABASE!#REF!</f>
        <v>#REF!</v>
      </c>
      <c r="AA51" s="81" t="e">
        <f>DATABASE!#REF!</f>
        <v>#REF!</v>
      </c>
      <c r="AB51" s="177">
        <f>DATABASE!AB917</f>
        <v>0</v>
      </c>
      <c r="AC51" s="159"/>
      <c r="AD51" s="51"/>
    </row>
    <row r="52" spans="1:30" s="14" customFormat="1">
      <c r="A52" s="158" t="str">
        <f>DATABASE!A918</f>
        <v>SPRINGS</v>
      </c>
      <c r="B52" s="167" t="str">
        <f>DATABASE!B918</f>
        <v>Vilamoura</v>
      </c>
      <c r="C52" s="168" t="str">
        <f>DATABASE!C918</f>
        <v>K</v>
      </c>
      <c r="D52" s="169" t="str">
        <f>DATABASE!E918</f>
        <v>V4 Duplex</v>
      </c>
      <c r="E52" s="169">
        <f>DATABASE!F918</f>
        <v>406.88</v>
      </c>
      <c r="F52" s="169">
        <f>DATABASE!G918</f>
        <v>165.79</v>
      </c>
      <c r="G52" s="169" t="str">
        <f>DATABASE!H918</f>
        <v/>
      </c>
      <c r="H52" s="169" t="str">
        <f>DATABASE!I918</f>
        <v/>
      </c>
      <c r="I52" s="169">
        <f>DATABASE!J918</f>
        <v>19.649999999999999</v>
      </c>
      <c r="J52" s="169">
        <f>DATABASE!K918</f>
        <v>0</v>
      </c>
      <c r="K52" s="170">
        <f>DATABASE!L918</f>
        <v>0</v>
      </c>
      <c r="L52" s="171">
        <f>DATABASE!M918</f>
        <v>0</v>
      </c>
      <c r="M52" s="172">
        <f>DATABASE!N918</f>
        <v>0</v>
      </c>
      <c r="N52" s="173">
        <f>DATABASE!O918</f>
        <v>221.44</v>
      </c>
      <c r="O52" s="173">
        <f>DATABASE!P918</f>
        <v>0</v>
      </c>
      <c r="P52" s="173" t="str">
        <f>DATABASE!Q918</f>
        <v>AVAILABLE</v>
      </c>
      <c r="Q52" s="154">
        <f>DATABASE!R918</f>
        <v>3114600</v>
      </c>
      <c r="R52" s="174">
        <f>DATABASE!S918</f>
        <v>3222300</v>
      </c>
      <c r="S52" s="173">
        <f>DATABASE!T918</f>
        <v>3330000</v>
      </c>
      <c r="T52" s="175">
        <f>DATABASE!U918</f>
        <v>24600</v>
      </c>
      <c r="U52" s="175">
        <f>DATABASE!V918</f>
        <v>83100</v>
      </c>
      <c r="V52" s="79">
        <f>DATABASE!W918</f>
        <v>3222300</v>
      </c>
      <c r="W52" s="80">
        <f>DATABASE!X918</f>
        <v>0</v>
      </c>
      <c r="X52" s="79">
        <f>DATABASE!Y918</f>
        <v>3330000</v>
      </c>
      <c r="Y52" s="79">
        <f>DATABASE!Z918</f>
        <v>3222300</v>
      </c>
      <c r="Z52" s="79" t="e">
        <f>DATABASE!#REF!</f>
        <v>#REF!</v>
      </c>
      <c r="AA52" s="81">
        <f>DATABASE!AA918</f>
        <v>0</v>
      </c>
      <c r="AB52" s="177">
        <f>DATABASE!AB918</f>
        <v>0</v>
      </c>
      <c r="AC52" s="159"/>
      <c r="AD52" s="51"/>
    </row>
    <row r="53" spans="1:30" s="14" customFormat="1">
      <c r="A53" s="158" t="str">
        <f>DATABASE!A919</f>
        <v>TERRACOTA</v>
      </c>
      <c r="B53" s="167" t="str">
        <f>DATABASE!B919</f>
        <v>Vilamoura</v>
      </c>
      <c r="C53" s="168" t="str">
        <f>DATABASE!C919</f>
        <v>K</v>
      </c>
      <c r="D53" s="169" t="str">
        <f>DATABASE!E919</f>
        <v>T2</v>
      </c>
      <c r="E53" s="169">
        <f>DATABASE!F919</f>
        <v>78.3</v>
      </c>
      <c r="F53" s="169">
        <f>DATABASE!G919</f>
        <v>0</v>
      </c>
      <c r="G53" s="169" t="str">
        <f>DATABASE!H919</f>
        <v/>
      </c>
      <c r="H53" s="169" t="str">
        <f>DATABASE!I919</f>
        <v/>
      </c>
      <c r="I53" s="169">
        <f>DATABASE!J919</f>
        <v>0</v>
      </c>
      <c r="J53" s="169">
        <f>DATABASE!K919</f>
        <v>0</v>
      </c>
      <c r="K53" s="170">
        <f>DATABASE!L919</f>
        <v>0</v>
      </c>
      <c r="L53" s="171">
        <f>DATABASE!M919</f>
        <v>0</v>
      </c>
      <c r="M53" s="172">
        <f>DATABASE!N919</f>
        <v>0</v>
      </c>
      <c r="N53" s="173">
        <f>DATABASE!O919</f>
        <v>78.3</v>
      </c>
      <c r="O53" s="173">
        <f>DATABASE!P919</f>
        <v>0</v>
      </c>
      <c r="P53" s="173" t="str">
        <f>DATABASE!Q919</f>
        <v xml:space="preserve">PSPA </v>
      </c>
      <c r="Q53" s="154">
        <f>DATABASE!R919</f>
        <v>440000</v>
      </c>
      <c r="R53" s="174">
        <f>DATABASE!S919</f>
        <v>440000</v>
      </c>
      <c r="S53" s="173">
        <f>DATABASE!T919</f>
        <v>418000</v>
      </c>
      <c r="T53" s="175">
        <f>DATABASE!U919</f>
        <v>0</v>
      </c>
      <c r="U53" s="175">
        <f>DATABASE!V919</f>
        <v>0</v>
      </c>
      <c r="V53" s="79">
        <f>DATABASE!W919</f>
        <v>418000</v>
      </c>
      <c r="W53" s="80">
        <f>DATABASE!X919</f>
        <v>-5.2631578947368397E-2</v>
      </c>
      <c r="X53" s="79">
        <f>DATABASE!Y919</f>
        <v>440000</v>
      </c>
      <c r="Y53" s="79">
        <f>DATABASE!Z919</f>
        <v>440000</v>
      </c>
      <c r="Z53" s="79" t="e">
        <f>DATABASE!#REF!</f>
        <v>#REF!</v>
      </c>
      <c r="AA53" s="81" t="e">
        <f>DATABASE!#REF!</f>
        <v>#REF!</v>
      </c>
      <c r="AB53" s="177">
        <f>DATABASE!AB919</f>
        <v>0</v>
      </c>
      <c r="AC53" s="159"/>
      <c r="AD53" s="51"/>
    </row>
    <row r="54" spans="1:30" s="14" customFormat="1">
      <c r="A54" s="158" t="str">
        <f>DATABASE!A920</f>
        <v>MR -LT da Casa do Campo</v>
      </c>
      <c r="B54" s="167" t="str">
        <f>DATABASE!B920</f>
        <v>Algarve</v>
      </c>
      <c r="C54" s="168" t="str">
        <f>DATABASE!C920</f>
        <v>7</v>
      </c>
      <c r="D54" s="169" t="str">
        <f>DATABASE!E920</f>
        <v>Plot</v>
      </c>
      <c r="E54" s="169">
        <f>DATABASE!F920</f>
        <v>500</v>
      </c>
      <c r="F54" s="169">
        <f>DATABASE!G920</f>
        <v>0</v>
      </c>
      <c r="G54" s="169" t="str">
        <f>DATABASE!H920</f>
        <v/>
      </c>
      <c r="H54" s="169" t="str">
        <f>DATABASE!I920</f>
        <v/>
      </c>
      <c r="I54" s="169">
        <f>DATABASE!J920</f>
        <v>0</v>
      </c>
      <c r="J54" s="169">
        <f>DATABASE!K920</f>
        <v>0</v>
      </c>
      <c r="K54" s="170">
        <f>DATABASE!L920</f>
        <v>0</v>
      </c>
      <c r="L54" s="171">
        <f>DATABASE!M920</f>
        <v>0</v>
      </c>
      <c r="M54" s="172">
        <f>DATABASE!N920</f>
        <v>0</v>
      </c>
      <c r="N54" s="173">
        <f>DATABASE!O920</f>
        <v>500</v>
      </c>
      <c r="O54" s="173">
        <f>DATABASE!P920</f>
        <v>0</v>
      </c>
      <c r="P54" s="173" t="str">
        <f>DATABASE!Q920</f>
        <v>AVAILABLE</v>
      </c>
      <c r="Q54" s="154">
        <f>DATABASE!R920</f>
        <v>1648000</v>
      </c>
      <c r="R54" s="174">
        <f>DATABASE!S920</f>
        <v>1648000</v>
      </c>
      <c r="S54" s="173">
        <f>DATABASE!T920</f>
        <v>1190000</v>
      </c>
      <c r="T54" s="175">
        <f>DATABASE!U920</f>
        <v>0</v>
      </c>
      <c r="U54" s="175">
        <f>DATABASE!V920</f>
        <v>0</v>
      </c>
      <c r="V54" s="79">
        <f>DATABASE!W920</f>
        <v>1190000</v>
      </c>
      <c r="W54" s="80">
        <f>DATABASE!X920</f>
        <v>0</v>
      </c>
      <c r="X54" s="79">
        <f>DATABASE!Y920</f>
        <v>0</v>
      </c>
      <c r="Y54" s="79">
        <f>DATABASE!Z920</f>
        <v>0</v>
      </c>
      <c r="Z54" s="79" t="e">
        <f>DATABASE!#REF!</f>
        <v>#REF!</v>
      </c>
      <c r="AA54" s="81">
        <f>DATABASE!AA920</f>
        <v>0</v>
      </c>
      <c r="AB54" s="177" t="str">
        <f>DATABASE!AB920</f>
        <v>TBD</v>
      </c>
      <c r="AC54" s="159"/>
      <c r="AD54" s="51"/>
    </row>
    <row r="55" spans="1:30" s="14" customFormat="1">
      <c r="A55" s="158" t="str">
        <f>DATABASE!A921</f>
        <v>THE NINE</v>
      </c>
      <c r="B55" s="167" t="str">
        <f>DATABASE!B921</f>
        <v>Vilamoura</v>
      </c>
      <c r="C55" s="168" t="str">
        <f>DATABASE!C921</f>
        <v>K</v>
      </c>
      <c r="D55" s="169" t="str">
        <f>DATABASE!E921</f>
        <v>T2</v>
      </c>
      <c r="E55" s="169">
        <f>DATABASE!F921</f>
        <v>111</v>
      </c>
      <c r="F55" s="169">
        <f>DATABASE!G921</f>
        <v>0</v>
      </c>
      <c r="G55" s="169" t="str">
        <f>DATABASE!H921</f>
        <v/>
      </c>
      <c r="H55" s="169" t="str">
        <f>DATABASE!I921</f>
        <v/>
      </c>
      <c r="I55" s="169">
        <f>DATABASE!J921</f>
        <v>0</v>
      </c>
      <c r="J55" s="169">
        <f>DATABASE!K921</f>
        <v>0</v>
      </c>
      <c r="K55" s="170">
        <f>DATABASE!L921</f>
        <v>0</v>
      </c>
      <c r="L55" s="171">
        <f>DATABASE!M921</f>
        <v>0</v>
      </c>
      <c r="M55" s="172">
        <f>DATABASE!N921</f>
        <v>0</v>
      </c>
      <c r="N55" s="173">
        <f>DATABASE!O921</f>
        <v>111</v>
      </c>
      <c r="O55" s="173">
        <f>DATABASE!P921</f>
        <v>0</v>
      </c>
      <c r="P55" s="173" t="str">
        <f>DATABASE!Q921</f>
        <v xml:space="preserve">DEED </v>
      </c>
      <c r="Q55" s="154">
        <f>DATABASE!R921</f>
        <v>620000</v>
      </c>
      <c r="R55" s="174">
        <f>DATABASE!S921</f>
        <v>620000</v>
      </c>
      <c r="S55" s="173">
        <f>DATABASE!T921</f>
        <v>650000</v>
      </c>
      <c r="T55" s="175">
        <f>DATABASE!U921</f>
        <v>0</v>
      </c>
      <c r="U55" s="175">
        <f>DATABASE!V921</f>
        <v>0</v>
      </c>
      <c r="V55" s="79">
        <f>DATABASE!W921</f>
        <v>650000</v>
      </c>
      <c r="W55" s="80">
        <f>DATABASE!X921</f>
        <v>0</v>
      </c>
      <c r="X55" s="79">
        <f>DATABASE!Y921</f>
        <v>650000</v>
      </c>
      <c r="Y55" s="79">
        <f>DATABASE!Z921</f>
        <v>650000</v>
      </c>
      <c r="Z55" s="79" t="e">
        <f>DATABASE!#REF!</f>
        <v>#REF!</v>
      </c>
      <c r="AA55" s="81">
        <f>DATABASE!AA921</f>
        <v>45420</v>
      </c>
      <c r="AB55" s="177">
        <f>DATABASE!AB921</f>
        <v>0</v>
      </c>
      <c r="AC55" s="159"/>
      <c r="AD55" s="51"/>
    </row>
    <row r="56" spans="1:30" s="14" customFormat="1">
      <c r="A56" s="158" t="str">
        <f>DATABASE!A922</f>
        <v>VM PARQUE</v>
      </c>
      <c r="B56" s="167" t="str">
        <f>DATABASE!B922</f>
        <v>Vilamoura</v>
      </c>
      <c r="C56" s="168" t="str">
        <f>DATABASE!C922</f>
        <v>K</v>
      </c>
      <c r="D56" s="169" t="str">
        <f>DATABASE!E922</f>
        <v>V2</v>
      </c>
      <c r="E56" s="169">
        <f>DATABASE!F922</f>
        <v>156.83949999999999</v>
      </c>
      <c r="F56" s="169">
        <f>DATABASE!G922</f>
        <v>0</v>
      </c>
      <c r="G56" s="169" t="str">
        <f>DATABASE!H922</f>
        <v/>
      </c>
      <c r="H56" s="169" t="str">
        <f>DATABASE!I922</f>
        <v/>
      </c>
      <c r="I56" s="169">
        <f>DATABASE!J922</f>
        <v>0</v>
      </c>
      <c r="J56" s="169">
        <f>DATABASE!K922</f>
        <v>0</v>
      </c>
      <c r="K56" s="170">
        <f>DATABASE!L922</f>
        <v>0</v>
      </c>
      <c r="L56" s="171">
        <f>DATABASE!M922</f>
        <v>0</v>
      </c>
      <c r="M56" s="172">
        <f>DATABASE!N922</f>
        <v>0</v>
      </c>
      <c r="N56" s="173">
        <f>DATABASE!O922</f>
        <v>156.83949999999999</v>
      </c>
      <c r="O56" s="173">
        <f>DATABASE!P922</f>
        <v>0</v>
      </c>
      <c r="P56" s="173" t="str">
        <f>DATABASE!Q922</f>
        <v xml:space="preserve">DEED </v>
      </c>
      <c r="Q56" s="154">
        <f>DATABASE!R922</f>
        <v>1009050</v>
      </c>
      <c r="R56" s="174">
        <f>DATABASE!S922</f>
        <v>1009050</v>
      </c>
      <c r="S56" s="173">
        <f>DATABASE!T922</f>
        <v>1060000</v>
      </c>
      <c r="T56" s="175">
        <f>DATABASE!U922</f>
        <v>0</v>
      </c>
      <c r="U56" s="175">
        <f>DATABASE!V922</f>
        <v>0</v>
      </c>
      <c r="V56" s="79">
        <f>DATABASE!W922</f>
        <v>1060000</v>
      </c>
      <c r="W56" s="80">
        <f>DATABASE!X922</f>
        <v>0</v>
      </c>
      <c r="X56" s="79">
        <f>DATABASE!Y922</f>
        <v>1060000</v>
      </c>
      <c r="Y56" s="79">
        <f>DATABASE!Z922</f>
        <v>1060000</v>
      </c>
      <c r="Z56" s="79" t="e">
        <f>DATABASE!#REF!</f>
        <v>#REF!</v>
      </c>
      <c r="AA56" s="81">
        <f>DATABASE!AA922</f>
        <v>45021</v>
      </c>
      <c r="AB56" s="177">
        <f>DATABASE!AB922</f>
        <v>0</v>
      </c>
      <c r="AC56" s="159"/>
      <c r="AD56" s="51"/>
    </row>
    <row r="57" spans="1:30" s="14" customFormat="1">
      <c r="A57" s="158" t="str">
        <f>DATABASE!A923</f>
        <v>ZESTIA</v>
      </c>
      <c r="B57" s="167" t="str">
        <f>DATABASE!B923</f>
        <v>Vilamoura</v>
      </c>
      <c r="C57" s="168" t="str">
        <f>DATABASE!C923</f>
        <v>K</v>
      </c>
      <c r="D57" s="169" t="str">
        <f>DATABASE!E923</f>
        <v>T2</v>
      </c>
      <c r="E57" s="169">
        <f>DATABASE!F923</f>
        <v>117.28</v>
      </c>
      <c r="F57" s="169">
        <f>DATABASE!G923</f>
        <v>0</v>
      </c>
      <c r="G57" s="169" t="str">
        <f>DATABASE!H923</f>
        <v/>
      </c>
      <c r="H57" s="169" t="str">
        <f>DATABASE!I923</f>
        <v/>
      </c>
      <c r="I57" s="169">
        <f>DATABASE!J923</f>
        <v>28.67</v>
      </c>
      <c r="J57" s="169">
        <f>DATABASE!K923</f>
        <v>0</v>
      </c>
      <c r="K57" s="170">
        <f>DATABASE!L923</f>
        <v>0</v>
      </c>
      <c r="L57" s="171">
        <f>DATABASE!M923</f>
        <v>0</v>
      </c>
      <c r="M57" s="172">
        <f>DATABASE!N923</f>
        <v>0</v>
      </c>
      <c r="N57" s="173">
        <f>DATABASE!O923</f>
        <v>88.61</v>
      </c>
      <c r="O57" s="173">
        <f>DATABASE!P923</f>
        <v>0</v>
      </c>
      <c r="P57" s="173" t="str">
        <f>DATABASE!Q923</f>
        <v>AVAILABLE</v>
      </c>
      <c r="Q57" s="154">
        <f>DATABASE!R923</f>
        <v>666659.88</v>
      </c>
      <c r="R57" s="174">
        <f>DATABASE!S923</f>
        <v>731259.88</v>
      </c>
      <c r="S57" s="173">
        <f>DATABASE!T923</f>
        <v>800000</v>
      </c>
      <c r="T57" s="175">
        <f>DATABASE!U923</f>
        <v>24600</v>
      </c>
      <c r="U57" s="175">
        <f>DATABASE!V923</f>
        <v>40000</v>
      </c>
      <c r="V57" s="79">
        <f>DATABASE!W923</f>
        <v>735400</v>
      </c>
      <c r="W57" s="80">
        <f>DATABASE!X923</f>
        <v>0</v>
      </c>
      <c r="X57" s="79">
        <f>DATABASE!Y923</f>
        <v>800000</v>
      </c>
      <c r="Y57" s="79">
        <f>DATABASE!Z923</f>
        <v>735400</v>
      </c>
      <c r="Z57" s="79" t="e">
        <f>DATABASE!#REF!</f>
        <v>#REF!</v>
      </c>
      <c r="AA57" s="81">
        <f>DATABASE!AA923</f>
        <v>0</v>
      </c>
      <c r="AB57" s="177">
        <f>DATABASE!AB923</f>
        <v>0</v>
      </c>
      <c r="AC57" s="159"/>
      <c r="AD57" s="51"/>
    </row>
    <row r="58" spans="1:30" s="14" customFormat="1">
      <c r="A58" s="158" t="str">
        <f>DATABASE!A924</f>
        <v>BOTÂNICA</v>
      </c>
      <c r="B58" s="167" t="str">
        <f>DATABASE!B924</f>
        <v>Vilamoura</v>
      </c>
      <c r="C58" s="168" t="str">
        <f>DATABASE!C924</f>
        <v>L</v>
      </c>
      <c r="D58" s="169" t="str">
        <f>DATABASE!E924</f>
        <v>T3</v>
      </c>
      <c r="E58" s="169">
        <f>DATABASE!F924</f>
        <v>559.03</v>
      </c>
      <c r="F58" s="169">
        <f>DATABASE!G924</f>
        <v>0</v>
      </c>
      <c r="G58" s="169" t="str">
        <f>DATABASE!H924</f>
        <v>2</v>
      </c>
      <c r="H58" s="169" t="str">
        <f>DATABASE!I924</f>
        <v/>
      </c>
      <c r="I58" s="169">
        <f>DATABASE!J924</f>
        <v>0</v>
      </c>
      <c r="J58" s="169">
        <f>DATABASE!K924</f>
        <v>0</v>
      </c>
      <c r="K58" s="170">
        <f>DATABASE!L924</f>
        <v>0</v>
      </c>
      <c r="L58" s="171">
        <f>DATABASE!M924</f>
        <v>391.15</v>
      </c>
      <c r="M58" s="172">
        <f>DATABASE!N924</f>
        <v>0</v>
      </c>
      <c r="N58" s="173">
        <f>DATABASE!O924</f>
        <v>167.88</v>
      </c>
      <c r="O58" s="173">
        <f>DATABASE!P924</f>
        <v>0</v>
      </c>
      <c r="P58" s="173" t="str">
        <f>DATABASE!Q924</f>
        <v>AVAILABLE</v>
      </c>
      <c r="Q58" s="154">
        <f>DATABASE!R924</f>
        <v>1727255.5625</v>
      </c>
      <c r="R58" s="174">
        <f>DATABASE!S924</f>
        <v>1727255.5625</v>
      </c>
      <c r="S58" s="173">
        <f>DATABASE!T924</f>
        <v>1800000</v>
      </c>
      <c r="T58" s="175">
        <f>DATABASE!U924</f>
        <v>0</v>
      </c>
      <c r="U58" s="175">
        <f>DATABASE!V924</f>
        <v>0</v>
      </c>
      <c r="V58" s="79">
        <f>DATABASE!W924</f>
        <v>1800000</v>
      </c>
      <c r="W58" s="80">
        <f>DATABASE!X924</f>
        <v>0</v>
      </c>
      <c r="X58" s="79">
        <f>DATABASE!Y924</f>
        <v>1799200</v>
      </c>
      <c r="Y58" s="79">
        <f>DATABASE!Z924</f>
        <v>1799200</v>
      </c>
      <c r="Z58" s="79" t="e">
        <f>DATABASE!#REF!</f>
        <v>#REF!</v>
      </c>
      <c r="AA58" s="81">
        <f>DATABASE!AA924</f>
        <v>0</v>
      </c>
      <c r="AB58" s="177">
        <f>DATABASE!AB924</f>
        <v>0</v>
      </c>
      <c r="AC58" s="159"/>
      <c r="AD58" s="51"/>
    </row>
    <row r="59" spans="1:30" s="14" customFormat="1">
      <c r="A59" s="158" t="str">
        <f>DATABASE!A925</f>
        <v>NATURA VILLAGE 4</v>
      </c>
      <c r="B59" s="167" t="str">
        <f>DATABASE!B925</f>
        <v>Vilamoura</v>
      </c>
      <c r="C59" s="168" t="str">
        <f>DATABASE!C925</f>
        <v>L</v>
      </c>
      <c r="D59" s="169" t="str">
        <f>DATABASE!E925</f>
        <v>V2</v>
      </c>
      <c r="E59" s="169">
        <f>DATABASE!F925</f>
        <v>150.28</v>
      </c>
      <c r="F59" s="169">
        <f>DATABASE!G925</f>
        <v>0</v>
      </c>
      <c r="G59" s="169" t="str">
        <f>DATABASE!H925</f>
        <v/>
      </c>
      <c r="H59" s="169" t="str">
        <f>DATABASE!I925</f>
        <v/>
      </c>
      <c r="I59" s="169">
        <f>DATABASE!J925</f>
        <v>0</v>
      </c>
      <c r="J59" s="169">
        <f>DATABASE!K925</f>
        <v>0</v>
      </c>
      <c r="K59" s="170">
        <f>DATABASE!L925</f>
        <v>0</v>
      </c>
      <c r="L59" s="171">
        <f>DATABASE!M925</f>
        <v>0</v>
      </c>
      <c r="M59" s="172">
        <f>DATABASE!N925</f>
        <v>0</v>
      </c>
      <c r="N59" s="173">
        <f>DATABASE!O925</f>
        <v>150.28</v>
      </c>
      <c r="O59" s="173">
        <f>DATABASE!P925</f>
        <v>0</v>
      </c>
      <c r="P59" s="173" t="str">
        <f>DATABASE!Q925</f>
        <v xml:space="preserve">DEED </v>
      </c>
      <c r="Q59" s="154">
        <f>DATABASE!R925</f>
        <v>840000</v>
      </c>
      <c r="R59" s="174">
        <f>DATABASE!S925</f>
        <v>840000</v>
      </c>
      <c r="S59" s="173">
        <f>DATABASE!T925</f>
        <v>860000</v>
      </c>
      <c r="T59" s="175">
        <f>DATABASE!U925</f>
        <v>0</v>
      </c>
      <c r="U59" s="175">
        <f>DATABASE!V925</f>
        <v>0</v>
      </c>
      <c r="V59" s="79">
        <f>DATABASE!W925</f>
        <v>860000</v>
      </c>
      <c r="W59" s="80">
        <f>DATABASE!X925</f>
        <v>0</v>
      </c>
      <c r="X59" s="79">
        <f>DATABASE!Y925</f>
        <v>860000</v>
      </c>
      <c r="Y59" s="79">
        <f>DATABASE!Z925</f>
        <v>860000</v>
      </c>
      <c r="Z59" s="79" t="e">
        <f>DATABASE!#REF!</f>
        <v>#REF!</v>
      </c>
      <c r="AA59" s="81">
        <f>DATABASE!AA925</f>
        <v>45841</v>
      </c>
      <c r="AB59" s="177">
        <f>DATABASE!AB925</f>
        <v>0</v>
      </c>
      <c r="AC59" s="159"/>
      <c r="AD59" s="51"/>
    </row>
    <row r="60" spans="1:30" s="14" customFormat="1">
      <c r="A60" s="158" t="str">
        <f>DATABASE!A926</f>
        <v>NATURA VILLAGE 7</v>
      </c>
      <c r="B60" s="167" t="str">
        <f>DATABASE!B926</f>
        <v>Vilamoura</v>
      </c>
      <c r="C60" s="168" t="str">
        <f>DATABASE!C926</f>
        <v>L</v>
      </c>
      <c r="D60" s="169" t="str">
        <f>DATABASE!E926</f>
        <v>V3</v>
      </c>
      <c r="E60" s="169">
        <f>DATABASE!F926</f>
        <v>161.47999999999999</v>
      </c>
      <c r="F60" s="169">
        <f>DATABASE!G926</f>
        <v>0</v>
      </c>
      <c r="G60" s="169" t="str">
        <f>DATABASE!H926</f>
        <v/>
      </c>
      <c r="H60" s="169" t="str">
        <f>DATABASE!I926</f>
        <v/>
      </c>
      <c r="I60" s="169">
        <f>DATABASE!J926</f>
        <v>0</v>
      </c>
      <c r="J60" s="169">
        <f>DATABASE!K926</f>
        <v>0</v>
      </c>
      <c r="K60" s="170">
        <f>DATABASE!L926</f>
        <v>0</v>
      </c>
      <c r="L60" s="171">
        <f>DATABASE!M926</f>
        <v>0</v>
      </c>
      <c r="M60" s="172">
        <f>DATABASE!N926</f>
        <v>0</v>
      </c>
      <c r="N60" s="173">
        <f>DATABASE!O926</f>
        <v>161.47999999999999</v>
      </c>
      <c r="O60" s="173">
        <f>DATABASE!P926</f>
        <v>0</v>
      </c>
      <c r="P60" s="173" t="str">
        <f>DATABASE!Q926</f>
        <v xml:space="preserve">DEED </v>
      </c>
      <c r="Q60" s="154">
        <f>DATABASE!R926</f>
        <v>930000</v>
      </c>
      <c r="R60" s="174">
        <f>DATABASE!S926</f>
        <v>930000</v>
      </c>
      <c r="S60" s="173">
        <f>DATABASE!T926</f>
        <v>930000</v>
      </c>
      <c r="T60" s="175">
        <f>DATABASE!U926</f>
        <v>0</v>
      </c>
      <c r="U60" s="175">
        <f>DATABASE!V926</f>
        <v>0</v>
      </c>
      <c r="V60" s="79">
        <f>DATABASE!W926</f>
        <v>930000</v>
      </c>
      <c r="W60" s="80">
        <f>DATABASE!X926</f>
        <v>0</v>
      </c>
      <c r="X60" s="79">
        <f>DATABASE!Y926</f>
        <v>930000</v>
      </c>
      <c r="Y60" s="79">
        <f>DATABASE!Z926</f>
        <v>930000</v>
      </c>
      <c r="Z60" s="79" t="e">
        <f>DATABASE!#REF!</f>
        <v>#REF!</v>
      </c>
      <c r="AA60" s="81">
        <f>DATABASE!AA926</f>
        <v>45094</v>
      </c>
      <c r="AB60" s="177">
        <f>DATABASE!AB926</f>
        <v>0</v>
      </c>
      <c r="AC60" s="159"/>
      <c r="AD60" s="51"/>
    </row>
    <row r="61" spans="1:30" s="14" customFormat="1">
      <c r="A61" s="158" t="str">
        <f>DATABASE!A927</f>
        <v>MR - LT do Golfe</v>
      </c>
      <c r="B61" s="167" t="str">
        <f>DATABASE!B927</f>
        <v>Algarve</v>
      </c>
      <c r="C61" s="168" t="str">
        <f>DATABASE!C927</f>
        <v>31</v>
      </c>
      <c r="D61" s="169" t="str">
        <f>DATABASE!E927</f>
        <v>Plot</v>
      </c>
      <c r="E61" s="169">
        <f>DATABASE!F927</f>
        <v>500</v>
      </c>
      <c r="F61" s="169">
        <f>DATABASE!G927</f>
        <v>0</v>
      </c>
      <c r="G61" s="169" t="str">
        <f>DATABASE!H927</f>
        <v/>
      </c>
      <c r="H61" s="169" t="str">
        <f>DATABASE!I927</f>
        <v/>
      </c>
      <c r="I61" s="169">
        <f>DATABASE!J927</f>
        <v>0</v>
      </c>
      <c r="J61" s="169">
        <f>DATABASE!K927</f>
        <v>0</v>
      </c>
      <c r="K61" s="170">
        <f>DATABASE!L927</f>
        <v>0</v>
      </c>
      <c r="L61" s="171">
        <f>DATABASE!M927</f>
        <v>0</v>
      </c>
      <c r="M61" s="172">
        <f>DATABASE!N927</f>
        <v>0</v>
      </c>
      <c r="N61" s="173">
        <f>DATABASE!O927</f>
        <v>500</v>
      </c>
      <c r="O61" s="173">
        <f>DATABASE!P927</f>
        <v>0</v>
      </c>
      <c r="P61" s="173" t="str">
        <f>DATABASE!Q927</f>
        <v>AVAILABLE</v>
      </c>
      <c r="Q61" s="154">
        <f>DATABASE!R927</f>
        <v>1683000</v>
      </c>
      <c r="R61" s="174">
        <f>DATABASE!S927</f>
        <v>1683000</v>
      </c>
      <c r="S61" s="173">
        <f>DATABASE!T927</f>
        <v>1150000</v>
      </c>
      <c r="T61" s="175">
        <f>DATABASE!U927</f>
        <v>0</v>
      </c>
      <c r="U61" s="175">
        <f>DATABASE!V927</f>
        <v>0</v>
      </c>
      <c r="V61" s="79">
        <f>DATABASE!W927</f>
        <v>1150000</v>
      </c>
      <c r="W61" s="80">
        <f>DATABASE!X927</f>
        <v>0</v>
      </c>
      <c r="X61" s="79">
        <f>DATABASE!Y927</f>
        <v>0</v>
      </c>
      <c r="Y61" s="79">
        <f>DATABASE!Z927</f>
        <v>0</v>
      </c>
      <c r="Z61" s="79" t="e">
        <f>DATABASE!#REF!</f>
        <v>#REF!</v>
      </c>
      <c r="AA61" s="81">
        <f>DATABASE!AA927</f>
        <v>0</v>
      </c>
      <c r="AB61" s="177" t="str">
        <f>DATABASE!AB927</f>
        <v>TBD</v>
      </c>
      <c r="AC61" s="159"/>
      <c r="AD61" s="51"/>
    </row>
    <row r="62" spans="1:30" s="14" customFormat="1">
      <c r="A62" s="158" t="str">
        <f>DATABASE!A928</f>
        <v>Aroeira - VILLAS</v>
      </c>
      <c r="B62" s="167" t="str">
        <f>DATABASE!B928</f>
        <v>Center</v>
      </c>
      <c r="C62" s="168" t="str">
        <f>DATABASE!C928</f>
        <v>26C</v>
      </c>
      <c r="D62" s="169" t="str">
        <f>DATABASE!E928</f>
        <v>T2+1</v>
      </c>
      <c r="E62" s="169">
        <f>DATABASE!F928</f>
        <v>319.39999999999998</v>
      </c>
      <c r="F62" s="169">
        <f>DATABASE!G928</f>
        <v>0</v>
      </c>
      <c r="G62" s="169" t="str">
        <f>DATABASE!H928</f>
        <v>1</v>
      </c>
      <c r="H62" s="169" t="str">
        <f>DATABASE!I928</f>
        <v>1</v>
      </c>
      <c r="I62" s="169">
        <f>DATABASE!J928</f>
        <v>0</v>
      </c>
      <c r="J62" s="169">
        <f>DATABASE!K928</f>
        <v>0</v>
      </c>
      <c r="K62" s="170">
        <f>DATABASE!L928</f>
        <v>0</v>
      </c>
      <c r="L62" s="171">
        <f>DATABASE!M928</f>
        <v>98</v>
      </c>
      <c r="M62" s="172">
        <f>DATABASE!N928</f>
        <v>23</v>
      </c>
      <c r="N62" s="173">
        <f>DATABASE!O928</f>
        <v>198.4</v>
      </c>
      <c r="O62" s="173">
        <f>DATABASE!P928</f>
        <v>0</v>
      </c>
      <c r="P62" s="173" t="str">
        <f>DATABASE!Q928</f>
        <v>AVAILABLE</v>
      </c>
      <c r="Q62" s="154">
        <f>DATABASE!R928</f>
        <v>1630000</v>
      </c>
      <c r="R62" s="174">
        <f>DATABASE!S928</f>
        <v>1690000</v>
      </c>
      <c r="S62" s="173">
        <f>DATABASE!T928</f>
        <v>1690000</v>
      </c>
      <c r="T62" s="175">
        <f>DATABASE!U928</f>
        <v>0</v>
      </c>
      <c r="U62" s="175">
        <f>DATABASE!V928</f>
        <v>60000</v>
      </c>
      <c r="V62" s="79">
        <f>DATABASE!W928</f>
        <v>1630000</v>
      </c>
      <c r="W62" s="80">
        <f>DATABASE!X928</f>
        <v>0</v>
      </c>
      <c r="X62" s="79">
        <f>DATABASE!Y928</f>
        <v>0</v>
      </c>
      <c r="Y62" s="79">
        <f>DATABASE!Z928</f>
        <v>-60000</v>
      </c>
      <c r="Z62" s="79" t="e">
        <f>DATABASE!#REF!</f>
        <v>#REF!</v>
      </c>
      <c r="AA62" s="81">
        <f>DATABASE!AA928</f>
        <v>0</v>
      </c>
      <c r="AB62" s="177">
        <f>DATABASE!AB928</f>
        <v>47118</v>
      </c>
      <c r="AC62" s="159"/>
      <c r="AD62" s="51"/>
    </row>
    <row r="63" spans="1:30" s="14" customFormat="1">
      <c r="A63" s="158" t="str">
        <f>DATABASE!A929</f>
        <v>Aroeira - VILLAS</v>
      </c>
      <c r="B63" s="167" t="str">
        <f>DATABASE!B929</f>
        <v>Center</v>
      </c>
      <c r="C63" s="168" t="str">
        <f>DATABASE!C929</f>
        <v>27C</v>
      </c>
      <c r="D63" s="169" t="str">
        <f>DATABASE!E929</f>
        <v>T2+1</v>
      </c>
      <c r="E63" s="169">
        <f>DATABASE!F929</f>
        <v>319.39999999999998</v>
      </c>
      <c r="F63" s="169">
        <f>DATABASE!G929</f>
        <v>0</v>
      </c>
      <c r="G63" s="169" t="str">
        <f>DATABASE!H929</f>
        <v>1</v>
      </c>
      <c r="H63" s="169" t="str">
        <f>DATABASE!I929</f>
        <v>1</v>
      </c>
      <c r="I63" s="169">
        <f>DATABASE!J929</f>
        <v>0</v>
      </c>
      <c r="J63" s="169">
        <f>DATABASE!K929</f>
        <v>0</v>
      </c>
      <c r="K63" s="170">
        <f>DATABASE!L929</f>
        <v>0</v>
      </c>
      <c r="L63" s="171">
        <f>DATABASE!M929</f>
        <v>98</v>
      </c>
      <c r="M63" s="172">
        <f>DATABASE!N929</f>
        <v>23</v>
      </c>
      <c r="N63" s="173">
        <f>DATABASE!O929</f>
        <v>198.4</v>
      </c>
      <c r="O63" s="173">
        <f>DATABASE!P929</f>
        <v>0</v>
      </c>
      <c r="P63" s="173" t="str">
        <f>DATABASE!Q929</f>
        <v>AVAILABLE</v>
      </c>
      <c r="Q63" s="154">
        <f>DATABASE!R929</f>
        <v>1630000</v>
      </c>
      <c r="R63" s="174">
        <f>DATABASE!S929</f>
        <v>1690000</v>
      </c>
      <c r="S63" s="173">
        <f>DATABASE!T929</f>
        <v>1690000</v>
      </c>
      <c r="T63" s="175">
        <f>DATABASE!U929</f>
        <v>0</v>
      </c>
      <c r="U63" s="175">
        <f>DATABASE!V929</f>
        <v>60000</v>
      </c>
      <c r="V63" s="79">
        <f>DATABASE!W929</f>
        <v>1630000</v>
      </c>
      <c r="W63" s="80">
        <f>DATABASE!X929</f>
        <v>0</v>
      </c>
      <c r="X63" s="79">
        <f>DATABASE!Y929</f>
        <v>0</v>
      </c>
      <c r="Y63" s="79">
        <f>DATABASE!Z929</f>
        <v>-60000</v>
      </c>
      <c r="Z63" s="79" t="e">
        <f>DATABASE!#REF!</f>
        <v>#REF!</v>
      </c>
      <c r="AA63" s="81">
        <f>DATABASE!AA929</f>
        <v>0</v>
      </c>
      <c r="AB63" s="177">
        <f>DATABASE!AB929</f>
        <v>47118</v>
      </c>
      <c r="AC63" s="159"/>
      <c r="AD63" s="51"/>
    </row>
    <row r="64" spans="1:30" s="14" customFormat="1">
      <c r="A64" s="158" t="str">
        <f>DATABASE!A930</f>
        <v>NATURA VILLAGE 9</v>
      </c>
      <c r="B64" s="167" t="str">
        <f>DATABASE!B930</f>
        <v>Vilamoura</v>
      </c>
      <c r="C64" s="168" t="str">
        <f>DATABASE!C930</f>
        <v>L</v>
      </c>
      <c r="D64" s="169" t="str">
        <f>DATABASE!E930</f>
        <v>V3</v>
      </c>
      <c r="E64" s="169">
        <f>DATABASE!F930</f>
        <v>183.88</v>
      </c>
      <c r="F64" s="169">
        <f>DATABASE!G930</f>
        <v>0</v>
      </c>
      <c r="G64" s="169" t="str">
        <f>DATABASE!H930</f>
        <v/>
      </c>
      <c r="H64" s="169" t="str">
        <f>DATABASE!I930</f>
        <v/>
      </c>
      <c r="I64" s="169">
        <f>DATABASE!J930</f>
        <v>0</v>
      </c>
      <c r="J64" s="169">
        <f>DATABASE!K930</f>
        <v>0</v>
      </c>
      <c r="K64" s="170">
        <f>DATABASE!L930</f>
        <v>0</v>
      </c>
      <c r="L64" s="171">
        <f>DATABASE!M930</f>
        <v>0</v>
      </c>
      <c r="M64" s="172">
        <f>DATABASE!N930</f>
        <v>0</v>
      </c>
      <c r="N64" s="173">
        <f>DATABASE!O930</f>
        <v>183.88</v>
      </c>
      <c r="O64" s="173">
        <f>DATABASE!P930</f>
        <v>0</v>
      </c>
      <c r="P64" s="173" t="str">
        <f>DATABASE!Q930</f>
        <v>AVAILABLE</v>
      </c>
      <c r="Q64" s="154">
        <f>DATABASE!R930</f>
        <v>1310000</v>
      </c>
      <c r="R64" s="174">
        <f>DATABASE!S930</f>
        <v>1310000</v>
      </c>
      <c r="S64" s="173">
        <f>DATABASE!T930</f>
        <v>1310000</v>
      </c>
      <c r="T64" s="175">
        <f>DATABASE!U930</f>
        <v>0</v>
      </c>
      <c r="U64" s="175">
        <f>DATABASE!V930</f>
        <v>0</v>
      </c>
      <c r="V64" s="79">
        <f>DATABASE!W930</f>
        <v>1310000</v>
      </c>
      <c r="W64" s="80">
        <f>DATABASE!X930</f>
        <v>0</v>
      </c>
      <c r="X64" s="79">
        <f>DATABASE!Y930</f>
        <v>1310000</v>
      </c>
      <c r="Y64" s="79">
        <f>DATABASE!Z930</f>
        <v>1310000</v>
      </c>
      <c r="Z64" s="79" t="e">
        <f>DATABASE!#REF!</f>
        <v>#REF!</v>
      </c>
      <c r="AA64" s="81">
        <f>DATABASE!AA930</f>
        <v>0</v>
      </c>
      <c r="AB64" s="177">
        <f>DATABASE!AB930</f>
        <v>0</v>
      </c>
      <c r="AC64" s="159"/>
      <c r="AD64" s="51"/>
    </row>
    <row r="65" spans="1:30" s="14" customFormat="1">
      <c r="A65" s="158" t="str">
        <f>DATABASE!A931</f>
        <v>NOBILUS</v>
      </c>
      <c r="B65" s="167" t="str">
        <f>DATABASE!B931</f>
        <v>Vilamoura</v>
      </c>
      <c r="C65" s="168" t="str">
        <f>DATABASE!C931</f>
        <v>L</v>
      </c>
      <c r="D65" s="169" t="str">
        <f>DATABASE!E931</f>
        <v>T3</v>
      </c>
      <c r="E65" s="169">
        <f>DATABASE!F931</f>
        <v>153.5</v>
      </c>
      <c r="F65" s="169">
        <f>DATABASE!G931</f>
        <v>3.99</v>
      </c>
      <c r="G65" s="169" t="str">
        <f>DATABASE!H931</f>
        <v>40-86</v>
      </c>
      <c r="H65" s="169" t="str">
        <f>DATABASE!I931</f>
        <v/>
      </c>
      <c r="I65" s="169">
        <f>DATABASE!J931</f>
        <v>34.409999999999997</v>
      </c>
      <c r="J65" s="169">
        <f>DATABASE!K931</f>
        <v>0</v>
      </c>
      <c r="K65" s="170">
        <f>DATABASE!L931</f>
        <v>0</v>
      </c>
      <c r="L65" s="171">
        <f>DATABASE!M931</f>
        <v>0</v>
      </c>
      <c r="M65" s="172">
        <f>DATABASE!N931</f>
        <v>0</v>
      </c>
      <c r="N65" s="173">
        <f>DATABASE!O931</f>
        <v>153.5</v>
      </c>
      <c r="O65" s="173">
        <f>DATABASE!P931</f>
        <v>0</v>
      </c>
      <c r="P65" s="173" t="str">
        <f>DATABASE!Q931</f>
        <v>AVAILABLE</v>
      </c>
      <c r="Q65" s="154">
        <f>DATABASE!R931</f>
        <v>1120000</v>
      </c>
      <c r="R65" s="174">
        <f>DATABASE!S931</f>
        <v>1120000</v>
      </c>
      <c r="S65" s="173">
        <f>DATABASE!T931</f>
        <v>1120000</v>
      </c>
      <c r="T65" s="175">
        <f>DATABASE!U931</f>
        <v>0</v>
      </c>
      <c r="U65" s="175">
        <f>DATABASE!V931</f>
        <v>0</v>
      </c>
      <c r="V65" s="79">
        <f>DATABASE!W931</f>
        <v>1120000</v>
      </c>
      <c r="W65" s="80">
        <f>DATABASE!X931</f>
        <v>0</v>
      </c>
      <c r="X65" s="79">
        <f>DATABASE!Y931</f>
        <v>1120000</v>
      </c>
      <c r="Y65" s="79">
        <f>DATABASE!Z931</f>
        <v>1120000</v>
      </c>
      <c r="Z65" s="79" t="e">
        <f>DATABASE!#REF!</f>
        <v>#REF!</v>
      </c>
      <c r="AA65" s="81">
        <f>DATABASE!AA931</f>
        <v>0</v>
      </c>
      <c r="AB65" s="177">
        <f>DATABASE!AB931</f>
        <v>0</v>
      </c>
      <c r="AC65" s="159"/>
      <c r="AD65" s="51"/>
    </row>
    <row r="66" spans="1:30" s="14" customFormat="1">
      <c r="A66" s="158" t="str">
        <f>DATABASE!A932</f>
        <v>Rivus</v>
      </c>
      <c r="B66" s="167" t="str">
        <f>DATABASE!B932</f>
        <v>Vilamoura</v>
      </c>
      <c r="C66" s="168" t="str">
        <f>DATABASE!C932</f>
        <v>L</v>
      </c>
      <c r="D66" s="169" t="str">
        <f>DATABASE!E932</f>
        <v>T3</v>
      </c>
      <c r="E66" s="169">
        <f>DATABASE!F932</f>
        <v>0</v>
      </c>
      <c r="F66" s="169">
        <f>DATABASE!G932</f>
        <v>0</v>
      </c>
      <c r="G66" s="169" t="str">
        <f>DATABASE!H932</f>
        <v/>
      </c>
      <c r="H66" s="169" t="str">
        <f>DATABASE!I932</f>
        <v/>
      </c>
      <c r="I66" s="169">
        <f>DATABASE!J932</f>
        <v>0</v>
      </c>
      <c r="J66" s="169">
        <f>DATABASE!K932</f>
        <v>76</v>
      </c>
      <c r="K66" s="170">
        <f>DATABASE!L932</f>
        <v>0</v>
      </c>
      <c r="L66" s="171">
        <f>DATABASE!M932</f>
        <v>0</v>
      </c>
      <c r="M66" s="172">
        <f>DATABASE!N932</f>
        <v>0</v>
      </c>
      <c r="N66" s="173">
        <f>DATABASE!O932</f>
        <v>134</v>
      </c>
      <c r="O66" s="173">
        <f>DATABASE!P932</f>
        <v>0</v>
      </c>
      <c r="P66" s="173" t="str">
        <f>DATABASE!Q932</f>
        <v>RESERVED</v>
      </c>
      <c r="Q66" s="154">
        <f>DATABASE!R932</f>
        <v>1090000</v>
      </c>
      <c r="R66" s="174">
        <f>DATABASE!S932</f>
        <v>1090000</v>
      </c>
      <c r="S66" s="173">
        <f>DATABASE!T932</f>
        <v>1090000</v>
      </c>
      <c r="T66" s="175">
        <f>DATABASE!U932</f>
        <v>0</v>
      </c>
      <c r="U66" s="175">
        <f>DATABASE!V932</f>
        <v>0</v>
      </c>
      <c r="V66" s="79">
        <f>DATABASE!W932</f>
        <v>1090000</v>
      </c>
      <c r="W66" s="80">
        <f>DATABASE!X932</f>
        <v>1.8348623853211E-2</v>
      </c>
      <c r="X66" s="79">
        <f>DATABASE!Y932</f>
        <v>1070000</v>
      </c>
      <c r="Y66" s="79">
        <f>DATABASE!Z932</f>
        <v>1070000</v>
      </c>
      <c r="Z66" s="79" t="e">
        <f>DATABASE!#REF!</f>
        <v>#REF!</v>
      </c>
      <c r="AA66" s="81">
        <f>DATABASE!AA932</f>
        <v>0</v>
      </c>
      <c r="AB66" s="177">
        <f>DATABASE!AB932</f>
        <v>0</v>
      </c>
      <c r="AC66" s="159"/>
      <c r="AD66" s="51"/>
    </row>
    <row r="67" spans="1:30" s="14" customFormat="1">
      <c r="A67" s="158" t="str">
        <f>DATABASE!A933</f>
        <v>Aroeira - VILLAS</v>
      </c>
      <c r="B67" s="167" t="str">
        <f>DATABASE!B933</f>
        <v>Center</v>
      </c>
      <c r="C67" s="168" t="str">
        <f>DATABASE!C933</f>
        <v>28C</v>
      </c>
      <c r="D67" s="169" t="str">
        <f>DATABASE!E933</f>
        <v>T2+1</v>
      </c>
      <c r="E67" s="169">
        <f>DATABASE!F933</f>
        <v>326.7</v>
      </c>
      <c r="F67" s="169">
        <f>DATABASE!G933</f>
        <v>0</v>
      </c>
      <c r="G67" s="169" t="str">
        <f>DATABASE!H933</f>
        <v>1</v>
      </c>
      <c r="H67" s="169" t="str">
        <f>DATABASE!I933</f>
        <v>1</v>
      </c>
      <c r="I67" s="169">
        <f>DATABASE!J933</f>
        <v>0</v>
      </c>
      <c r="J67" s="169">
        <f>DATABASE!K933</f>
        <v>0</v>
      </c>
      <c r="K67" s="170">
        <f>DATABASE!L933</f>
        <v>0</v>
      </c>
      <c r="L67" s="171">
        <f>DATABASE!M933</f>
        <v>102</v>
      </c>
      <c r="M67" s="172">
        <f>DATABASE!N933</f>
        <v>23</v>
      </c>
      <c r="N67" s="173">
        <f>DATABASE!O933</f>
        <v>201.7</v>
      </c>
      <c r="O67" s="173">
        <f>DATABASE!P933</f>
        <v>0</v>
      </c>
      <c r="P67" s="173" t="str">
        <f>DATABASE!Q933</f>
        <v>AVAILABLE</v>
      </c>
      <c r="Q67" s="154">
        <f>DATABASE!R933</f>
        <v>1645000</v>
      </c>
      <c r="R67" s="174">
        <f>DATABASE!S933</f>
        <v>1705000</v>
      </c>
      <c r="S67" s="173">
        <f>DATABASE!T933</f>
        <v>1705000</v>
      </c>
      <c r="T67" s="175">
        <f>DATABASE!U933</f>
        <v>0</v>
      </c>
      <c r="U67" s="175">
        <f>DATABASE!V933</f>
        <v>60000</v>
      </c>
      <c r="V67" s="79">
        <f>DATABASE!W933</f>
        <v>1645000</v>
      </c>
      <c r="W67" s="80">
        <f>DATABASE!X933</f>
        <v>0</v>
      </c>
      <c r="X67" s="79">
        <f>DATABASE!Y933</f>
        <v>0</v>
      </c>
      <c r="Y67" s="79">
        <f>DATABASE!Z933</f>
        <v>-60000</v>
      </c>
      <c r="Z67" s="79" t="e">
        <f>DATABASE!#REF!</f>
        <v>#REF!</v>
      </c>
      <c r="AA67" s="81">
        <f>DATABASE!AA933</f>
        <v>0</v>
      </c>
      <c r="AB67" s="177">
        <f>DATABASE!AB933</f>
        <v>47118</v>
      </c>
      <c r="AC67" s="159"/>
      <c r="AD67" s="51"/>
    </row>
    <row r="68" spans="1:30" s="14" customFormat="1">
      <c r="A68" s="158" t="str">
        <f>DATABASE!A934</f>
        <v>SPRINGS</v>
      </c>
      <c r="B68" s="167" t="str">
        <f>DATABASE!B934</f>
        <v>Vilamoura</v>
      </c>
      <c r="C68" s="168" t="str">
        <f>DATABASE!C934</f>
        <v>L</v>
      </c>
      <c r="D68" s="169" t="str">
        <f>DATABASE!E934</f>
        <v>V3 Duplex</v>
      </c>
      <c r="E68" s="169">
        <f>DATABASE!F934</f>
        <v>296.95999999999998</v>
      </c>
      <c r="F68" s="169">
        <f>DATABASE!G934</f>
        <v>113.29</v>
      </c>
      <c r="G68" s="169" t="str">
        <f>DATABASE!H934</f>
        <v/>
      </c>
      <c r="H68" s="169" t="str">
        <f>DATABASE!I934</f>
        <v/>
      </c>
      <c r="I68" s="169">
        <f>DATABASE!J934</f>
        <v>18.66</v>
      </c>
      <c r="J68" s="169">
        <f>DATABASE!K934</f>
        <v>0</v>
      </c>
      <c r="K68" s="170">
        <f>DATABASE!L934</f>
        <v>0</v>
      </c>
      <c r="L68" s="171">
        <f>DATABASE!M934</f>
        <v>0</v>
      </c>
      <c r="M68" s="172">
        <f>DATABASE!N934</f>
        <v>0</v>
      </c>
      <c r="N68" s="173">
        <f>DATABASE!O934</f>
        <v>165.01</v>
      </c>
      <c r="O68" s="173">
        <f>DATABASE!P934</f>
        <v>0</v>
      </c>
      <c r="P68" s="173" t="str">
        <f>DATABASE!Q934</f>
        <v>PRE-RESERVED</v>
      </c>
      <c r="Q68" s="154">
        <f>DATABASE!R934</f>
        <v>2252100</v>
      </c>
      <c r="R68" s="174">
        <f>DATABASE!S934</f>
        <v>2341050</v>
      </c>
      <c r="S68" s="173">
        <f>DATABASE!T934</f>
        <v>2400000</v>
      </c>
      <c r="T68" s="175">
        <f>DATABASE!U934</f>
        <v>24600</v>
      </c>
      <c r="U68" s="175">
        <f>DATABASE!V934</f>
        <v>64350</v>
      </c>
      <c r="V68" s="79">
        <f>DATABASE!W934</f>
        <v>2311050</v>
      </c>
      <c r="W68" s="80">
        <f>DATABASE!X934</f>
        <v>7.0833333333333304E-2</v>
      </c>
      <c r="X68" s="79">
        <f>DATABASE!Y934</f>
        <v>2230000</v>
      </c>
      <c r="Y68" s="79">
        <f>DATABASE!Z934</f>
        <v>2141050</v>
      </c>
      <c r="Z68" s="79" t="e">
        <f>DATABASE!#REF!</f>
        <v>#REF!</v>
      </c>
      <c r="AA68" s="81">
        <f>DATABASE!AA934</f>
        <v>45905</v>
      </c>
      <c r="AB68" s="177">
        <f>DATABASE!AB934</f>
        <v>0</v>
      </c>
      <c r="AC68" s="159"/>
      <c r="AD68" s="51"/>
    </row>
    <row r="69" spans="1:30" s="14" customFormat="1">
      <c r="A69" s="158" t="str">
        <f>DATABASE!A935</f>
        <v>TERRACOTA</v>
      </c>
      <c r="B69" s="167" t="str">
        <f>DATABASE!B935</f>
        <v>Vilamoura</v>
      </c>
      <c r="C69" s="168" t="str">
        <f>DATABASE!C935</f>
        <v>L</v>
      </c>
      <c r="D69" s="169" t="str">
        <f>DATABASE!E935</f>
        <v>T2</v>
      </c>
      <c r="E69" s="169">
        <f>DATABASE!F935</f>
        <v>78.3</v>
      </c>
      <c r="F69" s="169">
        <f>DATABASE!G935</f>
        <v>0</v>
      </c>
      <c r="G69" s="169" t="str">
        <f>DATABASE!H935</f>
        <v/>
      </c>
      <c r="H69" s="169" t="str">
        <f>DATABASE!I935</f>
        <v/>
      </c>
      <c r="I69" s="169">
        <f>DATABASE!J935</f>
        <v>0</v>
      </c>
      <c r="J69" s="169">
        <f>DATABASE!K935</f>
        <v>0</v>
      </c>
      <c r="K69" s="170">
        <f>DATABASE!L935</f>
        <v>0</v>
      </c>
      <c r="L69" s="171">
        <f>DATABASE!M935</f>
        <v>0</v>
      </c>
      <c r="M69" s="172">
        <f>DATABASE!N935</f>
        <v>0</v>
      </c>
      <c r="N69" s="173">
        <f>DATABASE!O935</f>
        <v>78.3</v>
      </c>
      <c r="O69" s="173">
        <f>DATABASE!P935</f>
        <v>0</v>
      </c>
      <c r="P69" s="173" t="str">
        <f>DATABASE!Q935</f>
        <v xml:space="preserve">PSPA </v>
      </c>
      <c r="Q69" s="154">
        <f>DATABASE!R935</f>
        <v>440000</v>
      </c>
      <c r="R69" s="174">
        <f>DATABASE!S935</f>
        <v>440000</v>
      </c>
      <c r="S69" s="173">
        <f>DATABASE!T935</f>
        <v>440000</v>
      </c>
      <c r="T69" s="175">
        <f>DATABASE!U935</f>
        <v>0</v>
      </c>
      <c r="U69" s="175">
        <f>DATABASE!V935</f>
        <v>0</v>
      </c>
      <c r="V69" s="79">
        <f>DATABASE!W935</f>
        <v>440000</v>
      </c>
      <c r="W69" s="80">
        <f>DATABASE!X935</f>
        <v>0</v>
      </c>
      <c r="X69" s="79">
        <f>DATABASE!Y935</f>
        <v>440000</v>
      </c>
      <c r="Y69" s="79">
        <f>DATABASE!Z935</f>
        <v>440000</v>
      </c>
      <c r="Z69" s="79" t="e">
        <f>DATABASE!#REF!</f>
        <v>#REF!</v>
      </c>
      <c r="AA69" s="81" t="e">
        <f>DATABASE!#REF!</f>
        <v>#REF!</v>
      </c>
      <c r="AB69" s="177">
        <f>DATABASE!AB935</f>
        <v>0</v>
      </c>
      <c r="AC69" s="159"/>
      <c r="AD69" s="51"/>
    </row>
    <row r="70" spans="1:30" s="14" customFormat="1">
      <c r="A70" s="158" t="str">
        <f>DATABASE!A936</f>
        <v>MR - LT do Golfe</v>
      </c>
      <c r="B70" s="167" t="str">
        <f>DATABASE!B936</f>
        <v>Algarve</v>
      </c>
      <c r="C70" s="168" t="str">
        <f>DATABASE!C936</f>
        <v>18</v>
      </c>
      <c r="D70" s="169" t="str">
        <f>DATABASE!E936</f>
        <v>Plot</v>
      </c>
      <c r="E70" s="169">
        <f>DATABASE!F936</f>
        <v>500</v>
      </c>
      <c r="F70" s="169">
        <f>DATABASE!G936</f>
        <v>0</v>
      </c>
      <c r="G70" s="169" t="str">
        <f>DATABASE!H936</f>
        <v/>
      </c>
      <c r="H70" s="169" t="str">
        <f>DATABASE!I936</f>
        <v/>
      </c>
      <c r="I70" s="169">
        <f>DATABASE!J936</f>
        <v>0</v>
      </c>
      <c r="J70" s="169">
        <f>DATABASE!K936</f>
        <v>0</v>
      </c>
      <c r="K70" s="170">
        <f>DATABASE!L936</f>
        <v>0</v>
      </c>
      <c r="L70" s="171">
        <f>DATABASE!M936</f>
        <v>0</v>
      </c>
      <c r="M70" s="172">
        <f>DATABASE!N936</f>
        <v>0</v>
      </c>
      <c r="N70" s="173">
        <f>DATABASE!O936</f>
        <v>500</v>
      </c>
      <c r="O70" s="173">
        <f>DATABASE!P936</f>
        <v>0</v>
      </c>
      <c r="P70" s="173" t="str">
        <f>DATABASE!Q936</f>
        <v>AVAILABLE</v>
      </c>
      <c r="Q70" s="154">
        <f>DATABASE!R936</f>
        <v>1735000</v>
      </c>
      <c r="R70" s="174">
        <f>DATABASE!S936</f>
        <v>1735000</v>
      </c>
      <c r="S70" s="173">
        <f>DATABASE!T936</f>
        <v>1300000</v>
      </c>
      <c r="T70" s="175">
        <f>DATABASE!U936</f>
        <v>0</v>
      </c>
      <c r="U70" s="175">
        <f>DATABASE!V936</f>
        <v>0</v>
      </c>
      <c r="V70" s="79">
        <f>DATABASE!W936</f>
        <v>1300000</v>
      </c>
      <c r="W70" s="80">
        <f>DATABASE!X936</f>
        <v>0</v>
      </c>
      <c r="X70" s="79">
        <f>DATABASE!Y936</f>
        <v>0</v>
      </c>
      <c r="Y70" s="79">
        <f>DATABASE!Z936</f>
        <v>0</v>
      </c>
      <c r="Z70" s="79" t="e">
        <f>DATABASE!#REF!</f>
        <v>#REF!</v>
      </c>
      <c r="AA70" s="81">
        <f>DATABASE!AA936</f>
        <v>0</v>
      </c>
      <c r="AB70" s="177" t="str">
        <f>DATABASE!AB936</f>
        <v>TBD</v>
      </c>
      <c r="AC70" s="159"/>
      <c r="AD70" s="51"/>
    </row>
    <row r="71" spans="1:30" s="14" customFormat="1">
      <c r="A71" s="158" t="str">
        <f>DATABASE!A937</f>
        <v>MR - LT do Golfe</v>
      </c>
      <c r="B71" s="167" t="str">
        <f>DATABASE!B937</f>
        <v>Algarve</v>
      </c>
      <c r="C71" s="168" t="str">
        <f>DATABASE!C937</f>
        <v>20</v>
      </c>
      <c r="D71" s="169" t="str">
        <f>DATABASE!E937</f>
        <v>Plot</v>
      </c>
      <c r="E71" s="169">
        <f>DATABASE!F937</f>
        <v>650</v>
      </c>
      <c r="F71" s="169">
        <f>DATABASE!G937</f>
        <v>0</v>
      </c>
      <c r="G71" s="169" t="str">
        <f>DATABASE!H937</f>
        <v/>
      </c>
      <c r="H71" s="169" t="str">
        <f>DATABASE!I937</f>
        <v/>
      </c>
      <c r="I71" s="169">
        <f>DATABASE!J937</f>
        <v>0</v>
      </c>
      <c r="J71" s="169">
        <f>DATABASE!K937</f>
        <v>0</v>
      </c>
      <c r="K71" s="170">
        <f>DATABASE!L937</f>
        <v>0</v>
      </c>
      <c r="L71" s="171">
        <f>DATABASE!M937</f>
        <v>0</v>
      </c>
      <c r="M71" s="172">
        <f>DATABASE!N937</f>
        <v>0</v>
      </c>
      <c r="N71" s="173">
        <f>DATABASE!O937</f>
        <v>650</v>
      </c>
      <c r="O71" s="173">
        <f>DATABASE!P937</f>
        <v>0</v>
      </c>
      <c r="P71" s="173" t="str">
        <f>DATABASE!Q937</f>
        <v>AVAILABLE</v>
      </c>
      <c r="Q71" s="154">
        <f>DATABASE!R937</f>
        <v>1735000</v>
      </c>
      <c r="R71" s="174">
        <f>DATABASE!S937</f>
        <v>1735000</v>
      </c>
      <c r="S71" s="173">
        <f>DATABASE!T937</f>
        <v>1450000</v>
      </c>
      <c r="T71" s="175">
        <f>DATABASE!U937</f>
        <v>0</v>
      </c>
      <c r="U71" s="175">
        <f>DATABASE!V937</f>
        <v>0</v>
      </c>
      <c r="V71" s="79">
        <f>DATABASE!W937</f>
        <v>1450000</v>
      </c>
      <c r="W71" s="80">
        <f>DATABASE!X937</f>
        <v>0</v>
      </c>
      <c r="X71" s="79">
        <f>DATABASE!Y937</f>
        <v>0</v>
      </c>
      <c r="Y71" s="79">
        <f>DATABASE!Z937</f>
        <v>0</v>
      </c>
      <c r="Z71" s="79" t="e">
        <f>DATABASE!#REF!</f>
        <v>#REF!</v>
      </c>
      <c r="AA71" s="81">
        <f>DATABASE!AA937</f>
        <v>0</v>
      </c>
      <c r="AB71" s="177" t="str">
        <f>DATABASE!AB937</f>
        <v>TBD</v>
      </c>
      <c r="AC71" s="159"/>
      <c r="AD71" s="51"/>
    </row>
    <row r="72" spans="1:30" s="14" customFormat="1">
      <c r="A72" s="158" t="str">
        <f>DATABASE!A938</f>
        <v>THE NINE</v>
      </c>
      <c r="B72" s="167" t="str">
        <f>DATABASE!B938</f>
        <v>Vilamoura</v>
      </c>
      <c r="C72" s="168" t="str">
        <f>DATABASE!C938</f>
        <v>L</v>
      </c>
      <c r="D72" s="169" t="str">
        <f>DATABASE!E938</f>
        <v>T2</v>
      </c>
      <c r="E72" s="169">
        <f>DATABASE!F938</f>
        <v>111</v>
      </c>
      <c r="F72" s="169">
        <f>DATABASE!G938</f>
        <v>0</v>
      </c>
      <c r="G72" s="169" t="str">
        <f>DATABASE!H938</f>
        <v/>
      </c>
      <c r="H72" s="169" t="str">
        <f>DATABASE!I938</f>
        <v/>
      </c>
      <c r="I72" s="169">
        <f>DATABASE!J938</f>
        <v>0</v>
      </c>
      <c r="J72" s="169">
        <f>DATABASE!K938</f>
        <v>0</v>
      </c>
      <c r="K72" s="170">
        <f>DATABASE!L938</f>
        <v>0</v>
      </c>
      <c r="L72" s="171">
        <f>DATABASE!M938</f>
        <v>0</v>
      </c>
      <c r="M72" s="172">
        <f>DATABASE!N938</f>
        <v>0</v>
      </c>
      <c r="N72" s="173">
        <f>DATABASE!O938</f>
        <v>111</v>
      </c>
      <c r="O72" s="173">
        <f>DATABASE!P938</f>
        <v>0</v>
      </c>
      <c r="P72" s="173" t="str">
        <f>DATABASE!Q938</f>
        <v xml:space="preserve">DEED </v>
      </c>
      <c r="Q72" s="154">
        <f>DATABASE!R938</f>
        <v>620000</v>
      </c>
      <c r="R72" s="174">
        <f>DATABASE!S938</f>
        <v>620000</v>
      </c>
      <c r="S72" s="173">
        <f>DATABASE!T938</f>
        <v>680000</v>
      </c>
      <c r="T72" s="175">
        <f>DATABASE!U938</f>
        <v>0</v>
      </c>
      <c r="U72" s="175">
        <f>DATABASE!V938</f>
        <v>0</v>
      </c>
      <c r="V72" s="79">
        <f>DATABASE!W938</f>
        <v>680000</v>
      </c>
      <c r="W72" s="80">
        <f>DATABASE!X938</f>
        <v>0</v>
      </c>
      <c r="X72" s="79">
        <f>DATABASE!Y938</f>
        <v>680000</v>
      </c>
      <c r="Y72" s="79">
        <f>DATABASE!Z938</f>
        <v>680000</v>
      </c>
      <c r="Z72" s="79" t="e">
        <f>DATABASE!#REF!</f>
        <v>#REF!</v>
      </c>
      <c r="AA72" s="81">
        <f>DATABASE!AA938</f>
        <v>45616</v>
      </c>
      <c r="AB72" s="177">
        <f>DATABASE!AB938</f>
        <v>0</v>
      </c>
      <c r="AC72" s="159"/>
      <c r="AD72" s="51"/>
    </row>
    <row r="73" spans="1:30" s="14" customFormat="1">
      <c r="A73" s="158" t="str">
        <f>DATABASE!A939</f>
        <v>VM PARQUE</v>
      </c>
      <c r="B73" s="167" t="str">
        <f>DATABASE!B939</f>
        <v>Vilamoura</v>
      </c>
      <c r="C73" s="168" t="str">
        <f>DATABASE!C939</f>
        <v>L</v>
      </c>
      <c r="D73" s="169" t="str">
        <f>DATABASE!E939</f>
        <v>V2</v>
      </c>
      <c r="E73" s="169">
        <f>DATABASE!F939</f>
        <v>158.05609999999999</v>
      </c>
      <c r="F73" s="169">
        <f>DATABASE!G939</f>
        <v>0</v>
      </c>
      <c r="G73" s="169" t="str">
        <f>DATABASE!H939</f>
        <v/>
      </c>
      <c r="H73" s="169" t="str">
        <f>DATABASE!I939</f>
        <v/>
      </c>
      <c r="I73" s="169">
        <f>DATABASE!J939</f>
        <v>0</v>
      </c>
      <c r="J73" s="169">
        <f>DATABASE!K939</f>
        <v>0</v>
      </c>
      <c r="K73" s="170">
        <f>DATABASE!L939</f>
        <v>0</v>
      </c>
      <c r="L73" s="171">
        <f>DATABASE!M939</f>
        <v>0</v>
      </c>
      <c r="M73" s="172">
        <f>DATABASE!N939</f>
        <v>0</v>
      </c>
      <c r="N73" s="173">
        <f>DATABASE!O939</f>
        <v>158.05609999999999</v>
      </c>
      <c r="O73" s="173">
        <f>DATABASE!P939</f>
        <v>0</v>
      </c>
      <c r="P73" s="173" t="str">
        <f>DATABASE!Q939</f>
        <v xml:space="preserve">DEED </v>
      </c>
      <c r="Q73" s="154">
        <f>DATABASE!R939</f>
        <v>1040472</v>
      </c>
      <c r="R73" s="174">
        <f>DATABASE!S939</f>
        <v>1040472</v>
      </c>
      <c r="S73" s="173">
        <f>DATABASE!T939</f>
        <v>1050000</v>
      </c>
      <c r="T73" s="175">
        <f>DATABASE!U939</f>
        <v>0</v>
      </c>
      <c r="U73" s="175">
        <f>DATABASE!V939</f>
        <v>0</v>
      </c>
      <c r="V73" s="79">
        <f>DATABASE!W939</f>
        <v>1050000</v>
      </c>
      <c r="W73" s="80">
        <f>DATABASE!X939</f>
        <v>0</v>
      </c>
      <c r="X73" s="79">
        <f>DATABASE!Y939</f>
        <v>1050000</v>
      </c>
      <c r="Y73" s="79">
        <f>DATABASE!Z939</f>
        <v>1050000</v>
      </c>
      <c r="Z73" s="79" t="e">
        <f>DATABASE!#REF!</f>
        <v>#REF!</v>
      </c>
      <c r="AA73" s="81">
        <f>DATABASE!AA939</f>
        <v>45153</v>
      </c>
      <c r="AB73" s="177">
        <f>DATABASE!AB939</f>
        <v>0</v>
      </c>
      <c r="AC73" s="159"/>
      <c r="AD73" s="51"/>
    </row>
    <row r="74" spans="1:30" s="14" customFormat="1">
      <c r="A74" s="158" t="str">
        <f>DATABASE!A940</f>
        <v>ZESTIA</v>
      </c>
      <c r="B74" s="167" t="str">
        <f>DATABASE!B940</f>
        <v>Vilamoura</v>
      </c>
      <c r="C74" s="168" t="str">
        <f>DATABASE!C940</f>
        <v>L</v>
      </c>
      <c r="D74" s="169" t="str">
        <f>DATABASE!E940</f>
        <v>T2 +</v>
      </c>
      <c r="E74" s="169">
        <f>DATABASE!F940</f>
        <v>165</v>
      </c>
      <c r="F74" s="169">
        <f>DATABASE!G940</f>
        <v>0</v>
      </c>
      <c r="G74" s="169" t="str">
        <f>DATABASE!H940</f>
        <v/>
      </c>
      <c r="H74" s="169" t="str">
        <f>DATABASE!I940</f>
        <v/>
      </c>
      <c r="I74" s="169">
        <f>DATABASE!J940</f>
        <v>51.63</v>
      </c>
      <c r="J74" s="169">
        <f>DATABASE!K940</f>
        <v>0</v>
      </c>
      <c r="K74" s="170">
        <f>DATABASE!L940</f>
        <v>0</v>
      </c>
      <c r="L74" s="171">
        <f>DATABASE!M940</f>
        <v>0</v>
      </c>
      <c r="M74" s="172">
        <f>DATABASE!N940</f>
        <v>0</v>
      </c>
      <c r="N74" s="173">
        <f>DATABASE!O940</f>
        <v>113.37</v>
      </c>
      <c r="O74" s="173">
        <f>DATABASE!P940</f>
        <v>0</v>
      </c>
      <c r="P74" s="173" t="str">
        <f>DATABASE!Q940</f>
        <v>AVAILABLE</v>
      </c>
      <c r="Q74" s="154">
        <f>DATABASE!R940</f>
        <v>1010148.8999999999</v>
      </c>
      <c r="R74" s="174">
        <f>DATABASE!S940</f>
        <v>1084748.8999999999</v>
      </c>
      <c r="S74" s="173">
        <f>DATABASE!T940</f>
        <v>1110000</v>
      </c>
      <c r="T74" s="175">
        <f>DATABASE!U940</f>
        <v>24600</v>
      </c>
      <c r="U74" s="175">
        <f>DATABASE!V940</f>
        <v>50000</v>
      </c>
      <c r="V74" s="79">
        <f>DATABASE!W940</f>
        <v>1035400</v>
      </c>
      <c r="W74" s="80">
        <f>DATABASE!X940</f>
        <v>0</v>
      </c>
      <c r="X74" s="79">
        <f>DATABASE!Y940</f>
        <v>1110000</v>
      </c>
      <c r="Y74" s="79">
        <f>DATABASE!Z940</f>
        <v>1035400</v>
      </c>
      <c r="Z74" s="79" t="e">
        <f>DATABASE!#REF!</f>
        <v>#REF!</v>
      </c>
      <c r="AA74" s="81">
        <f>DATABASE!AA940</f>
        <v>0</v>
      </c>
      <c r="AB74" s="177">
        <f>DATABASE!AB940</f>
        <v>0</v>
      </c>
      <c r="AC74" s="159"/>
      <c r="AD74" s="51"/>
    </row>
    <row r="75" spans="1:30" s="14" customFormat="1">
      <c r="A75" s="158" t="str">
        <f>DATABASE!A941</f>
        <v>BOTÂNICA</v>
      </c>
      <c r="B75" s="167" t="str">
        <f>DATABASE!B941</f>
        <v>Vilamoura</v>
      </c>
      <c r="C75" s="168" t="str">
        <f>DATABASE!C941</f>
        <v>M</v>
      </c>
      <c r="D75" s="169" t="str">
        <f>DATABASE!E941</f>
        <v>T3</v>
      </c>
      <c r="E75" s="169">
        <f>DATABASE!F941</f>
        <v>223.75</v>
      </c>
      <c r="F75" s="169">
        <f>DATABASE!G941</f>
        <v>0</v>
      </c>
      <c r="G75" s="169" t="str">
        <f>DATABASE!H941</f>
        <v>2</v>
      </c>
      <c r="H75" s="169" t="str">
        <f>DATABASE!I941</f>
        <v/>
      </c>
      <c r="I75" s="169">
        <f>DATABASE!J941</f>
        <v>45.36</v>
      </c>
      <c r="J75" s="169">
        <f>DATABASE!K941</f>
        <v>0</v>
      </c>
      <c r="K75" s="170">
        <f>DATABASE!L941</f>
        <v>0</v>
      </c>
      <c r="L75" s="171">
        <f>DATABASE!M941</f>
        <v>10.29</v>
      </c>
      <c r="M75" s="172">
        <f>DATABASE!N941</f>
        <v>0</v>
      </c>
      <c r="N75" s="173">
        <f>DATABASE!O941</f>
        <v>168.1</v>
      </c>
      <c r="O75" s="173">
        <f>DATABASE!P941</f>
        <v>0</v>
      </c>
      <c r="P75" s="173" t="str">
        <f>DATABASE!Q941</f>
        <v>AVAILABLE</v>
      </c>
      <c r="Q75" s="154">
        <f>DATABASE!R941</f>
        <v>1548293.5</v>
      </c>
      <c r="R75" s="174">
        <f>DATABASE!S941</f>
        <v>1548293.5</v>
      </c>
      <c r="S75" s="173">
        <f>DATABASE!T941</f>
        <v>1550000</v>
      </c>
      <c r="T75" s="175">
        <f>DATABASE!U941</f>
        <v>0</v>
      </c>
      <c r="U75" s="175">
        <f>DATABASE!V941</f>
        <v>0</v>
      </c>
      <c r="V75" s="79">
        <f>DATABASE!W941</f>
        <v>1550000</v>
      </c>
      <c r="W75" s="80">
        <f>DATABASE!X941</f>
        <v>0</v>
      </c>
      <c r="X75" s="79">
        <f>DATABASE!Y941</f>
        <v>1550000</v>
      </c>
      <c r="Y75" s="79">
        <f>DATABASE!Z941</f>
        <v>1550000</v>
      </c>
      <c r="Z75" s="79" t="e">
        <f>DATABASE!#REF!</f>
        <v>#REF!</v>
      </c>
      <c r="AA75" s="81">
        <f>DATABASE!AA941</f>
        <v>0</v>
      </c>
      <c r="AB75" s="177">
        <f>DATABASE!AB941</f>
        <v>0</v>
      </c>
      <c r="AC75" s="159"/>
      <c r="AD75" s="51"/>
    </row>
    <row r="76" spans="1:30" s="14" customFormat="1">
      <c r="A76" s="158" t="str">
        <f>DATABASE!A942</f>
        <v>NATURA VILLAGE 7</v>
      </c>
      <c r="B76" s="167" t="str">
        <f>DATABASE!B942</f>
        <v>Vilamoura</v>
      </c>
      <c r="C76" s="168" t="str">
        <f>DATABASE!C942</f>
        <v>M</v>
      </c>
      <c r="D76" s="169" t="str">
        <f>DATABASE!E942</f>
        <v>V2</v>
      </c>
      <c r="E76" s="169">
        <f>DATABASE!F942</f>
        <v>149.22999999999999</v>
      </c>
      <c r="F76" s="169">
        <f>DATABASE!G942</f>
        <v>0</v>
      </c>
      <c r="G76" s="169" t="str">
        <f>DATABASE!H942</f>
        <v/>
      </c>
      <c r="H76" s="169" t="str">
        <f>DATABASE!I942</f>
        <v/>
      </c>
      <c r="I76" s="169">
        <f>DATABASE!J942</f>
        <v>0</v>
      </c>
      <c r="J76" s="169">
        <f>DATABASE!K942</f>
        <v>0</v>
      </c>
      <c r="K76" s="170">
        <f>DATABASE!L942</f>
        <v>0</v>
      </c>
      <c r="L76" s="171">
        <f>DATABASE!M942</f>
        <v>0</v>
      </c>
      <c r="M76" s="172">
        <f>DATABASE!N942</f>
        <v>0</v>
      </c>
      <c r="N76" s="173">
        <f>DATABASE!O942</f>
        <v>149.22999999999999</v>
      </c>
      <c r="O76" s="173">
        <f>DATABASE!P942</f>
        <v>0</v>
      </c>
      <c r="P76" s="173" t="str">
        <f>DATABASE!Q942</f>
        <v xml:space="preserve">DEED </v>
      </c>
      <c r="Q76" s="154">
        <f>DATABASE!R942</f>
        <v>830000</v>
      </c>
      <c r="R76" s="174">
        <f>DATABASE!S942</f>
        <v>830000</v>
      </c>
      <c r="S76" s="173">
        <f>DATABASE!T942</f>
        <v>850000</v>
      </c>
      <c r="T76" s="175">
        <f>DATABASE!U942</f>
        <v>0</v>
      </c>
      <c r="U76" s="175">
        <f>DATABASE!V942</f>
        <v>0</v>
      </c>
      <c r="V76" s="79">
        <f>DATABASE!W942</f>
        <v>850000</v>
      </c>
      <c r="W76" s="80">
        <f>DATABASE!X942</f>
        <v>0</v>
      </c>
      <c r="X76" s="79">
        <f>DATABASE!Y942</f>
        <v>850000</v>
      </c>
      <c r="Y76" s="79">
        <f>DATABASE!Z942</f>
        <v>850000</v>
      </c>
      <c r="Z76" s="79" t="e">
        <f>DATABASE!#REF!</f>
        <v>#REF!</v>
      </c>
      <c r="AA76" s="81">
        <f>DATABASE!AA942</f>
        <v>45906</v>
      </c>
      <c r="AB76" s="177">
        <f>DATABASE!AB942</f>
        <v>0</v>
      </c>
      <c r="AC76" s="159"/>
      <c r="AD76" s="51"/>
    </row>
    <row r="77" spans="1:30" s="14" customFormat="1">
      <c r="A77" s="158" t="str">
        <f>DATABASE!A943</f>
        <v>NOBILUS</v>
      </c>
      <c r="B77" s="167" t="str">
        <f>DATABASE!B943</f>
        <v>Vilamoura</v>
      </c>
      <c r="C77" s="168" t="str">
        <f>DATABASE!C943</f>
        <v>M</v>
      </c>
      <c r="D77" s="169" t="str">
        <f>DATABASE!E943</f>
        <v>T3</v>
      </c>
      <c r="E77" s="169">
        <f>DATABASE!F943</f>
        <v>153.52000000000001</v>
      </c>
      <c r="F77" s="169">
        <f>DATABASE!G943</f>
        <v>4.45</v>
      </c>
      <c r="G77" s="169" t="str">
        <f>DATABASE!H943</f>
        <v>41-42</v>
      </c>
      <c r="H77" s="169" t="str">
        <f>DATABASE!I943</f>
        <v/>
      </c>
      <c r="I77" s="169">
        <f>DATABASE!J943</f>
        <v>31.83</v>
      </c>
      <c r="J77" s="169">
        <f>DATABASE!K943</f>
        <v>0</v>
      </c>
      <c r="K77" s="170">
        <f>DATABASE!L943</f>
        <v>0</v>
      </c>
      <c r="L77" s="171">
        <f>DATABASE!M943</f>
        <v>0</v>
      </c>
      <c r="M77" s="172">
        <f>DATABASE!N943</f>
        <v>0</v>
      </c>
      <c r="N77" s="173">
        <f>DATABASE!O943</f>
        <v>153.52000000000001</v>
      </c>
      <c r="O77" s="173">
        <f>DATABASE!P943</f>
        <v>0</v>
      </c>
      <c r="P77" s="173" t="str">
        <f>DATABASE!Q943</f>
        <v>AVAILABLE</v>
      </c>
      <c r="Q77" s="154">
        <f>DATABASE!R943</f>
        <v>1080000</v>
      </c>
      <c r="R77" s="174">
        <f>DATABASE!S943</f>
        <v>1080000</v>
      </c>
      <c r="S77" s="173">
        <f>DATABASE!T943</f>
        <v>1080000</v>
      </c>
      <c r="T77" s="175">
        <f>DATABASE!U943</f>
        <v>0</v>
      </c>
      <c r="U77" s="175">
        <f>DATABASE!V943</f>
        <v>0</v>
      </c>
      <c r="V77" s="79">
        <f>DATABASE!W943</f>
        <v>1080000</v>
      </c>
      <c r="W77" s="80">
        <f>DATABASE!X943</f>
        <v>0</v>
      </c>
      <c r="X77" s="79">
        <f>DATABASE!Y943</f>
        <v>1080000</v>
      </c>
      <c r="Y77" s="79">
        <f>DATABASE!Z943</f>
        <v>1080000</v>
      </c>
      <c r="Z77" s="79" t="e">
        <f>DATABASE!#REF!</f>
        <v>#REF!</v>
      </c>
      <c r="AA77" s="81">
        <f>DATABASE!AA943</f>
        <v>0</v>
      </c>
      <c r="AB77" s="177">
        <f>DATABASE!AB943</f>
        <v>0</v>
      </c>
      <c r="AC77" s="159"/>
      <c r="AD77" s="51"/>
    </row>
    <row r="78" spans="1:30" s="14" customFormat="1">
      <c r="A78" s="158" t="str">
        <f>DATABASE!A944</f>
        <v>Rivus</v>
      </c>
      <c r="B78" s="167" t="str">
        <f>DATABASE!B944</f>
        <v>Vilamoura</v>
      </c>
      <c r="C78" s="168" t="str">
        <f>DATABASE!C944</f>
        <v>M</v>
      </c>
      <c r="D78" s="169" t="str">
        <f>DATABASE!E944</f>
        <v>T2</v>
      </c>
      <c r="E78" s="169">
        <f>DATABASE!F944</f>
        <v>0</v>
      </c>
      <c r="F78" s="169">
        <f>DATABASE!G944</f>
        <v>0</v>
      </c>
      <c r="G78" s="169" t="str">
        <f>DATABASE!H944</f>
        <v/>
      </c>
      <c r="H78" s="169" t="str">
        <f>DATABASE!I944</f>
        <v/>
      </c>
      <c r="I78" s="169">
        <f>DATABASE!J944</f>
        <v>0</v>
      </c>
      <c r="J78" s="169">
        <f>DATABASE!K944</f>
        <v>67</v>
      </c>
      <c r="K78" s="170">
        <f>DATABASE!L944</f>
        <v>0</v>
      </c>
      <c r="L78" s="171">
        <f>DATABASE!M944</f>
        <v>0</v>
      </c>
      <c r="M78" s="172">
        <f>DATABASE!N944</f>
        <v>0</v>
      </c>
      <c r="N78" s="173">
        <f>DATABASE!O944</f>
        <v>105</v>
      </c>
      <c r="O78" s="173">
        <f>DATABASE!P944</f>
        <v>0</v>
      </c>
      <c r="P78" s="173" t="str">
        <f>DATABASE!Q944</f>
        <v>AVAILABLE</v>
      </c>
      <c r="Q78" s="154">
        <f>DATABASE!R944</f>
        <v>800000</v>
      </c>
      <c r="R78" s="174">
        <f>DATABASE!S944</f>
        <v>800000</v>
      </c>
      <c r="S78" s="173">
        <f>DATABASE!T944</f>
        <v>800000</v>
      </c>
      <c r="T78" s="175">
        <f>DATABASE!U944</f>
        <v>0</v>
      </c>
      <c r="U78" s="175">
        <f>DATABASE!V944</f>
        <v>0</v>
      </c>
      <c r="V78" s="79">
        <f>DATABASE!W944</f>
        <v>800000</v>
      </c>
      <c r="W78" s="80">
        <f>DATABASE!X944</f>
        <v>0</v>
      </c>
      <c r="X78" s="79">
        <f>DATABASE!Y944</f>
        <v>780000</v>
      </c>
      <c r="Y78" s="79">
        <f>DATABASE!Z944</f>
        <v>780000</v>
      </c>
      <c r="Z78" s="79" t="e">
        <f>DATABASE!#REF!</f>
        <v>#REF!</v>
      </c>
      <c r="AA78" s="81">
        <f>DATABASE!AA944</f>
        <v>0</v>
      </c>
      <c r="AB78" s="177">
        <f>DATABASE!AB944</f>
        <v>0</v>
      </c>
      <c r="AC78" s="159"/>
      <c r="AD78" s="51"/>
    </row>
    <row r="79" spans="1:30" s="14" customFormat="1">
      <c r="A79" s="158" t="str">
        <f>DATABASE!A945</f>
        <v>SPRINGS</v>
      </c>
      <c r="B79" s="167" t="str">
        <f>DATABASE!B945</f>
        <v>Vilamoura</v>
      </c>
      <c r="C79" s="168" t="str">
        <f>DATABASE!C945</f>
        <v>M</v>
      </c>
      <c r="D79" s="169" t="str">
        <f>DATABASE!E945</f>
        <v>V3</v>
      </c>
      <c r="E79" s="169">
        <f>DATABASE!F945</f>
        <v>321.57</v>
      </c>
      <c r="F79" s="169">
        <f>DATABASE!G945</f>
        <v>163.77000000000001</v>
      </c>
      <c r="G79" s="169" t="str">
        <f>DATABASE!H945</f>
        <v/>
      </c>
      <c r="H79" s="169" t="str">
        <f>DATABASE!I945</f>
        <v/>
      </c>
      <c r="I79" s="169">
        <f>DATABASE!J945</f>
        <v>0</v>
      </c>
      <c r="J79" s="169">
        <f>DATABASE!K945</f>
        <v>0</v>
      </c>
      <c r="K79" s="170">
        <f>DATABASE!L945</f>
        <v>0</v>
      </c>
      <c r="L79" s="171">
        <f>DATABASE!M945</f>
        <v>0</v>
      </c>
      <c r="M79" s="172">
        <f>DATABASE!N945</f>
        <v>0</v>
      </c>
      <c r="N79" s="173">
        <f>DATABASE!O945</f>
        <v>157.80000000000001</v>
      </c>
      <c r="O79" s="173">
        <f>DATABASE!P945</f>
        <v>0</v>
      </c>
      <c r="P79" s="173" t="str">
        <f>DATABASE!Q945</f>
        <v>AVAILABLE</v>
      </c>
      <c r="Q79" s="154">
        <f>DATABASE!R945</f>
        <v>2052100</v>
      </c>
      <c r="R79" s="174">
        <f>DATABASE!S945</f>
        <v>2141050</v>
      </c>
      <c r="S79" s="173">
        <f>DATABASE!T945</f>
        <v>2230000</v>
      </c>
      <c r="T79" s="175">
        <f>DATABASE!U945</f>
        <v>24600</v>
      </c>
      <c r="U79" s="175">
        <f>DATABASE!V945</f>
        <v>64350</v>
      </c>
      <c r="V79" s="79">
        <f>DATABASE!W945</f>
        <v>2141050</v>
      </c>
      <c r="W79" s="80">
        <f>DATABASE!X945</f>
        <v>0</v>
      </c>
      <c r="X79" s="79">
        <f>DATABASE!Y945</f>
        <v>2230000</v>
      </c>
      <c r="Y79" s="79">
        <f>DATABASE!Z945</f>
        <v>2141050</v>
      </c>
      <c r="Z79" s="79" t="e">
        <f>DATABASE!#REF!</f>
        <v>#REF!</v>
      </c>
      <c r="AA79" s="81">
        <f>DATABASE!AA945</f>
        <v>0</v>
      </c>
      <c r="AB79" s="177">
        <f>DATABASE!AB945</f>
        <v>0</v>
      </c>
      <c r="AC79" s="159"/>
      <c r="AD79" s="51"/>
    </row>
    <row r="80" spans="1:30" s="14" customFormat="1">
      <c r="A80" s="158" t="str">
        <f>DATABASE!A946</f>
        <v>TERRACOTA</v>
      </c>
      <c r="B80" s="167" t="str">
        <f>DATABASE!B946</f>
        <v>Vilamoura</v>
      </c>
      <c r="C80" s="168" t="str">
        <f>DATABASE!C946</f>
        <v>M</v>
      </c>
      <c r="D80" s="169" t="str">
        <f>DATABASE!E946</f>
        <v>T2</v>
      </c>
      <c r="E80" s="169">
        <f>DATABASE!F946</f>
        <v>78.3</v>
      </c>
      <c r="F80" s="169">
        <f>DATABASE!G946</f>
        <v>0</v>
      </c>
      <c r="G80" s="169" t="str">
        <f>DATABASE!H946</f>
        <v/>
      </c>
      <c r="H80" s="169" t="str">
        <f>DATABASE!I946</f>
        <v/>
      </c>
      <c r="I80" s="169">
        <f>DATABASE!J946</f>
        <v>0</v>
      </c>
      <c r="J80" s="169">
        <f>DATABASE!K946</f>
        <v>0</v>
      </c>
      <c r="K80" s="170">
        <f>DATABASE!L946</f>
        <v>0</v>
      </c>
      <c r="L80" s="171">
        <f>DATABASE!M946</f>
        <v>0</v>
      </c>
      <c r="M80" s="172">
        <f>DATABASE!N946</f>
        <v>0</v>
      </c>
      <c r="N80" s="173">
        <f>DATABASE!O946</f>
        <v>78.3</v>
      </c>
      <c r="O80" s="173">
        <f>DATABASE!P946</f>
        <v>0</v>
      </c>
      <c r="P80" s="173" t="str">
        <f>DATABASE!Q946</f>
        <v xml:space="preserve">PSPA </v>
      </c>
      <c r="Q80" s="154">
        <f>DATABASE!R946</f>
        <v>440000</v>
      </c>
      <c r="R80" s="174">
        <f>DATABASE!S946</f>
        <v>440000</v>
      </c>
      <c r="S80" s="173">
        <f>DATABASE!T946</f>
        <v>418000</v>
      </c>
      <c r="T80" s="175">
        <f>DATABASE!U946</f>
        <v>0</v>
      </c>
      <c r="U80" s="175">
        <f>DATABASE!V946</f>
        <v>0</v>
      </c>
      <c r="V80" s="79">
        <f>DATABASE!W946</f>
        <v>418000</v>
      </c>
      <c r="W80" s="80">
        <f>DATABASE!X946</f>
        <v>0</v>
      </c>
      <c r="X80" s="79">
        <f>DATABASE!Y946</f>
        <v>418000</v>
      </c>
      <c r="Y80" s="79">
        <f>DATABASE!Z946</f>
        <v>418000</v>
      </c>
      <c r="Z80" s="79" t="e">
        <f>DATABASE!#REF!</f>
        <v>#REF!</v>
      </c>
      <c r="AA80" s="81" t="e">
        <f>DATABASE!#REF!</f>
        <v>#REF!</v>
      </c>
      <c r="AB80" s="177">
        <f>DATABASE!AB946</f>
        <v>0</v>
      </c>
      <c r="AC80" s="159"/>
      <c r="AD80" s="51"/>
    </row>
    <row r="81" spans="1:30" s="14" customFormat="1">
      <c r="A81" s="158" t="str">
        <f>DATABASE!A947</f>
        <v>THE NINE</v>
      </c>
      <c r="B81" s="167" t="str">
        <f>DATABASE!B947</f>
        <v>Vilamoura</v>
      </c>
      <c r="C81" s="168" t="str">
        <f>DATABASE!C947</f>
        <v>M</v>
      </c>
      <c r="D81" s="169" t="str">
        <f>DATABASE!E947</f>
        <v>T2</v>
      </c>
      <c r="E81" s="169">
        <f>DATABASE!F947</f>
        <v>111</v>
      </c>
      <c r="F81" s="169">
        <f>DATABASE!G947</f>
        <v>0</v>
      </c>
      <c r="G81" s="169" t="str">
        <f>DATABASE!H947</f>
        <v/>
      </c>
      <c r="H81" s="169" t="str">
        <f>DATABASE!I947</f>
        <v/>
      </c>
      <c r="I81" s="169">
        <f>DATABASE!J947</f>
        <v>0</v>
      </c>
      <c r="J81" s="169">
        <f>DATABASE!K947</f>
        <v>0</v>
      </c>
      <c r="K81" s="170">
        <f>DATABASE!L947</f>
        <v>0</v>
      </c>
      <c r="L81" s="171">
        <f>DATABASE!M947</f>
        <v>0</v>
      </c>
      <c r="M81" s="172">
        <f>DATABASE!N947</f>
        <v>0</v>
      </c>
      <c r="N81" s="173">
        <f>DATABASE!O947</f>
        <v>111</v>
      </c>
      <c r="O81" s="173">
        <f>DATABASE!P947</f>
        <v>0</v>
      </c>
      <c r="P81" s="173" t="str">
        <f>DATABASE!Q947</f>
        <v xml:space="preserve">DEED </v>
      </c>
      <c r="Q81" s="154">
        <f>DATABASE!R947</f>
        <v>620000</v>
      </c>
      <c r="R81" s="174">
        <f>DATABASE!S947</f>
        <v>620000</v>
      </c>
      <c r="S81" s="173">
        <f>DATABASE!T947</f>
        <v>650000</v>
      </c>
      <c r="T81" s="175">
        <f>DATABASE!U947</f>
        <v>0</v>
      </c>
      <c r="U81" s="175">
        <f>DATABASE!V947</f>
        <v>0</v>
      </c>
      <c r="V81" s="79">
        <f>DATABASE!W947</f>
        <v>650000</v>
      </c>
      <c r="W81" s="80">
        <f>DATABASE!X947</f>
        <v>0</v>
      </c>
      <c r="X81" s="79">
        <f>DATABASE!Y947</f>
        <v>650000</v>
      </c>
      <c r="Y81" s="79">
        <f>DATABASE!Z947</f>
        <v>650000</v>
      </c>
      <c r="Z81" s="79" t="e">
        <f>DATABASE!#REF!</f>
        <v>#REF!</v>
      </c>
      <c r="AA81" s="81">
        <f>DATABASE!AA947</f>
        <v>45395</v>
      </c>
      <c r="AB81" s="177">
        <f>DATABASE!AB947</f>
        <v>0</v>
      </c>
      <c r="AC81" s="159"/>
      <c r="AD81" s="51"/>
    </row>
    <row r="82" spans="1:30" s="14" customFormat="1">
      <c r="A82" s="158" t="str">
        <f>DATABASE!A948</f>
        <v>VM PARQUE</v>
      </c>
      <c r="B82" s="167" t="str">
        <f>DATABASE!B948</f>
        <v>Vilamoura</v>
      </c>
      <c r="C82" s="168" t="str">
        <f>DATABASE!C948</f>
        <v>M</v>
      </c>
      <c r="D82" s="169" t="str">
        <f>DATABASE!E948</f>
        <v>V2</v>
      </c>
      <c r="E82" s="169">
        <f>DATABASE!F948</f>
        <v>152.87280000000001</v>
      </c>
      <c r="F82" s="169">
        <f>DATABASE!G948</f>
        <v>0</v>
      </c>
      <c r="G82" s="169" t="str">
        <f>DATABASE!H948</f>
        <v/>
      </c>
      <c r="H82" s="169" t="str">
        <f>DATABASE!I948</f>
        <v/>
      </c>
      <c r="I82" s="169">
        <f>DATABASE!J948</f>
        <v>0</v>
      </c>
      <c r="J82" s="169">
        <f>DATABASE!K948</f>
        <v>0</v>
      </c>
      <c r="K82" s="170">
        <f>DATABASE!L948</f>
        <v>0</v>
      </c>
      <c r="L82" s="171">
        <f>DATABASE!M948</f>
        <v>0</v>
      </c>
      <c r="M82" s="172">
        <f>DATABASE!N948</f>
        <v>0</v>
      </c>
      <c r="N82" s="173">
        <f>DATABASE!O948</f>
        <v>152.87280000000001</v>
      </c>
      <c r="O82" s="173">
        <f>DATABASE!P948</f>
        <v>0</v>
      </c>
      <c r="P82" s="173" t="str">
        <f>DATABASE!Q948</f>
        <v xml:space="preserve">DEED </v>
      </c>
      <c r="Q82" s="154">
        <f>DATABASE!R948</f>
        <v>1012500</v>
      </c>
      <c r="R82" s="174">
        <f>DATABASE!S948</f>
        <v>1012500</v>
      </c>
      <c r="S82" s="173">
        <f>DATABASE!T948</f>
        <v>1100000</v>
      </c>
      <c r="T82" s="175">
        <f>DATABASE!U948</f>
        <v>0</v>
      </c>
      <c r="U82" s="175">
        <f>DATABASE!V948</f>
        <v>0</v>
      </c>
      <c r="V82" s="79">
        <f>DATABASE!W948</f>
        <v>1100000</v>
      </c>
      <c r="W82" s="80">
        <f>DATABASE!X948</f>
        <v>0</v>
      </c>
      <c r="X82" s="79">
        <f>DATABASE!Y948</f>
        <v>1100000</v>
      </c>
      <c r="Y82" s="79">
        <f>DATABASE!Z948</f>
        <v>1100000</v>
      </c>
      <c r="Z82" s="79" t="e">
        <f>DATABASE!#REF!</f>
        <v>#REF!</v>
      </c>
      <c r="AA82" s="81">
        <f>DATABASE!AA948</f>
        <v>45644</v>
      </c>
      <c r="AB82" s="177">
        <f>DATABASE!AB948</f>
        <v>0</v>
      </c>
      <c r="AC82" s="159"/>
      <c r="AD82" s="51"/>
    </row>
    <row r="83" spans="1:30" s="14" customFormat="1">
      <c r="A83" s="158" t="str">
        <f>DATABASE!A949</f>
        <v>ZESTIA</v>
      </c>
      <c r="B83" s="167" t="str">
        <f>DATABASE!B949</f>
        <v>Vilamoura</v>
      </c>
      <c r="C83" s="168" t="str">
        <f>DATABASE!C949</f>
        <v>M</v>
      </c>
      <c r="D83" s="169" t="str">
        <f>DATABASE!E949</f>
        <v>T2 LO</v>
      </c>
      <c r="E83" s="169">
        <f>DATABASE!F949</f>
        <v>130.21</v>
      </c>
      <c r="F83" s="169">
        <f>DATABASE!G949</f>
        <v>0</v>
      </c>
      <c r="G83" s="169" t="str">
        <f>DATABASE!H949</f>
        <v/>
      </c>
      <c r="H83" s="169" t="str">
        <f>DATABASE!I949</f>
        <v/>
      </c>
      <c r="I83" s="169">
        <f>DATABASE!J949</f>
        <v>41.51</v>
      </c>
      <c r="J83" s="169">
        <f>DATABASE!K949</f>
        <v>0</v>
      </c>
      <c r="K83" s="170">
        <f>DATABASE!L949</f>
        <v>0</v>
      </c>
      <c r="L83" s="171">
        <f>DATABASE!M949</f>
        <v>0</v>
      </c>
      <c r="M83" s="172">
        <f>DATABASE!N949</f>
        <v>0</v>
      </c>
      <c r="N83" s="173">
        <f>DATABASE!O949</f>
        <v>88.7</v>
      </c>
      <c r="O83" s="173">
        <f>DATABASE!P949</f>
        <v>0</v>
      </c>
      <c r="P83" s="173" t="str">
        <f>DATABASE!Q949</f>
        <v>AVAILABLE</v>
      </c>
      <c r="Q83" s="154">
        <f>DATABASE!R949</f>
        <v>675519.9</v>
      </c>
      <c r="R83" s="174">
        <f>DATABASE!S949</f>
        <v>740119.9</v>
      </c>
      <c r="S83" s="173">
        <f>DATABASE!T949</f>
        <v>800000</v>
      </c>
      <c r="T83" s="175">
        <f>DATABASE!U949</f>
        <v>24600</v>
      </c>
      <c r="U83" s="175">
        <f>DATABASE!V949</f>
        <v>40000</v>
      </c>
      <c r="V83" s="79">
        <f>DATABASE!W949</f>
        <v>735400</v>
      </c>
      <c r="W83" s="80">
        <f>DATABASE!X949</f>
        <v>0</v>
      </c>
      <c r="X83" s="79">
        <f>DATABASE!Y949</f>
        <v>800000</v>
      </c>
      <c r="Y83" s="79">
        <f>DATABASE!Z949</f>
        <v>735400</v>
      </c>
      <c r="Z83" s="79" t="e">
        <f>DATABASE!#REF!</f>
        <v>#REF!</v>
      </c>
      <c r="AA83" s="81">
        <f>DATABASE!AA949</f>
        <v>0</v>
      </c>
      <c r="AB83" s="177">
        <f>DATABASE!AB949</f>
        <v>0</v>
      </c>
      <c r="AC83" s="159"/>
      <c r="AD83" s="51"/>
    </row>
    <row r="84" spans="1:30" s="14" customFormat="1">
      <c r="A84" s="158" t="str">
        <f>DATABASE!A950</f>
        <v>BOTÂNICA</v>
      </c>
      <c r="B84" s="167" t="str">
        <f>DATABASE!B950</f>
        <v>Vilamoura</v>
      </c>
      <c r="C84" s="168" t="str">
        <f>DATABASE!C950</f>
        <v>N</v>
      </c>
      <c r="D84" s="169" t="str">
        <f>DATABASE!E950</f>
        <v>T2</v>
      </c>
      <c r="E84" s="169">
        <f>DATABASE!F950</f>
        <v>151.47999999999999</v>
      </c>
      <c r="F84" s="169">
        <f>DATABASE!G950</f>
        <v>0</v>
      </c>
      <c r="G84" s="169" t="str">
        <f>DATABASE!H950</f>
        <v>2</v>
      </c>
      <c r="H84" s="169" t="str">
        <f>DATABASE!I950</f>
        <v/>
      </c>
      <c r="I84" s="169">
        <f>DATABASE!J950</f>
        <v>20.100000000000001</v>
      </c>
      <c r="J84" s="169">
        <f>DATABASE!K950</f>
        <v>0</v>
      </c>
      <c r="K84" s="170">
        <f>DATABASE!L950</f>
        <v>0</v>
      </c>
      <c r="L84" s="171">
        <f>DATABASE!M950</f>
        <v>7.51</v>
      </c>
      <c r="M84" s="172">
        <f>DATABASE!N950</f>
        <v>0</v>
      </c>
      <c r="N84" s="173">
        <f>DATABASE!O950</f>
        <v>123.87</v>
      </c>
      <c r="O84" s="173">
        <f>DATABASE!P950</f>
        <v>0</v>
      </c>
      <c r="P84" s="173" t="str">
        <f>DATABASE!Q950</f>
        <v>AVAILABLE</v>
      </c>
      <c r="Q84" s="154">
        <f>DATABASE!R950</f>
        <v>1037929.662</v>
      </c>
      <c r="R84" s="174">
        <f>DATABASE!S950</f>
        <v>1037929.662</v>
      </c>
      <c r="S84" s="173">
        <f>DATABASE!T950</f>
        <v>1050000</v>
      </c>
      <c r="T84" s="175">
        <f>DATABASE!U950</f>
        <v>0</v>
      </c>
      <c r="U84" s="175">
        <f>DATABASE!V950</f>
        <v>0</v>
      </c>
      <c r="V84" s="79">
        <f>DATABASE!W950</f>
        <v>1050000</v>
      </c>
      <c r="W84" s="80">
        <f>DATABASE!X950</f>
        <v>0</v>
      </c>
      <c r="X84" s="79">
        <f>DATABASE!Y950</f>
        <v>1040000</v>
      </c>
      <c r="Y84" s="79">
        <f>DATABASE!Z950</f>
        <v>1040000</v>
      </c>
      <c r="Z84" s="79" t="e">
        <f>DATABASE!#REF!</f>
        <v>#REF!</v>
      </c>
      <c r="AA84" s="81">
        <f>DATABASE!AA950</f>
        <v>0</v>
      </c>
      <c r="AB84" s="177">
        <f>DATABASE!AB950</f>
        <v>0</v>
      </c>
      <c r="AC84" s="159"/>
      <c r="AD84" s="51"/>
    </row>
    <row r="85" spans="1:30" s="14" customFormat="1">
      <c r="A85" s="158" t="str">
        <f>DATABASE!A951</f>
        <v>NATURA VILLAGE 7</v>
      </c>
      <c r="B85" s="167" t="str">
        <f>DATABASE!B951</f>
        <v>Vilamoura</v>
      </c>
      <c r="C85" s="168" t="str">
        <f>DATABASE!C951</f>
        <v>N</v>
      </c>
      <c r="D85" s="169" t="str">
        <f>DATABASE!E951</f>
        <v>V3</v>
      </c>
      <c r="E85" s="169">
        <f>DATABASE!F951</f>
        <v>170.14</v>
      </c>
      <c r="F85" s="169">
        <f>DATABASE!G951</f>
        <v>0</v>
      </c>
      <c r="G85" s="169" t="str">
        <f>DATABASE!H951</f>
        <v/>
      </c>
      <c r="H85" s="169" t="str">
        <f>DATABASE!I951</f>
        <v/>
      </c>
      <c r="I85" s="169">
        <f>DATABASE!J951</f>
        <v>0</v>
      </c>
      <c r="J85" s="169">
        <f>DATABASE!K951</f>
        <v>0</v>
      </c>
      <c r="K85" s="170">
        <f>DATABASE!L951</f>
        <v>0</v>
      </c>
      <c r="L85" s="171">
        <f>DATABASE!M951</f>
        <v>0</v>
      </c>
      <c r="M85" s="172">
        <f>DATABASE!N951</f>
        <v>0</v>
      </c>
      <c r="N85" s="173">
        <f>DATABASE!O951</f>
        <v>170.14</v>
      </c>
      <c r="O85" s="173">
        <f>DATABASE!P951</f>
        <v>0</v>
      </c>
      <c r="P85" s="173" t="str">
        <f>DATABASE!Q951</f>
        <v xml:space="preserve">DEED </v>
      </c>
      <c r="Q85" s="154">
        <f>DATABASE!R951</f>
        <v>980000</v>
      </c>
      <c r="R85" s="174">
        <f>DATABASE!S951</f>
        <v>980000</v>
      </c>
      <c r="S85" s="173">
        <f>DATABASE!T951</f>
        <v>980000</v>
      </c>
      <c r="T85" s="175">
        <f>DATABASE!U951</f>
        <v>0</v>
      </c>
      <c r="U85" s="175">
        <f>DATABASE!V951</f>
        <v>0</v>
      </c>
      <c r="V85" s="79">
        <f>DATABASE!W951</f>
        <v>980000</v>
      </c>
      <c r="W85" s="80">
        <f>DATABASE!X951</f>
        <v>0</v>
      </c>
      <c r="X85" s="79">
        <f>DATABASE!Y951</f>
        <v>980000</v>
      </c>
      <c r="Y85" s="79">
        <f>DATABASE!Z951</f>
        <v>980000</v>
      </c>
      <c r="Z85" s="79" t="e">
        <f>DATABASE!#REF!</f>
        <v>#REF!</v>
      </c>
      <c r="AA85" s="81">
        <f>DATABASE!AA951</f>
        <v>45520</v>
      </c>
      <c r="AB85" s="177">
        <f>DATABASE!AB951</f>
        <v>0</v>
      </c>
      <c r="AC85" s="159"/>
      <c r="AD85" s="51"/>
    </row>
    <row r="86" spans="1:30" s="14" customFormat="1">
      <c r="A86" s="158" t="str">
        <f>DATABASE!A952</f>
        <v>NOBILUS</v>
      </c>
      <c r="B86" s="167" t="str">
        <f>DATABASE!B952</f>
        <v>Vilamoura</v>
      </c>
      <c r="C86" s="168" t="str">
        <f>DATABASE!C952</f>
        <v>N</v>
      </c>
      <c r="D86" s="169" t="str">
        <f>DATABASE!E952</f>
        <v>T4</v>
      </c>
      <c r="E86" s="169">
        <f>DATABASE!F952</f>
        <v>191.33</v>
      </c>
      <c r="F86" s="169">
        <f>DATABASE!G952</f>
        <v>4.47</v>
      </c>
      <c r="G86" s="169" t="str">
        <f>DATABASE!H952</f>
        <v>84-85</v>
      </c>
      <c r="H86" s="169" t="str">
        <f>DATABASE!I952</f>
        <v>Yes</v>
      </c>
      <c r="I86" s="169">
        <f>DATABASE!J952</f>
        <v>6.84</v>
      </c>
      <c r="J86" s="169">
        <f>DATABASE!K952</f>
        <v>0</v>
      </c>
      <c r="K86" s="170">
        <f>DATABASE!L952</f>
        <v>0</v>
      </c>
      <c r="L86" s="171">
        <f>DATABASE!M952</f>
        <v>0</v>
      </c>
      <c r="M86" s="172">
        <f>DATABASE!N952</f>
        <v>0</v>
      </c>
      <c r="N86" s="173">
        <f>DATABASE!O952</f>
        <v>191.33</v>
      </c>
      <c r="O86" s="173">
        <f>DATABASE!P952</f>
        <v>0</v>
      </c>
      <c r="P86" s="173" t="str">
        <f>DATABASE!Q952</f>
        <v>AVAILABLE</v>
      </c>
      <c r="Q86" s="154">
        <f>DATABASE!R952</f>
        <v>1650000</v>
      </c>
      <c r="R86" s="174">
        <f>DATABASE!S952</f>
        <v>1650000</v>
      </c>
      <c r="S86" s="173">
        <f>DATABASE!T952</f>
        <v>1650000</v>
      </c>
      <c r="T86" s="175">
        <f>DATABASE!U952</f>
        <v>0</v>
      </c>
      <c r="U86" s="175">
        <f>DATABASE!V952</f>
        <v>0</v>
      </c>
      <c r="V86" s="79">
        <f>DATABASE!W952</f>
        <v>1650000</v>
      </c>
      <c r="W86" s="80">
        <f>DATABASE!X952</f>
        <v>0</v>
      </c>
      <c r="X86" s="79">
        <f>DATABASE!Y952</f>
        <v>1650000</v>
      </c>
      <c r="Y86" s="79">
        <f>DATABASE!Z952</f>
        <v>1650000</v>
      </c>
      <c r="Z86" s="79" t="e">
        <f>DATABASE!#REF!</f>
        <v>#REF!</v>
      </c>
      <c r="AA86" s="81">
        <f>DATABASE!AA952</f>
        <v>0</v>
      </c>
      <c r="AB86" s="177">
        <f>DATABASE!AB952</f>
        <v>0</v>
      </c>
      <c r="AC86" s="159"/>
      <c r="AD86" s="51"/>
    </row>
    <row r="87" spans="1:30" s="14" customFormat="1">
      <c r="A87" s="158" t="str">
        <f>DATABASE!A953</f>
        <v>Rivus</v>
      </c>
      <c r="B87" s="167" t="str">
        <f>DATABASE!B953</f>
        <v>Vilamoura</v>
      </c>
      <c r="C87" s="168" t="str">
        <f>DATABASE!C953</f>
        <v>N</v>
      </c>
      <c r="D87" s="169" t="str">
        <f>DATABASE!E953</f>
        <v>T2</v>
      </c>
      <c r="E87" s="169">
        <f>DATABASE!F953</f>
        <v>0</v>
      </c>
      <c r="F87" s="169">
        <f>DATABASE!G953</f>
        <v>0</v>
      </c>
      <c r="G87" s="169" t="str">
        <f>DATABASE!H953</f>
        <v/>
      </c>
      <c r="H87" s="169" t="str">
        <f>DATABASE!I953</f>
        <v/>
      </c>
      <c r="I87" s="169">
        <f>DATABASE!J953</f>
        <v>0</v>
      </c>
      <c r="J87" s="169">
        <f>DATABASE!K953</f>
        <v>124</v>
      </c>
      <c r="K87" s="170">
        <f>DATABASE!L953</f>
        <v>0</v>
      </c>
      <c r="L87" s="171">
        <f>DATABASE!M953</f>
        <v>0</v>
      </c>
      <c r="M87" s="172">
        <f>DATABASE!N953</f>
        <v>0</v>
      </c>
      <c r="N87" s="173">
        <f>DATABASE!O953</f>
        <v>111</v>
      </c>
      <c r="O87" s="173">
        <f>DATABASE!P953</f>
        <v>0</v>
      </c>
      <c r="P87" s="173" t="str">
        <f>DATABASE!Q953</f>
        <v>AVAILABLE</v>
      </c>
      <c r="Q87" s="154">
        <f>DATABASE!R953</f>
        <v>930000</v>
      </c>
      <c r="R87" s="174">
        <f>DATABASE!S953</f>
        <v>930000</v>
      </c>
      <c r="S87" s="173">
        <f>DATABASE!T953</f>
        <v>930000</v>
      </c>
      <c r="T87" s="175">
        <f>DATABASE!U953</f>
        <v>0</v>
      </c>
      <c r="U87" s="175">
        <f>DATABASE!V953</f>
        <v>0</v>
      </c>
      <c r="V87" s="79">
        <f>DATABASE!W953</f>
        <v>930000</v>
      </c>
      <c r="W87" s="80">
        <f>DATABASE!X953</f>
        <v>0</v>
      </c>
      <c r="X87" s="79">
        <f>DATABASE!Y953</f>
        <v>910000</v>
      </c>
      <c r="Y87" s="79">
        <f>DATABASE!Z953</f>
        <v>910000</v>
      </c>
      <c r="Z87" s="79" t="e">
        <f>DATABASE!#REF!</f>
        <v>#REF!</v>
      </c>
      <c r="AA87" s="81">
        <f>DATABASE!AA953</f>
        <v>0</v>
      </c>
      <c r="AB87" s="177">
        <f>DATABASE!AB953</f>
        <v>0</v>
      </c>
      <c r="AC87" s="159"/>
      <c r="AD87" s="51"/>
    </row>
    <row r="88" spans="1:30" s="14" customFormat="1">
      <c r="A88" s="158" t="str">
        <f>DATABASE!A954</f>
        <v>SPRINGS</v>
      </c>
      <c r="B88" s="167" t="str">
        <f>DATABASE!B954</f>
        <v>Vilamoura</v>
      </c>
      <c r="C88" s="168" t="str">
        <f>DATABASE!C954</f>
        <v>N</v>
      </c>
      <c r="D88" s="169" t="str">
        <f>DATABASE!E954</f>
        <v>V4 Duplex</v>
      </c>
      <c r="E88" s="169">
        <f>DATABASE!F954</f>
        <v>404.86</v>
      </c>
      <c r="F88" s="169">
        <f>DATABASE!G954</f>
        <v>163.77000000000001</v>
      </c>
      <c r="G88" s="169" t="str">
        <f>DATABASE!H954</f>
        <v/>
      </c>
      <c r="H88" s="169" t="str">
        <f>DATABASE!I954</f>
        <v/>
      </c>
      <c r="I88" s="169">
        <f>DATABASE!J954</f>
        <v>19.649999999999999</v>
      </c>
      <c r="J88" s="169">
        <f>DATABASE!K954</f>
        <v>0</v>
      </c>
      <c r="K88" s="170">
        <f>DATABASE!L954</f>
        <v>0</v>
      </c>
      <c r="L88" s="171">
        <f>DATABASE!M954</f>
        <v>0</v>
      </c>
      <c r="M88" s="172">
        <f>DATABASE!N954</f>
        <v>0</v>
      </c>
      <c r="N88" s="173">
        <f>DATABASE!O954</f>
        <v>221.44</v>
      </c>
      <c r="O88" s="173">
        <f>DATABASE!P954</f>
        <v>0</v>
      </c>
      <c r="P88" s="173" t="str">
        <f>DATABASE!Q954</f>
        <v>AVAILABLE</v>
      </c>
      <c r="Q88" s="154">
        <f>DATABASE!R954</f>
        <v>2814600</v>
      </c>
      <c r="R88" s="174">
        <f>DATABASE!S954</f>
        <v>2922300</v>
      </c>
      <c r="S88" s="173">
        <f>DATABASE!T954</f>
        <v>3030000</v>
      </c>
      <c r="T88" s="175">
        <f>DATABASE!U954</f>
        <v>24600</v>
      </c>
      <c r="U88" s="175">
        <f>DATABASE!V954</f>
        <v>83100</v>
      </c>
      <c r="V88" s="79">
        <f>DATABASE!W954</f>
        <v>2922300</v>
      </c>
      <c r="W88" s="80">
        <f>DATABASE!X954</f>
        <v>0</v>
      </c>
      <c r="X88" s="79">
        <f>DATABASE!Y954</f>
        <v>3030000</v>
      </c>
      <c r="Y88" s="79">
        <f>DATABASE!Z954</f>
        <v>2922300</v>
      </c>
      <c r="Z88" s="79" t="e">
        <f>DATABASE!#REF!</f>
        <v>#REF!</v>
      </c>
      <c r="AA88" s="81">
        <f>DATABASE!AA954</f>
        <v>0</v>
      </c>
      <c r="AB88" s="177">
        <f>DATABASE!AB954</f>
        <v>0</v>
      </c>
      <c r="AC88" s="159"/>
      <c r="AD88" s="51"/>
    </row>
    <row r="89" spans="1:30" s="14" customFormat="1">
      <c r="A89" s="158" t="str">
        <f>DATABASE!A955</f>
        <v>TERRACOTA</v>
      </c>
      <c r="B89" s="167" t="str">
        <f>DATABASE!B955</f>
        <v>Vilamoura</v>
      </c>
      <c r="C89" s="168" t="str">
        <f>DATABASE!C955</f>
        <v>N</v>
      </c>
      <c r="D89" s="169" t="str">
        <f>DATABASE!E955</f>
        <v>T2</v>
      </c>
      <c r="E89" s="169">
        <f>DATABASE!F955</f>
        <v>78.3</v>
      </c>
      <c r="F89" s="169">
        <f>DATABASE!G955</f>
        <v>0</v>
      </c>
      <c r="G89" s="169" t="str">
        <f>DATABASE!H955</f>
        <v/>
      </c>
      <c r="H89" s="169" t="str">
        <f>DATABASE!I955</f>
        <v/>
      </c>
      <c r="I89" s="169">
        <f>DATABASE!J955</f>
        <v>0</v>
      </c>
      <c r="J89" s="169">
        <f>DATABASE!K955</f>
        <v>0</v>
      </c>
      <c r="K89" s="170">
        <f>DATABASE!L955</f>
        <v>0</v>
      </c>
      <c r="L89" s="171">
        <f>DATABASE!M955</f>
        <v>0</v>
      </c>
      <c r="M89" s="172">
        <f>DATABASE!N955</f>
        <v>0</v>
      </c>
      <c r="N89" s="173">
        <f>DATABASE!O955</f>
        <v>78.3</v>
      </c>
      <c r="O89" s="173">
        <f>DATABASE!P955</f>
        <v>0</v>
      </c>
      <c r="P89" s="173" t="str">
        <f>DATABASE!Q955</f>
        <v xml:space="preserve">PSPA </v>
      </c>
      <c r="Q89" s="154">
        <f>DATABASE!R955</f>
        <v>440000</v>
      </c>
      <c r="R89" s="174">
        <f>DATABASE!S955</f>
        <v>440000</v>
      </c>
      <c r="S89" s="173">
        <f>DATABASE!T955</f>
        <v>440000</v>
      </c>
      <c r="T89" s="175">
        <f>DATABASE!U955</f>
        <v>0</v>
      </c>
      <c r="U89" s="175">
        <f>DATABASE!V955</f>
        <v>0</v>
      </c>
      <c r="V89" s="79">
        <f>DATABASE!W955</f>
        <v>440000</v>
      </c>
      <c r="W89" s="80">
        <f>DATABASE!X955</f>
        <v>0</v>
      </c>
      <c r="X89" s="79">
        <f>DATABASE!Y955</f>
        <v>440000</v>
      </c>
      <c r="Y89" s="79">
        <f>DATABASE!Z955</f>
        <v>440000</v>
      </c>
      <c r="Z89" s="79" t="e">
        <f>DATABASE!#REF!</f>
        <v>#REF!</v>
      </c>
      <c r="AA89" s="81" t="e">
        <f>DATABASE!#REF!</f>
        <v>#REF!</v>
      </c>
      <c r="AB89" s="177">
        <f>DATABASE!AB955</f>
        <v>0</v>
      </c>
      <c r="AC89" s="159"/>
      <c r="AD89" s="51"/>
    </row>
    <row r="90" spans="1:30" s="14" customFormat="1">
      <c r="A90" s="158" t="str">
        <f>DATABASE!A956</f>
        <v>THE NINE</v>
      </c>
      <c r="B90" s="167" t="str">
        <f>DATABASE!B956</f>
        <v>Vilamoura</v>
      </c>
      <c r="C90" s="168" t="str">
        <f>DATABASE!C956</f>
        <v>N</v>
      </c>
      <c r="D90" s="169" t="str">
        <f>DATABASE!E956</f>
        <v>T3</v>
      </c>
      <c r="E90" s="169">
        <f>DATABASE!F956</f>
        <v>152</v>
      </c>
      <c r="F90" s="169">
        <f>DATABASE!G956</f>
        <v>0</v>
      </c>
      <c r="G90" s="169" t="str">
        <f>DATABASE!H956</f>
        <v/>
      </c>
      <c r="H90" s="169" t="str">
        <f>DATABASE!I956</f>
        <v/>
      </c>
      <c r="I90" s="169">
        <f>DATABASE!J956</f>
        <v>0</v>
      </c>
      <c r="J90" s="169">
        <f>DATABASE!K956</f>
        <v>0</v>
      </c>
      <c r="K90" s="170">
        <f>DATABASE!L956</f>
        <v>0</v>
      </c>
      <c r="L90" s="171">
        <f>DATABASE!M956</f>
        <v>0</v>
      </c>
      <c r="M90" s="172">
        <f>DATABASE!N956</f>
        <v>0</v>
      </c>
      <c r="N90" s="173">
        <f>DATABASE!O956</f>
        <v>152</v>
      </c>
      <c r="O90" s="173">
        <f>DATABASE!P956</f>
        <v>0</v>
      </c>
      <c r="P90" s="173" t="str">
        <f>DATABASE!Q956</f>
        <v xml:space="preserve">DEED </v>
      </c>
      <c r="Q90" s="154">
        <f>DATABASE!R956</f>
        <v>830000</v>
      </c>
      <c r="R90" s="174">
        <f>DATABASE!S956</f>
        <v>830000</v>
      </c>
      <c r="S90" s="173">
        <f>DATABASE!T956</f>
        <v>870000</v>
      </c>
      <c r="T90" s="175">
        <f>DATABASE!U956</f>
        <v>0</v>
      </c>
      <c r="U90" s="175">
        <f>DATABASE!V956</f>
        <v>0</v>
      </c>
      <c r="V90" s="79">
        <f>DATABASE!W956</f>
        <v>870000</v>
      </c>
      <c r="W90" s="80">
        <f>DATABASE!X956</f>
        <v>0</v>
      </c>
      <c r="X90" s="79">
        <f>DATABASE!Y956</f>
        <v>870000</v>
      </c>
      <c r="Y90" s="79">
        <f>DATABASE!Z956</f>
        <v>870000</v>
      </c>
      <c r="Z90" s="79" t="e">
        <f>DATABASE!#REF!</f>
        <v>#REF!</v>
      </c>
      <c r="AA90" s="81">
        <f>DATABASE!AA956</f>
        <v>45196</v>
      </c>
      <c r="AB90" s="177">
        <f>DATABASE!AB956</f>
        <v>0</v>
      </c>
      <c r="AC90" s="159"/>
      <c r="AD90" s="51"/>
    </row>
    <row r="91" spans="1:30" s="14" customFormat="1">
      <c r="A91" s="158" t="str">
        <f>DATABASE!A957</f>
        <v>VM PARQUE</v>
      </c>
      <c r="B91" s="167" t="str">
        <f>DATABASE!B957</f>
        <v>Vilamoura</v>
      </c>
      <c r="C91" s="168" t="str">
        <f>DATABASE!C957</f>
        <v>N</v>
      </c>
      <c r="D91" s="169" t="str">
        <f>DATABASE!E957</f>
        <v>V2</v>
      </c>
      <c r="E91" s="169">
        <f>DATABASE!F957</f>
        <v>152.87280000000001</v>
      </c>
      <c r="F91" s="169">
        <f>DATABASE!G957</f>
        <v>0</v>
      </c>
      <c r="G91" s="169" t="str">
        <f>DATABASE!H957</f>
        <v/>
      </c>
      <c r="H91" s="169" t="str">
        <f>DATABASE!I957</f>
        <v/>
      </c>
      <c r="I91" s="169">
        <f>DATABASE!J957</f>
        <v>0</v>
      </c>
      <c r="J91" s="169">
        <f>DATABASE!K957</f>
        <v>0</v>
      </c>
      <c r="K91" s="170">
        <f>DATABASE!L957</f>
        <v>0</v>
      </c>
      <c r="L91" s="171">
        <f>DATABASE!M957</f>
        <v>0</v>
      </c>
      <c r="M91" s="172">
        <f>DATABASE!N957</f>
        <v>0</v>
      </c>
      <c r="N91" s="173">
        <f>DATABASE!O957</f>
        <v>152.87280000000001</v>
      </c>
      <c r="O91" s="173">
        <f>DATABASE!P957</f>
        <v>0</v>
      </c>
      <c r="P91" s="173" t="str">
        <f>DATABASE!Q957</f>
        <v xml:space="preserve">DEED </v>
      </c>
      <c r="Q91" s="154">
        <f>DATABASE!R957</f>
        <v>1012500</v>
      </c>
      <c r="R91" s="174">
        <f>DATABASE!S957</f>
        <v>1012500</v>
      </c>
      <c r="S91" s="173">
        <f>DATABASE!T957</f>
        <v>1100000</v>
      </c>
      <c r="T91" s="175">
        <f>DATABASE!U957</f>
        <v>0</v>
      </c>
      <c r="U91" s="175">
        <f>DATABASE!V957</f>
        <v>0</v>
      </c>
      <c r="V91" s="79">
        <f>DATABASE!W957</f>
        <v>1100000</v>
      </c>
      <c r="W91" s="80">
        <f>DATABASE!X957</f>
        <v>0</v>
      </c>
      <c r="X91" s="79">
        <f>DATABASE!Y957</f>
        <v>1100000</v>
      </c>
      <c r="Y91" s="79">
        <f>DATABASE!Z957</f>
        <v>1100000</v>
      </c>
      <c r="Z91" s="79" t="e">
        <f>DATABASE!#REF!</f>
        <v>#REF!</v>
      </c>
      <c r="AA91" s="81">
        <f>DATABASE!AA957</f>
        <v>45657</v>
      </c>
      <c r="AB91" s="177">
        <f>DATABASE!AB957</f>
        <v>0</v>
      </c>
      <c r="AC91" s="159"/>
      <c r="AD91" s="51"/>
    </row>
    <row r="92" spans="1:30" s="14" customFormat="1">
      <c r="A92" s="158" t="str">
        <f>DATABASE!A958</f>
        <v>ZESTIA</v>
      </c>
      <c r="B92" s="167" t="str">
        <f>DATABASE!B958</f>
        <v>Vilamoura</v>
      </c>
      <c r="C92" s="168" t="str">
        <f>DATABASE!C958</f>
        <v>N</v>
      </c>
      <c r="D92" s="169" t="str">
        <f>DATABASE!E958</f>
        <v>T2 LO</v>
      </c>
      <c r="E92" s="169">
        <f>DATABASE!F958</f>
        <v>125.97</v>
      </c>
      <c r="F92" s="169">
        <f>DATABASE!G958</f>
        <v>0</v>
      </c>
      <c r="G92" s="169" t="str">
        <f>DATABASE!H958</f>
        <v/>
      </c>
      <c r="H92" s="169" t="str">
        <f>DATABASE!I958</f>
        <v/>
      </c>
      <c r="I92" s="169">
        <f>DATABASE!J958</f>
        <v>37.15</v>
      </c>
      <c r="J92" s="169">
        <f>DATABASE!K958</f>
        <v>0</v>
      </c>
      <c r="K92" s="170">
        <f>DATABASE!L958</f>
        <v>0</v>
      </c>
      <c r="L92" s="171">
        <f>DATABASE!M958</f>
        <v>0</v>
      </c>
      <c r="M92" s="172">
        <f>DATABASE!N958</f>
        <v>0</v>
      </c>
      <c r="N92" s="173">
        <f>DATABASE!O958</f>
        <v>88.82</v>
      </c>
      <c r="O92" s="173">
        <f>DATABASE!P958</f>
        <v>0</v>
      </c>
      <c r="P92" s="173" t="str">
        <f>DATABASE!Q958</f>
        <v>AVAILABLE</v>
      </c>
      <c r="Q92" s="154">
        <f>DATABASE!R958</f>
        <v>671577.18</v>
      </c>
      <c r="R92" s="174">
        <f>DATABASE!S958</f>
        <v>736177.18</v>
      </c>
      <c r="S92" s="173">
        <f>DATABASE!T958</f>
        <v>800000</v>
      </c>
      <c r="T92" s="175">
        <f>DATABASE!U958</f>
        <v>24600</v>
      </c>
      <c r="U92" s="175">
        <f>DATABASE!V958</f>
        <v>40000</v>
      </c>
      <c r="V92" s="79">
        <f>DATABASE!W958</f>
        <v>735400</v>
      </c>
      <c r="W92" s="80">
        <f>DATABASE!X958</f>
        <v>0</v>
      </c>
      <c r="X92" s="79">
        <f>DATABASE!Y958</f>
        <v>800000</v>
      </c>
      <c r="Y92" s="79">
        <f>DATABASE!Z958</f>
        <v>735400</v>
      </c>
      <c r="Z92" s="79" t="e">
        <f>DATABASE!#REF!</f>
        <v>#REF!</v>
      </c>
      <c r="AA92" s="81">
        <f>DATABASE!AA958</f>
        <v>0</v>
      </c>
      <c r="AB92" s="177">
        <f>DATABASE!AB958</f>
        <v>0</v>
      </c>
      <c r="AC92" s="159"/>
      <c r="AD92" s="51"/>
    </row>
    <row r="93" spans="1:30" s="14" customFormat="1">
      <c r="A93" s="158" t="str">
        <f>DATABASE!A959</f>
        <v>BOTÂNICA</v>
      </c>
      <c r="B93" s="167" t="str">
        <f>DATABASE!B959</f>
        <v>Vilamoura</v>
      </c>
      <c r="C93" s="168" t="str">
        <f>DATABASE!C959</f>
        <v>O</v>
      </c>
      <c r="D93" s="169" t="str">
        <f>DATABASE!E959</f>
        <v>T3</v>
      </c>
      <c r="E93" s="169">
        <f>DATABASE!F959</f>
        <v>195.87</v>
      </c>
      <c r="F93" s="169">
        <f>DATABASE!G959</f>
        <v>0</v>
      </c>
      <c r="G93" s="169" t="str">
        <f>DATABASE!H959</f>
        <v>2</v>
      </c>
      <c r="H93" s="169" t="str">
        <f>DATABASE!I959</f>
        <v/>
      </c>
      <c r="I93" s="169">
        <f>DATABASE!J959</f>
        <v>25.36</v>
      </c>
      <c r="J93" s="169">
        <f>DATABASE!K959</f>
        <v>0</v>
      </c>
      <c r="K93" s="170">
        <f>DATABASE!L959</f>
        <v>0</v>
      </c>
      <c r="L93" s="171">
        <f>DATABASE!M959</f>
        <v>7.62</v>
      </c>
      <c r="M93" s="172">
        <f>DATABASE!N959</f>
        <v>0</v>
      </c>
      <c r="N93" s="173">
        <f>DATABASE!O959</f>
        <v>162.88999999999999</v>
      </c>
      <c r="O93" s="173">
        <f>DATABASE!P959</f>
        <v>0</v>
      </c>
      <c r="P93" s="173" t="str">
        <f>DATABASE!Q959</f>
        <v>AVAILABLE</v>
      </c>
      <c r="Q93" s="154">
        <f>DATABASE!R959</f>
        <v>1336484.24</v>
      </c>
      <c r="R93" s="174">
        <f>DATABASE!S959</f>
        <v>1336484.24</v>
      </c>
      <c r="S93" s="173">
        <f>DATABASE!T959</f>
        <v>1350000</v>
      </c>
      <c r="T93" s="175">
        <f>DATABASE!U959</f>
        <v>0</v>
      </c>
      <c r="U93" s="175">
        <f>DATABASE!V959</f>
        <v>0</v>
      </c>
      <c r="V93" s="79">
        <f>DATABASE!W959</f>
        <v>1350000</v>
      </c>
      <c r="W93" s="80">
        <f>DATABASE!X959</f>
        <v>0</v>
      </c>
      <c r="X93" s="79">
        <f>DATABASE!Y959</f>
        <v>1340000</v>
      </c>
      <c r="Y93" s="79">
        <f>DATABASE!Z959</f>
        <v>1340000</v>
      </c>
      <c r="Z93" s="79" t="e">
        <f>DATABASE!#REF!</f>
        <v>#REF!</v>
      </c>
      <c r="AA93" s="81">
        <f>DATABASE!AA959</f>
        <v>0</v>
      </c>
      <c r="AB93" s="177">
        <f>DATABASE!AB959</f>
        <v>0</v>
      </c>
      <c r="AC93" s="159"/>
      <c r="AD93" s="51"/>
    </row>
    <row r="94" spans="1:30" s="14" customFormat="1">
      <c r="A94" s="158" t="str">
        <f>DATABASE!A960</f>
        <v>NOBILUS</v>
      </c>
      <c r="B94" s="167" t="str">
        <f>DATABASE!B960</f>
        <v>Vilamoura</v>
      </c>
      <c r="C94" s="168" t="str">
        <f>DATABASE!C960</f>
        <v>O</v>
      </c>
      <c r="D94" s="169" t="str">
        <f>DATABASE!E960</f>
        <v>T4</v>
      </c>
      <c r="E94" s="169">
        <f>DATABASE!F960</f>
        <v>191.63</v>
      </c>
      <c r="F94" s="169">
        <f>DATABASE!G960</f>
        <v>4.47</v>
      </c>
      <c r="G94" s="169" t="str">
        <f>DATABASE!H960</f>
        <v>43</v>
      </c>
      <c r="H94" s="169" t="str">
        <f>DATABASE!I960</f>
        <v>Yes</v>
      </c>
      <c r="I94" s="169">
        <f>DATABASE!J960</f>
        <v>6.95</v>
      </c>
      <c r="J94" s="169">
        <f>DATABASE!K960</f>
        <v>0</v>
      </c>
      <c r="K94" s="170">
        <f>DATABASE!L960</f>
        <v>0</v>
      </c>
      <c r="L94" s="171">
        <f>DATABASE!M960</f>
        <v>0</v>
      </c>
      <c r="M94" s="172">
        <f>DATABASE!N960</f>
        <v>0</v>
      </c>
      <c r="N94" s="173">
        <f>DATABASE!O960</f>
        <v>191.63</v>
      </c>
      <c r="O94" s="173">
        <f>DATABASE!P960</f>
        <v>0</v>
      </c>
      <c r="P94" s="173" t="str">
        <f>DATABASE!Q960</f>
        <v>AVAILABLE</v>
      </c>
      <c r="Q94" s="154">
        <f>DATABASE!R960</f>
        <v>1580000</v>
      </c>
      <c r="R94" s="174">
        <f>DATABASE!S960</f>
        <v>1580000</v>
      </c>
      <c r="S94" s="173">
        <f>DATABASE!T960</f>
        <v>1580000</v>
      </c>
      <c r="T94" s="175">
        <f>DATABASE!U960</f>
        <v>0</v>
      </c>
      <c r="U94" s="175">
        <f>DATABASE!V960</f>
        <v>0</v>
      </c>
      <c r="V94" s="79">
        <f>DATABASE!W960</f>
        <v>1580000</v>
      </c>
      <c r="W94" s="80">
        <f>DATABASE!X960</f>
        <v>0</v>
      </c>
      <c r="X94" s="79">
        <f>DATABASE!Y960</f>
        <v>1580000</v>
      </c>
      <c r="Y94" s="79">
        <f>DATABASE!Z960</f>
        <v>1580000</v>
      </c>
      <c r="Z94" s="79" t="e">
        <f>DATABASE!#REF!</f>
        <v>#REF!</v>
      </c>
      <c r="AA94" s="81">
        <f>DATABASE!AA960</f>
        <v>0</v>
      </c>
      <c r="AB94" s="177">
        <f>DATABASE!AB960</f>
        <v>0</v>
      </c>
      <c r="AC94" s="159"/>
      <c r="AD94" s="51"/>
    </row>
    <row r="95" spans="1:30" s="14" customFormat="1">
      <c r="A95" s="158" t="str">
        <f>DATABASE!A961</f>
        <v>Rivus</v>
      </c>
      <c r="B95" s="167" t="str">
        <f>DATABASE!B961</f>
        <v>Vilamoura</v>
      </c>
      <c r="C95" s="168" t="str">
        <f>DATABASE!C961</f>
        <v>O</v>
      </c>
      <c r="D95" s="169" t="str">
        <f>DATABASE!E961</f>
        <v>T2</v>
      </c>
      <c r="E95" s="169">
        <f>DATABASE!F961</f>
        <v>0</v>
      </c>
      <c r="F95" s="169">
        <f>DATABASE!G961</f>
        <v>0</v>
      </c>
      <c r="G95" s="169" t="str">
        <f>DATABASE!H961</f>
        <v/>
      </c>
      <c r="H95" s="169" t="str">
        <f>DATABASE!I961</f>
        <v/>
      </c>
      <c r="I95" s="169">
        <f>DATABASE!J961</f>
        <v>0</v>
      </c>
      <c r="J95" s="169">
        <f>DATABASE!K961</f>
        <v>0</v>
      </c>
      <c r="K95" s="170">
        <f>DATABASE!L961</f>
        <v>0</v>
      </c>
      <c r="L95" s="171">
        <f>DATABASE!M961</f>
        <v>19</v>
      </c>
      <c r="M95" s="172">
        <f>DATABASE!N961</f>
        <v>0</v>
      </c>
      <c r="N95" s="173">
        <f>DATABASE!O961</f>
        <v>108</v>
      </c>
      <c r="O95" s="173">
        <f>DATABASE!P961</f>
        <v>0</v>
      </c>
      <c r="P95" s="173" t="str">
        <f>DATABASE!Q961</f>
        <v>AVAILABLE</v>
      </c>
      <c r="Q95" s="154">
        <f>DATABASE!R961</f>
        <v>760000</v>
      </c>
      <c r="R95" s="174">
        <f>DATABASE!S961</f>
        <v>760000</v>
      </c>
      <c r="S95" s="173">
        <f>DATABASE!T961</f>
        <v>760000</v>
      </c>
      <c r="T95" s="175">
        <f>DATABASE!U961</f>
        <v>0</v>
      </c>
      <c r="U95" s="175">
        <f>DATABASE!V961</f>
        <v>0</v>
      </c>
      <c r="V95" s="79">
        <f>DATABASE!W961</f>
        <v>760000</v>
      </c>
      <c r="W95" s="80">
        <f>DATABASE!X961</f>
        <v>0</v>
      </c>
      <c r="X95" s="79">
        <f>DATABASE!Y961</f>
        <v>750000</v>
      </c>
      <c r="Y95" s="79">
        <f>DATABASE!Z961</f>
        <v>750000</v>
      </c>
      <c r="Z95" s="79" t="e">
        <f>DATABASE!#REF!</f>
        <v>#REF!</v>
      </c>
      <c r="AA95" s="81">
        <f>DATABASE!AA961</f>
        <v>0</v>
      </c>
      <c r="AB95" s="177">
        <f>DATABASE!AB961</f>
        <v>0</v>
      </c>
      <c r="AC95" s="159"/>
      <c r="AD95" s="51"/>
    </row>
    <row r="96" spans="1:30" s="14" customFormat="1">
      <c r="A96" s="158" t="str">
        <f>DATABASE!A962</f>
        <v>SPRINGS</v>
      </c>
      <c r="B96" s="167" t="str">
        <f>DATABASE!B962</f>
        <v>Vilamoura</v>
      </c>
      <c r="C96" s="168" t="str">
        <f>DATABASE!C962</f>
        <v>O</v>
      </c>
      <c r="D96" s="169" t="str">
        <f>DATABASE!E962</f>
        <v>V3 Duplex</v>
      </c>
      <c r="E96" s="169">
        <f>DATABASE!F962</f>
        <v>294.94</v>
      </c>
      <c r="F96" s="169">
        <f>DATABASE!G962</f>
        <v>111.27</v>
      </c>
      <c r="G96" s="169" t="str">
        <f>DATABASE!H962</f>
        <v/>
      </c>
      <c r="H96" s="169" t="str">
        <f>DATABASE!I962</f>
        <v/>
      </c>
      <c r="I96" s="169">
        <f>DATABASE!J962</f>
        <v>18.66</v>
      </c>
      <c r="J96" s="169">
        <f>DATABASE!K962</f>
        <v>0</v>
      </c>
      <c r="K96" s="170">
        <f>DATABASE!L962</f>
        <v>0</v>
      </c>
      <c r="L96" s="171">
        <f>DATABASE!M962</f>
        <v>0</v>
      </c>
      <c r="M96" s="172">
        <f>DATABASE!N962</f>
        <v>0</v>
      </c>
      <c r="N96" s="173">
        <f>DATABASE!O962</f>
        <v>165.01</v>
      </c>
      <c r="O96" s="173">
        <f>DATABASE!P962</f>
        <v>0</v>
      </c>
      <c r="P96" s="173" t="str">
        <f>DATABASE!Q962</f>
        <v>AVAILABLE</v>
      </c>
      <c r="Q96" s="154">
        <f>DATABASE!R962</f>
        <v>2102100</v>
      </c>
      <c r="R96" s="174">
        <f>DATABASE!S962</f>
        <v>2191050</v>
      </c>
      <c r="S96" s="173">
        <f>DATABASE!T962</f>
        <v>2280000</v>
      </c>
      <c r="T96" s="175">
        <f>DATABASE!U962</f>
        <v>24600</v>
      </c>
      <c r="U96" s="175">
        <f>DATABASE!V962</f>
        <v>64350</v>
      </c>
      <c r="V96" s="79">
        <f>DATABASE!W962</f>
        <v>2191050</v>
      </c>
      <c r="W96" s="80">
        <f>DATABASE!X962</f>
        <v>0</v>
      </c>
      <c r="X96" s="79">
        <f>DATABASE!Y962</f>
        <v>2280000</v>
      </c>
      <c r="Y96" s="79">
        <f>DATABASE!Z962</f>
        <v>2191050</v>
      </c>
      <c r="Z96" s="79" t="e">
        <f>DATABASE!#REF!</f>
        <v>#REF!</v>
      </c>
      <c r="AA96" s="81">
        <f>DATABASE!AA962</f>
        <v>0</v>
      </c>
      <c r="AB96" s="177">
        <f>DATABASE!AB962</f>
        <v>0</v>
      </c>
      <c r="AC96" s="159"/>
      <c r="AD96" s="51"/>
    </row>
    <row r="97" spans="1:30" s="14" customFormat="1">
      <c r="A97" s="158" t="str">
        <f>DATABASE!A963</f>
        <v>Aroeira - VILLAS</v>
      </c>
      <c r="B97" s="167" t="str">
        <f>DATABASE!B963</f>
        <v>Center</v>
      </c>
      <c r="C97" s="168" t="str">
        <f>DATABASE!C963</f>
        <v>13D</v>
      </c>
      <c r="D97" s="169" t="str">
        <f>DATABASE!E963</f>
        <v>T3+1</v>
      </c>
      <c r="E97" s="169">
        <f>DATABASE!F963</f>
        <v>378.5</v>
      </c>
      <c r="F97" s="169">
        <f>DATABASE!G963</f>
        <v>0</v>
      </c>
      <c r="G97" s="169" t="str">
        <f>DATABASE!H963</f>
        <v>2</v>
      </c>
      <c r="H97" s="169" t="str">
        <f>DATABASE!I963</f>
        <v>1</v>
      </c>
      <c r="I97" s="169">
        <f>DATABASE!J963</f>
        <v>0</v>
      </c>
      <c r="J97" s="169">
        <f>DATABASE!K963</f>
        <v>0</v>
      </c>
      <c r="K97" s="170">
        <f>DATABASE!L963</f>
        <v>0</v>
      </c>
      <c r="L97" s="171">
        <f>DATABASE!M963</f>
        <v>107</v>
      </c>
      <c r="M97" s="172">
        <f>DATABASE!N963</f>
        <v>48</v>
      </c>
      <c r="N97" s="173">
        <f>DATABASE!O963</f>
        <v>223.5</v>
      </c>
      <c r="O97" s="173">
        <f>DATABASE!P963</f>
        <v>0</v>
      </c>
      <c r="P97" s="173" t="str">
        <f>DATABASE!Q963</f>
        <v>AVAILABLE</v>
      </c>
      <c r="Q97" s="154">
        <f>DATABASE!R963</f>
        <v>1855000</v>
      </c>
      <c r="R97" s="174">
        <f>DATABASE!S963</f>
        <v>1925000</v>
      </c>
      <c r="S97" s="173">
        <f>DATABASE!T963</f>
        <v>1925000</v>
      </c>
      <c r="T97" s="175">
        <f>DATABASE!U963</f>
        <v>0</v>
      </c>
      <c r="U97" s="175">
        <f>DATABASE!V963</f>
        <v>70000</v>
      </c>
      <c r="V97" s="79">
        <f>DATABASE!W963</f>
        <v>1855000</v>
      </c>
      <c r="W97" s="80">
        <f>DATABASE!X963</f>
        <v>0</v>
      </c>
      <c r="X97" s="79">
        <f>DATABASE!Y963</f>
        <v>0</v>
      </c>
      <c r="Y97" s="79">
        <f>DATABASE!Z963</f>
        <v>-70000</v>
      </c>
      <c r="Z97" s="79" t="e">
        <f>DATABASE!#REF!</f>
        <v>#REF!</v>
      </c>
      <c r="AA97" s="81">
        <f>DATABASE!AA963</f>
        <v>0</v>
      </c>
      <c r="AB97" s="177">
        <f>DATABASE!AB963</f>
        <v>47118</v>
      </c>
      <c r="AC97" s="159"/>
      <c r="AD97" s="51"/>
    </row>
    <row r="98" spans="1:30" s="14" customFormat="1">
      <c r="A98" s="158" t="str">
        <f>DATABASE!A964</f>
        <v>Palmares - Signature Apartments</v>
      </c>
      <c r="B98" s="167" t="str">
        <f>DATABASE!B964</f>
        <v>Algarve</v>
      </c>
      <c r="C98" s="168" t="str">
        <f>DATABASE!C964</f>
        <v>831B</v>
      </c>
      <c r="D98" s="169" t="str">
        <f>DATABASE!E964</f>
        <v>T3 Duplex</v>
      </c>
      <c r="E98" s="169">
        <f>DATABASE!F964</f>
        <v>248.3</v>
      </c>
      <c r="F98" s="169">
        <f>DATABASE!G964</f>
        <v>0</v>
      </c>
      <c r="G98" s="169" t="str">
        <f>DATABASE!H964</f>
        <v>10+11</v>
      </c>
      <c r="H98" s="169" t="str">
        <f>DATABASE!I964</f>
        <v/>
      </c>
      <c r="I98" s="169">
        <f>DATABASE!J964</f>
        <v>0</v>
      </c>
      <c r="J98" s="169">
        <f>DATABASE!K964</f>
        <v>0</v>
      </c>
      <c r="K98" s="170">
        <f>DATABASE!L964</f>
        <v>0</v>
      </c>
      <c r="L98" s="171">
        <f>DATABASE!M964</f>
        <v>98.3</v>
      </c>
      <c r="M98" s="172">
        <f>DATABASE!N964</f>
        <v>0</v>
      </c>
      <c r="N98" s="173">
        <f>DATABASE!O964</f>
        <v>150</v>
      </c>
      <c r="O98" s="173">
        <f>DATABASE!P964</f>
        <v>0</v>
      </c>
      <c r="P98" s="173" t="str">
        <f>DATABASE!Q964</f>
        <v xml:space="preserve">PSPA </v>
      </c>
      <c r="Q98" s="154">
        <f>DATABASE!R964</f>
        <v>440000</v>
      </c>
      <c r="R98" s="174">
        <f>DATABASE!S964</f>
        <v>440000</v>
      </c>
      <c r="S98" s="173">
        <f>DATABASE!T964</f>
        <v>1600000</v>
      </c>
      <c r="T98" s="175">
        <f>DATABASE!U964</f>
        <v>0</v>
      </c>
      <c r="U98" s="175">
        <f>DATABASE!V964</f>
        <v>0</v>
      </c>
      <c r="V98" s="79">
        <f>DATABASE!W964</f>
        <v>1600000</v>
      </c>
      <c r="W98" s="80">
        <f>DATABASE!X964</f>
        <v>0</v>
      </c>
      <c r="X98" s="79">
        <f>DATABASE!Y964</f>
        <v>1600000</v>
      </c>
      <c r="Y98" s="79">
        <f>DATABASE!Z964</f>
        <v>1600000</v>
      </c>
      <c r="Z98" s="79" t="e">
        <f>DATABASE!#REF!</f>
        <v>#REF!</v>
      </c>
      <c r="AA98" s="81" t="e">
        <f>DATABASE!#REF!</f>
        <v>#REF!</v>
      </c>
      <c r="AB98" s="177">
        <f>DATABASE!AB964</f>
        <v>46843</v>
      </c>
      <c r="AC98" s="159"/>
      <c r="AD98" s="51"/>
    </row>
    <row r="99" spans="1:30" s="14" customFormat="1">
      <c r="A99" s="158" t="str">
        <f>DATABASE!A965</f>
        <v>TERRACOTA</v>
      </c>
      <c r="B99" s="167" t="str">
        <f>DATABASE!B965</f>
        <v>Vilamoura</v>
      </c>
      <c r="C99" s="168" t="str">
        <f>DATABASE!C965</f>
        <v>O</v>
      </c>
      <c r="D99" s="169" t="str">
        <f>DATABASE!E965</f>
        <v>T2</v>
      </c>
      <c r="E99" s="169">
        <f>DATABASE!F965</f>
        <v>78.3</v>
      </c>
      <c r="F99" s="169">
        <f>DATABASE!G965</f>
        <v>0</v>
      </c>
      <c r="G99" s="169" t="str">
        <f>DATABASE!H965</f>
        <v/>
      </c>
      <c r="H99" s="169" t="str">
        <f>DATABASE!I965</f>
        <v/>
      </c>
      <c r="I99" s="169">
        <f>DATABASE!J965</f>
        <v>0</v>
      </c>
      <c r="J99" s="169">
        <f>DATABASE!K965</f>
        <v>0</v>
      </c>
      <c r="K99" s="170">
        <f>DATABASE!L965</f>
        <v>0</v>
      </c>
      <c r="L99" s="171">
        <f>DATABASE!M965</f>
        <v>0</v>
      </c>
      <c r="M99" s="172">
        <f>DATABASE!N965</f>
        <v>0</v>
      </c>
      <c r="N99" s="173">
        <f>DATABASE!O965</f>
        <v>78.3</v>
      </c>
      <c r="O99" s="173">
        <f>DATABASE!P965</f>
        <v>0</v>
      </c>
      <c r="P99" s="173" t="str">
        <f>DATABASE!Q965</f>
        <v xml:space="preserve">PSPA </v>
      </c>
      <c r="Q99" s="154">
        <f>DATABASE!R965</f>
        <v>440000</v>
      </c>
      <c r="R99" s="174">
        <f>DATABASE!S965</f>
        <v>440000</v>
      </c>
      <c r="S99" s="173">
        <f>DATABASE!T965</f>
        <v>440000</v>
      </c>
      <c r="T99" s="175">
        <f>DATABASE!U965</f>
        <v>0</v>
      </c>
      <c r="U99" s="175">
        <f>DATABASE!V965</f>
        <v>0</v>
      </c>
      <c r="V99" s="79">
        <f>DATABASE!W965</f>
        <v>440000</v>
      </c>
      <c r="W99" s="80">
        <f>DATABASE!X965</f>
        <v>0</v>
      </c>
      <c r="X99" s="79">
        <f>DATABASE!Y965</f>
        <v>440000</v>
      </c>
      <c r="Y99" s="79">
        <f>DATABASE!Z965</f>
        <v>440000</v>
      </c>
      <c r="Z99" s="79" t="e">
        <f>DATABASE!#REF!</f>
        <v>#REF!</v>
      </c>
      <c r="AA99" s="81" t="e">
        <f>DATABASE!#REF!</f>
        <v>#REF!</v>
      </c>
      <c r="AB99" s="177">
        <f>DATABASE!AB965</f>
        <v>0</v>
      </c>
      <c r="AC99" s="159"/>
      <c r="AD99" s="51"/>
    </row>
    <row r="100" spans="1:30" s="14" customFormat="1">
      <c r="A100" s="158" t="str">
        <f>DATABASE!A966</f>
        <v>THE NINE</v>
      </c>
      <c r="B100" s="167" t="str">
        <f>DATABASE!B966</f>
        <v>Vilamoura</v>
      </c>
      <c r="C100" s="168" t="str">
        <f>DATABASE!C966</f>
        <v>O</v>
      </c>
      <c r="D100" s="169" t="str">
        <f>DATABASE!E966</f>
        <v>T3</v>
      </c>
      <c r="E100" s="169">
        <f>DATABASE!F966</f>
        <v>159</v>
      </c>
      <c r="F100" s="169">
        <f>DATABASE!G966</f>
        <v>0</v>
      </c>
      <c r="G100" s="169" t="str">
        <f>DATABASE!H966</f>
        <v/>
      </c>
      <c r="H100" s="169" t="str">
        <f>DATABASE!I966</f>
        <v/>
      </c>
      <c r="I100" s="169">
        <f>DATABASE!J966</f>
        <v>0</v>
      </c>
      <c r="J100" s="169">
        <f>DATABASE!K966</f>
        <v>0</v>
      </c>
      <c r="K100" s="170">
        <f>DATABASE!L966</f>
        <v>0</v>
      </c>
      <c r="L100" s="171">
        <f>DATABASE!M966</f>
        <v>0</v>
      </c>
      <c r="M100" s="172">
        <f>DATABASE!N966</f>
        <v>0</v>
      </c>
      <c r="N100" s="173">
        <f>DATABASE!O966</f>
        <v>159</v>
      </c>
      <c r="O100" s="173">
        <f>DATABASE!P966</f>
        <v>0</v>
      </c>
      <c r="P100" s="173" t="str">
        <f>DATABASE!Q966</f>
        <v xml:space="preserve">DEED </v>
      </c>
      <c r="Q100" s="154">
        <f>DATABASE!R966</f>
        <v>740000</v>
      </c>
      <c r="R100" s="174">
        <f>DATABASE!S966</f>
        <v>740000</v>
      </c>
      <c r="S100" s="173">
        <f>DATABASE!T966</f>
        <v>810000</v>
      </c>
      <c r="T100" s="175">
        <f>DATABASE!U966</f>
        <v>0</v>
      </c>
      <c r="U100" s="175">
        <f>DATABASE!V966</f>
        <v>0</v>
      </c>
      <c r="V100" s="79">
        <f>DATABASE!W966</f>
        <v>810000</v>
      </c>
      <c r="W100" s="80">
        <f>DATABASE!X966</f>
        <v>0</v>
      </c>
      <c r="X100" s="79">
        <f>DATABASE!Y966</f>
        <v>810000</v>
      </c>
      <c r="Y100" s="79">
        <f>DATABASE!Z966</f>
        <v>810000</v>
      </c>
      <c r="Z100" s="79" t="e">
        <f>DATABASE!#REF!</f>
        <v>#REF!</v>
      </c>
      <c r="AA100" s="81">
        <f>DATABASE!AA966</f>
        <v>45575</v>
      </c>
      <c r="AB100" s="177">
        <f>DATABASE!AB966</f>
        <v>0</v>
      </c>
      <c r="AC100" s="159"/>
      <c r="AD100" s="51"/>
    </row>
    <row r="101" spans="1:30" s="14" customFormat="1">
      <c r="A101" s="158" t="str">
        <f>DATABASE!A967</f>
        <v>VM PARQUE</v>
      </c>
      <c r="B101" s="167" t="str">
        <f>DATABASE!B967</f>
        <v>Vilamoura</v>
      </c>
      <c r="C101" s="168" t="str">
        <f>DATABASE!C967</f>
        <v>O</v>
      </c>
      <c r="D101" s="169" t="str">
        <f>DATABASE!E967</f>
        <v>V2</v>
      </c>
      <c r="E101" s="169">
        <f>DATABASE!F967</f>
        <v>164.08609999999999</v>
      </c>
      <c r="F101" s="169">
        <f>DATABASE!G967</f>
        <v>0</v>
      </c>
      <c r="G101" s="169" t="str">
        <f>DATABASE!H967</f>
        <v/>
      </c>
      <c r="H101" s="169" t="str">
        <f>DATABASE!I967</f>
        <v/>
      </c>
      <c r="I101" s="169">
        <f>DATABASE!J967</f>
        <v>0</v>
      </c>
      <c r="J101" s="169">
        <f>DATABASE!K967</f>
        <v>0</v>
      </c>
      <c r="K101" s="170">
        <f>DATABASE!L967</f>
        <v>0</v>
      </c>
      <c r="L101" s="171">
        <f>DATABASE!M967</f>
        <v>0</v>
      </c>
      <c r="M101" s="172">
        <f>DATABASE!N967</f>
        <v>0</v>
      </c>
      <c r="N101" s="173">
        <f>DATABASE!O967</f>
        <v>164.08609999999999</v>
      </c>
      <c r="O101" s="173">
        <f>DATABASE!P967</f>
        <v>0</v>
      </c>
      <c r="P101" s="173" t="str">
        <f>DATABASE!Q967</f>
        <v xml:space="preserve">DEED </v>
      </c>
      <c r="Q101" s="154">
        <f>DATABASE!R967</f>
        <v>1108188</v>
      </c>
      <c r="R101" s="174">
        <f>DATABASE!S967</f>
        <v>1108188</v>
      </c>
      <c r="S101" s="173">
        <f>DATABASE!T967</f>
        <v>1180000</v>
      </c>
      <c r="T101" s="175">
        <f>DATABASE!U967</f>
        <v>0</v>
      </c>
      <c r="U101" s="175">
        <f>DATABASE!V967</f>
        <v>0</v>
      </c>
      <c r="V101" s="79">
        <f>DATABASE!W967</f>
        <v>1180000</v>
      </c>
      <c r="W101" s="80">
        <f>DATABASE!X967</f>
        <v>0</v>
      </c>
      <c r="X101" s="79">
        <f>DATABASE!Y967</f>
        <v>1180000</v>
      </c>
      <c r="Y101" s="79">
        <f>DATABASE!Z967</f>
        <v>1180000</v>
      </c>
      <c r="Z101" s="79" t="e">
        <f>DATABASE!#REF!</f>
        <v>#REF!</v>
      </c>
      <c r="AA101" s="81">
        <f>DATABASE!AA967</f>
        <v>44735</v>
      </c>
      <c r="AB101" s="177">
        <f>DATABASE!AB967</f>
        <v>0</v>
      </c>
      <c r="AC101" s="159"/>
      <c r="AD101" s="51"/>
    </row>
    <row r="102" spans="1:30" s="14" customFormat="1">
      <c r="A102" s="158" t="str">
        <f>DATABASE!A968</f>
        <v>ZESTIA</v>
      </c>
      <c r="B102" s="167" t="str">
        <f>DATABASE!B968</f>
        <v>Vilamoura</v>
      </c>
      <c r="C102" s="168" t="str">
        <f>DATABASE!C968</f>
        <v>O</v>
      </c>
      <c r="D102" s="169" t="str">
        <f>DATABASE!E968</f>
        <v>T1</v>
      </c>
      <c r="E102" s="169">
        <f>DATABASE!F968</f>
        <v>96.02</v>
      </c>
      <c r="F102" s="169">
        <f>DATABASE!G968</f>
        <v>0</v>
      </c>
      <c r="G102" s="169" t="str">
        <f>DATABASE!H968</f>
        <v/>
      </c>
      <c r="H102" s="169" t="str">
        <f>DATABASE!I968</f>
        <v/>
      </c>
      <c r="I102" s="169">
        <f>DATABASE!J968</f>
        <v>28.44</v>
      </c>
      <c r="J102" s="169">
        <f>DATABASE!K968</f>
        <v>0</v>
      </c>
      <c r="K102" s="170">
        <f>DATABASE!L968</f>
        <v>0</v>
      </c>
      <c r="L102" s="171">
        <f>DATABASE!M968</f>
        <v>0</v>
      </c>
      <c r="M102" s="172">
        <f>DATABASE!N968</f>
        <v>0</v>
      </c>
      <c r="N102" s="173">
        <f>DATABASE!O968</f>
        <v>67.58</v>
      </c>
      <c r="O102" s="173">
        <f>DATABASE!P968</f>
        <v>0</v>
      </c>
      <c r="P102" s="173" t="str">
        <f>DATABASE!Q968</f>
        <v xml:space="preserve">PSPA </v>
      </c>
      <c r="Q102" s="154">
        <f>DATABASE!R968</f>
        <v>545858.82999999996</v>
      </c>
      <c r="R102" s="174">
        <f>DATABASE!S968</f>
        <v>600458.82999999996</v>
      </c>
      <c r="S102" s="173">
        <f>DATABASE!T968</f>
        <v>640000</v>
      </c>
      <c r="T102" s="175">
        <f>DATABASE!U968</f>
        <v>24600</v>
      </c>
      <c r="U102" s="175">
        <f>DATABASE!V968</f>
        <v>30000</v>
      </c>
      <c r="V102" s="79">
        <f>DATABASE!W968</f>
        <v>585400</v>
      </c>
      <c r="W102" s="80">
        <f>DATABASE!X968</f>
        <v>0</v>
      </c>
      <c r="X102" s="79">
        <f>DATABASE!Y968</f>
        <v>640000</v>
      </c>
      <c r="Y102" s="79">
        <f>DATABASE!Z968</f>
        <v>585400</v>
      </c>
      <c r="Z102" s="79" t="e">
        <f>DATABASE!#REF!</f>
        <v>#REF!</v>
      </c>
      <c r="AA102" s="81" t="e">
        <f>DATABASE!#REF!</f>
        <v>#REF!</v>
      </c>
      <c r="AB102" s="177">
        <f>DATABASE!AB968</f>
        <v>0</v>
      </c>
      <c r="AC102" s="159"/>
      <c r="AD102" s="51"/>
    </row>
    <row r="103" spans="1:30" s="14" customFormat="1">
      <c r="A103" s="158" t="str">
        <f>DATABASE!A969</f>
        <v>BOTÂNICA</v>
      </c>
      <c r="B103" s="167" t="str">
        <f>DATABASE!B969</f>
        <v>Vilamoura</v>
      </c>
      <c r="C103" s="168" t="str">
        <f>DATABASE!C969</f>
        <v>P</v>
      </c>
      <c r="D103" s="169" t="str">
        <f>DATABASE!E969</f>
        <v>T2</v>
      </c>
      <c r="E103" s="169">
        <f>DATABASE!F969</f>
        <v>151.41</v>
      </c>
      <c r="F103" s="169">
        <f>DATABASE!G969</f>
        <v>0</v>
      </c>
      <c r="G103" s="169" t="str">
        <f>DATABASE!H969</f>
        <v>2</v>
      </c>
      <c r="H103" s="169" t="str">
        <f>DATABASE!I969</f>
        <v/>
      </c>
      <c r="I103" s="169">
        <f>DATABASE!J969</f>
        <v>20.100000000000001</v>
      </c>
      <c r="J103" s="169">
        <f>DATABASE!K969</f>
        <v>0</v>
      </c>
      <c r="K103" s="170">
        <f>DATABASE!L969</f>
        <v>0</v>
      </c>
      <c r="L103" s="171">
        <f>DATABASE!M969</f>
        <v>7.51</v>
      </c>
      <c r="M103" s="172">
        <f>DATABASE!N969</f>
        <v>0</v>
      </c>
      <c r="N103" s="173">
        <f>DATABASE!O969</f>
        <v>123.8</v>
      </c>
      <c r="O103" s="173">
        <f>DATABASE!P969</f>
        <v>0</v>
      </c>
      <c r="P103" s="173" t="str">
        <f>DATABASE!Q969</f>
        <v>AVAILABLE</v>
      </c>
      <c r="Q103" s="154">
        <f>DATABASE!R969</f>
        <v>1037379.882</v>
      </c>
      <c r="R103" s="174">
        <f>DATABASE!S969</f>
        <v>1037379.882</v>
      </c>
      <c r="S103" s="173">
        <f>DATABASE!T969</f>
        <v>1050000</v>
      </c>
      <c r="T103" s="175">
        <f>DATABASE!U969</f>
        <v>0</v>
      </c>
      <c r="U103" s="175">
        <f>DATABASE!V969</f>
        <v>0</v>
      </c>
      <c r="V103" s="79">
        <f>DATABASE!W969</f>
        <v>1050000</v>
      </c>
      <c r="W103" s="80">
        <f>DATABASE!X969</f>
        <v>0</v>
      </c>
      <c r="X103" s="79">
        <f>DATABASE!Y969</f>
        <v>1040000</v>
      </c>
      <c r="Y103" s="79">
        <f>DATABASE!Z969</f>
        <v>1040000</v>
      </c>
      <c r="Z103" s="79" t="e">
        <f>DATABASE!#REF!</f>
        <v>#REF!</v>
      </c>
      <c r="AA103" s="81">
        <f>DATABASE!AA969</f>
        <v>0</v>
      </c>
      <c r="AB103" s="177">
        <f>DATABASE!AB969</f>
        <v>0</v>
      </c>
      <c r="AC103" s="159"/>
      <c r="AD103" s="51"/>
    </row>
    <row r="104" spans="1:30" s="14" customFormat="1">
      <c r="A104" s="158" t="str">
        <f>DATABASE!A970</f>
        <v>Aroeira - HOUSES</v>
      </c>
      <c r="B104" s="167" t="str">
        <f>DATABASE!B970</f>
        <v>Center</v>
      </c>
      <c r="C104" s="168" t="str">
        <f>DATABASE!C970</f>
        <v>13D</v>
      </c>
      <c r="D104" s="169" t="str">
        <f>DATABASE!E970</f>
        <v>T4</v>
      </c>
      <c r="E104" s="169">
        <f>DATABASE!F970</f>
        <v>346.7</v>
      </c>
      <c r="F104" s="169">
        <f>DATABASE!G970</f>
        <v>0</v>
      </c>
      <c r="G104" s="169" t="str">
        <f>DATABASE!H970</f>
        <v>2</v>
      </c>
      <c r="H104" s="169" t="str">
        <f>DATABASE!I970</f>
        <v>1</v>
      </c>
      <c r="I104" s="169">
        <f>DATABASE!J970</f>
        <v>0</v>
      </c>
      <c r="J104" s="169">
        <f>DATABASE!K970</f>
        <v>0</v>
      </c>
      <c r="K104" s="170">
        <f>DATABASE!L970</f>
        <v>0</v>
      </c>
      <c r="L104" s="171">
        <f>DATABASE!M970</f>
        <v>32</v>
      </c>
      <c r="M104" s="172">
        <f>DATABASE!N970</f>
        <v>72</v>
      </c>
      <c r="N104" s="173">
        <f>DATABASE!O970</f>
        <v>242.7</v>
      </c>
      <c r="O104" s="173">
        <f>DATABASE!P970</f>
        <v>0</v>
      </c>
      <c r="P104" s="173" t="str">
        <f>DATABASE!Q970</f>
        <v>AVAILABLE</v>
      </c>
      <c r="Q104" s="154">
        <f>DATABASE!R970</f>
        <v>1965000</v>
      </c>
      <c r="R104" s="174">
        <f>DATABASE!S970</f>
        <v>1965000</v>
      </c>
      <c r="S104" s="173">
        <f>DATABASE!T970</f>
        <v>1965000</v>
      </c>
      <c r="T104" s="175">
        <f>DATABASE!U970</f>
        <v>0</v>
      </c>
      <c r="U104" s="175">
        <f>DATABASE!V970</f>
        <v>0</v>
      </c>
      <c r="V104" s="79">
        <f>DATABASE!W970</f>
        <v>1965000</v>
      </c>
      <c r="W104" s="80">
        <f>DATABASE!X970</f>
        <v>0</v>
      </c>
      <c r="X104" s="79">
        <f>DATABASE!Y970</f>
        <v>0</v>
      </c>
      <c r="Y104" s="79">
        <f>DATABASE!Z970</f>
        <v>0</v>
      </c>
      <c r="Z104" s="79" t="e">
        <f>DATABASE!#REF!</f>
        <v>#REF!</v>
      </c>
      <c r="AA104" s="81">
        <f>DATABASE!AA970</f>
        <v>0</v>
      </c>
      <c r="AB104" s="177">
        <f>DATABASE!AB970</f>
        <v>47118</v>
      </c>
      <c r="AC104" s="159"/>
      <c r="AD104" s="51"/>
    </row>
    <row r="105" spans="1:30" s="14" customFormat="1">
      <c r="A105" s="158" t="str">
        <f>DATABASE!A971</f>
        <v>Aroeira - VILLAS</v>
      </c>
      <c r="B105" s="167" t="str">
        <f>DATABASE!B971</f>
        <v>Center</v>
      </c>
      <c r="C105" s="168" t="str">
        <f>DATABASE!C971</f>
        <v>11D</v>
      </c>
      <c r="D105" s="169" t="str">
        <f>DATABASE!E971</f>
        <v>T3+1</v>
      </c>
      <c r="E105" s="169">
        <f>DATABASE!F971</f>
        <v>386.9</v>
      </c>
      <c r="F105" s="169">
        <f>DATABASE!G971</f>
        <v>0</v>
      </c>
      <c r="G105" s="169" t="str">
        <f>DATABASE!H971</f>
        <v>2</v>
      </c>
      <c r="H105" s="169" t="str">
        <f>DATABASE!I971</f>
        <v>1</v>
      </c>
      <c r="I105" s="169">
        <f>DATABASE!J971</f>
        <v>0</v>
      </c>
      <c r="J105" s="169">
        <f>DATABASE!K971</f>
        <v>0</v>
      </c>
      <c r="K105" s="170">
        <f>DATABASE!L971</f>
        <v>0</v>
      </c>
      <c r="L105" s="171">
        <f>DATABASE!M971</f>
        <v>125</v>
      </c>
      <c r="M105" s="172">
        <f>DATABASE!N971</f>
        <v>34</v>
      </c>
      <c r="N105" s="173">
        <f>DATABASE!O971</f>
        <v>227.9</v>
      </c>
      <c r="O105" s="173">
        <f>DATABASE!P971</f>
        <v>0</v>
      </c>
      <c r="P105" s="173" t="str">
        <f>DATABASE!Q971</f>
        <v>AVAILABLE</v>
      </c>
      <c r="Q105" s="154">
        <f>DATABASE!R971</f>
        <v>1895000</v>
      </c>
      <c r="R105" s="174">
        <f>DATABASE!S971</f>
        <v>1965000</v>
      </c>
      <c r="S105" s="173">
        <f>DATABASE!T971</f>
        <v>1965000</v>
      </c>
      <c r="T105" s="175">
        <f>DATABASE!U971</f>
        <v>0</v>
      </c>
      <c r="U105" s="175">
        <f>DATABASE!V971</f>
        <v>70000</v>
      </c>
      <c r="V105" s="79">
        <f>DATABASE!W971</f>
        <v>1895000</v>
      </c>
      <c r="W105" s="80">
        <f>DATABASE!X971</f>
        <v>0</v>
      </c>
      <c r="X105" s="79">
        <f>DATABASE!Y971</f>
        <v>0</v>
      </c>
      <c r="Y105" s="79">
        <f>DATABASE!Z971</f>
        <v>-70000</v>
      </c>
      <c r="Z105" s="79" t="e">
        <f>DATABASE!#REF!</f>
        <v>#REF!</v>
      </c>
      <c r="AA105" s="81">
        <f>DATABASE!AA971</f>
        <v>0</v>
      </c>
      <c r="AB105" s="177">
        <f>DATABASE!AB971</f>
        <v>47118</v>
      </c>
      <c r="AC105" s="159"/>
      <c r="AD105" s="51"/>
    </row>
    <row r="106" spans="1:30" s="14" customFormat="1">
      <c r="A106" s="158" t="str">
        <f>DATABASE!A972</f>
        <v>Aroeira - HOUSES</v>
      </c>
      <c r="B106" s="167" t="str">
        <f>DATABASE!B972</f>
        <v>Center</v>
      </c>
      <c r="C106" s="168" t="str">
        <f>DATABASE!C972</f>
        <v>11D</v>
      </c>
      <c r="D106" s="169" t="str">
        <f>DATABASE!E972</f>
        <v>T4</v>
      </c>
      <c r="E106" s="169">
        <f>DATABASE!F972</f>
        <v>347.7</v>
      </c>
      <c r="F106" s="169">
        <f>DATABASE!G972</f>
        <v>0</v>
      </c>
      <c r="G106" s="169" t="str">
        <f>DATABASE!H972</f>
        <v>2</v>
      </c>
      <c r="H106" s="169" t="str">
        <f>DATABASE!I972</f>
        <v>1</v>
      </c>
      <c r="I106" s="169">
        <f>DATABASE!J972</f>
        <v>0</v>
      </c>
      <c r="J106" s="169">
        <f>DATABASE!K972</f>
        <v>0</v>
      </c>
      <c r="K106" s="170">
        <f>DATABASE!L972</f>
        <v>0</v>
      </c>
      <c r="L106" s="171">
        <f>DATABASE!M972</f>
        <v>31</v>
      </c>
      <c r="M106" s="172">
        <f>DATABASE!N972</f>
        <v>74</v>
      </c>
      <c r="N106" s="173">
        <f>DATABASE!O972</f>
        <v>242.7</v>
      </c>
      <c r="O106" s="173">
        <f>DATABASE!P972</f>
        <v>0</v>
      </c>
      <c r="P106" s="173" t="str">
        <f>DATABASE!Q972</f>
        <v>AVAILABLE</v>
      </c>
      <c r="Q106" s="154">
        <f>DATABASE!R972</f>
        <v>1980000</v>
      </c>
      <c r="R106" s="174">
        <f>DATABASE!S972</f>
        <v>1980000</v>
      </c>
      <c r="S106" s="173">
        <f>DATABASE!T972</f>
        <v>1980000</v>
      </c>
      <c r="T106" s="175">
        <f>DATABASE!U972</f>
        <v>0</v>
      </c>
      <c r="U106" s="175">
        <f>DATABASE!V972</f>
        <v>0</v>
      </c>
      <c r="V106" s="79">
        <f>DATABASE!W972</f>
        <v>1980000</v>
      </c>
      <c r="W106" s="80">
        <f>DATABASE!X972</f>
        <v>0</v>
      </c>
      <c r="X106" s="79">
        <f>DATABASE!Y972</f>
        <v>0</v>
      </c>
      <c r="Y106" s="79">
        <f>DATABASE!Z972</f>
        <v>0</v>
      </c>
      <c r="Z106" s="79" t="e">
        <f>DATABASE!#REF!</f>
        <v>#REF!</v>
      </c>
      <c r="AA106" s="81">
        <f>DATABASE!AA972</f>
        <v>0</v>
      </c>
      <c r="AB106" s="177">
        <f>DATABASE!AB972</f>
        <v>47118</v>
      </c>
      <c r="AC106" s="159"/>
      <c r="AD106" s="51"/>
    </row>
    <row r="107" spans="1:30" s="14" customFormat="1">
      <c r="A107" s="158" t="str">
        <f>DATABASE!A973</f>
        <v>Palmares - Signature Apartments</v>
      </c>
      <c r="B107" s="167" t="str">
        <f>DATABASE!B973</f>
        <v>Algarve</v>
      </c>
      <c r="C107" s="168" t="str">
        <f>DATABASE!C973</f>
        <v>832B</v>
      </c>
      <c r="D107" s="169" t="str">
        <f>DATABASE!E973</f>
        <v>T2 (T1+1)</v>
      </c>
      <c r="E107" s="169">
        <f>DATABASE!F973</f>
        <v>165.75</v>
      </c>
      <c r="F107" s="169">
        <f>DATABASE!G973</f>
        <v>0</v>
      </c>
      <c r="G107" s="169" t="str">
        <f>DATABASE!H973</f>
        <v>08+09</v>
      </c>
      <c r="H107" s="169" t="str">
        <f>DATABASE!I973</f>
        <v/>
      </c>
      <c r="I107" s="169">
        <f>DATABASE!J973</f>
        <v>0</v>
      </c>
      <c r="J107" s="169">
        <f>DATABASE!K973</f>
        <v>0</v>
      </c>
      <c r="K107" s="170">
        <f>DATABASE!L973</f>
        <v>0</v>
      </c>
      <c r="L107" s="171">
        <f>DATABASE!M973</f>
        <v>52.25</v>
      </c>
      <c r="M107" s="172">
        <f>DATABASE!N973</f>
        <v>0</v>
      </c>
      <c r="N107" s="173">
        <f>DATABASE!O973</f>
        <v>113.5</v>
      </c>
      <c r="O107" s="173">
        <f>DATABASE!P973</f>
        <v>0</v>
      </c>
      <c r="P107" s="173" t="str">
        <f>DATABASE!Q973</f>
        <v xml:space="preserve">PSPA </v>
      </c>
      <c r="Q107" s="154">
        <f>DATABASE!R973</f>
        <v>470000</v>
      </c>
      <c r="R107" s="174">
        <f>DATABASE!S973</f>
        <v>470000</v>
      </c>
      <c r="S107" s="173">
        <f>DATABASE!T973</f>
        <v>1400000</v>
      </c>
      <c r="T107" s="175">
        <f>DATABASE!U973</f>
        <v>0</v>
      </c>
      <c r="U107" s="175">
        <f>DATABASE!V973</f>
        <v>0</v>
      </c>
      <c r="V107" s="79">
        <f>DATABASE!W973</f>
        <v>1400000</v>
      </c>
      <c r="W107" s="80">
        <f>DATABASE!X973</f>
        <v>7.1428571428571201E-3</v>
      </c>
      <c r="X107" s="79">
        <f>DATABASE!Y973</f>
        <v>1390000</v>
      </c>
      <c r="Y107" s="79">
        <f>DATABASE!Z973</f>
        <v>1390000</v>
      </c>
      <c r="Z107" s="79" t="e">
        <f>DATABASE!#REF!</f>
        <v>#REF!</v>
      </c>
      <c r="AA107" s="81" t="e">
        <f>DATABASE!#REF!</f>
        <v>#REF!</v>
      </c>
      <c r="AB107" s="177">
        <f>DATABASE!AB973</f>
        <v>46843</v>
      </c>
      <c r="AC107" s="159"/>
      <c r="AD107" s="51"/>
    </row>
    <row r="108" spans="1:30" s="14" customFormat="1">
      <c r="A108" s="158" t="str">
        <f>DATABASE!A974</f>
        <v>Palmares - Signature Apartments</v>
      </c>
      <c r="B108" s="167" t="str">
        <f>DATABASE!B974</f>
        <v>Algarve</v>
      </c>
      <c r="C108" s="168" t="str">
        <f>DATABASE!C974</f>
        <v>833B</v>
      </c>
      <c r="D108" s="169" t="str">
        <f>DATABASE!E974</f>
        <v>T2 (T1+1)</v>
      </c>
      <c r="E108" s="169">
        <f>DATABASE!F974</f>
        <v>153.1</v>
      </c>
      <c r="F108" s="169">
        <f>DATABASE!G974</f>
        <v>0</v>
      </c>
      <c r="G108" s="169" t="str">
        <f>DATABASE!H974</f>
        <v>06+07</v>
      </c>
      <c r="H108" s="169" t="str">
        <f>DATABASE!I974</f>
        <v/>
      </c>
      <c r="I108" s="169">
        <f>DATABASE!J974</f>
        <v>0</v>
      </c>
      <c r="J108" s="169">
        <f>DATABASE!K974</f>
        <v>0</v>
      </c>
      <c r="K108" s="170">
        <f>DATABASE!L974</f>
        <v>0</v>
      </c>
      <c r="L108" s="171">
        <f>DATABASE!M974</f>
        <v>39.85</v>
      </c>
      <c r="M108" s="172">
        <f>DATABASE!N974</f>
        <v>0</v>
      </c>
      <c r="N108" s="173">
        <f>DATABASE!O974</f>
        <v>113.25</v>
      </c>
      <c r="O108" s="173">
        <f>DATABASE!P974</f>
        <v>0</v>
      </c>
      <c r="P108" s="173" t="str">
        <f>DATABASE!Q974</f>
        <v xml:space="preserve">PSPA </v>
      </c>
      <c r="Q108" s="154">
        <f>DATABASE!R974</f>
        <v>550000</v>
      </c>
      <c r="R108" s="174">
        <f>DATABASE!S974</f>
        <v>550000</v>
      </c>
      <c r="S108" s="173">
        <f>DATABASE!T974</f>
        <v>1400000</v>
      </c>
      <c r="T108" s="175">
        <f>DATABASE!U974</f>
        <v>0</v>
      </c>
      <c r="U108" s="175">
        <f>DATABASE!V974</f>
        <v>0</v>
      </c>
      <c r="V108" s="79">
        <f>DATABASE!W974</f>
        <v>1400000</v>
      </c>
      <c r="W108" s="80">
        <f>DATABASE!X974</f>
        <v>0</v>
      </c>
      <c r="X108" s="79">
        <f>DATABASE!Y974</f>
        <v>1400000</v>
      </c>
      <c r="Y108" s="79">
        <f>DATABASE!Z974</f>
        <v>1400000</v>
      </c>
      <c r="Z108" s="79" t="e">
        <f>DATABASE!#REF!</f>
        <v>#REF!</v>
      </c>
      <c r="AA108" s="81" t="e">
        <f>DATABASE!#REF!</f>
        <v>#REF!</v>
      </c>
      <c r="AB108" s="177">
        <f>DATABASE!AB974</f>
        <v>46843</v>
      </c>
      <c r="AC108" s="159"/>
      <c r="AD108" s="51"/>
    </row>
    <row r="109" spans="1:30" s="14" customFormat="1">
      <c r="A109" s="158" t="str">
        <f>DATABASE!A975</f>
        <v>NOBILUS</v>
      </c>
      <c r="B109" s="167" t="str">
        <f>DATABASE!B975</f>
        <v>Vilamoura</v>
      </c>
      <c r="C109" s="168" t="str">
        <f>DATABASE!C975</f>
        <v>P</v>
      </c>
      <c r="D109" s="169" t="str">
        <f>DATABASE!E975</f>
        <v>T2</v>
      </c>
      <c r="E109" s="169">
        <f>DATABASE!F975</f>
        <v>106.73</v>
      </c>
      <c r="F109" s="169">
        <f>DATABASE!G975</f>
        <v>0</v>
      </c>
      <c r="G109" s="169" t="str">
        <f>DATABASE!H975</f>
        <v>82-83</v>
      </c>
      <c r="H109" s="169" t="str">
        <f>DATABASE!I975</f>
        <v/>
      </c>
      <c r="I109" s="169">
        <f>DATABASE!J975</f>
        <v>0</v>
      </c>
      <c r="J109" s="169">
        <f>DATABASE!K975</f>
        <v>0</v>
      </c>
      <c r="K109" s="170">
        <f>DATABASE!L975</f>
        <v>0</v>
      </c>
      <c r="L109" s="171">
        <f>DATABASE!M975</f>
        <v>0</v>
      </c>
      <c r="M109" s="172">
        <f>DATABASE!N975</f>
        <v>0</v>
      </c>
      <c r="N109" s="173">
        <f>DATABASE!O975</f>
        <v>106.73</v>
      </c>
      <c r="O109" s="173">
        <f>DATABASE!P975</f>
        <v>0</v>
      </c>
      <c r="P109" s="173" t="str">
        <f>DATABASE!Q975</f>
        <v>AVAILABLE</v>
      </c>
      <c r="Q109" s="154">
        <f>DATABASE!R975</f>
        <v>710000</v>
      </c>
      <c r="R109" s="174">
        <f>DATABASE!S975</f>
        <v>710000</v>
      </c>
      <c r="S109" s="173">
        <f>DATABASE!T975</f>
        <v>710000</v>
      </c>
      <c r="T109" s="175">
        <f>DATABASE!U975</f>
        <v>0</v>
      </c>
      <c r="U109" s="175">
        <f>DATABASE!V975</f>
        <v>0</v>
      </c>
      <c r="V109" s="79">
        <f>DATABASE!W975</f>
        <v>710000</v>
      </c>
      <c r="W109" s="80">
        <f>DATABASE!X975</f>
        <v>0</v>
      </c>
      <c r="X109" s="79">
        <f>DATABASE!Y975</f>
        <v>710000</v>
      </c>
      <c r="Y109" s="79">
        <f>DATABASE!Z975</f>
        <v>710000</v>
      </c>
      <c r="Z109" s="79" t="e">
        <f>DATABASE!#REF!</f>
        <v>#REF!</v>
      </c>
      <c r="AA109" s="81">
        <f>DATABASE!AA975</f>
        <v>0</v>
      </c>
      <c r="AB109" s="177">
        <f>DATABASE!AB975</f>
        <v>0</v>
      </c>
      <c r="AC109" s="159"/>
      <c r="AD109" s="51"/>
    </row>
    <row r="110" spans="1:30" s="14" customFormat="1">
      <c r="A110" s="158" t="str">
        <f>DATABASE!A976</f>
        <v>Rivus</v>
      </c>
      <c r="B110" s="167" t="str">
        <f>DATABASE!B976</f>
        <v>Vilamoura</v>
      </c>
      <c r="C110" s="168" t="str">
        <f>DATABASE!C976</f>
        <v>P</v>
      </c>
      <c r="D110" s="169" t="str">
        <f>DATABASE!E976</f>
        <v>T3</v>
      </c>
      <c r="E110" s="169">
        <f>DATABASE!F976</f>
        <v>0</v>
      </c>
      <c r="F110" s="169">
        <f>DATABASE!G976</f>
        <v>0</v>
      </c>
      <c r="G110" s="169" t="str">
        <f>DATABASE!H976</f>
        <v/>
      </c>
      <c r="H110" s="169" t="str">
        <f>DATABASE!I976</f>
        <v/>
      </c>
      <c r="I110" s="169">
        <f>DATABASE!J976</f>
        <v>0</v>
      </c>
      <c r="J110" s="169">
        <f>DATABASE!K976</f>
        <v>0</v>
      </c>
      <c r="K110" s="170">
        <f>DATABASE!L976</f>
        <v>0</v>
      </c>
      <c r="L110" s="171">
        <f>DATABASE!M976</f>
        <v>18</v>
      </c>
      <c r="M110" s="172">
        <f>DATABASE!N976</f>
        <v>0</v>
      </c>
      <c r="N110" s="173">
        <f>DATABASE!O976</f>
        <v>137</v>
      </c>
      <c r="O110" s="173">
        <f>DATABASE!P976</f>
        <v>0</v>
      </c>
      <c r="P110" s="173" t="str">
        <f>DATABASE!Q976</f>
        <v>RESERVED</v>
      </c>
      <c r="Q110" s="154">
        <f>DATABASE!R976</f>
        <v>780000</v>
      </c>
      <c r="R110" s="174">
        <f>DATABASE!S976</f>
        <v>780000</v>
      </c>
      <c r="S110" s="173">
        <f>DATABASE!T976</f>
        <v>780000</v>
      </c>
      <c r="T110" s="175">
        <f>DATABASE!U976</f>
        <v>0</v>
      </c>
      <c r="U110" s="175">
        <f>DATABASE!V976</f>
        <v>0</v>
      </c>
      <c r="V110" s="79">
        <f>DATABASE!W976</f>
        <v>780000</v>
      </c>
      <c r="W110" s="80">
        <f>DATABASE!X976</f>
        <v>2.5000000000000001E-2</v>
      </c>
      <c r="X110" s="79">
        <f>DATABASE!Y976</f>
        <v>760500</v>
      </c>
      <c r="Y110" s="79">
        <f>DATABASE!Z976</f>
        <v>760500</v>
      </c>
      <c r="Z110" s="79" t="e">
        <f>DATABASE!#REF!</f>
        <v>#REF!</v>
      </c>
      <c r="AA110" s="81">
        <f>DATABASE!AA976</f>
        <v>46114</v>
      </c>
      <c r="AB110" s="177">
        <f>DATABASE!AB976</f>
        <v>0</v>
      </c>
      <c r="AC110" s="159"/>
      <c r="AD110" s="51"/>
    </row>
    <row r="111" spans="1:30" s="14" customFormat="1">
      <c r="A111" s="158" t="str">
        <f>DATABASE!A977</f>
        <v>SPRINGS</v>
      </c>
      <c r="B111" s="167" t="str">
        <f>DATABASE!B977</f>
        <v>Vilamoura</v>
      </c>
      <c r="C111" s="168" t="str">
        <f>DATABASE!C977</f>
        <v>P</v>
      </c>
      <c r="D111" s="169" t="str">
        <f>DATABASE!E977</f>
        <v>V3</v>
      </c>
      <c r="E111" s="169">
        <f>DATABASE!F977</f>
        <v>281.89</v>
      </c>
      <c r="F111" s="169">
        <f>DATABASE!G977</f>
        <v>124.09</v>
      </c>
      <c r="G111" s="169" t="str">
        <f>DATABASE!H977</f>
        <v/>
      </c>
      <c r="H111" s="169" t="str">
        <f>DATABASE!I977</f>
        <v/>
      </c>
      <c r="I111" s="169">
        <f>DATABASE!J977</f>
        <v>0</v>
      </c>
      <c r="J111" s="169">
        <f>DATABASE!K977</f>
        <v>0</v>
      </c>
      <c r="K111" s="170">
        <f>DATABASE!L977</f>
        <v>0</v>
      </c>
      <c r="L111" s="171">
        <f>DATABASE!M977</f>
        <v>0</v>
      </c>
      <c r="M111" s="172">
        <f>DATABASE!N977</f>
        <v>0</v>
      </c>
      <c r="N111" s="173">
        <f>DATABASE!O977</f>
        <v>157.80000000000001</v>
      </c>
      <c r="O111" s="173">
        <f>DATABASE!P977</f>
        <v>0</v>
      </c>
      <c r="P111" s="173" t="str">
        <f>DATABASE!Q977</f>
        <v>AVAILABLE</v>
      </c>
      <c r="Q111" s="154">
        <f>DATABASE!R977</f>
        <v>1802100</v>
      </c>
      <c r="R111" s="174">
        <f>DATABASE!S977</f>
        <v>1891050</v>
      </c>
      <c r="S111" s="173">
        <f>DATABASE!T977</f>
        <v>1980000</v>
      </c>
      <c r="T111" s="175">
        <f>DATABASE!U977</f>
        <v>24600</v>
      </c>
      <c r="U111" s="175">
        <f>DATABASE!V977</f>
        <v>64350</v>
      </c>
      <c r="V111" s="79">
        <f>DATABASE!W977</f>
        <v>1891050</v>
      </c>
      <c r="W111" s="80">
        <f>DATABASE!X977</f>
        <v>0</v>
      </c>
      <c r="X111" s="79">
        <f>DATABASE!Y977</f>
        <v>1980000</v>
      </c>
      <c r="Y111" s="79">
        <f>DATABASE!Z977</f>
        <v>1891050</v>
      </c>
      <c r="Z111" s="79" t="e">
        <f>DATABASE!#REF!</f>
        <v>#REF!</v>
      </c>
      <c r="AA111" s="81">
        <f>DATABASE!AA977</f>
        <v>0</v>
      </c>
      <c r="AB111" s="177">
        <f>DATABASE!AB977</f>
        <v>0</v>
      </c>
      <c r="AC111" s="159"/>
      <c r="AD111" s="51"/>
    </row>
    <row r="112" spans="1:30" s="14" customFormat="1">
      <c r="A112" s="158" t="str">
        <f>DATABASE!A978</f>
        <v>Aroeira - HOUSES</v>
      </c>
      <c r="B112" s="167" t="str">
        <f>DATABASE!B978</f>
        <v>Center</v>
      </c>
      <c r="C112" s="168" t="str">
        <f>DATABASE!C978</f>
        <v>14D</v>
      </c>
      <c r="D112" s="169" t="str">
        <f>DATABASE!E978</f>
        <v>T4</v>
      </c>
      <c r="E112" s="169">
        <f>DATABASE!F978</f>
        <v>361.5</v>
      </c>
      <c r="F112" s="169">
        <f>DATABASE!G978</f>
        <v>0</v>
      </c>
      <c r="G112" s="169" t="str">
        <f>DATABASE!H978</f>
        <v>2</v>
      </c>
      <c r="H112" s="169" t="str">
        <f>DATABASE!I978</f>
        <v>1</v>
      </c>
      <c r="I112" s="169">
        <f>DATABASE!J978</f>
        <v>0</v>
      </c>
      <c r="J112" s="169">
        <f>DATABASE!K978</f>
        <v>0</v>
      </c>
      <c r="K112" s="170">
        <f>DATABASE!L978</f>
        <v>0</v>
      </c>
      <c r="L112" s="171">
        <f>DATABASE!M978</f>
        <v>42</v>
      </c>
      <c r="M112" s="172">
        <f>DATABASE!N978</f>
        <v>72</v>
      </c>
      <c r="N112" s="173">
        <f>DATABASE!O978</f>
        <v>247.5</v>
      </c>
      <c r="O112" s="173">
        <f>DATABASE!P978</f>
        <v>0</v>
      </c>
      <c r="P112" s="173" t="str">
        <f>DATABASE!Q978</f>
        <v>AVAILABLE</v>
      </c>
      <c r="Q112" s="154">
        <f>DATABASE!R978</f>
        <v>2000000</v>
      </c>
      <c r="R112" s="174">
        <f>DATABASE!S978</f>
        <v>2000000</v>
      </c>
      <c r="S112" s="173">
        <f>DATABASE!T978</f>
        <v>2000000</v>
      </c>
      <c r="T112" s="175">
        <f>DATABASE!U978</f>
        <v>0</v>
      </c>
      <c r="U112" s="175">
        <f>DATABASE!V978</f>
        <v>0</v>
      </c>
      <c r="V112" s="79">
        <f>DATABASE!W978</f>
        <v>2000000</v>
      </c>
      <c r="W112" s="80">
        <f>DATABASE!X978</f>
        <v>0</v>
      </c>
      <c r="X112" s="79">
        <f>DATABASE!Y978</f>
        <v>0</v>
      </c>
      <c r="Y112" s="79">
        <f>DATABASE!Z978</f>
        <v>0</v>
      </c>
      <c r="Z112" s="79" t="e">
        <f>DATABASE!#REF!</f>
        <v>#REF!</v>
      </c>
      <c r="AA112" s="81">
        <f>DATABASE!AA978</f>
        <v>0</v>
      </c>
      <c r="AB112" s="177">
        <f>DATABASE!AB978</f>
        <v>47118</v>
      </c>
      <c r="AC112" s="159"/>
      <c r="AD112" s="51"/>
    </row>
    <row r="113" spans="1:30" s="14" customFormat="1">
      <c r="A113" s="158" t="str">
        <f>DATABASE!A979</f>
        <v>MR - LT do Golfe</v>
      </c>
      <c r="B113" s="167" t="str">
        <f>DATABASE!B979</f>
        <v>Algarve</v>
      </c>
      <c r="C113" s="168" t="str">
        <f>DATABASE!C979</f>
        <v>1</v>
      </c>
      <c r="D113" s="169" t="str">
        <f>DATABASE!E979</f>
        <v>Plot</v>
      </c>
      <c r="E113" s="169">
        <f>DATABASE!F979</f>
        <v>650</v>
      </c>
      <c r="F113" s="169">
        <f>DATABASE!G979</f>
        <v>0</v>
      </c>
      <c r="G113" s="169" t="str">
        <f>DATABASE!H979</f>
        <v/>
      </c>
      <c r="H113" s="169" t="str">
        <f>DATABASE!I979</f>
        <v/>
      </c>
      <c r="I113" s="169">
        <f>DATABASE!J979</f>
        <v>0</v>
      </c>
      <c r="J113" s="169">
        <f>DATABASE!K979</f>
        <v>0</v>
      </c>
      <c r="K113" s="170">
        <f>DATABASE!L979</f>
        <v>0</v>
      </c>
      <c r="L113" s="171">
        <f>DATABASE!M979</f>
        <v>0</v>
      </c>
      <c r="M113" s="172">
        <f>DATABASE!N979</f>
        <v>0</v>
      </c>
      <c r="N113" s="173">
        <f>DATABASE!O979</f>
        <v>650</v>
      </c>
      <c r="O113" s="173">
        <f>DATABASE!P979</f>
        <v>0</v>
      </c>
      <c r="P113" s="173" t="str">
        <f>DATABASE!Q979</f>
        <v>AVAILABLE</v>
      </c>
      <c r="Q113" s="154">
        <f>DATABASE!R979</f>
        <v>2000000</v>
      </c>
      <c r="R113" s="174">
        <f>DATABASE!S979</f>
        <v>2000000</v>
      </c>
      <c r="S113" s="173">
        <f>DATABASE!T979</f>
        <v>1560000</v>
      </c>
      <c r="T113" s="175">
        <f>DATABASE!U979</f>
        <v>0</v>
      </c>
      <c r="U113" s="175">
        <f>DATABASE!V979</f>
        <v>0</v>
      </c>
      <c r="V113" s="79">
        <f>DATABASE!W979</f>
        <v>1560000</v>
      </c>
      <c r="W113" s="80">
        <f>DATABASE!X979</f>
        <v>0</v>
      </c>
      <c r="X113" s="79">
        <f>DATABASE!Y979</f>
        <v>0</v>
      </c>
      <c r="Y113" s="79">
        <f>DATABASE!Z979</f>
        <v>0</v>
      </c>
      <c r="Z113" s="79" t="e">
        <f>DATABASE!#REF!</f>
        <v>#REF!</v>
      </c>
      <c r="AA113" s="81">
        <f>DATABASE!AA979</f>
        <v>0</v>
      </c>
      <c r="AB113" s="177" t="str">
        <f>DATABASE!AB979</f>
        <v>TBD</v>
      </c>
      <c r="AC113" s="159"/>
      <c r="AD113" s="51"/>
    </row>
    <row r="114" spans="1:30" s="14" customFormat="1">
      <c r="A114" s="158" t="str">
        <f>DATABASE!A980</f>
        <v>TERRACOTA</v>
      </c>
      <c r="B114" s="167" t="str">
        <f>DATABASE!B980</f>
        <v>Vilamoura</v>
      </c>
      <c r="C114" s="168" t="str">
        <f>DATABASE!C980</f>
        <v>P</v>
      </c>
      <c r="D114" s="169" t="str">
        <f>DATABASE!E980</f>
        <v>T2</v>
      </c>
      <c r="E114" s="169">
        <f>DATABASE!F980</f>
        <v>78.3</v>
      </c>
      <c r="F114" s="169">
        <f>DATABASE!G980</f>
        <v>0</v>
      </c>
      <c r="G114" s="169" t="str">
        <f>DATABASE!H980</f>
        <v/>
      </c>
      <c r="H114" s="169" t="str">
        <f>DATABASE!I980</f>
        <v/>
      </c>
      <c r="I114" s="169">
        <f>DATABASE!J980</f>
        <v>0</v>
      </c>
      <c r="J114" s="169">
        <f>DATABASE!K980</f>
        <v>0</v>
      </c>
      <c r="K114" s="170">
        <f>DATABASE!L980</f>
        <v>0</v>
      </c>
      <c r="L114" s="171">
        <f>DATABASE!M980</f>
        <v>0</v>
      </c>
      <c r="M114" s="172">
        <f>DATABASE!N980</f>
        <v>0</v>
      </c>
      <c r="N114" s="173">
        <f>DATABASE!O980</f>
        <v>78.3</v>
      </c>
      <c r="O114" s="173">
        <f>DATABASE!P980</f>
        <v>0</v>
      </c>
      <c r="P114" s="173" t="str">
        <f>DATABASE!Q980</f>
        <v xml:space="preserve">PSPA </v>
      </c>
      <c r="Q114" s="154">
        <f>DATABASE!R980</f>
        <v>460000</v>
      </c>
      <c r="R114" s="174">
        <f>DATABASE!S980</f>
        <v>460000</v>
      </c>
      <c r="S114" s="173">
        <f>DATABASE!T980</f>
        <v>437000</v>
      </c>
      <c r="T114" s="175">
        <f>DATABASE!U980</f>
        <v>0</v>
      </c>
      <c r="U114" s="175">
        <f>DATABASE!V980</f>
        <v>0</v>
      </c>
      <c r="V114" s="79">
        <f>DATABASE!W980</f>
        <v>437000</v>
      </c>
      <c r="W114" s="80">
        <f>DATABASE!X980</f>
        <v>0</v>
      </c>
      <c r="X114" s="79">
        <f>DATABASE!Y980</f>
        <v>437000</v>
      </c>
      <c r="Y114" s="79">
        <f>DATABASE!Z980</f>
        <v>437000</v>
      </c>
      <c r="Z114" s="79" t="e">
        <f>DATABASE!#REF!</f>
        <v>#REF!</v>
      </c>
      <c r="AA114" s="81" t="e">
        <f>DATABASE!#REF!</f>
        <v>#REF!</v>
      </c>
      <c r="AB114" s="177">
        <f>DATABASE!AB980</f>
        <v>0</v>
      </c>
      <c r="AC114" s="159"/>
      <c r="AD114" s="51"/>
    </row>
    <row r="115" spans="1:30" s="14" customFormat="1">
      <c r="A115" s="158" t="str">
        <f>DATABASE!A981</f>
        <v>Aroeira - VILLAS</v>
      </c>
      <c r="B115" s="167" t="str">
        <f>DATABASE!B981</f>
        <v>Center</v>
      </c>
      <c r="C115" s="168" t="str">
        <f>DATABASE!C981</f>
        <v>15D</v>
      </c>
      <c r="D115" s="169" t="str">
        <f>DATABASE!E981</f>
        <v>T4</v>
      </c>
      <c r="E115" s="169">
        <f>DATABASE!F981</f>
        <v>416.8</v>
      </c>
      <c r="F115" s="169">
        <f>DATABASE!G981</f>
        <v>0</v>
      </c>
      <c r="G115" s="169" t="str">
        <f>DATABASE!H981</f>
        <v>2</v>
      </c>
      <c r="H115" s="169" t="str">
        <f>DATABASE!I981</f>
        <v>1</v>
      </c>
      <c r="I115" s="169">
        <f>DATABASE!J981</f>
        <v>0</v>
      </c>
      <c r="J115" s="169">
        <f>DATABASE!K981</f>
        <v>0</v>
      </c>
      <c r="K115" s="170">
        <f>DATABASE!L981</f>
        <v>0</v>
      </c>
      <c r="L115" s="171">
        <f>DATABASE!M981</f>
        <v>132</v>
      </c>
      <c r="M115" s="172">
        <f>DATABASE!N981</f>
        <v>53</v>
      </c>
      <c r="N115" s="173">
        <f>DATABASE!O981</f>
        <v>231.8</v>
      </c>
      <c r="O115" s="173">
        <f>DATABASE!P981</f>
        <v>0</v>
      </c>
      <c r="P115" s="173" t="str">
        <f>DATABASE!Q981</f>
        <v>AVAILABLE</v>
      </c>
      <c r="Q115" s="154">
        <f>DATABASE!R981</f>
        <v>1945000</v>
      </c>
      <c r="R115" s="174">
        <f>DATABASE!S981</f>
        <v>2015000</v>
      </c>
      <c r="S115" s="173">
        <f>DATABASE!T981</f>
        <v>2015000</v>
      </c>
      <c r="T115" s="175">
        <f>DATABASE!U981</f>
        <v>0</v>
      </c>
      <c r="U115" s="175">
        <f>DATABASE!V981</f>
        <v>70000</v>
      </c>
      <c r="V115" s="79">
        <f>DATABASE!W981</f>
        <v>1945000</v>
      </c>
      <c r="W115" s="80">
        <f>DATABASE!X981</f>
        <v>0</v>
      </c>
      <c r="X115" s="79">
        <f>DATABASE!Y981</f>
        <v>0</v>
      </c>
      <c r="Y115" s="79">
        <f>DATABASE!Z981</f>
        <v>-70000</v>
      </c>
      <c r="Z115" s="79" t="e">
        <f>DATABASE!#REF!</f>
        <v>#REF!</v>
      </c>
      <c r="AA115" s="81">
        <f>DATABASE!AA981</f>
        <v>0</v>
      </c>
      <c r="AB115" s="177">
        <f>DATABASE!AB981</f>
        <v>47118</v>
      </c>
      <c r="AC115" s="159"/>
      <c r="AD115" s="51"/>
    </row>
    <row r="116" spans="1:30" s="14" customFormat="1">
      <c r="A116" s="158" t="str">
        <f>DATABASE!A982</f>
        <v>Aroeira - VILLAS</v>
      </c>
      <c r="B116" s="167" t="str">
        <f>DATABASE!B982</f>
        <v>Center</v>
      </c>
      <c r="C116" s="168" t="str">
        <f>DATABASE!C982</f>
        <v>16D</v>
      </c>
      <c r="D116" s="169" t="str">
        <f>DATABASE!E982</f>
        <v>T3+1</v>
      </c>
      <c r="E116" s="169">
        <f>DATABASE!F982</f>
        <v>379.9</v>
      </c>
      <c r="F116" s="169">
        <f>DATABASE!G982</f>
        <v>0</v>
      </c>
      <c r="G116" s="169" t="str">
        <f>DATABASE!H982</f>
        <v>2</v>
      </c>
      <c r="H116" s="169" t="str">
        <f>DATABASE!I982</f>
        <v>1</v>
      </c>
      <c r="I116" s="169">
        <f>DATABASE!J982</f>
        <v>0</v>
      </c>
      <c r="J116" s="169">
        <f>DATABASE!K982</f>
        <v>0</v>
      </c>
      <c r="K116" s="170">
        <f>DATABASE!L982</f>
        <v>0</v>
      </c>
      <c r="L116" s="171">
        <f>DATABASE!M982</f>
        <v>104</v>
      </c>
      <c r="M116" s="172">
        <f>DATABASE!N982</f>
        <v>48</v>
      </c>
      <c r="N116" s="173">
        <f>DATABASE!O982</f>
        <v>227.9</v>
      </c>
      <c r="O116" s="173">
        <f>DATABASE!P982</f>
        <v>0</v>
      </c>
      <c r="P116" s="173" t="str">
        <f>DATABASE!Q982</f>
        <v>AVAILABLE</v>
      </c>
      <c r="Q116" s="154">
        <f>DATABASE!R982</f>
        <v>1965000</v>
      </c>
      <c r="R116" s="174">
        <f>DATABASE!S982</f>
        <v>2035000</v>
      </c>
      <c r="S116" s="173">
        <f>DATABASE!T982</f>
        <v>2035000</v>
      </c>
      <c r="T116" s="175">
        <f>DATABASE!U982</f>
        <v>0</v>
      </c>
      <c r="U116" s="175">
        <f>DATABASE!V982</f>
        <v>70000</v>
      </c>
      <c r="V116" s="79">
        <f>DATABASE!W982</f>
        <v>1965000</v>
      </c>
      <c r="W116" s="80">
        <f>DATABASE!X982</f>
        <v>0</v>
      </c>
      <c r="X116" s="79">
        <f>DATABASE!Y982</f>
        <v>0</v>
      </c>
      <c r="Y116" s="79">
        <f>DATABASE!Z982</f>
        <v>-70000</v>
      </c>
      <c r="Z116" s="79" t="e">
        <f>DATABASE!#REF!</f>
        <v>#REF!</v>
      </c>
      <c r="AA116" s="81">
        <f>DATABASE!AA982</f>
        <v>0</v>
      </c>
      <c r="AB116" s="177">
        <f>DATABASE!AB982</f>
        <v>47118</v>
      </c>
      <c r="AC116" s="159"/>
      <c r="AD116" s="51"/>
    </row>
    <row r="117" spans="1:30" s="14" customFormat="1">
      <c r="A117" s="158" t="str">
        <f>DATABASE!A983</f>
        <v>Palmares - Signature Apartments</v>
      </c>
      <c r="B117" s="167" t="str">
        <f>DATABASE!B983</f>
        <v>Algarve</v>
      </c>
      <c r="C117" s="168" t="str">
        <f>DATABASE!C983</f>
        <v>834B</v>
      </c>
      <c r="D117" s="169" t="str">
        <f>DATABASE!E983</f>
        <v>T2 (T1+1)</v>
      </c>
      <c r="E117" s="169">
        <f>DATABASE!F983</f>
        <v>152.85</v>
      </c>
      <c r="F117" s="169">
        <f>DATABASE!G983</f>
        <v>0</v>
      </c>
      <c r="G117" s="169" t="str">
        <f>DATABASE!H983</f>
        <v>83+84</v>
      </c>
      <c r="H117" s="169" t="str">
        <f>DATABASE!I983</f>
        <v/>
      </c>
      <c r="I117" s="169">
        <f>DATABASE!J983</f>
        <v>0</v>
      </c>
      <c r="J117" s="169">
        <f>DATABASE!K983</f>
        <v>0</v>
      </c>
      <c r="K117" s="170">
        <f>DATABASE!L983</f>
        <v>0</v>
      </c>
      <c r="L117" s="171">
        <f>DATABASE!M983</f>
        <v>39.85</v>
      </c>
      <c r="M117" s="172">
        <f>DATABASE!N983</f>
        <v>0</v>
      </c>
      <c r="N117" s="173">
        <f>DATABASE!O983</f>
        <v>113</v>
      </c>
      <c r="O117" s="173">
        <f>DATABASE!P983</f>
        <v>0</v>
      </c>
      <c r="P117" s="173" t="str">
        <f>DATABASE!Q983</f>
        <v xml:space="preserve">PSPA </v>
      </c>
      <c r="Q117" s="154">
        <f>DATABASE!R983</f>
        <v>550000</v>
      </c>
      <c r="R117" s="174">
        <f>DATABASE!S983</f>
        <v>550000</v>
      </c>
      <c r="S117" s="173">
        <f>DATABASE!T983</f>
        <v>812250</v>
      </c>
      <c r="T117" s="175">
        <f>DATABASE!U983</f>
        <v>0</v>
      </c>
      <c r="U117" s="175">
        <f>DATABASE!V983</f>
        <v>0</v>
      </c>
      <c r="V117" s="79">
        <f>DATABASE!W983</f>
        <v>812250</v>
      </c>
      <c r="W117" s="80">
        <f>DATABASE!X983</f>
        <v>0</v>
      </c>
      <c r="X117" s="79">
        <f>DATABASE!Y983</f>
        <v>812250</v>
      </c>
      <c r="Y117" s="79">
        <f>DATABASE!Z983</f>
        <v>812250</v>
      </c>
      <c r="Z117" s="79" t="e">
        <f>DATABASE!#REF!</f>
        <v>#REF!</v>
      </c>
      <c r="AA117" s="81" t="e">
        <f>DATABASE!#REF!</f>
        <v>#REF!</v>
      </c>
      <c r="AB117" s="177">
        <f>DATABASE!AB983</f>
        <v>46843</v>
      </c>
      <c r="AC117" s="159"/>
      <c r="AD117" s="51"/>
    </row>
    <row r="118" spans="1:30" s="14" customFormat="1">
      <c r="A118" s="158" t="str">
        <f>DATABASE!A984</f>
        <v>Palmares - Signature Apartments</v>
      </c>
      <c r="B118" s="167" t="str">
        <f>DATABASE!B984</f>
        <v>Algarve</v>
      </c>
      <c r="C118" s="168" t="str">
        <f>DATABASE!C984</f>
        <v>835B</v>
      </c>
      <c r="D118" s="169" t="str">
        <f>DATABASE!E984</f>
        <v>T3 Duplex</v>
      </c>
      <c r="E118" s="169">
        <f>DATABASE!F984</f>
        <v>211.3</v>
      </c>
      <c r="F118" s="169">
        <f>DATABASE!G984</f>
        <v>0</v>
      </c>
      <c r="G118" s="169" t="str">
        <f>DATABASE!H984</f>
        <v>56+57</v>
      </c>
      <c r="H118" s="169" t="str">
        <f>DATABASE!I984</f>
        <v/>
      </c>
      <c r="I118" s="169">
        <f>DATABASE!J984</f>
        <v>0</v>
      </c>
      <c r="J118" s="169">
        <f>DATABASE!K984</f>
        <v>0</v>
      </c>
      <c r="K118" s="170">
        <f>DATABASE!L984</f>
        <v>0</v>
      </c>
      <c r="L118" s="171">
        <f>DATABASE!M984</f>
        <v>62.7</v>
      </c>
      <c r="M118" s="172">
        <f>DATABASE!N984</f>
        <v>0</v>
      </c>
      <c r="N118" s="173">
        <f>DATABASE!O984</f>
        <v>148.6</v>
      </c>
      <c r="O118" s="173">
        <f>DATABASE!P984</f>
        <v>0</v>
      </c>
      <c r="P118" s="173" t="str">
        <f>DATABASE!Q984</f>
        <v xml:space="preserve">PSPA </v>
      </c>
      <c r="Q118" s="154">
        <f>DATABASE!R984</f>
        <v>540000</v>
      </c>
      <c r="R118" s="174">
        <f>DATABASE!S984</f>
        <v>540000</v>
      </c>
      <c r="S118" s="173">
        <f>DATABASE!T984</f>
        <v>1600000</v>
      </c>
      <c r="T118" s="175">
        <f>DATABASE!U984</f>
        <v>0</v>
      </c>
      <c r="U118" s="175">
        <f>DATABASE!V984</f>
        <v>0</v>
      </c>
      <c r="V118" s="79">
        <f>DATABASE!W984</f>
        <v>1600000</v>
      </c>
      <c r="W118" s="80">
        <f>DATABASE!X984</f>
        <v>4.6875E-2</v>
      </c>
      <c r="X118" s="79">
        <f>DATABASE!Y984</f>
        <v>1525000</v>
      </c>
      <c r="Y118" s="79">
        <f>DATABASE!Z984</f>
        <v>1525000</v>
      </c>
      <c r="Z118" s="79" t="e">
        <f>DATABASE!#REF!</f>
        <v>#REF!</v>
      </c>
      <c r="AA118" s="81" t="e">
        <f>DATABASE!#REF!</f>
        <v>#REF!</v>
      </c>
      <c r="AB118" s="177">
        <f>DATABASE!AB984</f>
        <v>46843</v>
      </c>
      <c r="AC118" s="159"/>
      <c r="AD118" s="51"/>
    </row>
    <row r="119" spans="1:30" s="14" customFormat="1">
      <c r="A119" s="158" t="str">
        <f>DATABASE!A985</f>
        <v>THE NINE</v>
      </c>
      <c r="B119" s="167" t="str">
        <f>DATABASE!B985</f>
        <v>Vilamoura</v>
      </c>
      <c r="C119" s="168" t="str">
        <f>DATABASE!C985</f>
        <v>P</v>
      </c>
      <c r="D119" s="169" t="str">
        <f>DATABASE!E985</f>
        <v>T2</v>
      </c>
      <c r="E119" s="169">
        <f>DATABASE!F985</f>
        <v>117</v>
      </c>
      <c r="F119" s="169">
        <f>DATABASE!G985</f>
        <v>0</v>
      </c>
      <c r="G119" s="169" t="str">
        <f>DATABASE!H985</f>
        <v/>
      </c>
      <c r="H119" s="169" t="str">
        <f>DATABASE!I985</f>
        <v/>
      </c>
      <c r="I119" s="169">
        <f>DATABASE!J985</f>
        <v>0</v>
      </c>
      <c r="J119" s="169">
        <f>DATABASE!K985</f>
        <v>0</v>
      </c>
      <c r="K119" s="170">
        <f>DATABASE!L985</f>
        <v>0</v>
      </c>
      <c r="L119" s="171">
        <f>DATABASE!M985</f>
        <v>0</v>
      </c>
      <c r="M119" s="172">
        <f>DATABASE!N985</f>
        <v>0</v>
      </c>
      <c r="N119" s="173">
        <f>DATABASE!O985</f>
        <v>117</v>
      </c>
      <c r="O119" s="173">
        <f>DATABASE!P985</f>
        <v>0</v>
      </c>
      <c r="P119" s="173" t="str">
        <f>DATABASE!Q985</f>
        <v xml:space="preserve">DEED </v>
      </c>
      <c r="Q119" s="154">
        <f>DATABASE!R985</f>
        <v>550000</v>
      </c>
      <c r="R119" s="174">
        <f>DATABASE!S985</f>
        <v>550000</v>
      </c>
      <c r="S119" s="173">
        <f>DATABASE!T985</f>
        <v>570000</v>
      </c>
      <c r="T119" s="175">
        <f>DATABASE!U985</f>
        <v>0</v>
      </c>
      <c r="U119" s="175">
        <f>DATABASE!V985</f>
        <v>0</v>
      </c>
      <c r="V119" s="79">
        <f>DATABASE!W985</f>
        <v>570000</v>
      </c>
      <c r="W119" s="80">
        <f>DATABASE!X985</f>
        <v>0</v>
      </c>
      <c r="X119" s="79">
        <f>DATABASE!Y985</f>
        <v>570000</v>
      </c>
      <c r="Y119" s="79">
        <f>DATABASE!Z985</f>
        <v>570000</v>
      </c>
      <c r="Z119" s="79" t="e">
        <f>DATABASE!#REF!</f>
        <v>#REF!</v>
      </c>
      <c r="AA119" s="81">
        <f>DATABASE!AA985</f>
        <v>45153</v>
      </c>
      <c r="AB119" s="177">
        <f>DATABASE!AB985</f>
        <v>0</v>
      </c>
      <c r="AC119" s="159"/>
      <c r="AD119" s="51"/>
    </row>
    <row r="120" spans="1:30" s="14" customFormat="1">
      <c r="A120" s="158" t="str">
        <f>DATABASE!A986</f>
        <v>VM PARQUE</v>
      </c>
      <c r="B120" s="167" t="str">
        <f>DATABASE!B986</f>
        <v>Vilamoura</v>
      </c>
      <c r="C120" s="168" t="str">
        <f>DATABASE!C986</f>
        <v>P</v>
      </c>
      <c r="D120" s="169" t="str">
        <f>DATABASE!E986</f>
        <v>V2</v>
      </c>
      <c r="E120" s="169">
        <f>DATABASE!F986</f>
        <v>165.44130000000001</v>
      </c>
      <c r="F120" s="169">
        <f>DATABASE!G986</f>
        <v>0</v>
      </c>
      <c r="G120" s="169" t="str">
        <f>DATABASE!H986</f>
        <v/>
      </c>
      <c r="H120" s="169" t="str">
        <f>DATABASE!I986</f>
        <v/>
      </c>
      <c r="I120" s="169">
        <f>DATABASE!J986</f>
        <v>0</v>
      </c>
      <c r="J120" s="169">
        <f>DATABASE!K986</f>
        <v>0</v>
      </c>
      <c r="K120" s="170">
        <f>DATABASE!L986</f>
        <v>0</v>
      </c>
      <c r="L120" s="171">
        <f>DATABASE!M986</f>
        <v>0</v>
      </c>
      <c r="M120" s="172">
        <f>DATABASE!N986</f>
        <v>0</v>
      </c>
      <c r="N120" s="173">
        <f>DATABASE!O986</f>
        <v>165.44130000000001</v>
      </c>
      <c r="O120" s="173">
        <f>DATABASE!P986</f>
        <v>0</v>
      </c>
      <c r="P120" s="173" t="str">
        <f>DATABASE!Q986</f>
        <v xml:space="preserve">DEED </v>
      </c>
      <c r="Q120" s="154">
        <f>DATABASE!R986</f>
        <v>1116828</v>
      </c>
      <c r="R120" s="174">
        <f>DATABASE!S986</f>
        <v>1116828</v>
      </c>
      <c r="S120" s="173">
        <f>DATABASE!T986</f>
        <v>1130000</v>
      </c>
      <c r="T120" s="175">
        <f>DATABASE!U986</f>
        <v>0</v>
      </c>
      <c r="U120" s="175">
        <f>DATABASE!V986</f>
        <v>0</v>
      </c>
      <c r="V120" s="79">
        <f>DATABASE!W986</f>
        <v>1130000</v>
      </c>
      <c r="W120" s="80">
        <f>DATABASE!X986</f>
        <v>0</v>
      </c>
      <c r="X120" s="79">
        <f>DATABASE!Y986</f>
        <v>1130000</v>
      </c>
      <c r="Y120" s="79">
        <f>DATABASE!Z986</f>
        <v>1130000</v>
      </c>
      <c r="Z120" s="79" t="e">
        <f>DATABASE!#REF!</f>
        <v>#REF!</v>
      </c>
      <c r="AA120" s="81">
        <f>DATABASE!AA986</f>
        <v>44810</v>
      </c>
      <c r="AB120" s="177">
        <f>DATABASE!AB986</f>
        <v>0</v>
      </c>
      <c r="AC120" s="159"/>
      <c r="AD120" s="51"/>
    </row>
    <row r="121" spans="1:30" s="14" customFormat="1">
      <c r="A121" s="158" t="str">
        <f>DATABASE!A987</f>
        <v>ZESTIA</v>
      </c>
      <c r="B121" s="167" t="str">
        <f>DATABASE!B987</f>
        <v>Vilamoura</v>
      </c>
      <c r="C121" s="168" t="str">
        <f>DATABASE!C987</f>
        <v>P</v>
      </c>
      <c r="D121" s="169" t="str">
        <f>DATABASE!E987</f>
        <v>T2</v>
      </c>
      <c r="E121" s="169">
        <f>DATABASE!F987</f>
        <v>151.09</v>
      </c>
      <c r="F121" s="169">
        <f>DATABASE!G987</f>
        <v>0</v>
      </c>
      <c r="G121" s="169" t="str">
        <f>DATABASE!H987</f>
        <v/>
      </c>
      <c r="H121" s="169" t="str">
        <f>DATABASE!I987</f>
        <v/>
      </c>
      <c r="I121" s="169">
        <f>DATABASE!J987</f>
        <v>61.03</v>
      </c>
      <c r="J121" s="169">
        <f>DATABASE!K987</f>
        <v>0</v>
      </c>
      <c r="K121" s="170">
        <f>DATABASE!L987</f>
        <v>0</v>
      </c>
      <c r="L121" s="171">
        <f>DATABASE!M987</f>
        <v>0</v>
      </c>
      <c r="M121" s="172">
        <f>DATABASE!N987</f>
        <v>0</v>
      </c>
      <c r="N121" s="173">
        <f>DATABASE!O987</f>
        <v>90.06</v>
      </c>
      <c r="O121" s="173">
        <f>DATABASE!P987</f>
        <v>0</v>
      </c>
      <c r="P121" s="173" t="str">
        <f>DATABASE!Q987</f>
        <v xml:space="preserve">PSPA </v>
      </c>
      <c r="Q121" s="154">
        <f>DATABASE!R987</f>
        <v>727345.06</v>
      </c>
      <c r="R121" s="174">
        <f>DATABASE!S987</f>
        <v>791945.06</v>
      </c>
      <c r="S121" s="173">
        <f>DATABASE!T987</f>
        <v>840000</v>
      </c>
      <c r="T121" s="175">
        <f>DATABASE!U987</f>
        <v>24600</v>
      </c>
      <c r="U121" s="175">
        <f>DATABASE!V987</f>
        <v>40000</v>
      </c>
      <c r="V121" s="79">
        <f>DATABASE!W987</f>
        <v>775400</v>
      </c>
      <c r="W121" s="80">
        <f>DATABASE!X987</f>
        <v>6.4642857142857099E-2</v>
      </c>
      <c r="X121" s="79">
        <f>DATABASE!Y987</f>
        <v>785700</v>
      </c>
      <c r="Y121" s="79">
        <f>DATABASE!Z987</f>
        <v>721100</v>
      </c>
      <c r="Z121" s="79" t="e">
        <f>DATABASE!#REF!</f>
        <v>#REF!</v>
      </c>
      <c r="AA121" s="81" t="e">
        <f>DATABASE!#REF!</f>
        <v>#REF!</v>
      </c>
      <c r="AB121" s="177">
        <f>DATABASE!AB987</f>
        <v>0</v>
      </c>
      <c r="AC121" s="159"/>
      <c r="AD121" s="51"/>
    </row>
    <row r="122" spans="1:30" s="14" customFormat="1">
      <c r="A122" s="158" t="str">
        <f>DATABASE!A988</f>
        <v>Aroeira - VILLAS</v>
      </c>
      <c r="B122" s="167" t="str">
        <f>DATABASE!B988</f>
        <v>Center</v>
      </c>
      <c r="C122" s="168" t="str">
        <f>DATABASE!C988</f>
        <v>14D</v>
      </c>
      <c r="D122" s="169" t="str">
        <f>DATABASE!E988</f>
        <v>T4</v>
      </c>
      <c r="E122" s="169">
        <f>DATABASE!F988</f>
        <v>393.7</v>
      </c>
      <c r="F122" s="169">
        <f>DATABASE!G988</f>
        <v>0</v>
      </c>
      <c r="G122" s="169" t="str">
        <f>DATABASE!H988</f>
        <v>2</v>
      </c>
      <c r="H122" s="169" t="str">
        <f>DATABASE!I988</f>
        <v>1</v>
      </c>
      <c r="I122" s="169">
        <f>DATABASE!J988</f>
        <v>0</v>
      </c>
      <c r="J122" s="169">
        <f>DATABASE!K988</f>
        <v>0</v>
      </c>
      <c r="K122" s="170">
        <f>DATABASE!L988</f>
        <v>0</v>
      </c>
      <c r="L122" s="171">
        <f>DATABASE!M988</f>
        <v>107</v>
      </c>
      <c r="M122" s="172">
        <f>DATABASE!N988</f>
        <v>48</v>
      </c>
      <c r="N122" s="173">
        <f>DATABASE!O988</f>
        <v>238.7</v>
      </c>
      <c r="O122" s="173">
        <f>DATABASE!P988</f>
        <v>0</v>
      </c>
      <c r="P122" s="173" t="str">
        <f>DATABASE!Q988</f>
        <v>AVAILABLE</v>
      </c>
      <c r="Q122" s="154">
        <f>DATABASE!R988</f>
        <v>1975000</v>
      </c>
      <c r="R122" s="174">
        <f>DATABASE!S988</f>
        <v>2045000</v>
      </c>
      <c r="S122" s="173">
        <f>DATABASE!T988</f>
        <v>2045000</v>
      </c>
      <c r="T122" s="175">
        <f>DATABASE!U988</f>
        <v>0</v>
      </c>
      <c r="U122" s="175">
        <f>DATABASE!V988</f>
        <v>70000</v>
      </c>
      <c r="V122" s="79">
        <f>DATABASE!W988</f>
        <v>1975000</v>
      </c>
      <c r="W122" s="80">
        <f>DATABASE!X988</f>
        <v>0</v>
      </c>
      <c r="X122" s="79">
        <f>DATABASE!Y988</f>
        <v>0</v>
      </c>
      <c r="Y122" s="79">
        <f>DATABASE!Z988</f>
        <v>-70000</v>
      </c>
      <c r="Z122" s="79" t="e">
        <f>DATABASE!#REF!</f>
        <v>#REF!</v>
      </c>
      <c r="AA122" s="81">
        <f>DATABASE!AA988</f>
        <v>0</v>
      </c>
      <c r="AB122" s="177">
        <f>DATABASE!AB988</f>
        <v>47118</v>
      </c>
      <c r="AC122" s="159"/>
      <c r="AD122" s="51"/>
    </row>
    <row r="123" spans="1:30" s="14" customFormat="1">
      <c r="A123" s="158" t="str">
        <f>DATABASE!A989</f>
        <v>Aroeira - VILLAS</v>
      </c>
      <c r="B123" s="167" t="str">
        <f>DATABASE!B989</f>
        <v>Center</v>
      </c>
      <c r="C123" s="168" t="str">
        <f>DATABASE!C989</f>
        <v>17D</v>
      </c>
      <c r="D123" s="169" t="str">
        <f>DATABASE!E989</f>
        <v>T3+1</v>
      </c>
      <c r="E123" s="169">
        <f>DATABASE!F989</f>
        <v>380.7</v>
      </c>
      <c r="F123" s="169">
        <f>DATABASE!G989</f>
        <v>0</v>
      </c>
      <c r="G123" s="169" t="str">
        <f>DATABASE!H989</f>
        <v>2</v>
      </c>
      <c r="H123" s="169" t="str">
        <f>DATABASE!I989</f>
        <v>1</v>
      </c>
      <c r="I123" s="169">
        <f>DATABASE!J989</f>
        <v>0</v>
      </c>
      <c r="J123" s="169">
        <f>DATABASE!K989</f>
        <v>0</v>
      </c>
      <c r="K123" s="170">
        <f>DATABASE!L989</f>
        <v>0</v>
      </c>
      <c r="L123" s="171">
        <f>DATABASE!M989</f>
        <v>104</v>
      </c>
      <c r="M123" s="172">
        <f>DATABASE!N989</f>
        <v>48</v>
      </c>
      <c r="N123" s="173">
        <f>DATABASE!O989</f>
        <v>228.7</v>
      </c>
      <c r="O123" s="173">
        <f>DATABASE!P989</f>
        <v>0</v>
      </c>
      <c r="P123" s="173" t="str">
        <f>DATABASE!Q989</f>
        <v>AVAILABLE</v>
      </c>
      <c r="Q123" s="154">
        <f>DATABASE!R989</f>
        <v>1975000</v>
      </c>
      <c r="R123" s="174">
        <f>DATABASE!S989</f>
        <v>2045000</v>
      </c>
      <c r="S123" s="173">
        <f>DATABASE!T989</f>
        <v>2045000</v>
      </c>
      <c r="T123" s="175">
        <f>DATABASE!U989</f>
        <v>0</v>
      </c>
      <c r="U123" s="175">
        <f>DATABASE!V989</f>
        <v>70000</v>
      </c>
      <c r="V123" s="79">
        <f>DATABASE!W989</f>
        <v>1975000</v>
      </c>
      <c r="W123" s="80">
        <f>DATABASE!X989</f>
        <v>0</v>
      </c>
      <c r="X123" s="79">
        <f>DATABASE!Y989</f>
        <v>0</v>
      </c>
      <c r="Y123" s="79">
        <f>DATABASE!Z989</f>
        <v>-70000</v>
      </c>
      <c r="Z123" s="79" t="e">
        <f>DATABASE!#REF!</f>
        <v>#REF!</v>
      </c>
      <c r="AA123" s="81">
        <f>DATABASE!AA989</f>
        <v>0</v>
      </c>
      <c r="AB123" s="177">
        <f>DATABASE!AB989</f>
        <v>47118</v>
      </c>
      <c r="AC123" s="159"/>
      <c r="AD123" s="51"/>
    </row>
    <row r="124" spans="1:30" s="14" customFormat="1">
      <c r="A124" s="158" t="str">
        <f>DATABASE!A990</f>
        <v>Palmares - Signature Apartments</v>
      </c>
      <c r="B124" s="167" t="str">
        <f>DATABASE!B990</f>
        <v>Algarve</v>
      </c>
      <c r="C124" s="168" t="str">
        <f>DATABASE!C990</f>
        <v>836C</v>
      </c>
      <c r="D124" s="169" t="str">
        <f>DATABASE!E990</f>
        <v>T1</v>
      </c>
      <c r="E124" s="169">
        <f>DATABASE!F990</f>
        <v>101.15</v>
      </c>
      <c r="F124" s="169">
        <f>DATABASE!G990</f>
        <v>0</v>
      </c>
      <c r="G124" s="169" t="str">
        <f>DATABASE!H990</f>
        <v>48+49</v>
      </c>
      <c r="H124" s="169" t="str">
        <f>DATABASE!I990</f>
        <v/>
      </c>
      <c r="I124" s="169">
        <f>DATABASE!J990</f>
        <v>0</v>
      </c>
      <c r="J124" s="169">
        <f>DATABASE!K990</f>
        <v>0</v>
      </c>
      <c r="K124" s="170">
        <f>DATABASE!L990</f>
        <v>0</v>
      </c>
      <c r="L124" s="171">
        <f>DATABASE!M990</f>
        <v>18.100000000000001</v>
      </c>
      <c r="M124" s="172">
        <f>DATABASE!N990</f>
        <v>0</v>
      </c>
      <c r="N124" s="173">
        <f>DATABASE!O990</f>
        <v>83.05</v>
      </c>
      <c r="O124" s="173">
        <f>DATABASE!P990</f>
        <v>0</v>
      </c>
      <c r="P124" s="173" t="str">
        <f>DATABASE!Q990</f>
        <v xml:space="preserve">PSPA </v>
      </c>
      <c r="Q124" s="154">
        <f>DATABASE!R990</f>
        <v>540000</v>
      </c>
      <c r="R124" s="174">
        <f>DATABASE!S990</f>
        <v>540000</v>
      </c>
      <c r="S124" s="173">
        <f>DATABASE!T990</f>
        <v>650000</v>
      </c>
      <c r="T124" s="175">
        <f>DATABASE!U990</f>
        <v>0</v>
      </c>
      <c r="U124" s="175">
        <f>DATABASE!V990</f>
        <v>0</v>
      </c>
      <c r="V124" s="79">
        <f>DATABASE!W990</f>
        <v>650000</v>
      </c>
      <c r="W124" s="80">
        <f>DATABASE!X990</f>
        <v>7.69230769230769E-2</v>
      </c>
      <c r="X124" s="79">
        <f>DATABASE!Y990</f>
        <v>600000</v>
      </c>
      <c r="Y124" s="79">
        <f>DATABASE!Z990</f>
        <v>600000</v>
      </c>
      <c r="Z124" s="79" t="e">
        <f>DATABASE!#REF!</f>
        <v>#REF!</v>
      </c>
      <c r="AA124" s="81" t="e">
        <f>DATABASE!#REF!</f>
        <v>#REF!</v>
      </c>
      <c r="AB124" s="177">
        <f>DATABASE!AB990</f>
        <v>46843</v>
      </c>
      <c r="AC124" s="159"/>
      <c r="AD124" s="51"/>
    </row>
    <row r="125" spans="1:30" s="14" customFormat="1">
      <c r="A125" s="158" t="str">
        <f>DATABASE!A991</f>
        <v>Palmares - Signature Apartments</v>
      </c>
      <c r="B125" s="167" t="str">
        <f>DATABASE!B991</f>
        <v>Algarve</v>
      </c>
      <c r="C125" s="168" t="str">
        <f>DATABASE!C991</f>
        <v>837C</v>
      </c>
      <c r="D125" s="169" t="str">
        <f>DATABASE!E991</f>
        <v>T1</v>
      </c>
      <c r="E125" s="169">
        <f>DATABASE!F991</f>
        <v>91.7</v>
      </c>
      <c r="F125" s="169">
        <f>DATABASE!G991</f>
        <v>0</v>
      </c>
      <c r="G125" s="169" t="str">
        <f>DATABASE!H991</f>
        <v>73+74</v>
      </c>
      <c r="H125" s="169" t="str">
        <f>DATABASE!I991</f>
        <v/>
      </c>
      <c r="I125" s="169">
        <f>DATABASE!J991</f>
        <v>0</v>
      </c>
      <c r="J125" s="169">
        <f>DATABASE!K991</f>
        <v>0</v>
      </c>
      <c r="K125" s="170">
        <f>DATABASE!L991</f>
        <v>0</v>
      </c>
      <c r="L125" s="171">
        <f>DATABASE!M991</f>
        <v>19.7</v>
      </c>
      <c r="M125" s="172">
        <f>DATABASE!N991</f>
        <v>0</v>
      </c>
      <c r="N125" s="173">
        <f>DATABASE!O991</f>
        <v>72</v>
      </c>
      <c r="O125" s="173">
        <f>DATABASE!P991</f>
        <v>0</v>
      </c>
      <c r="P125" s="173" t="str">
        <f>DATABASE!Q991</f>
        <v>AVAILABLE</v>
      </c>
      <c r="Q125" s="154">
        <f>DATABASE!R991</f>
        <v>550000</v>
      </c>
      <c r="R125" s="174">
        <f>DATABASE!S991</f>
        <v>550000</v>
      </c>
      <c r="S125" s="173">
        <f>DATABASE!T991</f>
        <v>600000</v>
      </c>
      <c r="T125" s="175">
        <f>DATABASE!U991</f>
        <v>0</v>
      </c>
      <c r="U125" s="175">
        <f>DATABASE!V991</f>
        <v>0</v>
      </c>
      <c r="V125" s="79">
        <f>DATABASE!W991</f>
        <v>600000</v>
      </c>
      <c r="W125" s="80">
        <f>DATABASE!X991</f>
        <v>0</v>
      </c>
      <c r="X125" s="79">
        <f>DATABASE!Y991</f>
        <v>600000</v>
      </c>
      <c r="Y125" s="79">
        <f>DATABASE!Z991</f>
        <v>600000</v>
      </c>
      <c r="Z125" s="79" t="e">
        <f>DATABASE!#REF!</f>
        <v>#REF!</v>
      </c>
      <c r="AA125" s="81">
        <f>DATABASE!AA991</f>
        <v>0</v>
      </c>
      <c r="AB125" s="177">
        <f>DATABASE!AB991</f>
        <v>46843</v>
      </c>
      <c r="AC125" s="159"/>
      <c r="AD125" s="51"/>
    </row>
    <row r="126" spans="1:30" s="14" customFormat="1">
      <c r="A126" s="158" t="str">
        <f>DATABASE!A992</f>
        <v>Palmares - Signature Apartments</v>
      </c>
      <c r="B126" s="167" t="str">
        <f>DATABASE!B992</f>
        <v>Algarve</v>
      </c>
      <c r="C126" s="168" t="str">
        <f>DATABASE!C992</f>
        <v>838C</v>
      </c>
      <c r="D126" s="169" t="str">
        <f>DATABASE!E992</f>
        <v>T1</v>
      </c>
      <c r="E126" s="169">
        <f>DATABASE!F992</f>
        <v>101.15</v>
      </c>
      <c r="F126" s="169">
        <f>DATABASE!G992</f>
        <v>0</v>
      </c>
      <c r="G126" s="169" t="str">
        <f>DATABASE!H992</f>
        <v>75+76</v>
      </c>
      <c r="H126" s="169" t="str">
        <f>DATABASE!I992</f>
        <v/>
      </c>
      <c r="I126" s="169">
        <f>DATABASE!J992</f>
        <v>0</v>
      </c>
      <c r="J126" s="169">
        <f>DATABASE!K992</f>
        <v>0</v>
      </c>
      <c r="K126" s="170">
        <f>DATABASE!L992</f>
        <v>0</v>
      </c>
      <c r="L126" s="171">
        <f>DATABASE!M992</f>
        <v>18.100000000000001</v>
      </c>
      <c r="M126" s="172">
        <f>DATABASE!N992</f>
        <v>0</v>
      </c>
      <c r="N126" s="173">
        <f>DATABASE!O992</f>
        <v>83.05</v>
      </c>
      <c r="O126" s="173">
        <f>DATABASE!P992</f>
        <v>0</v>
      </c>
      <c r="P126" s="173" t="str">
        <f>DATABASE!Q992</f>
        <v>AVAILABLE</v>
      </c>
      <c r="Q126" s="154">
        <f>DATABASE!R992</f>
        <v>550000</v>
      </c>
      <c r="R126" s="174">
        <f>DATABASE!S992</f>
        <v>550000</v>
      </c>
      <c r="S126" s="173">
        <f>DATABASE!T992</f>
        <v>600000</v>
      </c>
      <c r="T126" s="175">
        <f>DATABASE!U992</f>
        <v>0</v>
      </c>
      <c r="U126" s="175">
        <f>DATABASE!V992</f>
        <v>0</v>
      </c>
      <c r="V126" s="79">
        <f>DATABASE!W992</f>
        <v>600000</v>
      </c>
      <c r="W126" s="80">
        <f>DATABASE!X992</f>
        <v>0</v>
      </c>
      <c r="X126" s="79">
        <f>DATABASE!Y992</f>
        <v>600000</v>
      </c>
      <c r="Y126" s="79">
        <f>DATABASE!Z992</f>
        <v>600000</v>
      </c>
      <c r="Z126" s="79" t="e">
        <f>DATABASE!#REF!</f>
        <v>#REF!</v>
      </c>
      <c r="AA126" s="81">
        <f>DATABASE!AA992</f>
        <v>0</v>
      </c>
      <c r="AB126" s="177">
        <f>DATABASE!AB992</f>
        <v>46843</v>
      </c>
      <c r="AC126" s="159"/>
      <c r="AD126" s="51"/>
    </row>
    <row r="127" spans="1:30" s="14" customFormat="1">
      <c r="A127" s="158" t="str">
        <f>DATABASE!A993</f>
        <v>Aroeira - VILLAS</v>
      </c>
      <c r="B127" s="167" t="str">
        <f>DATABASE!B993</f>
        <v>Center</v>
      </c>
      <c r="C127" s="168" t="str">
        <f>DATABASE!C993</f>
        <v>18D</v>
      </c>
      <c r="D127" s="169" t="str">
        <f>DATABASE!E993</f>
        <v>T3+1</v>
      </c>
      <c r="E127" s="169">
        <f>DATABASE!F993</f>
        <v>382.9</v>
      </c>
      <c r="F127" s="169">
        <f>DATABASE!G993</f>
        <v>0</v>
      </c>
      <c r="G127" s="169" t="str">
        <f>DATABASE!H993</f>
        <v>2</v>
      </c>
      <c r="H127" s="169" t="str">
        <f>DATABASE!I993</f>
        <v>1</v>
      </c>
      <c r="I127" s="169">
        <f>DATABASE!J993</f>
        <v>0</v>
      </c>
      <c r="J127" s="169">
        <f>DATABASE!K993</f>
        <v>0</v>
      </c>
      <c r="K127" s="170">
        <f>DATABASE!L993</f>
        <v>0</v>
      </c>
      <c r="L127" s="171">
        <f>DATABASE!M993</f>
        <v>104</v>
      </c>
      <c r="M127" s="172">
        <f>DATABASE!N993</f>
        <v>48</v>
      </c>
      <c r="N127" s="173">
        <f>DATABASE!O993</f>
        <v>230.9</v>
      </c>
      <c r="O127" s="173">
        <f>DATABASE!P993</f>
        <v>0</v>
      </c>
      <c r="P127" s="173" t="str">
        <f>DATABASE!Q993</f>
        <v>AVAILABLE</v>
      </c>
      <c r="Q127" s="154">
        <f>DATABASE!R993</f>
        <v>1995000</v>
      </c>
      <c r="R127" s="174">
        <f>DATABASE!S993</f>
        <v>2065000</v>
      </c>
      <c r="S127" s="173">
        <f>DATABASE!T993</f>
        <v>2065000</v>
      </c>
      <c r="T127" s="175">
        <f>DATABASE!U993</f>
        <v>0</v>
      </c>
      <c r="U127" s="175">
        <f>DATABASE!V993</f>
        <v>70000</v>
      </c>
      <c r="V127" s="79">
        <f>DATABASE!W993</f>
        <v>1995000</v>
      </c>
      <c r="W127" s="80">
        <f>DATABASE!X993</f>
        <v>0</v>
      </c>
      <c r="X127" s="79">
        <f>DATABASE!Y993</f>
        <v>0</v>
      </c>
      <c r="Y127" s="79">
        <f>DATABASE!Z993</f>
        <v>-70000</v>
      </c>
      <c r="Z127" s="79" t="e">
        <f>DATABASE!#REF!</f>
        <v>#REF!</v>
      </c>
      <c r="AA127" s="81">
        <f>DATABASE!AA993</f>
        <v>0</v>
      </c>
      <c r="AB127" s="177">
        <f>DATABASE!AB993</f>
        <v>47118</v>
      </c>
      <c r="AC127" s="159"/>
      <c r="AD127" s="51"/>
    </row>
    <row r="128" spans="1:30" s="14" customFormat="1">
      <c r="A128" s="158" t="str">
        <f>DATABASE!A994</f>
        <v>Palmares - Signature Apartments</v>
      </c>
      <c r="B128" s="167" t="str">
        <f>DATABASE!B994</f>
        <v>Algarve</v>
      </c>
      <c r="C128" s="168" t="str">
        <f>DATABASE!C994</f>
        <v>839C</v>
      </c>
      <c r="D128" s="169" t="str">
        <f>DATABASE!E994</f>
        <v>T1</v>
      </c>
      <c r="E128" s="169">
        <f>DATABASE!F994</f>
        <v>91.7</v>
      </c>
      <c r="F128" s="169">
        <f>DATABASE!G994</f>
        <v>0</v>
      </c>
      <c r="G128" s="169" t="str">
        <f>DATABASE!H994</f>
        <v>77+78</v>
      </c>
      <c r="H128" s="169" t="str">
        <f>DATABASE!I994</f>
        <v/>
      </c>
      <c r="I128" s="169">
        <f>DATABASE!J994</f>
        <v>0</v>
      </c>
      <c r="J128" s="169">
        <f>DATABASE!K994</f>
        <v>0</v>
      </c>
      <c r="K128" s="170">
        <f>DATABASE!L994</f>
        <v>0</v>
      </c>
      <c r="L128" s="171">
        <f>DATABASE!M994</f>
        <v>19.7</v>
      </c>
      <c r="M128" s="172">
        <f>DATABASE!N994</f>
        <v>0</v>
      </c>
      <c r="N128" s="173">
        <f>DATABASE!O994</f>
        <v>72</v>
      </c>
      <c r="O128" s="173">
        <f>DATABASE!P994</f>
        <v>0</v>
      </c>
      <c r="P128" s="173" t="str">
        <f>DATABASE!Q994</f>
        <v>AVAILABLE</v>
      </c>
      <c r="Q128" s="154">
        <f>DATABASE!R994</f>
        <v>540000</v>
      </c>
      <c r="R128" s="174">
        <f>DATABASE!S994</f>
        <v>540000</v>
      </c>
      <c r="S128" s="173">
        <f>DATABASE!T994</f>
        <v>600000</v>
      </c>
      <c r="T128" s="175">
        <f>DATABASE!U994</f>
        <v>0</v>
      </c>
      <c r="U128" s="175">
        <f>DATABASE!V994</f>
        <v>0</v>
      </c>
      <c r="V128" s="79">
        <f>DATABASE!W994</f>
        <v>600000</v>
      </c>
      <c r="W128" s="80">
        <f>DATABASE!X994</f>
        <v>0</v>
      </c>
      <c r="X128" s="79">
        <f>DATABASE!Y994</f>
        <v>600000</v>
      </c>
      <c r="Y128" s="79">
        <f>DATABASE!Z994</f>
        <v>600000</v>
      </c>
      <c r="Z128" s="79" t="e">
        <f>DATABASE!#REF!</f>
        <v>#REF!</v>
      </c>
      <c r="AA128" s="81">
        <f>DATABASE!AA994</f>
        <v>0</v>
      </c>
      <c r="AB128" s="177">
        <f>DATABASE!AB994</f>
        <v>46843</v>
      </c>
      <c r="AC128" s="159"/>
      <c r="AD128" s="51"/>
    </row>
    <row r="129" spans="1:30" s="14" customFormat="1">
      <c r="A129" s="158" t="str">
        <f>DATABASE!A995</f>
        <v>Palmares - Signature Apartments</v>
      </c>
      <c r="B129" s="167" t="str">
        <f>DATABASE!B995</f>
        <v>Algarve</v>
      </c>
      <c r="C129" s="168" t="str">
        <f>DATABASE!C995</f>
        <v>840C</v>
      </c>
      <c r="D129" s="169" t="str">
        <f>DATABASE!E995</f>
        <v>T1</v>
      </c>
      <c r="E129" s="169">
        <f>DATABASE!F995</f>
        <v>101.15</v>
      </c>
      <c r="F129" s="169">
        <f>DATABASE!G995</f>
        <v>0</v>
      </c>
      <c r="G129" s="169" t="str">
        <f>DATABASE!H995</f>
        <v>79+80</v>
      </c>
      <c r="H129" s="169" t="str">
        <f>DATABASE!I995</f>
        <v/>
      </c>
      <c r="I129" s="169">
        <f>DATABASE!J995</f>
        <v>0</v>
      </c>
      <c r="J129" s="169">
        <f>DATABASE!K995</f>
        <v>0</v>
      </c>
      <c r="K129" s="170">
        <f>DATABASE!L995</f>
        <v>0</v>
      </c>
      <c r="L129" s="171">
        <f>DATABASE!M995</f>
        <v>18.100000000000001</v>
      </c>
      <c r="M129" s="172">
        <f>DATABASE!N995</f>
        <v>0</v>
      </c>
      <c r="N129" s="173">
        <f>DATABASE!O995</f>
        <v>83.05</v>
      </c>
      <c r="O129" s="173">
        <f>DATABASE!P995</f>
        <v>0</v>
      </c>
      <c r="P129" s="173" t="str">
        <f>DATABASE!Q995</f>
        <v>AVAILABLE</v>
      </c>
      <c r="Q129" s="154">
        <f>DATABASE!R995</f>
        <v>660000</v>
      </c>
      <c r="R129" s="174">
        <f>DATABASE!S995</f>
        <v>660000</v>
      </c>
      <c r="S129" s="173">
        <f>DATABASE!T995</f>
        <v>600000</v>
      </c>
      <c r="T129" s="175">
        <f>DATABASE!U995</f>
        <v>0</v>
      </c>
      <c r="U129" s="175">
        <f>DATABASE!V995</f>
        <v>0</v>
      </c>
      <c r="V129" s="79">
        <f>DATABASE!W995</f>
        <v>600000</v>
      </c>
      <c r="W129" s="80">
        <f>DATABASE!X995</f>
        <v>0</v>
      </c>
      <c r="X129" s="79">
        <f>DATABASE!Y995</f>
        <v>600000</v>
      </c>
      <c r="Y129" s="79">
        <f>DATABASE!Z995</f>
        <v>600000</v>
      </c>
      <c r="Z129" s="79" t="e">
        <f>DATABASE!#REF!</f>
        <v>#REF!</v>
      </c>
      <c r="AA129" s="81">
        <f>DATABASE!AA995</f>
        <v>0</v>
      </c>
      <c r="AB129" s="177">
        <f>DATABASE!AB995</f>
        <v>46843</v>
      </c>
      <c r="AC129" s="159"/>
      <c r="AD129" s="51"/>
    </row>
    <row r="130" spans="1:30" s="14" customFormat="1">
      <c r="A130" s="158" t="str">
        <f>DATABASE!A996</f>
        <v>Palmares - Signature Apartments</v>
      </c>
      <c r="B130" s="167" t="str">
        <f>DATABASE!B996</f>
        <v>Algarve</v>
      </c>
      <c r="C130" s="168" t="str">
        <f>DATABASE!C996</f>
        <v>841C</v>
      </c>
      <c r="D130" s="169" t="str">
        <f>DATABASE!E996</f>
        <v>T2 (T1+1)</v>
      </c>
      <c r="E130" s="169">
        <f>DATABASE!F996</f>
        <v>138.6</v>
      </c>
      <c r="F130" s="169">
        <f>DATABASE!G996</f>
        <v>0</v>
      </c>
      <c r="G130" s="169" t="str">
        <f>DATABASE!H996</f>
        <v>81+82</v>
      </c>
      <c r="H130" s="169" t="str">
        <f>DATABASE!I996</f>
        <v/>
      </c>
      <c r="I130" s="169">
        <f>DATABASE!J996</f>
        <v>0</v>
      </c>
      <c r="J130" s="169">
        <f>DATABASE!K996</f>
        <v>0</v>
      </c>
      <c r="K130" s="170">
        <f>DATABASE!L996</f>
        <v>0</v>
      </c>
      <c r="L130" s="171">
        <f>DATABASE!M996</f>
        <v>32.4</v>
      </c>
      <c r="M130" s="172">
        <f>DATABASE!N996</f>
        <v>0</v>
      </c>
      <c r="N130" s="173">
        <f>DATABASE!O996</f>
        <v>106.2</v>
      </c>
      <c r="O130" s="173">
        <f>DATABASE!P996</f>
        <v>0</v>
      </c>
      <c r="P130" s="173" t="str">
        <f>DATABASE!Q996</f>
        <v>AVAILABLE</v>
      </c>
      <c r="Q130" s="154">
        <f>DATABASE!R996</f>
        <v>710000</v>
      </c>
      <c r="R130" s="174">
        <f>DATABASE!S996</f>
        <v>710000</v>
      </c>
      <c r="S130" s="173">
        <f>DATABASE!T996</f>
        <v>850000</v>
      </c>
      <c r="T130" s="175">
        <f>DATABASE!U996</f>
        <v>0</v>
      </c>
      <c r="U130" s="175">
        <f>DATABASE!V996</f>
        <v>0</v>
      </c>
      <c r="V130" s="79">
        <f>DATABASE!W996</f>
        <v>850000</v>
      </c>
      <c r="W130" s="80">
        <f>DATABASE!X996</f>
        <v>0</v>
      </c>
      <c r="X130" s="79">
        <f>DATABASE!Y996</f>
        <v>850000</v>
      </c>
      <c r="Y130" s="79">
        <f>DATABASE!Z996</f>
        <v>850000</v>
      </c>
      <c r="Z130" s="79" t="e">
        <f>DATABASE!#REF!</f>
        <v>#REF!</v>
      </c>
      <c r="AA130" s="81">
        <f>DATABASE!AA996</f>
        <v>0</v>
      </c>
      <c r="AB130" s="177">
        <f>DATABASE!AB996</f>
        <v>46843</v>
      </c>
      <c r="AC130" s="159"/>
      <c r="AD130" s="51"/>
    </row>
    <row r="131" spans="1:30" s="14" customFormat="1">
      <c r="A131" s="158" t="str">
        <f>DATABASE!A997</f>
        <v>BOTÂNICA</v>
      </c>
      <c r="B131" s="167" t="str">
        <f>DATABASE!B997</f>
        <v>Vilamoura</v>
      </c>
      <c r="C131" s="168" t="str">
        <f>DATABASE!C997</f>
        <v>Q</v>
      </c>
      <c r="D131" s="169" t="str">
        <f>DATABASE!E997</f>
        <v>T2</v>
      </c>
      <c r="E131" s="169">
        <f>DATABASE!F997</f>
        <v>151.53</v>
      </c>
      <c r="F131" s="169">
        <f>DATABASE!G997</f>
        <v>0</v>
      </c>
      <c r="G131" s="169" t="str">
        <f>DATABASE!H997</f>
        <v>2</v>
      </c>
      <c r="H131" s="169" t="str">
        <f>DATABASE!I997</f>
        <v/>
      </c>
      <c r="I131" s="169">
        <f>DATABASE!J997</f>
        <v>15.79</v>
      </c>
      <c r="J131" s="169">
        <f>DATABASE!K997</f>
        <v>0</v>
      </c>
      <c r="K131" s="170">
        <f>DATABASE!L997</f>
        <v>0</v>
      </c>
      <c r="L131" s="171">
        <f>DATABASE!M997</f>
        <v>11.82</v>
      </c>
      <c r="M131" s="172">
        <f>DATABASE!N997</f>
        <v>0</v>
      </c>
      <c r="N131" s="173">
        <f>DATABASE!O997</f>
        <v>123.92</v>
      </c>
      <c r="O131" s="173">
        <f>DATABASE!P997</f>
        <v>0</v>
      </c>
      <c r="P131" s="173" t="str">
        <f>DATABASE!Q997</f>
        <v>AVAILABLE</v>
      </c>
      <c r="Q131" s="154">
        <f>DATABASE!R997</f>
        <v>1038322.362</v>
      </c>
      <c r="R131" s="174">
        <f>DATABASE!S997</f>
        <v>1038322.362</v>
      </c>
      <c r="S131" s="173">
        <f>DATABASE!T997</f>
        <v>1075000</v>
      </c>
      <c r="T131" s="175">
        <f>DATABASE!U997</f>
        <v>0</v>
      </c>
      <c r="U131" s="175">
        <f>DATABASE!V997</f>
        <v>0</v>
      </c>
      <c r="V131" s="79">
        <f>DATABASE!W997</f>
        <v>1075000</v>
      </c>
      <c r="W131" s="80">
        <f>DATABASE!X997</f>
        <v>0</v>
      </c>
      <c r="X131" s="79">
        <f>DATABASE!Y997</f>
        <v>1071200</v>
      </c>
      <c r="Y131" s="79">
        <f>DATABASE!Z997</f>
        <v>1071200</v>
      </c>
      <c r="Z131" s="79" t="e">
        <f>DATABASE!#REF!</f>
        <v>#REF!</v>
      </c>
      <c r="AA131" s="81">
        <f>DATABASE!AA997</f>
        <v>0</v>
      </c>
      <c r="AB131" s="177">
        <f>DATABASE!AB997</f>
        <v>0</v>
      </c>
      <c r="AC131" s="159"/>
      <c r="AD131" s="51"/>
    </row>
    <row r="132" spans="1:30" s="14" customFormat="1">
      <c r="A132" s="158" t="str">
        <f>DATABASE!A998</f>
        <v>Palmares - Signature Apartments</v>
      </c>
      <c r="B132" s="167" t="str">
        <f>DATABASE!B998</f>
        <v>Algarve</v>
      </c>
      <c r="C132" s="168" t="str">
        <f>DATABASE!C998</f>
        <v>842C</v>
      </c>
      <c r="D132" s="169" t="str">
        <f>DATABASE!E998</f>
        <v>T2</v>
      </c>
      <c r="E132" s="169">
        <f>DATABASE!F998</f>
        <v>144.15</v>
      </c>
      <c r="F132" s="169">
        <f>DATABASE!G998</f>
        <v>0</v>
      </c>
      <c r="G132" s="169" t="str">
        <f>DATABASE!H998</f>
        <v>54+55</v>
      </c>
      <c r="H132" s="169" t="str">
        <f>DATABASE!I998</f>
        <v/>
      </c>
      <c r="I132" s="169">
        <f>DATABASE!J998</f>
        <v>0</v>
      </c>
      <c r="J132" s="169">
        <f>DATABASE!K998</f>
        <v>0</v>
      </c>
      <c r="K132" s="170">
        <f>DATABASE!L998</f>
        <v>0</v>
      </c>
      <c r="L132" s="171">
        <f>DATABASE!M998</f>
        <v>29.65</v>
      </c>
      <c r="M132" s="172">
        <f>DATABASE!N998</f>
        <v>0</v>
      </c>
      <c r="N132" s="173">
        <f>DATABASE!O998</f>
        <v>114.5</v>
      </c>
      <c r="O132" s="173">
        <f>DATABASE!P998</f>
        <v>0</v>
      </c>
      <c r="P132" s="173" t="str">
        <f>DATABASE!Q998</f>
        <v xml:space="preserve">PSPA </v>
      </c>
      <c r="Q132" s="154">
        <f>DATABASE!R998</f>
        <v>710000</v>
      </c>
      <c r="R132" s="174">
        <f>DATABASE!S998</f>
        <v>710000</v>
      </c>
      <c r="S132" s="173">
        <f>DATABASE!T998</f>
        <v>950000</v>
      </c>
      <c r="T132" s="175">
        <f>DATABASE!U998</f>
        <v>0</v>
      </c>
      <c r="U132" s="175">
        <f>DATABASE!V998</f>
        <v>0</v>
      </c>
      <c r="V132" s="79">
        <f>DATABASE!W998</f>
        <v>950000</v>
      </c>
      <c r="W132" s="80">
        <f>DATABASE!X998</f>
        <v>0</v>
      </c>
      <c r="X132" s="79">
        <f>DATABASE!Y998</f>
        <v>950000</v>
      </c>
      <c r="Y132" s="79">
        <f>DATABASE!Z998</f>
        <v>950000</v>
      </c>
      <c r="Z132" s="79" t="e">
        <f>DATABASE!#REF!</f>
        <v>#REF!</v>
      </c>
      <c r="AA132" s="81" t="e">
        <f>DATABASE!#REF!</f>
        <v>#REF!</v>
      </c>
      <c r="AB132" s="177">
        <f>DATABASE!AB998</f>
        <v>46843</v>
      </c>
      <c r="AC132" s="159"/>
      <c r="AD132" s="51"/>
    </row>
    <row r="133" spans="1:30" s="14" customFormat="1">
      <c r="A133" s="158" t="str">
        <f>DATABASE!A999</f>
        <v>MR - LT do Golfe</v>
      </c>
      <c r="B133" s="167" t="str">
        <f>DATABASE!B999</f>
        <v>Algarve</v>
      </c>
      <c r="C133" s="168" t="str">
        <f>DATABASE!C999</f>
        <v>25/26</v>
      </c>
      <c r="D133" s="169" t="str">
        <f>DATABASE!E999</f>
        <v>Plot</v>
      </c>
      <c r="E133" s="169">
        <f>DATABASE!F999</f>
        <v>900</v>
      </c>
      <c r="F133" s="169">
        <f>DATABASE!G999</f>
        <v>0</v>
      </c>
      <c r="G133" s="169" t="str">
        <f>DATABASE!H999</f>
        <v/>
      </c>
      <c r="H133" s="169" t="str">
        <f>DATABASE!I999</f>
        <v/>
      </c>
      <c r="I133" s="169">
        <f>DATABASE!J999</f>
        <v>0</v>
      </c>
      <c r="J133" s="169">
        <f>DATABASE!K999</f>
        <v>0</v>
      </c>
      <c r="K133" s="170">
        <f>DATABASE!L999</f>
        <v>0</v>
      </c>
      <c r="L133" s="171">
        <f>DATABASE!M999</f>
        <v>0</v>
      </c>
      <c r="M133" s="172">
        <f>DATABASE!N999</f>
        <v>0</v>
      </c>
      <c r="N133" s="173">
        <f>DATABASE!O999</f>
        <v>900</v>
      </c>
      <c r="O133" s="173">
        <f>DATABASE!P999</f>
        <v>0</v>
      </c>
      <c r="P133" s="173" t="str">
        <f>DATABASE!Q999</f>
        <v>AVAILABLE</v>
      </c>
      <c r="Q133" s="154">
        <f>DATABASE!R999</f>
        <v>2112000</v>
      </c>
      <c r="R133" s="174">
        <f>DATABASE!S999</f>
        <v>2112000</v>
      </c>
      <c r="S133" s="173">
        <f>DATABASE!T999</f>
        <v>1790000</v>
      </c>
      <c r="T133" s="175">
        <f>DATABASE!U999</f>
        <v>0</v>
      </c>
      <c r="U133" s="175">
        <f>DATABASE!V999</f>
        <v>0</v>
      </c>
      <c r="V133" s="79">
        <f>DATABASE!W999</f>
        <v>1790000</v>
      </c>
      <c r="W133" s="80">
        <f>DATABASE!X999</f>
        <v>0</v>
      </c>
      <c r="X133" s="79">
        <f>DATABASE!Y999</f>
        <v>0</v>
      </c>
      <c r="Y133" s="79">
        <f>DATABASE!Z999</f>
        <v>0</v>
      </c>
      <c r="Z133" s="79" t="e">
        <f>DATABASE!#REF!</f>
        <v>#REF!</v>
      </c>
      <c r="AA133" s="81">
        <f>DATABASE!AA999</f>
        <v>0</v>
      </c>
      <c r="AB133" s="177" t="str">
        <f>DATABASE!AB999</f>
        <v>TBD</v>
      </c>
      <c r="AC133" s="159"/>
      <c r="AD133" s="51"/>
    </row>
    <row r="134" spans="1:30" s="14" customFormat="1">
      <c r="A134" s="158" t="str">
        <f>DATABASE!A1000</f>
        <v>NOBILUS</v>
      </c>
      <c r="B134" s="167" t="str">
        <f>DATABASE!B1000</f>
        <v>Vilamoura</v>
      </c>
      <c r="C134" s="168" t="str">
        <f>DATABASE!C1000</f>
        <v>Q</v>
      </c>
      <c r="D134" s="169" t="str">
        <f>DATABASE!E1000</f>
        <v>T3</v>
      </c>
      <c r="E134" s="169">
        <f>DATABASE!F1000</f>
        <v>153.01</v>
      </c>
      <c r="F134" s="169">
        <f>DATABASE!G1000</f>
        <v>4.46</v>
      </c>
      <c r="G134" s="169" t="str">
        <f>DATABASE!H1000</f>
        <v>48-49</v>
      </c>
      <c r="H134" s="169" t="str">
        <f>DATABASE!I1000</f>
        <v>Yes</v>
      </c>
      <c r="I134" s="169">
        <f>DATABASE!J1000</f>
        <v>0</v>
      </c>
      <c r="J134" s="169">
        <f>DATABASE!K1000</f>
        <v>0</v>
      </c>
      <c r="K134" s="170">
        <f>DATABASE!L1000</f>
        <v>0</v>
      </c>
      <c r="L134" s="171">
        <f>DATABASE!M1000</f>
        <v>0</v>
      </c>
      <c r="M134" s="172">
        <f>DATABASE!N1000</f>
        <v>0</v>
      </c>
      <c r="N134" s="173">
        <f>DATABASE!O1000</f>
        <v>153.01</v>
      </c>
      <c r="O134" s="173">
        <f>DATABASE!P1000</f>
        <v>0</v>
      </c>
      <c r="P134" s="173" t="str">
        <f>DATABASE!Q1000</f>
        <v>AVAILABLE</v>
      </c>
      <c r="Q134" s="154">
        <f>DATABASE!R1000</f>
        <v>995000</v>
      </c>
      <c r="R134" s="174">
        <f>DATABASE!S1000</f>
        <v>995000</v>
      </c>
      <c r="S134" s="173">
        <f>DATABASE!T1000</f>
        <v>995000</v>
      </c>
      <c r="T134" s="175">
        <f>DATABASE!U1000</f>
        <v>0</v>
      </c>
      <c r="U134" s="175">
        <f>DATABASE!V1000</f>
        <v>0</v>
      </c>
      <c r="V134" s="79">
        <f>DATABASE!W1000</f>
        <v>995000</v>
      </c>
      <c r="W134" s="80">
        <f>DATABASE!X1000</f>
        <v>0</v>
      </c>
      <c r="X134" s="79">
        <f>DATABASE!Y1000</f>
        <v>995000</v>
      </c>
      <c r="Y134" s="79">
        <f>DATABASE!Z1000</f>
        <v>995000</v>
      </c>
      <c r="Z134" s="79" t="e">
        <f>DATABASE!#REF!</f>
        <v>#REF!</v>
      </c>
      <c r="AA134" s="81">
        <f>DATABASE!AA1000</f>
        <v>0</v>
      </c>
      <c r="AB134" s="177">
        <f>DATABASE!AB1000</f>
        <v>0</v>
      </c>
      <c r="AC134" s="159"/>
      <c r="AD134" s="51"/>
    </row>
    <row r="135" spans="1:30" s="14" customFormat="1">
      <c r="A135" s="158" t="str">
        <f>DATABASE!A1001</f>
        <v>Rivus</v>
      </c>
      <c r="B135" s="167" t="str">
        <f>DATABASE!B1001</f>
        <v>Vilamoura</v>
      </c>
      <c r="C135" s="168" t="str">
        <f>DATABASE!C1001</f>
        <v>Q</v>
      </c>
      <c r="D135" s="169" t="str">
        <f>DATABASE!E1001</f>
        <v>T2</v>
      </c>
      <c r="E135" s="169">
        <f>DATABASE!F1001</f>
        <v>0</v>
      </c>
      <c r="F135" s="169">
        <f>DATABASE!G1001</f>
        <v>0</v>
      </c>
      <c r="G135" s="169" t="str">
        <f>DATABASE!H1001</f>
        <v/>
      </c>
      <c r="H135" s="169" t="str">
        <f>DATABASE!I1001</f>
        <v/>
      </c>
      <c r="I135" s="169">
        <f>DATABASE!J1001</f>
        <v>0</v>
      </c>
      <c r="J135" s="169">
        <f>DATABASE!K1001</f>
        <v>0</v>
      </c>
      <c r="K135" s="170">
        <f>DATABASE!L1001</f>
        <v>0</v>
      </c>
      <c r="L135" s="171">
        <f>DATABASE!M1001</f>
        <v>16</v>
      </c>
      <c r="M135" s="172">
        <f>DATABASE!N1001</f>
        <v>0</v>
      </c>
      <c r="N135" s="173">
        <f>DATABASE!O1001</f>
        <v>105</v>
      </c>
      <c r="O135" s="173">
        <f>DATABASE!P1001</f>
        <v>0</v>
      </c>
      <c r="P135" s="173" t="str">
        <f>DATABASE!Q1001</f>
        <v>RESERVED</v>
      </c>
      <c r="Q135" s="154">
        <f>DATABASE!R1001</f>
        <v>670000</v>
      </c>
      <c r="R135" s="174">
        <f>DATABASE!S1001</f>
        <v>670000</v>
      </c>
      <c r="S135" s="173">
        <f>DATABASE!T1001</f>
        <v>670000</v>
      </c>
      <c r="T135" s="175">
        <f>DATABASE!U1001</f>
        <v>0</v>
      </c>
      <c r="U135" s="175">
        <f>DATABASE!V1001</f>
        <v>0</v>
      </c>
      <c r="V135" s="79">
        <f>DATABASE!W1001</f>
        <v>670000</v>
      </c>
      <c r="W135" s="80">
        <f>DATABASE!X1001</f>
        <v>0</v>
      </c>
      <c r="X135" s="79">
        <f>DATABASE!Y1001</f>
        <v>670000</v>
      </c>
      <c r="Y135" s="79">
        <f>DATABASE!Z1001</f>
        <v>670000</v>
      </c>
      <c r="Z135" s="79" t="e">
        <f>DATABASE!#REF!</f>
        <v>#REF!</v>
      </c>
      <c r="AA135" s="81">
        <f>DATABASE!AA1001</f>
        <v>46114</v>
      </c>
      <c r="AB135" s="177">
        <f>DATABASE!AB1001</f>
        <v>0</v>
      </c>
      <c r="AC135" s="159"/>
      <c r="AD135" s="51"/>
    </row>
    <row r="136" spans="1:30" s="14" customFormat="1">
      <c r="A136" s="158" t="str">
        <f>DATABASE!A1002</f>
        <v>SPRINGS</v>
      </c>
      <c r="B136" s="167" t="str">
        <f>DATABASE!B1002</f>
        <v>Vilamoura</v>
      </c>
      <c r="C136" s="168" t="str">
        <f>DATABASE!C1002</f>
        <v>Q</v>
      </c>
      <c r="D136" s="169" t="str">
        <f>DATABASE!E1002</f>
        <v>V3</v>
      </c>
      <c r="E136" s="169">
        <f>DATABASE!F1002</f>
        <v>321.57</v>
      </c>
      <c r="F136" s="169">
        <f>DATABASE!G1002</f>
        <v>163.77000000000001</v>
      </c>
      <c r="G136" s="169" t="str">
        <f>DATABASE!H1002</f>
        <v/>
      </c>
      <c r="H136" s="169" t="str">
        <f>DATABASE!I1002</f>
        <v/>
      </c>
      <c r="I136" s="169">
        <f>DATABASE!J1002</f>
        <v>0</v>
      </c>
      <c r="J136" s="169">
        <f>DATABASE!K1002</f>
        <v>0</v>
      </c>
      <c r="K136" s="170">
        <f>DATABASE!L1002</f>
        <v>0</v>
      </c>
      <c r="L136" s="171">
        <f>DATABASE!M1002</f>
        <v>0</v>
      </c>
      <c r="M136" s="172">
        <f>DATABASE!N1002</f>
        <v>0</v>
      </c>
      <c r="N136" s="173">
        <f>DATABASE!O1002</f>
        <v>157.80000000000001</v>
      </c>
      <c r="O136" s="173">
        <f>DATABASE!P1002</f>
        <v>0</v>
      </c>
      <c r="P136" s="173" t="str">
        <f>DATABASE!Q1002</f>
        <v>AVAILABLE</v>
      </c>
      <c r="Q136" s="154">
        <f>DATABASE!R1002</f>
        <v>1452100</v>
      </c>
      <c r="R136" s="174">
        <f>DATABASE!S1002</f>
        <v>1541050</v>
      </c>
      <c r="S136" s="173">
        <f>DATABASE!T1002</f>
        <v>1630000</v>
      </c>
      <c r="T136" s="175">
        <f>DATABASE!U1002</f>
        <v>24600</v>
      </c>
      <c r="U136" s="175">
        <f>DATABASE!V1002</f>
        <v>64350</v>
      </c>
      <c r="V136" s="79">
        <f>DATABASE!W1002</f>
        <v>1541050</v>
      </c>
      <c r="W136" s="80">
        <f>DATABASE!X1002</f>
        <v>0</v>
      </c>
      <c r="X136" s="79">
        <f>DATABASE!Y1002</f>
        <v>1630000</v>
      </c>
      <c r="Y136" s="79">
        <f>DATABASE!Z1002</f>
        <v>1541050</v>
      </c>
      <c r="Z136" s="79" t="e">
        <f>DATABASE!#REF!</f>
        <v>#REF!</v>
      </c>
      <c r="AA136" s="81">
        <f>DATABASE!AA1002</f>
        <v>0</v>
      </c>
      <c r="AB136" s="177">
        <f>DATABASE!AB1002</f>
        <v>0</v>
      </c>
      <c r="AC136" s="159"/>
      <c r="AD136" s="51"/>
    </row>
    <row r="137" spans="1:30" s="14" customFormat="1">
      <c r="A137" s="158" t="str">
        <f>DATABASE!A1003</f>
        <v>Aroeira - VILLAS</v>
      </c>
      <c r="B137" s="167" t="str">
        <f>DATABASE!B1003</f>
        <v>Center</v>
      </c>
      <c r="C137" s="168" t="str">
        <f>DATABASE!C1003</f>
        <v>12D</v>
      </c>
      <c r="D137" s="169" t="str">
        <f>DATABASE!E1003</f>
        <v>T4</v>
      </c>
      <c r="E137" s="169">
        <f>DATABASE!F1003</f>
        <v>422.5</v>
      </c>
      <c r="F137" s="169">
        <f>DATABASE!G1003</f>
        <v>0</v>
      </c>
      <c r="G137" s="169" t="str">
        <f>DATABASE!H1003</f>
        <v>2</v>
      </c>
      <c r="H137" s="169" t="str">
        <f>DATABASE!I1003</f>
        <v>1</v>
      </c>
      <c r="I137" s="169">
        <f>DATABASE!J1003</f>
        <v>0</v>
      </c>
      <c r="J137" s="169">
        <f>DATABASE!K1003</f>
        <v>0</v>
      </c>
      <c r="K137" s="170">
        <f>DATABASE!L1003</f>
        <v>0</v>
      </c>
      <c r="L137" s="171">
        <f>DATABASE!M1003</f>
        <v>118</v>
      </c>
      <c r="M137" s="172">
        <f>DATABASE!N1003</f>
        <v>61</v>
      </c>
      <c r="N137" s="173">
        <f>DATABASE!O1003</f>
        <v>243.5</v>
      </c>
      <c r="O137" s="173">
        <f>DATABASE!P1003</f>
        <v>0</v>
      </c>
      <c r="P137" s="173" t="str">
        <f>DATABASE!Q1003</f>
        <v>AVAILABLE</v>
      </c>
      <c r="Q137" s="154">
        <f>DATABASE!R1003</f>
        <v>2090000</v>
      </c>
      <c r="R137" s="174">
        <f>DATABASE!S1003</f>
        <v>2160000</v>
      </c>
      <c r="S137" s="173">
        <f>DATABASE!T1003</f>
        <v>2170000</v>
      </c>
      <c r="T137" s="175">
        <f>DATABASE!U1003</f>
        <v>0</v>
      </c>
      <c r="U137" s="175">
        <f>DATABASE!V1003</f>
        <v>70000</v>
      </c>
      <c r="V137" s="79">
        <f>DATABASE!W1003</f>
        <v>2100000</v>
      </c>
      <c r="W137" s="80">
        <f>DATABASE!X1003</f>
        <v>0</v>
      </c>
      <c r="X137" s="79">
        <f>DATABASE!Y1003</f>
        <v>0</v>
      </c>
      <c r="Y137" s="79">
        <f>DATABASE!Z1003</f>
        <v>-70000</v>
      </c>
      <c r="Z137" s="79" t="e">
        <f>DATABASE!#REF!</f>
        <v>#REF!</v>
      </c>
      <c r="AA137" s="81">
        <f>DATABASE!AA1003</f>
        <v>0</v>
      </c>
      <c r="AB137" s="177">
        <f>DATABASE!AB1003</f>
        <v>47118</v>
      </c>
      <c r="AC137" s="159"/>
      <c r="AD137" s="51"/>
    </row>
    <row r="138" spans="1:30" s="14" customFormat="1">
      <c r="A138" s="158" t="str">
        <f>DATABASE!A1004</f>
        <v>TERRACOTA</v>
      </c>
      <c r="B138" s="167" t="str">
        <f>DATABASE!B1004</f>
        <v>Vilamoura</v>
      </c>
      <c r="C138" s="168" t="str">
        <f>DATABASE!C1004</f>
        <v>Q</v>
      </c>
      <c r="D138" s="169" t="str">
        <f>DATABASE!E1004</f>
        <v>T3</v>
      </c>
      <c r="E138" s="169">
        <f>DATABASE!F1004</f>
        <v>130.91999999999999</v>
      </c>
      <c r="F138" s="169">
        <f>DATABASE!G1004</f>
        <v>0</v>
      </c>
      <c r="G138" s="169" t="str">
        <f>DATABASE!H1004</f>
        <v/>
      </c>
      <c r="H138" s="169" t="str">
        <f>DATABASE!I1004</f>
        <v/>
      </c>
      <c r="I138" s="169">
        <f>DATABASE!J1004</f>
        <v>0</v>
      </c>
      <c r="J138" s="169">
        <f>DATABASE!K1004</f>
        <v>0</v>
      </c>
      <c r="K138" s="170">
        <f>DATABASE!L1004</f>
        <v>0</v>
      </c>
      <c r="L138" s="171">
        <f>DATABASE!M1004</f>
        <v>0</v>
      </c>
      <c r="M138" s="172">
        <f>DATABASE!N1004</f>
        <v>0</v>
      </c>
      <c r="N138" s="173">
        <f>DATABASE!O1004</f>
        <v>130.91999999999999</v>
      </c>
      <c r="O138" s="173">
        <f>DATABASE!P1004</f>
        <v>0</v>
      </c>
      <c r="P138" s="173" t="str">
        <f>DATABASE!Q1004</f>
        <v xml:space="preserve">PSPA </v>
      </c>
      <c r="Q138" s="154">
        <f>DATABASE!R1004</f>
        <v>725000</v>
      </c>
      <c r="R138" s="174">
        <f>DATABASE!S1004</f>
        <v>725000</v>
      </c>
      <c r="S138" s="173">
        <f>DATABASE!T1004</f>
        <v>725000</v>
      </c>
      <c r="T138" s="175">
        <f>DATABASE!U1004</f>
        <v>0</v>
      </c>
      <c r="U138" s="175">
        <f>DATABASE!V1004</f>
        <v>0</v>
      </c>
      <c r="V138" s="79">
        <f>DATABASE!W1004</f>
        <v>725000</v>
      </c>
      <c r="W138" s="80">
        <f>DATABASE!X1004</f>
        <v>4.8275862068965503E-2</v>
      </c>
      <c r="X138" s="79">
        <f>DATABASE!Y1004</f>
        <v>690000</v>
      </c>
      <c r="Y138" s="79">
        <f>DATABASE!Z1004</f>
        <v>690000</v>
      </c>
      <c r="Z138" s="79" t="e">
        <f>DATABASE!#REF!</f>
        <v>#REF!</v>
      </c>
      <c r="AA138" s="81" t="e">
        <f>DATABASE!#REF!</f>
        <v>#REF!</v>
      </c>
      <c r="AB138" s="177">
        <f>DATABASE!AB1004</f>
        <v>0</v>
      </c>
      <c r="AC138" s="159"/>
      <c r="AD138" s="51"/>
    </row>
    <row r="139" spans="1:30" s="14" customFormat="1">
      <c r="A139" s="158" t="str">
        <f>DATABASE!A1005</f>
        <v>THE NINE</v>
      </c>
      <c r="B139" s="167" t="str">
        <f>DATABASE!B1005</f>
        <v>Vilamoura</v>
      </c>
      <c r="C139" s="168" t="str">
        <f>DATABASE!C1005</f>
        <v>Q</v>
      </c>
      <c r="D139" s="169" t="str">
        <f>DATABASE!E1005</f>
        <v>T2</v>
      </c>
      <c r="E139" s="169">
        <f>DATABASE!F1005</f>
        <v>117</v>
      </c>
      <c r="F139" s="169">
        <f>DATABASE!G1005</f>
        <v>0</v>
      </c>
      <c r="G139" s="169" t="str">
        <f>DATABASE!H1005</f>
        <v/>
      </c>
      <c r="H139" s="169" t="str">
        <f>DATABASE!I1005</f>
        <v/>
      </c>
      <c r="I139" s="169">
        <f>DATABASE!J1005</f>
        <v>0</v>
      </c>
      <c r="J139" s="169">
        <f>DATABASE!K1005</f>
        <v>0</v>
      </c>
      <c r="K139" s="170">
        <f>DATABASE!L1005</f>
        <v>0</v>
      </c>
      <c r="L139" s="171">
        <f>DATABASE!M1005</f>
        <v>0</v>
      </c>
      <c r="M139" s="172">
        <f>DATABASE!N1005</f>
        <v>0</v>
      </c>
      <c r="N139" s="173">
        <f>DATABASE!O1005</f>
        <v>117</v>
      </c>
      <c r="O139" s="173">
        <f>DATABASE!P1005</f>
        <v>0</v>
      </c>
      <c r="P139" s="173" t="str">
        <f>DATABASE!Q1005</f>
        <v xml:space="preserve">DEED </v>
      </c>
      <c r="Q139" s="154">
        <f>DATABASE!R1005</f>
        <v>550000</v>
      </c>
      <c r="R139" s="174">
        <f>DATABASE!S1005</f>
        <v>550000</v>
      </c>
      <c r="S139" s="173">
        <f>DATABASE!T1005</f>
        <v>570000</v>
      </c>
      <c r="T139" s="175">
        <f>DATABASE!U1005</f>
        <v>0</v>
      </c>
      <c r="U139" s="175">
        <f>DATABASE!V1005</f>
        <v>0</v>
      </c>
      <c r="V139" s="79">
        <f>DATABASE!W1005</f>
        <v>570000</v>
      </c>
      <c r="W139" s="80">
        <f>DATABASE!X1005</f>
        <v>0</v>
      </c>
      <c r="X139" s="79">
        <f>DATABASE!Y1005</f>
        <v>570000</v>
      </c>
      <c r="Y139" s="79">
        <f>DATABASE!Z1005</f>
        <v>570000</v>
      </c>
      <c r="Z139" s="79" t="e">
        <f>DATABASE!#REF!</f>
        <v>#REF!</v>
      </c>
      <c r="AA139" s="81">
        <f>DATABASE!AA1005</f>
        <v>45504</v>
      </c>
      <c r="AB139" s="177">
        <f>DATABASE!AB1005</f>
        <v>0</v>
      </c>
      <c r="AC139" s="159"/>
      <c r="AD139" s="51"/>
    </row>
    <row r="140" spans="1:30" s="14" customFormat="1">
      <c r="A140" s="158" t="str">
        <f>DATABASE!A1006</f>
        <v>VM PARQUE</v>
      </c>
      <c r="B140" s="167" t="str">
        <f>DATABASE!B1006</f>
        <v>Vilamoura</v>
      </c>
      <c r="C140" s="168" t="str">
        <f>DATABASE!C1006</f>
        <v>Q</v>
      </c>
      <c r="D140" s="169" t="str">
        <f>DATABASE!E1006</f>
        <v>V2</v>
      </c>
      <c r="E140" s="169">
        <f>DATABASE!F1006</f>
        <v>152.73410000000001</v>
      </c>
      <c r="F140" s="169">
        <f>DATABASE!G1006</f>
        <v>0</v>
      </c>
      <c r="G140" s="169" t="str">
        <f>DATABASE!H1006</f>
        <v/>
      </c>
      <c r="H140" s="169" t="str">
        <f>DATABASE!I1006</f>
        <v/>
      </c>
      <c r="I140" s="169">
        <f>DATABASE!J1006</f>
        <v>0</v>
      </c>
      <c r="J140" s="169">
        <f>DATABASE!K1006</f>
        <v>0</v>
      </c>
      <c r="K140" s="170">
        <f>DATABASE!L1006</f>
        <v>0</v>
      </c>
      <c r="L140" s="171">
        <f>DATABASE!M1006</f>
        <v>0</v>
      </c>
      <c r="M140" s="172">
        <f>DATABASE!N1006</f>
        <v>0</v>
      </c>
      <c r="N140" s="173">
        <f>DATABASE!O1006</f>
        <v>152.73410000000001</v>
      </c>
      <c r="O140" s="173">
        <f>DATABASE!P1006</f>
        <v>0</v>
      </c>
      <c r="P140" s="173" t="str">
        <f>DATABASE!Q1006</f>
        <v xml:space="preserve">DEED </v>
      </c>
      <c r="Q140" s="154">
        <f>DATABASE!R1006</f>
        <v>989205</v>
      </c>
      <c r="R140" s="174">
        <f>DATABASE!S1006</f>
        <v>989205</v>
      </c>
      <c r="S140" s="173">
        <f>DATABASE!T1006</f>
        <v>995000</v>
      </c>
      <c r="T140" s="175">
        <f>DATABASE!U1006</f>
        <v>0</v>
      </c>
      <c r="U140" s="175">
        <f>DATABASE!V1006</f>
        <v>0</v>
      </c>
      <c r="V140" s="79">
        <f>DATABASE!W1006</f>
        <v>995000</v>
      </c>
      <c r="W140" s="80">
        <f>DATABASE!X1006</f>
        <v>1.11022302462516E-16</v>
      </c>
      <c r="X140" s="79">
        <f>DATABASE!Y1006</f>
        <v>995000</v>
      </c>
      <c r="Y140" s="79">
        <f>DATABASE!Z1006</f>
        <v>995000</v>
      </c>
      <c r="Z140" s="79" t="e">
        <f>DATABASE!#REF!</f>
        <v>#REF!</v>
      </c>
      <c r="AA140" s="81">
        <f>DATABASE!AA1006</f>
        <v>45147</v>
      </c>
      <c r="AB140" s="177">
        <f>DATABASE!AB1006</f>
        <v>0</v>
      </c>
      <c r="AC140" s="159"/>
      <c r="AD140" s="51"/>
    </row>
    <row r="141" spans="1:30" s="14" customFormat="1">
      <c r="A141" s="158" t="str">
        <f>DATABASE!A1007</f>
        <v>ZESTIA</v>
      </c>
      <c r="B141" s="167" t="str">
        <f>DATABASE!B1007</f>
        <v>Vilamoura</v>
      </c>
      <c r="C141" s="168" t="str">
        <f>DATABASE!C1007</f>
        <v>Q</v>
      </c>
      <c r="D141" s="169" t="str">
        <f>DATABASE!E1007</f>
        <v>T2 LO</v>
      </c>
      <c r="E141" s="169">
        <f>DATABASE!F1007</f>
        <v>117.68</v>
      </c>
      <c r="F141" s="169">
        <f>DATABASE!G1007</f>
        <v>0</v>
      </c>
      <c r="G141" s="169" t="str">
        <f>DATABASE!H1007</f>
        <v/>
      </c>
      <c r="H141" s="169" t="str">
        <f>DATABASE!I1007</f>
        <v/>
      </c>
      <c r="I141" s="169">
        <f>DATABASE!J1007</f>
        <v>29</v>
      </c>
      <c r="J141" s="169">
        <f>DATABASE!K1007</f>
        <v>0</v>
      </c>
      <c r="K141" s="170">
        <f>DATABASE!L1007</f>
        <v>0</v>
      </c>
      <c r="L141" s="171">
        <f>DATABASE!M1007</f>
        <v>0</v>
      </c>
      <c r="M141" s="172">
        <f>DATABASE!N1007</f>
        <v>0</v>
      </c>
      <c r="N141" s="173">
        <f>DATABASE!O1007</f>
        <v>88.68</v>
      </c>
      <c r="O141" s="173">
        <f>DATABASE!P1007</f>
        <v>0</v>
      </c>
      <c r="P141" s="173" t="str">
        <f>DATABASE!Q1007</f>
        <v>AVAILABLE</v>
      </c>
      <c r="Q141" s="154">
        <f>DATABASE!R1007</f>
        <v>667676.64</v>
      </c>
      <c r="R141" s="174">
        <f>DATABASE!S1007</f>
        <v>732276.64</v>
      </c>
      <c r="S141" s="173">
        <f>DATABASE!T1007</f>
        <v>800000</v>
      </c>
      <c r="T141" s="175">
        <f>DATABASE!U1007</f>
        <v>24600</v>
      </c>
      <c r="U141" s="175">
        <f>DATABASE!V1007</f>
        <v>40000</v>
      </c>
      <c r="V141" s="79">
        <f>DATABASE!W1007</f>
        <v>735400</v>
      </c>
      <c r="W141" s="80">
        <f>DATABASE!X1007</f>
        <v>0</v>
      </c>
      <c r="X141" s="79">
        <f>DATABASE!Y1007</f>
        <v>800000</v>
      </c>
      <c r="Y141" s="79">
        <f>DATABASE!Z1007</f>
        <v>735400</v>
      </c>
      <c r="Z141" s="79" t="e">
        <f>DATABASE!#REF!</f>
        <v>#REF!</v>
      </c>
      <c r="AA141" s="81">
        <f>DATABASE!AA1007</f>
        <v>0</v>
      </c>
      <c r="AB141" s="177">
        <f>DATABASE!AB1007</f>
        <v>0</v>
      </c>
      <c r="AC141" s="159"/>
      <c r="AD141" s="51"/>
    </row>
    <row r="142" spans="1:30" s="14" customFormat="1">
      <c r="A142" s="158" t="str">
        <f>DATABASE!A1008</f>
        <v>BOTÂNICA</v>
      </c>
      <c r="B142" s="167" t="str">
        <f>DATABASE!B1008</f>
        <v>Vilamoura</v>
      </c>
      <c r="C142" s="168" t="str">
        <f>DATABASE!C1008</f>
        <v>R</v>
      </c>
      <c r="D142" s="169" t="str">
        <f>DATABASE!E1008</f>
        <v>T3</v>
      </c>
      <c r="E142" s="169">
        <f>DATABASE!F1008</f>
        <v>223.91</v>
      </c>
      <c r="F142" s="169">
        <f>DATABASE!G1008</f>
        <v>0</v>
      </c>
      <c r="G142" s="169" t="str">
        <f>DATABASE!H1008</f>
        <v>2</v>
      </c>
      <c r="H142" s="169" t="str">
        <f>DATABASE!I1008</f>
        <v/>
      </c>
      <c r="I142" s="169">
        <f>DATABASE!J1008</f>
        <v>33.85</v>
      </c>
      <c r="J142" s="169">
        <f>DATABASE!K1008</f>
        <v>0</v>
      </c>
      <c r="K142" s="170">
        <f>DATABASE!L1008</f>
        <v>0</v>
      </c>
      <c r="L142" s="171">
        <f>DATABASE!M1008</f>
        <v>21.79</v>
      </c>
      <c r="M142" s="172">
        <f>DATABASE!N1008</f>
        <v>0</v>
      </c>
      <c r="N142" s="173">
        <f>DATABASE!O1008</f>
        <v>168.27</v>
      </c>
      <c r="O142" s="173">
        <f>DATABASE!P1008</f>
        <v>0</v>
      </c>
      <c r="P142" s="173" t="str">
        <f>DATABASE!Q1008</f>
        <v>AVAILABLE</v>
      </c>
      <c r="Q142" s="154">
        <f>DATABASE!R1008</f>
        <v>1502029.62</v>
      </c>
      <c r="R142" s="174">
        <f>DATABASE!S1008</f>
        <v>1502029.62</v>
      </c>
      <c r="S142" s="173">
        <f>DATABASE!T1008</f>
        <v>1510000</v>
      </c>
      <c r="T142" s="175">
        <f>DATABASE!U1008</f>
        <v>0</v>
      </c>
      <c r="U142" s="175">
        <f>DATABASE!V1008</f>
        <v>0</v>
      </c>
      <c r="V142" s="79">
        <f>DATABASE!W1008</f>
        <v>1510000</v>
      </c>
      <c r="W142" s="80">
        <f>DATABASE!X1008</f>
        <v>0</v>
      </c>
      <c r="X142" s="79">
        <f>DATABASE!Y1008</f>
        <v>1510000</v>
      </c>
      <c r="Y142" s="79">
        <f>DATABASE!Z1008</f>
        <v>1510000</v>
      </c>
      <c r="Z142" s="79" t="e">
        <f>DATABASE!#REF!</f>
        <v>#REF!</v>
      </c>
      <c r="AA142" s="81">
        <f>DATABASE!AA1008</f>
        <v>0</v>
      </c>
      <c r="AB142" s="177">
        <f>DATABASE!AB1008</f>
        <v>0</v>
      </c>
      <c r="AC142" s="159"/>
      <c r="AD142" s="51"/>
    </row>
    <row r="143" spans="1:30" s="14" customFormat="1">
      <c r="A143" s="158" t="str">
        <f>DATABASE!A1009</f>
        <v>NOBILUS</v>
      </c>
      <c r="B143" s="167" t="str">
        <f>DATABASE!B1009</f>
        <v>Vilamoura</v>
      </c>
      <c r="C143" s="168" t="str">
        <f>DATABASE!C1009</f>
        <v>R</v>
      </c>
      <c r="D143" s="169" t="str">
        <f>DATABASE!E1009</f>
        <v>T3</v>
      </c>
      <c r="E143" s="169">
        <f>DATABASE!F1009</f>
        <v>164.1</v>
      </c>
      <c r="F143" s="169">
        <f>DATABASE!G1009</f>
        <v>4.46</v>
      </c>
      <c r="G143" s="169" t="str">
        <f>DATABASE!H1009</f>
        <v>73-74</v>
      </c>
      <c r="H143" s="169" t="str">
        <f>DATABASE!I1009</f>
        <v>Yes</v>
      </c>
      <c r="I143" s="169">
        <f>DATABASE!J1009</f>
        <v>11.25</v>
      </c>
      <c r="J143" s="169">
        <f>DATABASE!K1009</f>
        <v>0</v>
      </c>
      <c r="K143" s="170">
        <f>DATABASE!L1009</f>
        <v>0</v>
      </c>
      <c r="L143" s="171">
        <f>DATABASE!M1009</f>
        <v>0</v>
      </c>
      <c r="M143" s="172">
        <f>DATABASE!N1009</f>
        <v>0</v>
      </c>
      <c r="N143" s="173">
        <f>DATABASE!O1009</f>
        <v>164.1</v>
      </c>
      <c r="O143" s="173">
        <f>DATABASE!P1009</f>
        <v>0</v>
      </c>
      <c r="P143" s="173" t="str">
        <f>DATABASE!Q1009</f>
        <v>AVAILABLE</v>
      </c>
      <c r="Q143" s="154">
        <f>DATABASE!R1009</f>
        <v>1140000</v>
      </c>
      <c r="R143" s="174">
        <f>DATABASE!S1009</f>
        <v>1140000</v>
      </c>
      <c r="S143" s="173">
        <f>DATABASE!T1009</f>
        <v>1140000</v>
      </c>
      <c r="T143" s="175">
        <f>DATABASE!U1009</f>
        <v>0</v>
      </c>
      <c r="U143" s="175">
        <f>DATABASE!V1009</f>
        <v>0</v>
      </c>
      <c r="V143" s="79">
        <f>DATABASE!W1009</f>
        <v>1140000</v>
      </c>
      <c r="W143" s="80">
        <f>DATABASE!X1009</f>
        <v>0</v>
      </c>
      <c r="X143" s="79">
        <f>DATABASE!Y1009</f>
        <v>1140000</v>
      </c>
      <c r="Y143" s="79">
        <f>DATABASE!Z1009</f>
        <v>1140000</v>
      </c>
      <c r="Z143" s="79" t="e">
        <f>DATABASE!#REF!</f>
        <v>#REF!</v>
      </c>
      <c r="AA143" s="81">
        <f>DATABASE!AA1009</f>
        <v>0</v>
      </c>
      <c r="AB143" s="177">
        <f>DATABASE!AB1009</f>
        <v>0</v>
      </c>
      <c r="AC143" s="159"/>
      <c r="AD143" s="51"/>
    </row>
    <row r="144" spans="1:30" s="14" customFormat="1">
      <c r="A144" s="158" t="str">
        <f>DATABASE!A1010</f>
        <v>Rivus</v>
      </c>
      <c r="B144" s="167" t="str">
        <f>DATABASE!B1010</f>
        <v>Vilamoura</v>
      </c>
      <c r="C144" s="168" t="str">
        <f>DATABASE!C1010</f>
        <v>R</v>
      </c>
      <c r="D144" s="169" t="str">
        <f>DATABASE!E1010</f>
        <v>T3</v>
      </c>
      <c r="E144" s="169">
        <f>DATABASE!F1010</f>
        <v>0</v>
      </c>
      <c r="F144" s="169">
        <f>DATABASE!G1010</f>
        <v>0</v>
      </c>
      <c r="G144" s="169" t="str">
        <f>DATABASE!H1010</f>
        <v/>
      </c>
      <c r="H144" s="169" t="str">
        <f>DATABASE!I1010</f>
        <v>Yes</v>
      </c>
      <c r="I144" s="169">
        <f>DATABASE!J1010</f>
        <v>0</v>
      </c>
      <c r="J144" s="169">
        <f>DATABASE!K1010</f>
        <v>0</v>
      </c>
      <c r="K144" s="170">
        <f>DATABASE!L1010</f>
        <v>0</v>
      </c>
      <c r="L144" s="171">
        <f>DATABASE!M1010</f>
        <v>138</v>
      </c>
      <c r="M144" s="172">
        <f>DATABASE!N1010</f>
        <v>0</v>
      </c>
      <c r="N144" s="173">
        <f>DATABASE!O1010</f>
        <v>140</v>
      </c>
      <c r="O144" s="173">
        <f>DATABASE!P1010</f>
        <v>0</v>
      </c>
      <c r="P144" s="173" t="str">
        <f>DATABASE!Q1010</f>
        <v>RESERVED</v>
      </c>
      <c r="Q144" s="154">
        <f>DATABASE!R1010</f>
        <v>930000</v>
      </c>
      <c r="R144" s="174">
        <f>DATABASE!S1010</f>
        <v>930000</v>
      </c>
      <c r="S144" s="173">
        <f>DATABASE!T1010</f>
        <v>930000</v>
      </c>
      <c r="T144" s="175">
        <f>DATABASE!U1010</f>
        <v>0</v>
      </c>
      <c r="U144" s="175">
        <f>DATABASE!V1010</f>
        <v>0</v>
      </c>
      <c r="V144" s="79">
        <f>DATABASE!W1010</f>
        <v>930000</v>
      </c>
      <c r="W144" s="80">
        <f>DATABASE!X1010</f>
        <v>0</v>
      </c>
      <c r="X144" s="79">
        <f>DATABASE!Y1010</f>
        <v>930000</v>
      </c>
      <c r="Y144" s="79">
        <f>DATABASE!Z1010</f>
        <v>930000</v>
      </c>
      <c r="Z144" s="79" t="e">
        <f>DATABASE!#REF!</f>
        <v>#REF!</v>
      </c>
      <c r="AA144" s="81">
        <f>DATABASE!AA1010</f>
        <v>46115</v>
      </c>
      <c r="AB144" s="177">
        <f>DATABASE!AB1010</f>
        <v>0</v>
      </c>
      <c r="AC144" s="159"/>
      <c r="AD144" s="51"/>
    </row>
    <row r="145" spans="1:30" s="14" customFormat="1">
      <c r="A145" s="158" t="str">
        <f>DATABASE!A1011</f>
        <v>SPRINGS</v>
      </c>
      <c r="B145" s="167" t="str">
        <f>DATABASE!B1011</f>
        <v>Vilamoura</v>
      </c>
      <c r="C145" s="168" t="str">
        <f>DATABASE!C1011</f>
        <v>R</v>
      </c>
      <c r="D145" s="169" t="str">
        <f>DATABASE!E1011</f>
        <v>V3 Duplex</v>
      </c>
      <c r="E145" s="169">
        <f>DATABASE!F1011</f>
        <v>296.95999999999998</v>
      </c>
      <c r="F145" s="169">
        <f>DATABASE!G1011</f>
        <v>113.29</v>
      </c>
      <c r="G145" s="169" t="str">
        <f>DATABASE!H1011</f>
        <v/>
      </c>
      <c r="H145" s="169" t="str">
        <f>DATABASE!I1011</f>
        <v/>
      </c>
      <c r="I145" s="169">
        <f>DATABASE!J1011</f>
        <v>18.66</v>
      </c>
      <c r="J145" s="169">
        <f>DATABASE!K1011</f>
        <v>0</v>
      </c>
      <c r="K145" s="170">
        <f>DATABASE!L1011</f>
        <v>0</v>
      </c>
      <c r="L145" s="171">
        <f>DATABASE!M1011</f>
        <v>0</v>
      </c>
      <c r="M145" s="172">
        <f>DATABASE!N1011</f>
        <v>0</v>
      </c>
      <c r="N145" s="173">
        <f>DATABASE!O1011</f>
        <v>165.01</v>
      </c>
      <c r="O145" s="173">
        <f>DATABASE!P1011</f>
        <v>0</v>
      </c>
      <c r="P145" s="173" t="str">
        <f>DATABASE!Q1011</f>
        <v>AVAILABLE</v>
      </c>
      <c r="Q145" s="154">
        <f>DATABASE!R1011</f>
        <v>1752100</v>
      </c>
      <c r="R145" s="174">
        <f>DATABASE!S1011</f>
        <v>1841050</v>
      </c>
      <c r="S145" s="173">
        <f>DATABASE!T1011</f>
        <v>1930000</v>
      </c>
      <c r="T145" s="175">
        <f>DATABASE!U1011</f>
        <v>24600</v>
      </c>
      <c r="U145" s="175">
        <f>DATABASE!V1011</f>
        <v>64350</v>
      </c>
      <c r="V145" s="79">
        <f>DATABASE!W1011</f>
        <v>1841050</v>
      </c>
      <c r="W145" s="80">
        <f>DATABASE!X1011</f>
        <v>0</v>
      </c>
      <c r="X145" s="79">
        <f>DATABASE!Y1011</f>
        <v>1930000</v>
      </c>
      <c r="Y145" s="79">
        <f>DATABASE!Z1011</f>
        <v>1841050</v>
      </c>
      <c r="Z145" s="79" t="e">
        <f>DATABASE!#REF!</f>
        <v>#REF!</v>
      </c>
      <c r="AA145" s="81">
        <f>DATABASE!AA1011</f>
        <v>0</v>
      </c>
      <c r="AB145" s="177">
        <f>DATABASE!AB1011</f>
        <v>0</v>
      </c>
      <c r="AC145" s="159"/>
      <c r="AD145" s="51"/>
    </row>
    <row r="146" spans="1:30" s="14" customFormat="1">
      <c r="A146" s="158" t="str">
        <f>DATABASE!A1012</f>
        <v>MR -LT da Casa do Campo</v>
      </c>
      <c r="B146" s="167" t="str">
        <f>DATABASE!B1012</f>
        <v>Algarve</v>
      </c>
      <c r="C146" s="168" t="str">
        <f>DATABASE!C1012</f>
        <v>8</v>
      </c>
      <c r="D146" s="169" t="str">
        <f>DATABASE!E1012</f>
        <v>Plot</v>
      </c>
      <c r="E146" s="169">
        <f>DATABASE!F1012</f>
        <v>500</v>
      </c>
      <c r="F146" s="169">
        <f>DATABASE!G1012</f>
        <v>0</v>
      </c>
      <c r="G146" s="169" t="str">
        <f>DATABASE!H1012</f>
        <v/>
      </c>
      <c r="H146" s="169" t="str">
        <f>DATABASE!I1012</f>
        <v/>
      </c>
      <c r="I146" s="169">
        <f>DATABASE!J1012</f>
        <v>0</v>
      </c>
      <c r="J146" s="169">
        <f>DATABASE!K1012</f>
        <v>0</v>
      </c>
      <c r="K146" s="170">
        <f>DATABASE!L1012</f>
        <v>0</v>
      </c>
      <c r="L146" s="171">
        <f>DATABASE!M1012</f>
        <v>0</v>
      </c>
      <c r="M146" s="172">
        <f>DATABASE!N1012</f>
        <v>0</v>
      </c>
      <c r="N146" s="173">
        <f>DATABASE!O1012</f>
        <v>500</v>
      </c>
      <c r="O146" s="173">
        <f>DATABASE!P1012</f>
        <v>0</v>
      </c>
      <c r="P146" s="173" t="str">
        <f>DATABASE!Q1012</f>
        <v>AVAILABLE</v>
      </c>
      <c r="Q146" s="154">
        <f>DATABASE!R1012</f>
        <v>2355000</v>
      </c>
      <c r="R146" s="174">
        <f>DATABASE!S1012</f>
        <v>2355000</v>
      </c>
      <c r="S146" s="173">
        <f>DATABASE!T1012</f>
        <v>1680000</v>
      </c>
      <c r="T146" s="175">
        <f>DATABASE!U1012</f>
        <v>0</v>
      </c>
      <c r="U146" s="175">
        <f>DATABASE!V1012</f>
        <v>0</v>
      </c>
      <c r="V146" s="79">
        <f>DATABASE!W1012</f>
        <v>1680000</v>
      </c>
      <c r="W146" s="80">
        <f>DATABASE!X1012</f>
        <v>0</v>
      </c>
      <c r="X146" s="79">
        <f>DATABASE!Y1012</f>
        <v>0</v>
      </c>
      <c r="Y146" s="79">
        <f>DATABASE!Z1012</f>
        <v>0</v>
      </c>
      <c r="Z146" s="79" t="e">
        <f>DATABASE!#REF!</f>
        <v>#REF!</v>
      </c>
      <c r="AA146" s="81">
        <f>DATABASE!AA1012</f>
        <v>0</v>
      </c>
      <c r="AB146" s="177" t="str">
        <f>DATABASE!AB1012</f>
        <v>TBD</v>
      </c>
      <c r="AC146" s="159"/>
      <c r="AD146" s="51"/>
    </row>
    <row r="147" spans="1:30" s="14" customFormat="1">
      <c r="A147" s="158" t="str">
        <f>DATABASE!A1013</f>
        <v>TERRACOTA</v>
      </c>
      <c r="B147" s="167" t="str">
        <f>DATABASE!B1013</f>
        <v>Vilamoura</v>
      </c>
      <c r="C147" s="168" t="str">
        <f>DATABASE!C1013</f>
        <v>R</v>
      </c>
      <c r="D147" s="169" t="str">
        <f>DATABASE!E1013</f>
        <v>T2</v>
      </c>
      <c r="E147" s="169">
        <f>DATABASE!F1013</f>
        <v>104.7</v>
      </c>
      <c r="F147" s="169">
        <f>DATABASE!G1013</f>
        <v>0</v>
      </c>
      <c r="G147" s="169" t="str">
        <f>DATABASE!H1013</f>
        <v/>
      </c>
      <c r="H147" s="169" t="str">
        <f>DATABASE!I1013</f>
        <v/>
      </c>
      <c r="I147" s="169">
        <f>DATABASE!J1013</f>
        <v>0</v>
      </c>
      <c r="J147" s="169">
        <f>DATABASE!K1013</f>
        <v>0</v>
      </c>
      <c r="K147" s="170">
        <f>DATABASE!L1013</f>
        <v>0</v>
      </c>
      <c r="L147" s="171">
        <f>DATABASE!M1013</f>
        <v>0</v>
      </c>
      <c r="M147" s="172">
        <f>DATABASE!N1013</f>
        <v>0</v>
      </c>
      <c r="N147" s="173">
        <f>DATABASE!O1013</f>
        <v>104.7</v>
      </c>
      <c r="O147" s="173">
        <f>DATABASE!P1013</f>
        <v>0</v>
      </c>
      <c r="P147" s="173" t="str">
        <f>DATABASE!Q1013</f>
        <v xml:space="preserve">PSPA </v>
      </c>
      <c r="Q147" s="154">
        <f>DATABASE!R1013</f>
        <v>575000</v>
      </c>
      <c r="R147" s="174">
        <f>DATABASE!S1013</f>
        <v>575000</v>
      </c>
      <c r="S147" s="173">
        <f>DATABASE!T1013</f>
        <v>575000</v>
      </c>
      <c r="T147" s="175">
        <f>DATABASE!U1013</f>
        <v>0</v>
      </c>
      <c r="U147" s="175">
        <f>DATABASE!V1013</f>
        <v>0</v>
      </c>
      <c r="V147" s="79">
        <f>DATABASE!W1013</f>
        <v>575000</v>
      </c>
      <c r="W147" s="80">
        <f>DATABASE!X1013</f>
        <v>0</v>
      </c>
      <c r="X147" s="79">
        <f>DATABASE!Y1013</f>
        <v>575000</v>
      </c>
      <c r="Y147" s="79">
        <f>DATABASE!Z1013</f>
        <v>575000</v>
      </c>
      <c r="Z147" s="79" t="e">
        <f>DATABASE!#REF!</f>
        <v>#REF!</v>
      </c>
      <c r="AA147" s="81" t="e">
        <f>DATABASE!#REF!</f>
        <v>#REF!</v>
      </c>
      <c r="AB147" s="177">
        <f>DATABASE!AB1013</f>
        <v>0</v>
      </c>
      <c r="AC147" s="159"/>
      <c r="AD147" s="51"/>
    </row>
    <row r="148" spans="1:30" s="14" customFormat="1">
      <c r="A148" s="158" t="str">
        <f>DATABASE!A1014</f>
        <v>MR - LT do Golfe</v>
      </c>
      <c r="B148" s="167" t="str">
        <f>DATABASE!B1014</f>
        <v>Algarve</v>
      </c>
      <c r="C148" s="168" t="str">
        <f>DATABASE!C1014</f>
        <v>11</v>
      </c>
      <c r="D148" s="169" t="str">
        <f>DATABASE!E1014</f>
        <v>Plot</v>
      </c>
      <c r="E148" s="169">
        <f>DATABASE!F1014</f>
        <v>700</v>
      </c>
      <c r="F148" s="169">
        <f>DATABASE!G1014</f>
        <v>0</v>
      </c>
      <c r="G148" s="169" t="str">
        <f>DATABASE!H1014</f>
        <v/>
      </c>
      <c r="H148" s="169" t="str">
        <f>DATABASE!I1014</f>
        <v/>
      </c>
      <c r="I148" s="169">
        <f>DATABASE!J1014</f>
        <v>0</v>
      </c>
      <c r="J148" s="169">
        <f>DATABASE!K1014</f>
        <v>0</v>
      </c>
      <c r="K148" s="170">
        <f>DATABASE!L1014</f>
        <v>0</v>
      </c>
      <c r="L148" s="171">
        <f>DATABASE!M1014</f>
        <v>0</v>
      </c>
      <c r="M148" s="172">
        <f>DATABASE!N1014</f>
        <v>0</v>
      </c>
      <c r="N148" s="173">
        <f>DATABASE!O1014</f>
        <v>700</v>
      </c>
      <c r="O148" s="173">
        <f>DATABASE!P1014</f>
        <v>0</v>
      </c>
      <c r="P148" s="173" t="str">
        <f>DATABASE!Q1014</f>
        <v>AVAILABLE</v>
      </c>
      <c r="Q148" s="154">
        <f>DATABASE!R1014</f>
        <v>2375000</v>
      </c>
      <c r="R148" s="174">
        <f>DATABASE!S1014</f>
        <v>2375000</v>
      </c>
      <c r="S148" s="173">
        <f>DATABASE!T1014</f>
        <v>1710000</v>
      </c>
      <c r="T148" s="175">
        <f>DATABASE!U1014</f>
        <v>0</v>
      </c>
      <c r="U148" s="175">
        <f>DATABASE!V1014</f>
        <v>0</v>
      </c>
      <c r="V148" s="79">
        <f>DATABASE!W1014</f>
        <v>1710000</v>
      </c>
      <c r="W148" s="80">
        <f>DATABASE!X1014</f>
        <v>0</v>
      </c>
      <c r="X148" s="79">
        <f>DATABASE!Y1014</f>
        <v>0</v>
      </c>
      <c r="Y148" s="79">
        <f>DATABASE!Z1014</f>
        <v>0</v>
      </c>
      <c r="Z148" s="79" t="e">
        <f>DATABASE!#REF!</f>
        <v>#REF!</v>
      </c>
      <c r="AA148" s="81">
        <f>DATABASE!AA1014</f>
        <v>0</v>
      </c>
      <c r="AB148" s="177" t="str">
        <f>DATABASE!AB1014</f>
        <v>TBD</v>
      </c>
      <c r="AC148" s="159"/>
      <c r="AD148" s="51"/>
    </row>
    <row r="149" spans="1:30" s="14" customFormat="1">
      <c r="A149" s="158" t="str">
        <f>DATABASE!A1015</f>
        <v>THE NINE</v>
      </c>
      <c r="B149" s="167" t="str">
        <f>DATABASE!B1015</f>
        <v>Vilamoura</v>
      </c>
      <c r="C149" s="168" t="str">
        <f>DATABASE!C1015</f>
        <v>R</v>
      </c>
      <c r="D149" s="169" t="str">
        <f>DATABASE!E1015</f>
        <v>T2</v>
      </c>
      <c r="E149" s="169">
        <f>DATABASE!F1015</f>
        <v>117</v>
      </c>
      <c r="F149" s="169">
        <f>DATABASE!G1015</f>
        <v>0</v>
      </c>
      <c r="G149" s="169" t="str">
        <f>DATABASE!H1015</f>
        <v/>
      </c>
      <c r="H149" s="169" t="str">
        <f>DATABASE!I1015</f>
        <v/>
      </c>
      <c r="I149" s="169">
        <f>DATABASE!J1015</f>
        <v>0</v>
      </c>
      <c r="J149" s="169">
        <f>DATABASE!K1015</f>
        <v>0</v>
      </c>
      <c r="K149" s="170">
        <f>DATABASE!L1015</f>
        <v>0</v>
      </c>
      <c r="L149" s="171">
        <f>DATABASE!M1015</f>
        <v>0</v>
      </c>
      <c r="M149" s="172">
        <f>DATABASE!N1015</f>
        <v>0</v>
      </c>
      <c r="N149" s="173">
        <f>DATABASE!O1015</f>
        <v>117</v>
      </c>
      <c r="O149" s="173">
        <f>DATABASE!P1015</f>
        <v>0</v>
      </c>
      <c r="P149" s="173" t="str">
        <f>DATABASE!Q1015</f>
        <v xml:space="preserve">DEED </v>
      </c>
      <c r="Q149" s="154">
        <f>DATABASE!R1015</f>
        <v>550000</v>
      </c>
      <c r="R149" s="174">
        <f>DATABASE!S1015</f>
        <v>550000</v>
      </c>
      <c r="S149" s="173">
        <f>DATABASE!T1015</f>
        <v>570000</v>
      </c>
      <c r="T149" s="175">
        <f>DATABASE!U1015</f>
        <v>0</v>
      </c>
      <c r="U149" s="175">
        <f>DATABASE!V1015</f>
        <v>0</v>
      </c>
      <c r="V149" s="79">
        <f>DATABASE!W1015</f>
        <v>570000</v>
      </c>
      <c r="W149" s="80">
        <f>DATABASE!X1015</f>
        <v>0</v>
      </c>
      <c r="X149" s="79">
        <f>DATABASE!Y1015</f>
        <v>570000</v>
      </c>
      <c r="Y149" s="79">
        <f>DATABASE!Z1015</f>
        <v>570000</v>
      </c>
      <c r="Z149" s="79" t="e">
        <f>DATABASE!#REF!</f>
        <v>#REF!</v>
      </c>
      <c r="AA149" s="81">
        <f>DATABASE!AA1015</f>
        <v>45420</v>
      </c>
      <c r="AB149" s="177">
        <f>DATABASE!AB1015</f>
        <v>0</v>
      </c>
      <c r="AC149" s="159"/>
      <c r="AD149" s="51"/>
    </row>
    <row r="150" spans="1:30" s="14" customFormat="1">
      <c r="A150" s="158" t="str">
        <f>DATABASE!A1016</f>
        <v>VM PARQUE</v>
      </c>
      <c r="B150" s="167" t="str">
        <f>DATABASE!B1016</f>
        <v>Vilamoura</v>
      </c>
      <c r="C150" s="168" t="str">
        <f>DATABASE!C1016</f>
        <v>R</v>
      </c>
      <c r="D150" s="169" t="str">
        <f>DATABASE!E1016</f>
        <v>V2</v>
      </c>
      <c r="E150" s="169">
        <f>DATABASE!F1016</f>
        <v>152.87280000000001</v>
      </c>
      <c r="F150" s="169">
        <f>DATABASE!G1016</f>
        <v>0</v>
      </c>
      <c r="G150" s="169" t="str">
        <f>DATABASE!H1016</f>
        <v/>
      </c>
      <c r="H150" s="169" t="str">
        <f>DATABASE!I1016</f>
        <v/>
      </c>
      <c r="I150" s="169">
        <f>DATABASE!J1016</f>
        <v>0</v>
      </c>
      <c r="J150" s="169">
        <f>DATABASE!K1016</f>
        <v>0</v>
      </c>
      <c r="K150" s="170">
        <f>DATABASE!L1016</f>
        <v>0</v>
      </c>
      <c r="L150" s="171">
        <f>DATABASE!M1016</f>
        <v>0</v>
      </c>
      <c r="M150" s="172">
        <f>DATABASE!N1016</f>
        <v>0</v>
      </c>
      <c r="N150" s="173">
        <f>DATABASE!O1016</f>
        <v>152.87280000000001</v>
      </c>
      <c r="O150" s="173">
        <f>DATABASE!P1016</f>
        <v>0</v>
      </c>
      <c r="P150" s="173" t="str">
        <f>DATABASE!Q1016</f>
        <v xml:space="preserve">DEED </v>
      </c>
      <c r="Q150" s="154">
        <f>DATABASE!R1016</f>
        <v>894995</v>
      </c>
      <c r="R150" s="174">
        <f>DATABASE!S1016</f>
        <v>894995</v>
      </c>
      <c r="S150" s="173">
        <f>DATABASE!T1016</f>
        <v>960000</v>
      </c>
      <c r="T150" s="175">
        <f>DATABASE!U1016</f>
        <v>0</v>
      </c>
      <c r="U150" s="175">
        <f>DATABASE!V1016</f>
        <v>0</v>
      </c>
      <c r="V150" s="79">
        <f>DATABASE!W1016</f>
        <v>960000</v>
      </c>
      <c r="W150" s="80">
        <f>DATABASE!X1016</f>
        <v>0</v>
      </c>
      <c r="X150" s="79">
        <f>DATABASE!Y1016</f>
        <v>960000</v>
      </c>
      <c r="Y150" s="79">
        <f>DATABASE!Z1016</f>
        <v>960000</v>
      </c>
      <c r="Z150" s="79" t="e">
        <f>DATABASE!#REF!</f>
        <v>#REF!</v>
      </c>
      <c r="AA150" s="81">
        <f>DATABASE!AA1016</f>
        <v>44756</v>
      </c>
      <c r="AB150" s="177">
        <f>DATABASE!AB1016</f>
        <v>0</v>
      </c>
      <c r="AC150" s="159"/>
      <c r="AD150" s="51"/>
    </row>
    <row r="151" spans="1:30" s="14" customFormat="1">
      <c r="A151" s="158" t="str">
        <f>DATABASE!A1017</f>
        <v>ZESTIA</v>
      </c>
      <c r="B151" s="167" t="str">
        <f>DATABASE!B1017</f>
        <v>Vilamoura</v>
      </c>
      <c r="C151" s="168" t="str">
        <f>DATABASE!C1017</f>
        <v>R</v>
      </c>
      <c r="D151" s="169" t="str">
        <f>DATABASE!E1017</f>
        <v>T2 LO</v>
      </c>
      <c r="E151" s="169">
        <f>DATABASE!F1017</f>
        <v>116.76</v>
      </c>
      <c r="F151" s="169">
        <f>DATABASE!G1017</f>
        <v>0</v>
      </c>
      <c r="G151" s="169" t="str">
        <f>DATABASE!H1017</f>
        <v/>
      </c>
      <c r="H151" s="169" t="str">
        <f>DATABASE!I1017</f>
        <v/>
      </c>
      <c r="I151" s="169">
        <f>DATABASE!J1017</f>
        <v>28.58</v>
      </c>
      <c r="J151" s="169">
        <f>DATABASE!K1017</f>
        <v>0</v>
      </c>
      <c r="K151" s="170">
        <f>DATABASE!L1017</f>
        <v>0</v>
      </c>
      <c r="L151" s="171">
        <f>DATABASE!M1017</f>
        <v>0</v>
      </c>
      <c r="M151" s="172">
        <f>DATABASE!N1017</f>
        <v>0</v>
      </c>
      <c r="N151" s="173">
        <f>DATABASE!O1017</f>
        <v>88.18</v>
      </c>
      <c r="O151" s="173">
        <f>DATABASE!P1017</f>
        <v>0</v>
      </c>
      <c r="P151" s="173" t="str">
        <f>DATABASE!Q1017</f>
        <v xml:space="preserve">PSPA </v>
      </c>
      <c r="Q151" s="154">
        <f>DATABASE!R1017</f>
        <v>663281.04</v>
      </c>
      <c r="R151" s="174">
        <f>DATABASE!S1017</f>
        <v>727881.04</v>
      </c>
      <c r="S151" s="173">
        <f>DATABASE!T1017</f>
        <v>780000</v>
      </c>
      <c r="T151" s="175">
        <f>DATABASE!U1017</f>
        <v>24600</v>
      </c>
      <c r="U151" s="175">
        <f>DATABASE!V1017</f>
        <v>40000</v>
      </c>
      <c r="V151" s="79">
        <f>DATABASE!W1017</f>
        <v>715400</v>
      </c>
      <c r="W151" s="80">
        <f>DATABASE!X1017</f>
        <v>0</v>
      </c>
      <c r="X151" s="79">
        <f>DATABASE!Y1017</f>
        <v>780000</v>
      </c>
      <c r="Y151" s="79">
        <f>DATABASE!Z1017</f>
        <v>715400</v>
      </c>
      <c r="Z151" s="79" t="e">
        <f>DATABASE!#REF!</f>
        <v>#REF!</v>
      </c>
      <c r="AA151" s="81" t="e">
        <f>DATABASE!#REF!</f>
        <v>#REF!</v>
      </c>
      <c r="AB151" s="177">
        <f>DATABASE!AB1017</f>
        <v>0</v>
      </c>
      <c r="AC151" s="159"/>
      <c r="AD151" s="51"/>
    </row>
    <row r="152" spans="1:30" s="14" customFormat="1">
      <c r="A152" s="158" t="str">
        <f>DATABASE!A1018</f>
        <v>BOTÂNICA</v>
      </c>
      <c r="B152" s="167" t="str">
        <f>DATABASE!B1018</f>
        <v>Vilamoura</v>
      </c>
      <c r="C152" s="168" t="str">
        <f>DATABASE!C1018</f>
        <v>S</v>
      </c>
      <c r="D152" s="169" t="str">
        <f>DATABASE!E1018</f>
        <v>T2</v>
      </c>
      <c r="E152" s="169">
        <f>DATABASE!F1018</f>
        <v>146.33000000000001</v>
      </c>
      <c r="F152" s="169">
        <f>DATABASE!G1018</f>
        <v>0</v>
      </c>
      <c r="G152" s="169" t="str">
        <f>DATABASE!H1018</f>
        <v>2</v>
      </c>
      <c r="H152" s="169" t="str">
        <f>DATABASE!I1018</f>
        <v/>
      </c>
      <c r="I152" s="169">
        <f>DATABASE!J1018</f>
        <v>13.97</v>
      </c>
      <c r="J152" s="169">
        <f>DATABASE!K1018</f>
        <v>0</v>
      </c>
      <c r="K152" s="170">
        <f>DATABASE!L1018</f>
        <v>0</v>
      </c>
      <c r="L152" s="171">
        <f>DATABASE!M1018</f>
        <v>14.42</v>
      </c>
      <c r="M152" s="172">
        <f>DATABASE!N1018</f>
        <v>0</v>
      </c>
      <c r="N152" s="173">
        <f>DATABASE!O1018</f>
        <v>117.94</v>
      </c>
      <c r="O152" s="173">
        <f>DATABASE!P1018</f>
        <v>0</v>
      </c>
      <c r="P152" s="173" t="str">
        <f>DATABASE!Q1018</f>
        <v>PRE-RESERVED</v>
      </c>
      <c r="Q152" s="154">
        <f>DATABASE!R1018</f>
        <v>901385.49600000004</v>
      </c>
      <c r="R152" s="174">
        <f>DATABASE!S1018</f>
        <v>901385.49600000004</v>
      </c>
      <c r="S152" s="173">
        <f>DATABASE!T1018</f>
        <v>910000</v>
      </c>
      <c r="T152" s="175">
        <f>DATABASE!U1018</f>
        <v>0</v>
      </c>
      <c r="U152" s="175">
        <f>DATABASE!V1018</f>
        <v>0</v>
      </c>
      <c r="V152" s="79">
        <f>DATABASE!W1018</f>
        <v>910000</v>
      </c>
      <c r="W152" s="80">
        <f>DATABASE!X1018</f>
        <v>0</v>
      </c>
      <c r="X152" s="79">
        <f>DATABASE!Y1018</f>
        <v>910000</v>
      </c>
      <c r="Y152" s="79">
        <f>DATABASE!Z1018</f>
        <v>910000</v>
      </c>
      <c r="Z152" s="79" t="e">
        <f>DATABASE!#REF!</f>
        <v>#REF!</v>
      </c>
      <c r="AA152" s="81">
        <f>DATABASE!AA1018</f>
        <v>0</v>
      </c>
      <c r="AB152" s="177">
        <f>DATABASE!AB1018</f>
        <v>0</v>
      </c>
      <c r="AC152" s="159"/>
      <c r="AD152" s="51"/>
    </row>
    <row r="153" spans="1:30" s="14" customFormat="1">
      <c r="A153" s="158" t="str">
        <f>DATABASE!A1019</f>
        <v>MR - LT do Golfe</v>
      </c>
      <c r="B153" s="167" t="str">
        <f>DATABASE!B1019</f>
        <v>Algarve</v>
      </c>
      <c r="C153" s="168" t="str">
        <f>DATABASE!C1019</f>
        <v>5</v>
      </c>
      <c r="D153" s="169" t="str">
        <f>DATABASE!E1019</f>
        <v>Plot</v>
      </c>
      <c r="E153" s="169">
        <f>DATABASE!F1019</f>
        <v>500</v>
      </c>
      <c r="F153" s="169">
        <f>DATABASE!G1019</f>
        <v>0</v>
      </c>
      <c r="G153" s="169" t="str">
        <f>DATABASE!H1019</f>
        <v/>
      </c>
      <c r="H153" s="169" t="str">
        <f>DATABASE!I1019</f>
        <v/>
      </c>
      <c r="I153" s="169">
        <f>DATABASE!J1019</f>
        <v>0</v>
      </c>
      <c r="J153" s="169">
        <f>DATABASE!K1019</f>
        <v>0</v>
      </c>
      <c r="K153" s="170">
        <f>DATABASE!L1019</f>
        <v>0</v>
      </c>
      <c r="L153" s="171">
        <f>DATABASE!M1019</f>
        <v>0</v>
      </c>
      <c r="M153" s="172">
        <f>DATABASE!N1019</f>
        <v>0</v>
      </c>
      <c r="N153" s="173">
        <f>DATABASE!O1019</f>
        <v>500</v>
      </c>
      <c r="O153" s="173">
        <f>DATABASE!P1019</f>
        <v>0</v>
      </c>
      <c r="P153" s="173" t="str">
        <f>DATABASE!Q1019</f>
        <v>AVAILABLE</v>
      </c>
      <c r="Q153" s="154">
        <f>DATABASE!R1019</f>
        <v>2525000</v>
      </c>
      <c r="R153" s="174">
        <f>DATABASE!S1019</f>
        <v>2525000</v>
      </c>
      <c r="S153" s="173">
        <f>DATABASE!T1019</f>
        <v>1560000</v>
      </c>
      <c r="T153" s="175">
        <f>DATABASE!U1019</f>
        <v>0</v>
      </c>
      <c r="U153" s="175">
        <f>DATABASE!V1019</f>
        <v>0</v>
      </c>
      <c r="V153" s="79">
        <f>DATABASE!W1019</f>
        <v>1560000</v>
      </c>
      <c r="W153" s="80">
        <f>DATABASE!X1019</f>
        <v>0</v>
      </c>
      <c r="X153" s="79">
        <f>DATABASE!Y1019</f>
        <v>0</v>
      </c>
      <c r="Y153" s="79">
        <f>DATABASE!Z1019</f>
        <v>0</v>
      </c>
      <c r="Z153" s="79" t="e">
        <f>DATABASE!#REF!</f>
        <v>#REF!</v>
      </c>
      <c r="AA153" s="81">
        <f>DATABASE!AA1019</f>
        <v>0</v>
      </c>
      <c r="AB153" s="177" t="str">
        <f>DATABASE!AB1019</f>
        <v>TBD</v>
      </c>
      <c r="AC153" s="159"/>
      <c r="AD153" s="51"/>
    </row>
    <row r="154" spans="1:30" s="14" customFormat="1">
      <c r="A154" s="158" t="str">
        <f>DATABASE!A1020</f>
        <v>Aroeira - HOTEL APARTMENTS</v>
      </c>
      <c r="B154" s="167" t="str">
        <f>DATABASE!B1020</f>
        <v>Center</v>
      </c>
      <c r="C154" s="168" t="str">
        <f>DATABASE!C1020</f>
        <v>324A</v>
      </c>
      <c r="D154" s="169" t="str">
        <f>DATABASE!E1020</f>
        <v>1-BR</v>
      </c>
      <c r="E154" s="169">
        <f>DATABASE!F1020</f>
        <v>72.5</v>
      </c>
      <c r="F154" s="169">
        <f>DATABASE!G1020</f>
        <v>0</v>
      </c>
      <c r="G154" s="169" t="str">
        <f>DATABASE!H1020</f>
        <v>1</v>
      </c>
      <c r="H154" s="169" t="str">
        <f>DATABASE!I1020</f>
        <v/>
      </c>
      <c r="I154" s="169">
        <f>DATABASE!J1020</f>
        <v>12</v>
      </c>
      <c r="J154" s="169">
        <f>DATABASE!K1020</f>
        <v>0</v>
      </c>
      <c r="K154" s="170">
        <f>DATABASE!L1020</f>
        <v>0</v>
      </c>
      <c r="L154" s="171">
        <f>DATABASE!M1020</f>
        <v>0</v>
      </c>
      <c r="M154" s="172">
        <f>DATABASE!N1020</f>
        <v>0</v>
      </c>
      <c r="N154" s="173">
        <f>DATABASE!O1020</f>
        <v>60.5</v>
      </c>
      <c r="O154" s="173">
        <f>DATABASE!P1020</f>
        <v>0</v>
      </c>
      <c r="P154" s="173" t="str">
        <f>DATABASE!Q1020</f>
        <v xml:space="preserve">PSPA </v>
      </c>
      <c r="Q154" s="154">
        <f>DATABASE!R1020</f>
        <v>465000</v>
      </c>
      <c r="R154" s="174">
        <f>DATABASE!S1020</f>
        <v>500000</v>
      </c>
      <c r="S154" s="173">
        <f>DATABASE!T1020</f>
        <v>500000</v>
      </c>
      <c r="T154" s="175">
        <f>DATABASE!U1020</f>
        <v>0</v>
      </c>
      <c r="U154" s="175">
        <f>DATABASE!V1020</f>
        <v>35000</v>
      </c>
      <c r="V154" s="79">
        <f>DATABASE!W1020</f>
        <v>465000</v>
      </c>
      <c r="W154" s="80">
        <f>DATABASE!X1020</f>
        <v>0</v>
      </c>
      <c r="X154" s="79">
        <f>DATABASE!Y1020</f>
        <v>500000</v>
      </c>
      <c r="Y154" s="79">
        <f>DATABASE!Z1020</f>
        <v>465000</v>
      </c>
      <c r="Z154" s="79" t="e">
        <f>DATABASE!#REF!</f>
        <v>#REF!</v>
      </c>
      <c r="AA154" s="81" t="e">
        <f>DATABASE!#REF!</f>
        <v>#REF!</v>
      </c>
      <c r="AB154" s="177">
        <f>DATABASE!AB1020</f>
        <v>47118</v>
      </c>
      <c r="AC154" s="159"/>
      <c r="AD154" s="51"/>
    </row>
    <row r="155" spans="1:30" s="14" customFormat="1">
      <c r="A155" s="158" t="str">
        <f>DATABASE!A1021</f>
        <v>Aroeira - VILLAS</v>
      </c>
      <c r="B155" s="167" t="str">
        <f>DATABASE!B1021</f>
        <v>Center</v>
      </c>
      <c r="C155" s="168" t="str">
        <f>DATABASE!C1021</f>
        <v>06D</v>
      </c>
      <c r="D155" s="169" t="str">
        <f>DATABASE!E1021</f>
        <v>T4</v>
      </c>
      <c r="E155" s="169">
        <f>DATABASE!F1021</f>
        <v>553</v>
      </c>
      <c r="F155" s="169">
        <f>DATABASE!G1021</f>
        <v>0</v>
      </c>
      <c r="G155" s="169" t="str">
        <f>DATABASE!H1021</f>
        <v>2</v>
      </c>
      <c r="H155" s="169" t="str">
        <f>DATABASE!I1021</f>
        <v>1</v>
      </c>
      <c r="I155" s="169">
        <f>DATABASE!J1021</f>
        <v>0</v>
      </c>
      <c r="J155" s="169">
        <f>DATABASE!K1021</f>
        <v>0</v>
      </c>
      <c r="K155" s="170">
        <f>DATABASE!L1021</f>
        <v>0</v>
      </c>
      <c r="L155" s="171">
        <f>DATABASE!M1021</f>
        <v>193</v>
      </c>
      <c r="M155" s="172">
        <f>DATABASE!N1021</f>
        <v>65</v>
      </c>
      <c r="N155" s="173">
        <f>DATABASE!O1021</f>
        <v>295</v>
      </c>
      <c r="O155" s="173">
        <f>DATABASE!P1021</f>
        <v>0</v>
      </c>
      <c r="P155" s="173" t="str">
        <f>DATABASE!Q1021</f>
        <v>AVAILABLE</v>
      </c>
      <c r="Q155" s="154">
        <f>DATABASE!R1021</f>
        <v>2500000</v>
      </c>
      <c r="R155" s="174">
        <f>DATABASE!S1021</f>
        <v>2570000</v>
      </c>
      <c r="S155" s="173">
        <f>DATABASE!T1021</f>
        <v>2570000</v>
      </c>
      <c r="T155" s="175">
        <f>DATABASE!U1021</f>
        <v>0</v>
      </c>
      <c r="U155" s="175">
        <f>DATABASE!V1021</f>
        <v>70000</v>
      </c>
      <c r="V155" s="79">
        <f>DATABASE!W1021</f>
        <v>2500000</v>
      </c>
      <c r="W155" s="80">
        <f>DATABASE!X1021</f>
        <v>0</v>
      </c>
      <c r="X155" s="79">
        <f>DATABASE!Y1021</f>
        <v>0</v>
      </c>
      <c r="Y155" s="79">
        <f>DATABASE!Z1021</f>
        <v>-70000</v>
      </c>
      <c r="Z155" s="79" t="e">
        <f>DATABASE!#REF!</f>
        <v>#REF!</v>
      </c>
      <c r="AA155" s="81">
        <f>DATABASE!AA1021</f>
        <v>0</v>
      </c>
      <c r="AB155" s="177">
        <f>DATABASE!AB1021</f>
        <v>47118</v>
      </c>
      <c r="AC155" s="159"/>
      <c r="AD155" s="51"/>
    </row>
    <row r="156" spans="1:30" s="14" customFormat="1">
      <c r="A156" s="158" t="str">
        <f>DATABASE!A1022</f>
        <v>Aroeira - VILLAS</v>
      </c>
      <c r="B156" s="167" t="str">
        <f>DATABASE!B1022</f>
        <v>Center</v>
      </c>
      <c r="C156" s="168" t="str">
        <f>DATABASE!C1022</f>
        <v>07D</v>
      </c>
      <c r="D156" s="169" t="str">
        <f>DATABASE!E1022</f>
        <v>T4</v>
      </c>
      <c r="E156" s="169">
        <f>DATABASE!F1022</f>
        <v>553</v>
      </c>
      <c r="F156" s="169">
        <f>DATABASE!G1022</f>
        <v>0</v>
      </c>
      <c r="G156" s="169" t="str">
        <f>DATABASE!H1022</f>
        <v>2</v>
      </c>
      <c r="H156" s="169" t="str">
        <f>DATABASE!I1022</f>
        <v>1</v>
      </c>
      <c r="I156" s="169">
        <f>DATABASE!J1022</f>
        <v>0</v>
      </c>
      <c r="J156" s="169">
        <f>DATABASE!K1022</f>
        <v>0</v>
      </c>
      <c r="K156" s="170">
        <f>DATABASE!L1022</f>
        <v>0</v>
      </c>
      <c r="L156" s="171">
        <f>DATABASE!M1022</f>
        <v>193</v>
      </c>
      <c r="M156" s="172">
        <f>DATABASE!N1022</f>
        <v>65</v>
      </c>
      <c r="N156" s="173">
        <f>DATABASE!O1022</f>
        <v>295</v>
      </c>
      <c r="O156" s="173">
        <f>DATABASE!P1022</f>
        <v>0</v>
      </c>
      <c r="P156" s="173" t="str">
        <f>DATABASE!Q1022</f>
        <v>AVAILABLE</v>
      </c>
      <c r="Q156" s="154">
        <f>DATABASE!R1022</f>
        <v>2500000</v>
      </c>
      <c r="R156" s="174">
        <f>DATABASE!S1022</f>
        <v>2570000</v>
      </c>
      <c r="S156" s="173">
        <f>DATABASE!T1022</f>
        <v>2600000</v>
      </c>
      <c r="T156" s="175">
        <f>DATABASE!U1022</f>
        <v>0</v>
      </c>
      <c r="U156" s="175">
        <f>DATABASE!V1022</f>
        <v>70000</v>
      </c>
      <c r="V156" s="79">
        <f>DATABASE!W1022</f>
        <v>2530000</v>
      </c>
      <c r="W156" s="80">
        <f>DATABASE!X1022</f>
        <v>0</v>
      </c>
      <c r="X156" s="79">
        <f>DATABASE!Y1022</f>
        <v>0</v>
      </c>
      <c r="Y156" s="79">
        <f>DATABASE!Z1022</f>
        <v>-70000</v>
      </c>
      <c r="Z156" s="79" t="e">
        <f>DATABASE!#REF!</f>
        <v>#REF!</v>
      </c>
      <c r="AA156" s="81">
        <f>DATABASE!AA1022</f>
        <v>0</v>
      </c>
      <c r="AB156" s="177">
        <f>DATABASE!AB1022</f>
        <v>47118</v>
      </c>
      <c r="AC156" s="159"/>
      <c r="AD156" s="51"/>
    </row>
    <row r="157" spans="1:30" s="14" customFormat="1">
      <c r="A157" s="158" t="str">
        <f>DATABASE!A1023</f>
        <v>Aroeira - VILLAS</v>
      </c>
      <c r="B157" s="167" t="str">
        <f>DATABASE!B1023</f>
        <v>Center</v>
      </c>
      <c r="C157" s="168" t="str">
        <f>DATABASE!C1023</f>
        <v>08D</v>
      </c>
      <c r="D157" s="169" t="str">
        <f>DATABASE!E1023</f>
        <v>T4</v>
      </c>
      <c r="E157" s="169">
        <f>DATABASE!F1023</f>
        <v>554</v>
      </c>
      <c r="F157" s="169">
        <f>DATABASE!G1023</f>
        <v>0</v>
      </c>
      <c r="G157" s="169" t="str">
        <f>DATABASE!H1023</f>
        <v>2</v>
      </c>
      <c r="H157" s="169" t="str">
        <f>DATABASE!I1023</f>
        <v>1</v>
      </c>
      <c r="I157" s="169">
        <f>DATABASE!J1023</f>
        <v>0</v>
      </c>
      <c r="J157" s="169">
        <f>DATABASE!K1023</f>
        <v>0</v>
      </c>
      <c r="K157" s="170">
        <f>DATABASE!L1023</f>
        <v>0</v>
      </c>
      <c r="L157" s="171">
        <f>DATABASE!M1023</f>
        <v>193</v>
      </c>
      <c r="M157" s="172">
        <f>DATABASE!N1023</f>
        <v>65</v>
      </c>
      <c r="N157" s="173">
        <f>DATABASE!O1023</f>
        <v>296</v>
      </c>
      <c r="O157" s="173">
        <f>DATABASE!P1023</f>
        <v>0</v>
      </c>
      <c r="P157" s="173" t="str">
        <f>DATABASE!Q1023</f>
        <v>AVAILABLE</v>
      </c>
      <c r="Q157" s="154">
        <f>DATABASE!R1023</f>
        <v>2500000</v>
      </c>
      <c r="R157" s="174">
        <f>DATABASE!S1023</f>
        <v>2570000</v>
      </c>
      <c r="S157" s="173">
        <f>DATABASE!T1023</f>
        <v>2600000</v>
      </c>
      <c r="T157" s="175">
        <f>DATABASE!U1023</f>
        <v>0</v>
      </c>
      <c r="U157" s="175">
        <f>DATABASE!V1023</f>
        <v>70000</v>
      </c>
      <c r="V157" s="79">
        <f>DATABASE!W1023</f>
        <v>2530000</v>
      </c>
      <c r="W157" s="80">
        <f>DATABASE!X1023</f>
        <v>0</v>
      </c>
      <c r="X157" s="79">
        <f>DATABASE!Y1023</f>
        <v>0</v>
      </c>
      <c r="Y157" s="79">
        <f>DATABASE!Z1023</f>
        <v>-70000</v>
      </c>
      <c r="Z157" s="79" t="e">
        <f>DATABASE!#REF!</f>
        <v>#REF!</v>
      </c>
      <c r="AA157" s="81">
        <f>DATABASE!AA1023</f>
        <v>0</v>
      </c>
      <c r="AB157" s="177">
        <f>DATABASE!AB1023</f>
        <v>47118</v>
      </c>
      <c r="AC157" s="159"/>
      <c r="AD157" s="51"/>
    </row>
    <row r="158" spans="1:30" s="14" customFormat="1">
      <c r="A158" s="158" t="str">
        <f>DATABASE!A1024</f>
        <v>NOBILUS</v>
      </c>
      <c r="B158" s="167" t="str">
        <f>DATABASE!B1024</f>
        <v>Vilamoura</v>
      </c>
      <c r="C158" s="168" t="str">
        <f>DATABASE!C1024</f>
        <v>S</v>
      </c>
      <c r="D158" s="169" t="str">
        <f>DATABASE!E1024</f>
        <v>T3</v>
      </c>
      <c r="E158" s="169">
        <f>DATABASE!F1024</f>
        <v>164.59</v>
      </c>
      <c r="F158" s="169">
        <f>DATABASE!G1024</f>
        <v>4.47</v>
      </c>
      <c r="G158" s="169" t="str">
        <f>DATABASE!H1024</f>
        <v>75-77</v>
      </c>
      <c r="H158" s="169" t="str">
        <f>DATABASE!I1024</f>
        <v>Yes</v>
      </c>
      <c r="I158" s="169">
        <f>DATABASE!J1024</f>
        <v>5.68</v>
      </c>
      <c r="J158" s="169">
        <f>DATABASE!K1024</f>
        <v>0</v>
      </c>
      <c r="K158" s="170">
        <f>DATABASE!L1024</f>
        <v>0</v>
      </c>
      <c r="L158" s="171">
        <f>DATABASE!M1024</f>
        <v>0</v>
      </c>
      <c r="M158" s="172">
        <f>DATABASE!N1024</f>
        <v>0</v>
      </c>
      <c r="N158" s="173">
        <f>DATABASE!O1024</f>
        <v>164.59</v>
      </c>
      <c r="O158" s="173">
        <f>DATABASE!P1024</f>
        <v>0</v>
      </c>
      <c r="P158" s="173" t="str">
        <f>DATABASE!Q1024</f>
        <v>AVAILABLE</v>
      </c>
      <c r="Q158" s="154">
        <f>DATABASE!R1024</f>
        <v>1120000</v>
      </c>
      <c r="R158" s="174">
        <f>DATABASE!S1024</f>
        <v>1120000</v>
      </c>
      <c r="S158" s="173">
        <f>DATABASE!T1024</f>
        <v>1120000</v>
      </c>
      <c r="T158" s="175">
        <f>DATABASE!U1024</f>
        <v>0</v>
      </c>
      <c r="U158" s="175">
        <f>DATABASE!V1024</f>
        <v>0</v>
      </c>
      <c r="V158" s="79">
        <f>DATABASE!W1024</f>
        <v>1120000</v>
      </c>
      <c r="W158" s="80">
        <f>DATABASE!X1024</f>
        <v>0</v>
      </c>
      <c r="X158" s="79">
        <f>DATABASE!Y1024</f>
        <v>1120000</v>
      </c>
      <c r="Y158" s="79">
        <f>DATABASE!Z1024</f>
        <v>1120000</v>
      </c>
      <c r="Z158" s="79" t="e">
        <f>DATABASE!#REF!</f>
        <v>#REF!</v>
      </c>
      <c r="AA158" s="81">
        <f>DATABASE!AA1024</f>
        <v>0</v>
      </c>
      <c r="AB158" s="177">
        <f>DATABASE!AB1024</f>
        <v>0</v>
      </c>
      <c r="AC158" s="159"/>
      <c r="AD158" s="51"/>
    </row>
    <row r="159" spans="1:30" s="14" customFormat="1">
      <c r="A159" s="158" t="str">
        <f>DATABASE!A1025</f>
        <v>Rivus</v>
      </c>
      <c r="B159" s="167" t="str">
        <f>DATABASE!B1025</f>
        <v>Vilamoura</v>
      </c>
      <c r="C159" s="168" t="str">
        <f>DATABASE!C1025</f>
        <v>S</v>
      </c>
      <c r="D159" s="169" t="str">
        <f>DATABASE!E1025</f>
        <v>T2</v>
      </c>
      <c r="E159" s="169">
        <f>DATABASE!F1025</f>
        <v>0</v>
      </c>
      <c r="F159" s="169">
        <f>DATABASE!G1025</f>
        <v>0</v>
      </c>
      <c r="G159" s="169" t="str">
        <f>DATABASE!H1025</f>
        <v/>
      </c>
      <c r="H159" s="169" t="str">
        <f>DATABASE!I1025</f>
        <v/>
      </c>
      <c r="I159" s="169">
        <f>DATABASE!J1025</f>
        <v>0</v>
      </c>
      <c r="J159" s="169">
        <f>DATABASE!K1025</f>
        <v>0</v>
      </c>
      <c r="K159" s="170">
        <f>DATABASE!L1025</f>
        <v>0</v>
      </c>
      <c r="L159" s="171">
        <f>DATABASE!M1025</f>
        <v>16</v>
      </c>
      <c r="M159" s="172">
        <f>DATABASE!N1025</f>
        <v>0</v>
      </c>
      <c r="N159" s="173">
        <f>DATABASE!O1025</f>
        <v>107</v>
      </c>
      <c r="O159" s="173">
        <f>DATABASE!P1025</f>
        <v>0</v>
      </c>
      <c r="P159" s="173" t="str">
        <f>DATABASE!Q1025</f>
        <v>RESERVED</v>
      </c>
      <c r="Q159" s="154">
        <f>DATABASE!R1025</f>
        <v>670000</v>
      </c>
      <c r="R159" s="174">
        <f>DATABASE!S1025</f>
        <v>670000</v>
      </c>
      <c r="S159" s="173">
        <f>DATABASE!T1025</f>
        <v>670000</v>
      </c>
      <c r="T159" s="175">
        <f>DATABASE!U1025</f>
        <v>0</v>
      </c>
      <c r="U159" s="175">
        <f>DATABASE!V1025</f>
        <v>0</v>
      </c>
      <c r="V159" s="79">
        <f>DATABASE!W1025</f>
        <v>670000</v>
      </c>
      <c r="W159" s="80">
        <f>DATABASE!X1025</f>
        <v>2.5000000000000001E-2</v>
      </c>
      <c r="X159" s="79">
        <f>DATABASE!Y1025</f>
        <v>653250</v>
      </c>
      <c r="Y159" s="79">
        <f>DATABASE!Z1025</f>
        <v>653250</v>
      </c>
      <c r="Z159" s="79" t="e">
        <f>DATABASE!#REF!</f>
        <v>#REF!</v>
      </c>
      <c r="AA159" s="81">
        <f>DATABASE!AA1025</f>
        <v>46114</v>
      </c>
      <c r="AB159" s="177">
        <f>DATABASE!AB1025</f>
        <v>0</v>
      </c>
      <c r="AC159" s="159"/>
      <c r="AD159" s="51"/>
    </row>
    <row r="160" spans="1:30" s="14" customFormat="1">
      <c r="A160" s="158" t="str">
        <f>DATABASE!A1026</f>
        <v>SPRINGS</v>
      </c>
      <c r="B160" s="167" t="str">
        <f>DATABASE!B1026</f>
        <v>Vilamoura</v>
      </c>
      <c r="C160" s="168" t="str">
        <f>DATABASE!C1026</f>
        <v>S</v>
      </c>
      <c r="D160" s="169" t="str">
        <f>DATABASE!E1026</f>
        <v>V4 Duplex</v>
      </c>
      <c r="E160" s="169">
        <f>DATABASE!F1026</f>
        <v>404.86</v>
      </c>
      <c r="F160" s="169">
        <f>DATABASE!G1026</f>
        <v>163.77000000000001</v>
      </c>
      <c r="G160" s="169" t="str">
        <f>DATABASE!H1026</f>
        <v/>
      </c>
      <c r="H160" s="169" t="str">
        <f>DATABASE!I1026</f>
        <v/>
      </c>
      <c r="I160" s="169">
        <f>DATABASE!J1026</f>
        <v>19.649999999999999</v>
      </c>
      <c r="J160" s="169">
        <f>DATABASE!K1026</f>
        <v>0</v>
      </c>
      <c r="K160" s="170">
        <f>DATABASE!L1026</f>
        <v>0</v>
      </c>
      <c r="L160" s="171">
        <f>DATABASE!M1026</f>
        <v>0</v>
      </c>
      <c r="M160" s="172">
        <f>DATABASE!N1026</f>
        <v>0</v>
      </c>
      <c r="N160" s="173">
        <f>DATABASE!O1026</f>
        <v>221.44</v>
      </c>
      <c r="O160" s="173">
        <f>DATABASE!P1026</f>
        <v>0</v>
      </c>
      <c r="P160" s="173" t="str">
        <f>DATABASE!Q1026</f>
        <v>AVAILABLE</v>
      </c>
      <c r="Q160" s="154">
        <f>DATABASE!R1026</f>
        <v>2314600</v>
      </c>
      <c r="R160" s="174">
        <f>DATABASE!S1026</f>
        <v>2422300</v>
      </c>
      <c r="S160" s="173">
        <f>DATABASE!T1026</f>
        <v>2530000</v>
      </c>
      <c r="T160" s="175">
        <f>DATABASE!U1026</f>
        <v>24600</v>
      </c>
      <c r="U160" s="175">
        <f>DATABASE!V1026</f>
        <v>83100</v>
      </c>
      <c r="V160" s="79">
        <f>DATABASE!W1026</f>
        <v>2422300</v>
      </c>
      <c r="W160" s="80">
        <f>DATABASE!X1026</f>
        <v>0</v>
      </c>
      <c r="X160" s="79">
        <f>DATABASE!Y1026</f>
        <v>2530000</v>
      </c>
      <c r="Y160" s="79">
        <f>DATABASE!Z1026</f>
        <v>2422300</v>
      </c>
      <c r="Z160" s="79" t="e">
        <f>DATABASE!#REF!</f>
        <v>#REF!</v>
      </c>
      <c r="AA160" s="81">
        <f>DATABASE!AA1026</f>
        <v>0</v>
      </c>
      <c r="AB160" s="177">
        <f>DATABASE!AB1026</f>
        <v>0</v>
      </c>
      <c r="AC160" s="159"/>
      <c r="AD160" s="51"/>
    </row>
    <row r="161" spans="1:30" s="14" customFormat="1">
      <c r="A161" s="158" t="str">
        <f>DATABASE!A1027</f>
        <v>TERRACOTA</v>
      </c>
      <c r="B161" s="167" t="str">
        <f>DATABASE!B1027</f>
        <v>Vilamoura</v>
      </c>
      <c r="C161" s="168" t="str">
        <f>DATABASE!C1027</f>
        <v>S</v>
      </c>
      <c r="D161" s="169" t="str">
        <f>DATABASE!E1027</f>
        <v>T3</v>
      </c>
      <c r="E161" s="169">
        <f>DATABASE!F1027</f>
        <v>130.91999999999999</v>
      </c>
      <c r="F161" s="169">
        <f>DATABASE!G1027</f>
        <v>0</v>
      </c>
      <c r="G161" s="169" t="str">
        <f>DATABASE!H1027</f>
        <v/>
      </c>
      <c r="H161" s="169" t="str">
        <f>DATABASE!I1027</f>
        <v/>
      </c>
      <c r="I161" s="169">
        <f>DATABASE!J1027</f>
        <v>0</v>
      </c>
      <c r="J161" s="169">
        <f>DATABASE!K1027</f>
        <v>0</v>
      </c>
      <c r="K161" s="170">
        <f>DATABASE!L1027</f>
        <v>0</v>
      </c>
      <c r="L161" s="171">
        <f>DATABASE!M1027</f>
        <v>0</v>
      </c>
      <c r="M161" s="172">
        <f>DATABASE!N1027</f>
        <v>0</v>
      </c>
      <c r="N161" s="173">
        <f>DATABASE!O1027</f>
        <v>130.91999999999999</v>
      </c>
      <c r="O161" s="173">
        <f>DATABASE!P1027</f>
        <v>0</v>
      </c>
      <c r="P161" s="173" t="str">
        <f>DATABASE!Q1027</f>
        <v xml:space="preserve">PSPA </v>
      </c>
      <c r="Q161" s="154">
        <f>DATABASE!R1027</f>
        <v>700000</v>
      </c>
      <c r="R161" s="174">
        <f>DATABASE!S1027</f>
        <v>700000</v>
      </c>
      <c r="S161" s="173">
        <f>DATABASE!T1027</f>
        <v>700000</v>
      </c>
      <c r="T161" s="175">
        <f>DATABASE!U1027</f>
        <v>0</v>
      </c>
      <c r="U161" s="175">
        <f>DATABASE!V1027</f>
        <v>0</v>
      </c>
      <c r="V161" s="79">
        <f>DATABASE!W1027</f>
        <v>700000</v>
      </c>
      <c r="W161" s="80">
        <f>DATABASE!X1027</f>
        <v>0</v>
      </c>
      <c r="X161" s="79">
        <f>DATABASE!Y1027</f>
        <v>700000</v>
      </c>
      <c r="Y161" s="79">
        <f>DATABASE!Z1027</f>
        <v>700000</v>
      </c>
      <c r="Z161" s="79" t="e">
        <f>DATABASE!#REF!</f>
        <v>#REF!</v>
      </c>
      <c r="AA161" s="81" t="e">
        <f>DATABASE!#REF!</f>
        <v>#REF!</v>
      </c>
      <c r="AB161" s="177">
        <f>DATABASE!AB1027</f>
        <v>0</v>
      </c>
      <c r="AC161" s="159"/>
      <c r="AD161" s="51"/>
    </row>
    <row r="162" spans="1:30" s="14" customFormat="1">
      <c r="A162" s="158" t="str">
        <f>DATABASE!A1028</f>
        <v>THE NINE</v>
      </c>
      <c r="B162" s="167" t="str">
        <f>DATABASE!B1028</f>
        <v>Vilamoura</v>
      </c>
      <c r="C162" s="168" t="str">
        <f>DATABASE!C1028</f>
        <v>S</v>
      </c>
      <c r="D162" s="169" t="str">
        <f>DATABASE!E1028</f>
        <v>T2</v>
      </c>
      <c r="E162" s="169">
        <f>DATABASE!F1028</f>
        <v>117</v>
      </c>
      <c r="F162" s="169">
        <f>DATABASE!G1028</f>
        <v>0</v>
      </c>
      <c r="G162" s="169" t="str">
        <f>DATABASE!H1028</f>
        <v/>
      </c>
      <c r="H162" s="169" t="str">
        <f>DATABASE!I1028</f>
        <v/>
      </c>
      <c r="I162" s="169">
        <f>DATABASE!J1028</f>
        <v>0</v>
      </c>
      <c r="J162" s="169">
        <f>DATABASE!K1028</f>
        <v>0</v>
      </c>
      <c r="K162" s="170">
        <f>DATABASE!L1028</f>
        <v>0</v>
      </c>
      <c r="L162" s="171">
        <f>DATABASE!M1028</f>
        <v>0</v>
      </c>
      <c r="M162" s="172">
        <f>DATABASE!N1028</f>
        <v>0</v>
      </c>
      <c r="N162" s="173">
        <f>DATABASE!O1028</f>
        <v>117</v>
      </c>
      <c r="O162" s="173">
        <f>DATABASE!P1028</f>
        <v>0</v>
      </c>
      <c r="P162" s="173" t="str">
        <f>DATABASE!Q1028</f>
        <v xml:space="preserve">DEED </v>
      </c>
      <c r="Q162" s="154">
        <f>DATABASE!R1028</f>
        <v>550000</v>
      </c>
      <c r="R162" s="174">
        <f>DATABASE!S1028</f>
        <v>550000</v>
      </c>
      <c r="S162" s="173">
        <f>DATABASE!T1028</f>
        <v>570000</v>
      </c>
      <c r="T162" s="175">
        <f>DATABASE!U1028</f>
        <v>0</v>
      </c>
      <c r="U162" s="175">
        <f>DATABASE!V1028</f>
        <v>0</v>
      </c>
      <c r="V162" s="79">
        <f>DATABASE!W1028</f>
        <v>570000</v>
      </c>
      <c r="W162" s="80">
        <f>DATABASE!X1028</f>
        <v>0</v>
      </c>
      <c r="X162" s="79">
        <f>DATABASE!Y1028</f>
        <v>570000</v>
      </c>
      <c r="Y162" s="79">
        <f>DATABASE!Z1028</f>
        <v>570000</v>
      </c>
      <c r="Z162" s="79" t="e">
        <f>DATABASE!#REF!</f>
        <v>#REF!</v>
      </c>
      <c r="AA162" s="81">
        <f>DATABASE!AA1028</f>
        <v>45128</v>
      </c>
      <c r="AB162" s="177">
        <f>DATABASE!AB1028</f>
        <v>0</v>
      </c>
      <c r="AC162" s="159"/>
      <c r="AD162" s="51"/>
    </row>
    <row r="163" spans="1:30" s="14" customFormat="1">
      <c r="A163" s="158" t="str">
        <f>DATABASE!A1029</f>
        <v>VM PARQUE</v>
      </c>
      <c r="B163" s="167" t="str">
        <f>DATABASE!B1029</f>
        <v>Vilamoura</v>
      </c>
      <c r="C163" s="168" t="str">
        <f>DATABASE!C1029</f>
        <v>S</v>
      </c>
      <c r="D163" s="169" t="str">
        <f>DATABASE!E1029</f>
        <v>V2</v>
      </c>
      <c r="E163" s="169">
        <f>DATABASE!F1029</f>
        <v>156.83949999999999</v>
      </c>
      <c r="F163" s="169">
        <f>DATABASE!G1029</f>
        <v>0</v>
      </c>
      <c r="G163" s="169" t="str">
        <f>DATABASE!H1029</f>
        <v/>
      </c>
      <c r="H163" s="169" t="str">
        <f>DATABASE!I1029</f>
        <v/>
      </c>
      <c r="I163" s="169">
        <f>DATABASE!J1029</f>
        <v>0</v>
      </c>
      <c r="J163" s="169">
        <f>DATABASE!K1029</f>
        <v>0</v>
      </c>
      <c r="K163" s="170">
        <f>DATABASE!L1029</f>
        <v>0</v>
      </c>
      <c r="L163" s="171">
        <f>DATABASE!M1029</f>
        <v>0</v>
      </c>
      <c r="M163" s="172">
        <f>DATABASE!N1029</f>
        <v>0</v>
      </c>
      <c r="N163" s="173">
        <f>DATABASE!O1029</f>
        <v>156.83949999999999</v>
      </c>
      <c r="O163" s="173">
        <f>DATABASE!P1029</f>
        <v>0</v>
      </c>
      <c r="P163" s="173" t="str">
        <f>DATABASE!Q1029</f>
        <v xml:space="preserve">DEED </v>
      </c>
      <c r="Q163" s="154">
        <f>DATABASE!R1029</f>
        <v>912950</v>
      </c>
      <c r="R163" s="174">
        <f>DATABASE!S1029</f>
        <v>912950</v>
      </c>
      <c r="S163" s="173">
        <f>DATABASE!T1029</f>
        <v>992000</v>
      </c>
      <c r="T163" s="175">
        <f>DATABASE!U1029</f>
        <v>0</v>
      </c>
      <c r="U163" s="175">
        <f>DATABASE!V1029</f>
        <v>0</v>
      </c>
      <c r="V163" s="79">
        <f>DATABASE!W1029</f>
        <v>992000</v>
      </c>
      <c r="W163" s="80">
        <f>DATABASE!X1029</f>
        <v>0</v>
      </c>
      <c r="X163" s="79">
        <f>DATABASE!Y1029</f>
        <v>992000</v>
      </c>
      <c r="Y163" s="79">
        <f>DATABASE!Z1029</f>
        <v>992000</v>
      </c>
      <c r="Z163" s="79" t="e">
        <f>DATABASE!#REF!</f>
        <v>#REF!</v>
      </c>
      <c r="AA163" s="81">
        <f>DATABASE!AA1029</f>
        <v>45163</v>
      </c>
      <c r="AB163" s="177">
        <f>DATABASE!AB1029</f>
        <v>0</v>
      </c>
      <c r="AC163" s="159"/>
      <c r="AD163" s="51"/>
    </row>
    <row r="164" spans="1:30" s="14" customFormat="1">
      <c r="A164" s="158" t="str">
        <f>DATABASE!A1030</f>
        <v>ZESTIA</v>
      </c>
      <c r="B164" s="167" t="str">
        <f>DATABASE!B1030</f>
        <v>Vilamoura</v>
      </c>
      <c r="C164" s="168" t="str">
        <f>DATABASE!C1030</f>
        <v>S</v>
      </c>
      <c r="D164" s="169" t="str">
        <f>DATABASE!E1030</f>
        <v>T2 LO</v>
      </c>
      <c r="E164" s="169">
        <f>DATABASE!F1030</f>
        <v>116.78</v>
      </c>
      <c r="F164" s="169">
        <f>DATABASE!G1030</f>
        <v>0</v>
      </c>
      <c r="G164" s="169" t="str">
        <f>DATABASE!H1030</f>
        <v/>
      </c>
      <c r="H164" s="169" t="str">
        <f>DATABASE!I1030</f>
        <v/>
      </c>
      <c r="I164" s="169">
        <f>DATABASE!J1030</f>
        <v>28.57</v>
      </c>
      <c r="J164" s="169">
        <f>DATABASE!K1030</f>
        <v>0</v>
      </c>
      <c r="K164" s="170">
        <f>DATABASE!L1030</f>
        <v>0</v>
      </c>
      <c r="L164" s="171">
        <f>DATABASE!M1030</f>
        <v>0</v>
      </c>
      <c r="M164" s="172">
        <f>DATABASE!N1030</f>
        <v>0</v>
      </c>
      <c r="N164" s="173">
        <f>DATABASE!O1030</f>
        <v>88.21</v>
      </c>
      <c r="O164" s="173">
        <f>DATABASE!P1030</f>
        <v>0</v>
      </c>
      <c r="P164" s="173" t="str">
        <f>DATABASE!Q1030</f>
        <v>AVAILABLE</v>
      </c>
      <c r="Q164" s="154">
        <f>DATABASE!R1030</f>
        <v>663492.68000000005</v>
      </c>
      <c r="R164" s="174">
        <f>DATABASE!S1030</f>
        <v>728092.68</v>
      </c>
      <c r="S164" s="173">
        <f>DATABASE!T1030</f>
        <v>770000</v>
      </c>
      <c r="T164" s="175">
        <f>DATABASE!U1030</f>
        <v>24600</v>
      </c>
      <c r="U164" s="175">
        <f>DATABASE!V1030</f>
        <v>40000</v>
      </c>
      <c r="V164" s="79">
        <f>DATABASE!W1030</f>
        <v>705400</v>
      </c>
      <c r="W164" s="80">
        <f>DATABASE!X1030</f>
        <v>0</v>
      </c>
      <c r="X164" s="79">
        <f>DATABASE!Y1030</f>
        <v>770000</v>
      </c>
      <c r="Y164" s="79">
        <f>DATABASE!Z1030</f>
        <v>705400</v>
      </c>
      <c r="Z164" s="79" t="e">
        <f>DATABASE!#REF!</f>
        <v>#REF!</v>
      </c>
      <c r="AA164" s="81">
        <f>DATABASE!AA1030</f>
        <v>0</v>
      </c>
      <c r="AB164" s="177">
        <f>DATABASE!AB1030</f>
        <v>0</v>
      </c>
      <c r="AC164" s="159"/>
      <c r="AD164" s="51"/>
    </row>
    <row r="165" spans="1:30" s="14" customFormat="1">
      <c r="A165" s="158" t="str">
        <f>DATABASE!A1031</f>
        <v>Palmares - Signature Apartments</v>
      </c>
      <c r="B165" s="167" t="str">
        <f>DATABASE!B1031</f>
        <v>Algarve</v>
      </c>
      <c r="C165" s="168" t="str">
        <f>DATABASE!C1031</f>
        <v>843C</v>
      </c>
      <c r="D165" s="169" t="str">
        <f>DATABASE!E1031</f>
        <v>T2</v>
      </c>
      <c r="E165" s="169">
        <f>DATABASE!F1031</f>
        <v>144.94999999999999</v>
      </c>
      <c r="F165" s="169">
        <f>DATABASE!G1031</f>
        <v>0</v>
      </c>
      <c r="G165" s="169" t="str">
        <f>DATABASE!H1031</f>
        <v>52+53</v>
      </c>
      <c r="H165" s="169" t="str">
        <f>DATABASE!I1031</f>
        <v/>
      </c>
      <c r="I165" s="169">
        <f>DATABASE!J1031</f>
        <v>0</v>
      </c>
      <c r="J165" s="169">
        <f>DATABASE!K1031</f>
        <v>0</v>
      </c>
      <c r="K165" s="170">
        <f>DATABASE!L1031</f>
        <v>0</v>
      </c>
      <c r="L165" s="171">
        <f>DATABASE!M1031</f>
        <v>29.65</v>
      </c>
      <c r="M165" s="172">
        <f>DATABASE!N1031</f>
        <v>0</v>
      </c>
      <c r="N165" s="173">
        <f>DATABASE!O1031</f>
        <v>115.3</v>
      </c>
      <c r="O165" s="173">
        <f>DATABASE!P1031</f>
        <v>0</v>
      </c>
      <c r="P165" s="173" t="str">
        <f>DATABASE!Q1031</f>
        <v>RESERVED</v>
      </c>
      <c r="Q165" s="154">
        <f>DATABASE!R1031</f>
        <v>660000</v>
      </c>
      <c r="R165" s="174">
        <f>DATABASE!S1031</f>
        <v>660000</v>
      </c>
      <c r="S165" s="173">
        <f>DATABASE!T1031</f>
        <v>950000</v>
      </c>
      <c r="T165" s="175">
        <f>DATABASE!U1031</f>
        <v>0</v>
      </c>
      <c r="U165" s="175">
        <f>DATABASE!V1031</f>
        <v>0</v>
      </c>
      <c r="V165" s="79">
        <f>DATABASE!W1031</f>
        <v>950000</v>
      </c>
      <c r="W165" s="80">
        <f>DATABASE!X1031</f>
        <v>0</v>
      </c>
      <c r="X165" s="79">
        <f>DATABASE!Y1031</f>
        <v>950000</v>
      </c>
      <c r="Y165" s="79">
        <f>DATABASE!Z1031</f>
        <v>950000</v>
      </c>
      <c r="Z165" s="79" t="e">
        <f>DATABASE!#REF!</f>
        <v>#REF!</v>
      </c>
      <c r="AA165" s="81">
        <f>DATABASE!AA1031</f>
        <v>46175</v>
      </c>
      <c r="AB165" s="177">
        <f>DATABASE!AB1031</f>
        <v>46843</v>
      </c>
      <c r="AC165" s="159"/>
      <c r="AD165" s="51"/>
    </row>
    <row r="166" spans="1:30" s="14" customFormat="1">
      <c r="A166" s="158" t="str">
        <f>DATABASE!A1032</f>
        <v>Palmares - Signature Apartments</v>
      </c>
      <c r="B166" s="167" t="str">
        <f>DATABASE!B1032</f>
        <v>Algarve</v>
      </c>
      <c r="C166" s="168" t="str">
        <f>DATABASE!C1032</f>
        <v>844C</v>
      </c>
      <c r="D166" s="169" t="str">
        <f>DATABASE!E1032</f>
        <v>T2</v>
      </c>
      <c r="E166" s="169">
        <f>DATABASE!F1032</f>
        <v>144.94999999999999</v>
      </c>
      <c r="F166" s="169">
        <f>DATABASE!G1032</f>
        <v>0</v>
      </c>
      <c r="G166" s="169" t="str">
        <f>DATABASE!H1032</f>
        <v>50+51</v>
      </c>
      <c r="H166" s="169" t="str">
        <f>DATABASE!I1032</f>
        <v/>
      </c>
      <c r="I166" s="169">
        <f>DATABASE!J1032</f>
        <v>0</v>
      </c>
      <c r="J166" s="169">
        <f>DATABASE!K1032</f>
        <v>0</v>
      </c>
      <c r="K166" s="170">
        <f>DATABASE!L1032</f>
        <v>0</v>
      </c>
      <c r="L166" s="171">
        <f>DATABASE!M1032</f>
        <v>29.65</v>
      </c>
      <c r="M166" s="172">
        <f>DATABASE!N1032</f>
        <v>0</v>
      </c>
      <c r="N166" s="173">
        <f>DATABASE!O1032</f>
        <v>115.3</v>
      </c>
      <c r="O166" s="173">
        <f>DATABASE!P1032</f>
        <v>0</v>
      </c>
      <c r="P166" s="173" t="str">
        <f>DATABASE!Q1032</f>
        <v xml:space="preserve">PSPA </v>
      </c>
      <c r="Q166" s="154">
        <f>DATABASE!R1032</f>
        <v>540000</v>
      </c>
      <c r="R166" s="174">
        <f>DATABASE!S1032</f>
        <v>540000</v>
      </c>
      <c r="S166" s="173">
        <f>DATABASE!T1032</f>
        <v>850000</v>
      </c>
      <c r="T166" s="175">
        <f>DATABASE!U1032</f>
        <v>0</v>
      </c>
      <c r="U166" s="175">
        <f>DATABASE!V1032</f>
        <v>0</v>
      </c>
      <c r="V166" s="79">
        <f>DATABASE!W1032</f>
        <v>850000</v>
      </c>
      <c r="W166" s="80">
        <f>DATABASE!X1032</f>
        <v>0</v>
      </c>
      <c r="X166" s="79">
        <f>DATABASE!Y1032</f>
        <v>850000</v>
      </c>
      <c r="Y166" s="79">
        <f>DATABASE!Z1032</f>
        <v>850000</v>
      </c>
      <c r="Z166" s="79" t="e">
        <f>DATABASE!#REF!</f>
        <v>#REF!</v>
      </c>
      <c r="AA166" s="81" t="e">
        <f>DATABASE!#REF!</f>
        <v>#REF!</v>
      </c>
      <c r="AB166" s="177">
        <f>DATABASE!AB1032</f>
        <v>46843</v>
      </c>
      <c r="AC166" s="159"/>
      <c r="AD166" s="51"/>
    </row>
    <row r="167" spans="1:30" s="14" customFormat="1">
      <c r="A167" s="158" t="str">
        <f>DATABASE!A1033</f>
        <v>BOTÂNICA</v>
      </c>
      <c r="B167" s="167" t="str">
        <f>DATABASE!B1033</f>
        <v>Vilamoura</v>
      </c>
      <c r="C167" s="168" t="str">
        <f>DATABASE!C1033</f>
        <v>T</v>
      </c>
      <c r="D167" s="169" t="str">
        <f>DATABASE!E1033</f>
        <v>T2</v>
      </c>
      <c r="E167" s="169">
        <f>DATABASE!F1033</f>
        <v>142.88999999999999</v>
      </c>
      <c r="F167" s="169">
        <f>DATABASE!G1033</f>
        <v>0</v>
      </c>
      <c r="G167" s="169" t="str">
        <f>DATABASE!H1033</f>
        <v>2</v>
      </c>
      <c r="H167" s="169" t="str">
        <f>DATABASE!I1033</f>
        <v/>
      </c>
      <c r="I167" s="169">
        <f>DATABASE!J1033</f>
        <v>26.79</v>
      </c>
      <c r="J167" s="169">
        <f>DATABASE!K1033</f>
        <v>0</v>
      </c>
      <c r="K167" s="170">
        <f>DATABASE!L1033</f>
        <v>0</v>
      </c>
      <c r="L167" s="171">
        <f>DATABASE!M1033</f>
        <v>1.61</v>
      </c>
      <c r="M167" s="172">
        <f>DATABASE!N1033</f>
        <v>0</v>
      </c>
      <c r="N167" s="173">
        <f>DATABASE!O1033</f>
        <v>114.49</v>
      </c>
      <c r="O167" s="173">
        <f>DATABASE!P1033</f>
        <v>0</v>
      </c>
      <c r="P167" s="173" t="str">
        <f>DATABASE!Q1033</f>
        <v>AVAILABLE</v>
      </c>
      <c r="Q167" s="154">
        <f>DATABASE!R1033</f>
        <v>925527.24</v>
      </c>
      <c r="R167" s="174">
        <f>DATABASE!S1033</f>
        <v>925527.24</v>
      </c>
      <c r="S167" s="173">
        <f>DATABASE!T1033</f>
        <v>950000</v>
      </c>
      <c r="T167" s="175">
        <f>DATABASE!U1033</f>
        <v>0</v>
      </c>
      <c r="U167" s="175">
        <f>DATABASE!V1033</f>
        <v>0</v>
      </c>
      <c r="V167" s="79">
        <f>DATABASE!W1033</f>
        <v>950000</v>
      </c>
      <c r="W167" s="80">
        <f>DATABASE!X1033</f>
        <v>0</v>
      </c>
      <c r="X167" s="79">
        <f>DATABASE!Y1033</f>
        <v>930000</v>
      </c>
      <c r="Y167" s="79">
        <f>DATABASE!Z1033</f>
        <v>930000</v>
      </c>
      <c r="Z167" s="79" t="e">
        <f>DATABASE!#REF!</f>
        <v>#REF!</v>
      </c>
      <c r="AA167" s="81">
        <f>DATABASE!AA1033</f>
        <v>0</v>
      </c>
      <c r="AB167" s="177">
        <f>DATABASE!AB1033</f>
        <v>0</v>
      </c>
      <c r="AC167" s="159"/>
      <c r="AD167" s="51"/>
    </row>
    <row r="168" spans="1:30" s="14" customFormat="1">
      <c r="A168" s="158" t="str">
        <f>DATABASE!A1034</f>
        <v>NOBILUS</v>
      </c>
      <c r="B168" s="167" t="str">
        <f>DATABASE!B1034</f>
        <v>Vilamoura</v>
      </c>
      <c r="C168" s="168" t="str">
        <f>DATABASE!C1034</f>
        <v>T</v>
      </c>
      <c r="D168" s="169" t="str">
        <f>DATABASE!E1034</f>
        <v>T3</v>
      </c>
      <c r="E168" s="169">
        <f>DATABASE!F1034</f>
        <v>152.91</v>
      </c>
      <c r="F168" s="169">
        <f>DATABASE!G1034</f>
        <v>3.99</v>
      </c>
      <c r="G168" s="169" t="str">
        <f>DATABASE!H1034</f>
        <v>77</v>
      </c>
      <c r="H168" s="169" t="str">
        <f>DATABASE!I1034</f>
        <v>Yes</v>
      </c>
      <c r="I168" s="169">
        <f>DATABASE!J1034</f>
        <v>0</v>
      </c>
      <c r="J168" s="169">
        <f>DATABASE!K1034</f>
        <v>0</v>
      </c>
      <c r="K168" s="170">
        <f>DATABASE!L1034</f>
        <v>0</v>
      </c>
      <c r="L168" s="171">
        <f>DATABASE!M1034</f>
        <v>0</v>
      </c>
      <c r="M168" s="172">
        <f>DATABASE!N1034</f>
        <v>0</v>
      </c>
      <c r="N168" s="173">
        <f>DATABASE!O1034</f>
        <v>152.91</v>
      </c>
      <c r="O168" s="173">
        <f>DATABASE!P1034</f>
        <v>0</v>
      </c>
      <c r="P168" s="173" t="str">
        <f>DATABASE!Q1034</f>
        <v>AVAILABLE</v>
      </c>
      <c r="Q168" s="154">
        <f>DATABASE!R1034</f>
        <v>1110000</v>
      </c>
      <c r="R168" s="174">
        <f>DATABASE!S1034</f>
        <v>1110000</v>
      </c>
      <c r="S168" s="173">
        <f>DATABASE!T1034</f>
        <v>1110000</v>
      </c>
      <c r="T168" s="175">
        <f>DATABASE!U1034</f>
        <v>0</v>
      </c>
      <c r="U168" s="175">
        <f>DATABASE!V1034</f>
        <v>0</v>
      </c>
      <c r="V168" s="79">
        <f>DATABASE!W1034</f>
        <v>1110000</v>
      </c>
      <c r="W168" s="80">
        <f>DATABASE!X1034</f>
        <v>0</v>
      </c>
      <c r="X168" s="79">
        <f>DATABASE!Y1034</f>
        <v>1110000</v>
      </c>
      <c r="Y168" s="79">
        <f>DATABASE!Z1034</f>
        <v>1110000</v>
      </c>
      <c r="Z168" s="79" t="e">
        <f>DATABASE!#REF!</f>
        <v>#REF!</v>
      </c>
      <c r="AA168" s="81">
        <f>DATABASE!AA1034</f>
        <v>0</v>
      </c>
      <c r="AB168" s="177">
        <f>DATABASE!AB1034</f>
        <v>0</v>
      </c>
      <c r="AC168" s="159"/>
      <c r="AD168" s="51"/>
    </row>
    <row r="169" spans="1:30" s="14" customFormat="1">
      <c r="A169" s="158" t="str">
        <f>DATABASE!A1035</f>
        <v>Aroeira - VILLAS</v>
      </c>
      <c r="B169" s="167" t="str">
        <f>DATABASE!B1035</f>
        <v>Center</v>
      </c>
      <c r="C169" s="168" t="str">
        <f>DATABASE!C1035</f>
        <v>10E</v>
      </c>
      <c r="D169" s="169" t="str">
        <f>DATABASE!E1035</f>
        <v>T5</v>
      </c>
      <c r="E169" s="169">
        <f>DATABASE!F1035</f>
        <v>533.5</v>
      </c>
      <c r="F169" s="169">
        <f>DATABASE!G1035</f>
        <v>0</v>
      </c>
      <c r="G169" s="169" t="str">
        <f>DATABASE!H1035</f>
        <v>2</v>
      </c>
      <c r="H169" s="169" t="str">
        <f>DATABASE!I1035</f>
        <v>1</v>
      </c>
      <c r="I169" s="169">
        <f>DATABASE!J1035</f>
        <v>0</v>
      </c>
      <c r="J169" s="169">
        <f>DATABASE!K1035</f>
        <v>0</v>
      </c>
      <c r="K169" s="170">
        <f>DATABASE!L1035</f>
        <v>0</v>
      </c>
      <c r="L169" s="171">
        <f>DATABASE!M1035</f>
        <v>142</v>
      </c>
      <c r="M169" s="172">
        <f>DATABASE!N1035</f>
        <v>59</v>
      </c>
      <c r="N169" s="173">
        <f>DATABASE!O1035</f>
        <v>332.5</v>
      </c>
      <c r="O169" s="173">
        <f>DATABASE!P1035</f>
        <v>0</v>
      </c>
      <c r="P169" s="173" t="str">
        <f>DATABASE!Q1035</f>
        <v>AVAILABLE</v>
      </c>
      <c r="Q169" s="154">
        <f>DATABASE!R1035</f>
        <v>2875000</v>
      </c>
      <c r="R169" s="174">
        <f>DATABASE!S1035</f>
        <v>2955000</v>
      </c>
      <c r="S169" s="173">
        <f>DATABASE!T1035</f>
        <v>2955000</v>
      </c>
      <c r="T169" s="175">
        <f>DATABASE!U1035</f>
        <v>0</v>
      </c>
      <c r="U169" s="175">
        <f>DATABASE!V1035</f>
        <v>80000</v>
      </c>
      <c r="V169" s="79">
        <f>DATABASE!W1035</f>
        <v>2875000</v>
      </c>
      <c r="W169" s="80">
        <f>DATABASE!X1035</f>
        <v>0</v>
      </c>
      <c r="X169" s="79">
        <f>DATABASE!Y1035</f>
        <v>0</v>
      </c>
      <c r="Y169" s="79">
        <f>DATABASE!Z1035</f>
        <v>-80000</v>
      </c>
      <c r="Z169" s="79" t="e">
        <f>DATABASE!#REF!</f>
        <v>#REF!</v>
      </c>
      <c r="AA169" s="81">
        <f>DATABASE!AA1035</f>
        <v>0</v>
      </c>
      <c r="AB169" s="177">
        <f>DATABASE!AB1035</f>
        <v>47118</v>
      </c>
      <c r="AC169" s="159"/>
      <c r="AD169" s="51"/>
    </row>
    <row r="170" spans="1:30" s="14" customFormat="1">
      <c r="A170" s="158" t="str">
        <f>DATABASE!A1036</f>
        <v>Palmares - Signature Residences</v>
      </c>
      <c r="B170" s="167" t="str">
        <f>DATABASE!B1036</f>
        <v>Algarve</v>
      </c>
      <c r="C170" s="168" t="str">
        <f>DATABASE!C1036</f>
        <v>8A</v>
      </c>
      <c r="D170" s="169" t="str">
        <f>DATABASE!E1036</f>
        <v>T1 + 1</v>
      </c>
      <c r="E170" s="169">
        <f>DATABASE!F1036</f>
        <v>143.08000000000001</v>
      </c>
      <c r="F170" s="169">
        <f>DATABASE!G1036</f>
        <v>0</v>
      </c>
      <c r="G170" s="169" t="str">
        <f>DATABASE!H1036</f>
        <v/>
      </c>
      <c r="H170" s="169" t="str">
        <f>DATABASE!I1036</f>
        <v>8.37</v>
      </c>
      <c r="I170" s="169">
        <f>DATABASE!J1036</f>
        <v>0</v>
      </c>
      <c r="J170" s="169">
        <f>DATABASE!K1036</f>
        <v>0</v>
      </c>
      <c r="K170" s="170">
        <f>DATABASE!L1036</f>
        <v>0</v>
      </c>
      <c r="L170" s="171">
        <f>DATABASE!M1036</f>
        <v>34.6</v>
      </c>
      <c r="M170" s="172">
        <f>DATABASE!N1036</f>
        <v>0</v>
      </c>
      <c r="N170" s="173">
        <f>DATABASE!O1036</f>
        <v>100.11</v>
      </c>
      <c r="O170" s="173">
        <f>DATABASE!P1036</f>
        <v>0</v>
      </c>
      <c r="P170" s="173" t="str">
        <f>DATABASE!Q1036</f>
        <v>RESERVED</v>
      </c>
      <c r="Q170" s="154">
        <f>DATABASE!R1036</f>
        <v>800000</v>
      </c>
      <c r="R170" s="174">
        <f>DATABASE!S1036</f>
        <v>800000</v>
      </c>
      <c r="S170" s="173">
        <f>DATABASE!T1036</f>
        <v>800000</v>
      </c>
      <c r="T170" s="175">
        <f>DATABASE!U1036</f>
        <v>0</v>
      </c>
      <c r="U170" s="175">
        <f>DATABASE!V1036</f>
        <v>0</v>
      </c>
      <c r="V170" s="79">
        <f>DATABASE!W1036</f>
        <v>800000</v>
      </c>
      <c r="W170" s="80">
        <f>DATABASE!X1036</f>
        <v>0</v>
      </c>
      <c r="X170" s="79">
        <f>DATABASE!Y1036</f>
        <v>800000</v>
      </c>
      <c r="Y170" s="79">
        <f>DATABASE!Z1036</f>
        <v>800000</v>
      </c>
      <c r="Z170" s="79" t="e">
        <f>DATABASE!#REF!</f>
        <v>#REF!</v>
      </c>
      <c r="AA170" s="81">
        <f>DATABASE!AA1036</f>
        <v>0</v>
      </c>
      <c r="AB170" s="177">
        <f>DATABASE!AB1036</f>
        <v>46843</v>
      </c>
      <c r="AC170" s="159"/>
      <c r="AD170" s="51"/>
    </row>
    <row r="171" spans="1:30" s="14" customFormat="1">
      <c r="A171" s="158" t="str">
        <f>DATABASE!A1037</f>
        <v>Palmares - Signature Residences</v>
      </c>
      <c r="B171" s="167" t="str">
        <f>DATABASE!B1037</f>
        <v>Algarve</v>
      </c>
      <c r="C171" s="168" t="str">
        <f>DATABASE!C1037</f>
        <v>9C</v>
      </c>
      <c r="D171" s="169" t="str">
        <f>DATABASE!E1037</f>
        <v>T1</v>
      </c>
      <c r="E171" s="169">
        <f>DATABASE!F1037</f>
        <v>93.05</v>
      </c>
      <c r="F171" s="169">
        <f>DATABASE!G1037</f>
        <v>0</v>
      </c>
      <c r="G171" s="169" t="str">
        <f>DATABASE!H1037</f>
        <v/>
      </c>
      <c r="H171" s="169" t="str">
        <f>DATABASE!I1037</f>
        <v>8.37</v>
      </c>
      <c r="I171" s="169">
        <f>DATABASE!J1037</f>
        <v>0</v>
      </c>
      <c r="J171" s="169">
        <f>DATABASE!K1037</f>
        <v>0</v>
      </c>
      <c r="K171" s="170">
        <f>DATABASE!L1037</f>
        <v>0</v>
      </c>
      <c r="L171" s="171">
        <f>DATABASE!M1037</f>
        <v>18.989999999999998</v>
      </c>
      <c r="M171" s="172">
        <f>DATABASE!N1037</f>
        <v>0</v>
      </c>
      <c r="N171" s="173">
        <f>DATABASE!O1037</f>
        <v>65.69</v>
      </c>
      <c r="O171" s="173">
        <f>DATABASE!P1037</f>
        <v>0</v>
      </c>
      <c r="P171" s="173" t="str">
        <f>DATABASE!Q1037</f>
        <v>AVAILABLE</v>
      </c>
      <c r="Q171" s="154">
        <f>DATABASE!R1037</f>
        <v>710000</v>
      </c>
      <c r="R171" s="174">
        <f>DATABASE!S1037</f>
        <v>710000</v>
      </c>
      <c r="S171" s="173">
        <f>DATABASE!T1037</f>
        <v>710000</v>
      </c>
      <c r="T171" s="175">
        <f>DATABASE!U1037</f>
        <v>0</v>
      </c>
      <c r="U171" s="175">
        <f>DATABASE!V1037</f>
        <v>0</v>
      </c>
      <c r="V171" s="79">
        <f>DATABASE!W1037</f>
        <v>710000</v>
      </c>
      <c r="W171" s="80">
        <f>DATABASE!X1037</f>
        <v>0</v>
      </c>
      <c r="X171" s="79">
        <f>DATABASE!Y1037</f>
        <v>710000</v>
      </c>
      <c r="Y171" s="79">
        <f>DATABASE!Z1037</f>
        <v>710000</v>
      </c>
      <c r="Z171" s="79" t="e">
        <f>DATABASE!#REF!</f>
        <v>#REF!</v>
      </c>
      <c r="AA171" s="81">
        <f>DATABASE!AA1037</f>
        <v>0</v>
      </c>
      <c r="AB171" s="177">
        <f>DATABASE!AB1037</f>
        <v>46843</v>
      </c>
      <c r="AC171" s="159"/>
      <c r="AD171" s="51"/>
    </row>
    <row r="172" spans="1:30" s="14" customFormat="1">
      <c r="A172" s="158" t="str">
        <f>DATABASE!A1038</f>
        <v>Rivus</v>
      </c>
      <c r="B172" s="167" t="str">
        <f>DATABASE!B1038</f>
        <v>Vilamoura</v>
      </c>
      <c r="C172" s="168" t="str">
        <f>DATABASE!C1038</f>
        <v>T</v>
      </c>
      <c r="D172" s="169" t="str">
        <f>DATABASE!E1038</f>
        <v>T2</v>
      </c>
      <c r="E172" s="169">
        <f>DATABASE!F1038</f>
        <v>0</v>
      </c>
      <c r="F172" s="169">
        <f>DATABASE!G1038</f>
        <v>0</v>
      </c>
      <c r="G172" s="169" t="str">
        <f>DATABASE!H1038</f>
        <v/>
      </c>
      <c r="H172" s="169" t="str">
        <f>DATABASE!I1038</f>
        <v/>
      </c>
      <c r="I172" s="169">
        <f>DATABASE!J1038</f>
        <v>0</v>
      </c>
      <c r="J172" s="169">
        <f>DATABASE!K1038</f>
        <v>0</v>
      </c>
      <c r="K172" s="170">
        <f>DATABASE!L1038</f>
        <v>0</v>
      </c>
      <c r="L172" s="171">
        <f>DATABASE!M1038</f>
        <v>19</v>
      </c>
      <c r="M172" s="172">
        <f>DATABASE!N1038</f>
        <v>0</v>
      </c>
      <c r="N172" s="173">
        <f>DATABASE!O1038</f>
        <v>108</v>
      </c>
      <c r="O172" s="173">
        <f>DATABASE!P1038</f>
        <v>0</v>
      </c>
      <c r="P172" s="173" t="str">
        <f>DATABASE!Q1038</f>
        <v>RESERVED</v>
      </c>
      <c r="Q172" s="154">
        <f>DATABASE!R1038</f>
        <v>710000</v>
      </c>
      <c r="R172" s="174">
        <f>DATABASE!S1038</f>
        <v>710000</v>
      </c>
      <c r="S172" s="173">
        <f>DATABASE!T1038</f>
        <v>710000</v>
      </c>
      <c r="T172" s="175">
        <f>DATABASE!U1038</f>
        <v>0</v>
      </c>
      <c r="U172" s="175">
        <f>DATABASE!V1038</f>
        <v>0</v>
      </c>
      <c r="V172" s="79">
        <f>DATABASE!W1038</f>
        <v>710000</v>
      </c>
      <c r="W172" s="80">
        <f>DATABASE!X1038</f>
        <v>0</v>
      </c>
      <c r="X172" s="79">
        <f>DATABASE!Y1038</f>
        <v>710000</v>
      </c>
      <c r="Y172" s="79">
        <f>DATABASE!Z1038</f>
        <v>710000</v>
      </c>
      <c r="Z172" s="79" t="e">
        <f>DATABASE!#REF!</f>
        <v>#REF!</v>
      </c>
      <c r="AA172" s="81">
        <f>DATABASE!AA1038</f>
        <v>0</v>
      </c>
      <c r="AB172" s="177">
        <f>DATABASE!AB1038</f>
        <v>0</v>
      </c>
      <c r="AC172" s="159"/>
      <c r="AD172" s="51"/>
    </row>
    <row r="173" spans="1:30" s="14" customFormat="1">
      <c r="A173" s="158" t="str">
        <f>DATABASE!A1039</f>
        <v>SPRINGS</v>
      </c>
      <c r="B173" s="167" t="str">
        <f>DATABASE!B1039</f>
        <v>Vilamoura</v>
      </c>
      <c r="C173" s="168" t="str">
        <f>DATABASE!C1039</f>
        <v>T</v>
      </c>
      <c r="D173" s="169" t="str">
        <f>DATABASE!E1039</f>
        <v>V3</v>
      </c>
      <c r="E173" s="169">
        <f>DATABASE!F1039</f>
        <v>321.57</v>
      </c>
      <c r="F173" s="169">
        <f>DATABASE!G1039</f>
        <v>163.77000000000001</v>
      </c>
      <c r="G173" s="169" t="str">
        <f>DATABASE!H1039</f>
        <v/>
      </c>
      <c r="H173" s="169" t="str">
        <f>DATABASE!I1039</f>
        <v/>
      </c>
      <c r="I173" s="169">
        <f>DATABASE!J1039</f>
        <v>0</v>
      </c>
      <c r="J173" s="169">
        <f>DATABASE!K1039</f>
        <v>0</v>
      </c>
      <c r="K173" s="170">
        <f>DATABASE!L1039</f>
        <v>0</v>
      </c>
      <c r="L173" s="171">
        <f>DATABASE!M1039</f>
        <v>0</v>
      </c>
      <c r="M173" s="172">
        <f>DATABASE!N1039</f>
        <v>0</v>
      </c>
      <c r="N173" s="173">
        <f>DATABASE!O1039</f>
        <v>157.80000000000001</v>
      </c>
      <c r="O173" s="173">
        <f>DATABASE!P1039</f>
        <v>0</v>
      </c>
      <c r="P173" s="173" t="str">
        <f>DATABASE!Q1039</f>
        <v>AVAILABLE</v>
      </c>
      <c r="Q173" s="154">
        <f>DATABASE!R1039</f>
        <v>1552100</v>
      </c>
      <c r="R173" s="174">
        <f>DATABASE!S1039</f>
        <v>1641050</v>
      </c>
      <c r="S173" s="173">
        <f>DATABASE!T1039</f>
        <v>1730000</v>
      </c>
      <c r="T173" s="175">
        <f>DATABASE!U1039</f>
        <v>24600</v>
      </c>
      <c r="U173" s="175">
        <f>DATABASE!V1039</f>
        <v>64350</v>
      </c>
      <c r="V173" s="79">
        <f>DATABASE!W1039</f>
        <v>1641050</v>
      </c>
      <c r="W173" s="80">
        <f>DATABASE!X1039</f>
        <v>0</v>
      </c>
      <c r="X173" s="79">
        <f>DATABASE!Y1039</f>
        <v>1730000</v>
      </c>
      <c r="Y173" s="79">
        <f>DATABASE!Z1039</f>
        <v>1641050</v>
      </c>
      <c r="Z173" s="79" t="e">
        <f>DATABASE!#REF!</f>
        <v>#REF!</v>
      </c>
      <c r="AA173" s="81">
        <f>DATABASE!AA1039</f>
        <v>0</v>
      </c>
      <c r="AB173" s="177">
        <f>DATABASE!AB1039</f>
        <v>0</v>
      </c>
      <c r="AC173" s="159"/>
      <c r="AD173" s="51"/>
    </row>
    <row r="174" spans="1:30" s="14" customFormat="1">
      <c r="A174" s="158" t="str">
        <f>DATABASE!A1040</f>
        <v>Aroeira - VILLAS</v>
      </c>
      <c r="B174" s="167" t="str">
        <f>DATABASE!B1040</f>
        <v>Center</v>
      </c>
      <c r="C174" s="168" t="str">
        <f>DATABASE!C1040</f>
        <v>09E</v>
      </c>
      <c r="D174" s="169" t="str">
        <f>DATABASE!E1040</f>
        <v>T5</v>
      </c>
      <c r="E174" s="169">
        <f>DATABASE!F1040</f>
        <v>587.4</v>
      </c>
      <c r="F174" s="169">
        <f>DATABASE!G1040</f>
        <v>0</v>
      </c>
      <c r="G174" s="169" t="str">
        <f>DATABASE!H1040</f>
        <v>2</v>
      </c>
      <c r="H174" s="169" t="str">
        <f>DATABASE!I1040</f>
        <v>1</v>
      </c>
      <c r="I174" s="169">
        <f>DATABASE!J1040</f>
        <v>0</v>
      </c>
      <c r="J174" s="169">
        <f>DATABASE!K1040</f>
        <v>0</v>
      </c>
      <c r="K174" s="170">
        <f>DATABASE!L1040</f>
        <v>0</v>
      </c>
      <c r="L174" s="171">
        <f>DATABASE!M1040</f>
        <v>167</v>
      </c>
      <c r="M174" s="172">
        <f>DATABASE!N1040</f>
        <v>79</v>
      </c>
      <c r="N174" s="173">
        <f>DATABASE!O1040</f>
        <v>341.4</v>
      </c>
      <c r="O174" s="173">
        <f>DATABASE!P1040</f>
        <v>0</v>
      </c>
      <c r="P174" s="173" t="str">
        <f>DATABASE!Q1040</f>
        <v>AVAILABLE</v>
      </c>
      <c r="Q174" s="154">
        <f>DATABASE!R1040</f>
        <v>3060000</v>
      </c>
      <c r="R174" s="174">
        <f>DATABASE!S1040</f>
        <v>3140000</v>
      </c>
      <c r="S174" s="173">
        <f>DATABASE!T1040</f>
        <v>3140000</v>
      </c>
      <c r="T174" s="175">
        <f>DATABASE!U1040</f>
        <v>0</v>
      </c>
      <c r="U174" s="175">
        <f>DATABASE!V1040</f>
        <v>80000</v>
      </c>
      <c r="V174" s="79">
        <f>DATABASE!W1040</f>
        <v>3060000</v>
      </c>
      <c r="W174" s="80">
        <f>DATABASE!X1040</f>
        <v>0</v>
      </c>
      <c r="X174" s="79">
        <f>DATABASE!Y1040</f>
        <v>0</v>
      </c>
      <c r="Y174" s="79">
        <f>DATABASE!Z1040</f>
        <v>-80000</v>
      </c>
      <c r="Z174" s="79" t="e">
        <f>DATABASE!#REF!</f>
        <v>#REF!</v>
      </c>
      <c r="AA174" s="81">
        <f>DATABASE!AA1040</f>
        <v>0</v>
      </c>
      <c r="AB174" s="177">
        <f>DATABASE!AB1040</f>
        <v>47118</v>
      </c>
      <c r="AC174" s="159"/>
      <c r="AD174" s="51"/>
    </row>
    <row r="175" spans="1:30" s="14" customFormat="1">
      <c r="A175" s="158" t="str">
        <f>DATABASE!A1041</f>
        <v>TERRACOTA</v>
      </c>
      <c r="B175" s="167" t="str">
        <f>DATABASE!B1041</f>
        <v>Vilamoura</v>
      </c>
      <c r="C175" s="168" t="str">
        <f>DATABASE!C1041</f>
        <v>T</v>
      </c>
      <c r="D175" s="169" t="str">
        <f>DATABASE!E1041</f>
        <v>T3</v>
      </c>
      <c r="E175" s="169">
        <f>DATABASE!F1041</f>
        <v>130.91999999999999</v>
      </c>
      <c r="F175" s="169">
        <f>DATABASE!G1041</f>
        <v>0</v>
      </c>
      <c r="G175" s="169" t="str">
        <f>DATABASE!H1041</f>
        <v/>
      </c>
      <c r="H175" s="169" t="str">
        <f>DATABASE!I1041</f>
        <v/>
      </c>
      <c r="I175" s="169">
        <f>DATABASE!J1041</f>
        <v>0</v>
      </c>
      <c r="J175" s="169">
        <f>DATABASE!K1041</f>
        <v>0</v>
      </c>
      <c r="K175" s="170">
        <f>DATABASE!L1041</f>
        <v>0</v>
      </c>
      <c r="L175" s="171">
        <f>DATABASE!M1041</f>
        <v>0</v>
      </c>
      <c r="M175" s="172">
        <f>DATABASE!N1041</f>
        <v>0</v>
      </c>
      <c r="N175" s="173">
        <f>DATABASE!O1041</f>
        <v>130.91999999999999</v>
      </c>
      <c r="O175" s="173">
        <f>DATABASE!P1041</f>
        <v>0</v>
      </c>
      <c r="P175" s="173" t="str">
        <f>DATABASE!Q1041</f>
        <v xml:space="preserve">PSPA </v>
      </c>
      <c r="Q175" s="154">
        <f>DATABASE!R1041</f>
        <v>660000</v>
      </c>
      <c r="R175" s="174">
        <f>DATABASE!S1041</f>
        <v>660000</v>
      </c>
      <c r="S175" s="173">
        <f>DATABASE!T1041</f>
        <v>660000</v>
      </c>
      <c r="T175" s="175">
        <f>DATABASE!U1041</f>
        <v>0</v>
      </c>
      <c r="U175" s="175">
        <f>DATABASE!V1041</f>
        <v>0</v>
      </c>
      <c r="V175" s="79">
        <f>DATABASE!W1041</f>
        <v>660000</v>
      </c>
      <c r="W175" s="80">
        <f>DATABASE!X1041</f>
        <v>0</v>
      </c>
      <c r="X175" s="79">
        <f>DATABASE!Y1041</f>
        <v>660000</v>
      </c>
      <c r="Y175" s="79">
        <f>DATABASE!Z1041</f>
        <v>660000</v>
      </c>
      <c r="Z175" s="79" t="e">
        <f>DATABASE!#REF!</f>
        <v>#REF!</v>
      </c>
      <c r="AA175" s="81" t="e">
        <f>DATABASE!#REF!</f>
        <v>#REF!</v>
      </c>
      <c r="AB175" s="177">
        <f>DATABASE!AB1041</f>
        <v>0</v>
      </c>
      <c r="AC175" s="159"/>
      <c r="AD175" s="51"/>
    </row>
    <row r="176" spans="1:30" s="14" customFormat="1">
      <c r="A176" s="158" t="str">
        <f>DATABASE!A1042</f>
        <v>THE NINE</v>
      </c>
      <c r="B176" s="167" t="str">
        <f>DATABASE!B1042</f>
        <v>Vilamoura</v>
      </c>
      <c r="C176" s="168" t="str">
        <f>DATABASE!C1042</f>
        <v>T</v>
      </c>
      <c r="D176" s="169" t="str">
        <f>DATABASE!E1042</f>
        <v>T2</v>
      </c>
      <c r="E176" s="169">
        <f>DATABASE!F1042</f>
        <v>117</v>
      </c>
      <c r="F176" s="169">
        <f>DATABASE!G1042</f>
        <v>0</v>
      </c>
      <c r="G176" s="169" t="str">
        <f>DATABASE!H1042</f>
        <v/>
      </c>
      <c r="H176" s="169" t="str">
        <f>DATABASE!I1042</f>
        <v/>
      </c>
      <c r="I176" s="169">
        <f>DATABASE!J1042</f>
        <v>0</v>
      </c>
      <c r="J176" s="169">
        <f>DATABASE!K1042</f>
        <v>0</v>
      </c>
      <c r="K176" s="170">
        <f>DATABASE!L1042</f>
        <v>0</v>
      </c>
      <c r="L176" s="171">
        <f>DATABASE!M1042</f>
        <v>0</v>
      </c>
      <c r="M176" s="172">
        <f>DATABASE!N1042</f>
        <v>0</v>
      </c>
      <c r="N176" s="173">
        <f>DATABASE!O1042</f>
        <v>117</v>
      </c>
      <c r="O176" s="173">
        <f>DATABASE!P1042</f>
        <v>0</v>
      </c>
      <c r="P176" s="173" t="str">
        <f>DATABASE!Q1042</f>
        <v xml:space="preserve">DEED </v>
      </c>
      <c r="Q176" s="154">
        <f>DATABASE!R1042</f>
        <v>550000</v>
      </c>
      <c r="R176" s="174">
        <f>DATABASE!S1042</f>
        <v>550000</v>
      </c>
      <c r="S176" s="173">
        <f>DATABASE!T1042</f>
        <v>570000</v>
      </c>
      <c r="T176" s="175">
        <f>DATABASE!U1042</f>
        <v>0</v>
      </c>
      <c r="U176" s="175">
        <f>DATABASE!V1042</f>
        <v>0</v>
      </c>
      <c r="V176" s="79">
        <f>DATABASE!W1042</f>
        <v>570000</v>
      </c>
      <c r="W176" s="80">
        <f>DATABASE!X1042</f>
        <v>0</v>
      </c>
      <c r="X176" s="79">
        <f>DATABASE!Y1042</f>
        <v>570000</v>
      </c>
      <c r="Y176" s="79">
        <f>DATABASE!Z1042</f>
        <v>570000</v>
      </c>
      <c r="Z176" s="79" t="e">
        <f>DATABASE!#REF!</f>
        <v>#REF!</v>
      </c>
      <c r="AA176" s="81">
        <f>DATABASE!AA1042</f>
        <v>45504</v>
      </c>
      <c r="AB176" s="177">
        <f>DATABASE!AB1042</f>
        <v>0</v>
      </c>
      <c r="AC176" s="159"/>
      <c r="AD176" s="51"/>
    </row>
    <row r="177" spans="1:30" s="14" customFormat="1">
      <c r="A177" s="158" t="str">
        <f>DATABASE!A1043</f>
        <v>VM PARQUE</v>
      </c>
      <c r="B177" s="167" t="str">
        <f>DATABASE!B1043</f>
        <v>Vilamoura</v>
      </c>
      <c r="C177" s="168" t="str">
        <f>DATABASE!C1043</f>
        <v>T</v>
      </c>
      <c r="D177" s="169" t="str">
        <f>DATABASE!E1043</f>
        <v>V2</v>
      </c>
      <c r="E177" s="169">
        <f>DATABASE!F1043</f>
        <v>158.05609999999999</v>
      </c>
      <c r="F177" s="169">
        <f>DATABASE!G1043</f>
        <v>0</v>
      </c>
      <c r="G177" s="169" t="str">
        <f>DATABASE!H1043</f>
        <v/>
      </c>
      <c r="H177" s="169" t="str">
        <f>DATABASE!I1043</f>
        <v/>
      </c>
      <c r="I177" s="169">
        <f>DATABASE!J1043</f>
        <v>0</v>
      </c>
      <c r="J177" s="169">
        <f>DATABASE!K1043</f>
        <v>0</v>
      </c>
      <c r="K177" s="170">
        <f>DATABASE!L1043</f>
        <v>0</v>
      </c>
      <c r="L177" s="171">
        <f>DATABASE!M1043</f>
        <v>0</v>
      </c>
      <c r="M177" s="172">
        <f>DATABASE!N1043</f>
        <v>0</v>
      </c>
      <c r="N177" s="173">
        <f>DATABASE!O1043</f>
        <v>158.05609999999999</v>
      </c>
      <c r="O177" s="173">
        <f>DATABASE!P1043</f>
        <v>0</v>
      </c>
      <c r="P177" s="173" t="str">
        <f>DATABASE!Q1043</f>
        <v xml:space="preserve">DEED </v>
      </c>
      <c r="Q177" s="154">
        <f>DATABASE!R1043</f>
        <v>928815</v>
      </c>
      <c r="R177" s="174">
        <f>DATABASE!S1043</f>
        <v>928815</v>
      </c>
      <c r="S177" s="173">
        <f>DATABASE!T1043</f>
        <v>992000</v>
      </c>
      <c r="T177" s="175">
        <f>DATABASE!U1043</f>
        <v>0</v>
      </c>
      <c r="U177" s="175">
        <f>DATABASE!V1043</f>
        <v>0</v>
      </c>
      <c r="V177" s="79">
        <f>DATABASE!W1043</f>
        <v>992000</v>
      </c>
      <c r="W177" s="80">
        <f>DATABASE!X1043</f>
        <v>0</v>
      </c>
      <c r="X177" s="79">
        <f>DATABASE!Y1043</f>
        <v>992000</v>
      </c>
      <c r="Y177" s="79">
        <f>DATABASE!Z1043</f>
        <v>992000</v>
      </c>
      <c r="Z177" s="79" t="e">
        <f>DATABASE!#REF!</f>
        <v>#REF!</v>
      </c>
      <c r="AA177" s="81">
        <f>DATABASE!AA1043</f>
        <v>45051</v>
      </c>
      <c r="AB177" s="177">
        <f>DATABASE!AB1043</f>
        <v>0</v>
      </c>
      <c r="AC177" s="159"/>
      <c r="AD177" s="51"/>
    </row>
    <row r="178" spans="1:30" s="14" customFormat="1">
      <c r="A178" s="158" t="str">
        <f>DATABASE!A1044</f>
        <v>ZESTIA</v>
      </c>
      <c r="B178" s="167" t="str">
        <f>DATABASE!B1044</f>
        <v>Vilamoura</v>
      </c>
      <c r="C178" s="168" t="str">
        <f>DATABASE!C1044</f>
        <v>T</v>
      </c>
      <c r="D178" s="169" t="str">
        <f>DATABASE!E1044</f>
        <v>T2</v>
      </c>
      <c r="E178" s="169">
        <f>DATABASE!F1044</f>
        <v>140.91999999999999</v>
      </c>
      <c r="F178" s="169">
        <f>DATABASE!G1044</f>
        <v>0</v>
      </c>
      <c r="G178" s="169" t="str">
        <f>DATABASE!H1044</f>
        <v/>
      </c>
      <c r="H178" s="169" t="str">
        <f>DATABASE!I1044</f>
        <v/>
      </c>
      <c r="I178" s="169">
        <f>DATABASE!J1044</f>
        <v>50.58</v>
      </c>
      <c r="J178" s="169">
        <f>DATABASE!K1044</f>
        <v>0</v>
      </c>
      <c r="K178" s="170">
        <f>DATABASE!L1044</f>
        <v>0</v>
      </c>
      <c r="L178" s="171">
        <f>DATABASE!M1044</f>
        <v>0</v>
      </c>
      <c r="M178" s="172">
        <f>DATABASE!N1044</f>
        <v>0</v>
      </c>
      <c r="N178" s="173">
        <f>DATABASE!O1044</f>
        <v>90.34</v>
      </c>
      <c r="O178" s="173">
        <f>DATABASE!P1044</f>
        <v>0</v>
      </c>
      <c r="P178" s="173" t="str">
        <f>DATABASE!Q1044</f>
        <v>AVAILABLE</v>
      </c>
      <c r="Q178" s="154">
        <f>DATABASE!R1044</f>
        <v>724585.6</v>
      </c>
      <c r="R178" s="174">
        <f>DATABASE!S1044</f>
        <v>789185.6</v>
      </c>
      <c r="S178" s="173">
        <f>DATABASE!T1044</f>
        <v>860000</v>
      </c>
      <c r="T178" s="175">
        <f>DATABASE!U1044</f>
        <v>24600</v>
      </c>
      <c r="U178" s="175">
        <f>DATABASE!V1044</f>
        <v>40000</v>
      </c>
      <c r="V178" s="79">
        <f>DATABASE!W1044</f>
        <v>795400</v>
      </c>
      <c r="W178" s="80">
        <f>DATABASE!X1044</f>
        <v>0</v>
      </c>
      <c r="X178" s="79">
        <f>DATABASE!Y1044</f>
        <v>860000</v>
      </c>
      <c r="Y178" s="79">
        <f>DATABASE!Z1044</f>
        <v>795400</v>
      </c>
      <c r="Z178" s="79" t="e">
        <f>DATABASE!#REF!</f>
        <v>#REF!</v>
      </c>
      <c r="AA178" s="81">
        <f>DATABASE!AA1044</f>
        <v>0</v>
      </c>
      <c r="AB178" s="177">
        <f>DATABASE!AB1044</f>
        <v>0</v>
      </c>
      <c r="AC178" s="159"/>
      <c r="AD178" s="51"/>
    </row>
    <row r="179" spans="1:30" s="14" customFormat="1">
      <c r="A179" s="158" t="str">
        <f>DATABASE!A1045</f>
        <v>BOTÂNICA</v>
      </c>
      <c r="B179" s="167" t="str">
        <f>DATABASE!B1045</f>
        <v>Vilamoura</v>
      </c>
      <c r="C179" s="168" t="str">
        <f>DATABASE!C1045</f>
        <v>U</v>
      </c>
      <c r="D179" s="169" t="str">
        <f>DATABASE!E1045</f>
        <v>T2</v>
      </c>
      <c r="E179" s="169">
        <f>DATABASE!F1045</f>
        <v>151.37</v>
      </c>
      <c r="F179" s="169">
        <f>DATABASE!G1045</f>
        <v>0</v>
      </c>
      <c r="G179" s="169" t="str">
        <f>DATABASE!H1045</f>
        <v>2</v>
      </c>
      <c r="H179" s="169" t="str">
        <f>DATABASE!I1045</f>
        <v/>
      </c>
      <c r="I179" s="169">
        <f>DATABASE!J1045</f>
        <v>20.100000000000001</v>
      </c>
      <c r="J179" s="169">
        <f>DATABASE!K1045</f>
        <v>0</v>
      </c>
      <c r="K179" s="170">
        <f>DATABASE!L1045</f>
        <v>0</v>
      </c>
      <c r="L179" s="171">
        <f>DATABASE!M1045</f>
        <v>7.51</v>
      </c>
      <c r="M179" s="172">
        <f>DATABASE!N1045</f>
        <v>0</v>
      </c>
      <c r="N179" s="173">
        <f>DATABASE!O1045</f>
        <v>123.76</v>
      </c>
      <c r="O179" s="173">
        <f>DATABASE!P1045</f>
        <v>0</v>
      </c>
      <c r="P179" s="173" t="str">
        <f>DATABASE!Q1045</f>
        <v>AVAILABLE</v>
      </c>
      <c r="Q179" s="154">
        <f>DATABASE!R1045</f>
        <v>923772.82799999998</v>
      </c>
      <c r="R179" s="174">
        <f>DATABASE!S1045</f>
        <v>923772.82799999998</v>
      </c>
      <c r="S179" s="173">
        <f>DATABASE!T1045</f>
        <v>895000</v>
      </c>
      <c r="T179" s="175">
        <f>DATABASE!U1045</f>
        <v>0</v>
      </c>
      <c r="U179" s="175">
        <f>DATABASE!V1045</f>
        <v>0</v>
      </c>
      <c r="V179" s="79">
        <f>DATABASE!W1045</f>
        <v>895000</v>
      </c>
      <c r="W179" s="80">
        <f>DATABASE!X1045</f>
        <v>0</v>
      </c>
      <c r="X179" s="79">
        <f>DATABASE!Y1045</f>
        <v>930000</v>
      </c>
      <c r="Y179" s="79">
        <f>DATABASE!Z1045</f>
        <v>930000</v>
      </c>
      <c r="Z179" s="79" t="e">
        <f>DATABASE!#REF!</f>
        <v>#REF!</v>
      </c>
      <c r="AA179" s="81">
        <f>DATABASE!AA1045</f>
        <v>0</v>
      </c>
      <c r="AB179" s="177">
        <f>DATABASE!AB1045</f>
        <v>0</v>
      </c>
      <c r="AC179" s="159"/>
      <c r="AD179" s="51"/>
    </row>
    <row r="180" spans="1:30" s="14" customFormat="1">
      <c r="A180" s="158" t="str">
        <f>DATABASE!A1046</f>
        <v>Aroeira - VILLAS</v>
      </c>
      <c r="B180" s="167" t="str">
        <f>DATABASE!B1046</f>
        <v>Center</v>
      </c>
      <c r="C180" s="168" t="str">
        <f>DATABASE!C1046</f>
        <v>02E</v>
      </c>
      <c r="D180" s="169" t="str">
        <f>DATABASE!E1046</f>
        <v>T5</v>
      </c>
      <c r="E180" s="169">
        <f>DATABASE!F1046</f>
        <v>594.79999999999995</v>
      </c>
      <c r="F180" s="169">
        <f>DATABASE!G1046</f>
        <v>0</v>
      </c>
      <c r="G180" s="169" t="str">
        <f>DATABASE!H1046</f>
        <v>2</v>
      </c>
      <c r="H180" s="169" t="str">
        <f>DATABASE!I1046</f>
        <v>1</v>
      </c>
      <c r="I180" s="169">
        <f>DATABASE!J1046</f>
        <v>0</v>
      </c>
      <c r="J180" s="169">
        <f>DATABASE!K1046</f>
        <v>0</v>
      </c>
      <c r="K180" s="170">
        <f>DATABASE!L1046</f>
        <v>0</v>
      </c>
      <c r="L180" s="171">
        <f>DATABASE!M1046</f>
        <v>198.8</v>
      </c>
      <c r="M180" s="172">
        <f>DATABASE!N1046</f>
        <v>47</v>
      </c>
      <c r="N180" s="173">
        <f>DATABASE!O1046</f>
        <v>349</v>
      </c>
      <c r="O180" s="173">
        <f>DATABASE!P1046</f>
        <v>0</v>
      </c>
      <c r="P180" s="173" t="str">
        <f>DATABASE!Q1046</f>
        <v>RESERVED</v>
      </c>
      <c r="Q180" s="154">
        <f>DATABASE!R1046</f>
        <v>3145000</v>
      </c>
      <c r="R180" s="174">
        <f>DATABASE!S1046</f>
        <v>3225000</v>
      </c>
      <c r="S180" s="173">
        <f>DATABASE!T1046</f>
        <v>3225000</v>
      </c>
      <c r="T180" s="175">
        <f>DATABASE!U1046</f>
        <v>0</v>
      </c>
      <c r="U180" s="175">
        <f>DATABASE!V1046</f>
        <v>80000</v>
      </c>
      <c r="V180" s="79">
        <f>DATABASE!W1046</f>
        <v>3145000</v>
      </c>
      <c r="W180" s="80">
        <f>DATABASE!X1046</f>
        <v>0</v>
      </c>
      <c r="X180" s="79">
        <f>DATABASE!Y1046</f>
        <v>3225000</v>
      </c>
      <c r="Y180" s="79">
        <f>DATABASE!Z1046</f>
        <v>3145000</v>
      </c>
      <c r="Z180" s="79" t="e">
        <f>DATABASE!#REF!</f>
        <v>#REF!</v>
      </c>
      <c r="AA180" s="81">
        <f>DATABASE!AA1046</f>
        <v>46091</v>
      </c>
      <c r="AB180" s="177">
        <f>DATABASE!AB1046</f>
        <v>47118</v>
      </c>
      <c r="AC180" s="159"/>
      <c r="AD180" s="51"/>
    </row>
    <row r="181" spans="1:30" s="14" customFormat="1">
      <c r="A181" s="158" t="str">
        <f>DATABASE!A1047</f>
        <v>Aroeira - VILLAS</v>
      </c>
      <c r="B181" s="167" t="str">
        <f>DATABASE!B1047</f>
        <v>Center</v>
      </c>
      <c r="C181" s="168" t="str">
        <f>DATABASE!C1047</f>
        <v>04E</v>
      </c>
      <c r="D181" s="169" t="str">
        <f>DATABASE!E1047</f>
        <v>T5</v>
      </c>
      <c r="E181" s="169">
        <f>DATABASE!F1047</f>
        <v>602</v>
      </c>
      <c r="F181" s="169">
        <f>DATABASE!G1047</f>
        <v>0</v>
      </c>
      <c r="G181" s="169" t="str">
        <f>DATABASE!H1047</f>
        <v>2</v>
      </c>
      <c r="H181" s="169" t="str">
        <f>DATABASE!I1047</f>
        <v>1</v>
      </c>
      <c r="I181" s="169">
        <f>DATABASE!J1047</f>
        <v>0</v>
      </c>
      <c r="J181" s="169">
        <f>DATABASE!K1047</f>
        <v>0</v>
      </c>
      <c r="K181" s="170">
        <f>DATABASE!L1047</f>
        <v>0</v>
      </c>
      <c r="L181" s="171">
        <f>DATABASE!M1047</f>
        <v>203</v>
      </c>
      <c r="M181" s="172">
        <f>DATABASE!N1047</f>
        <v>47</v>
      </c>
      <c r="N181" s="173">
        <f>DATABASE!O1047</f>
        <v>352</v>
      </c>
      <c r="O181" s="173">
        <f>DATABASE!P1047</f>
        <v>0</v>
      </c>
      <c r="P181" s="173" t="str">
        <f>DATABASE!Q1047</f>
        <v>RESERVED</v>
      </c>
      <c r="Q181" s="154">
        <f>DATABASE!R1047</f>
        <v>3145000</v>
      </c>
      <c r="R181" s="174">
        <f>DATABASE!S1047</f>
        <v>3225000</v>
      </c>
      <c r="S181" s="173">
        <f>DATABASE!T1047</f>
        <v>3225000</v>
      </c>
      <c r="T181" s="175">
        <f>DATABASE!U1047</f>
        <v>0</v>
      </c>
      <c r="U181" s="175">
        <f>DATABASE!V1047</f>
        <v>80000</v>
      </c>
      <c r="V181" s="79">
        <f>DATABASE!W1047</f>
        <v>3145000</v>
      </c>
      <c r="W181" s="80">
        <f>DATABASE!X1047</f>
        <v>0</v>
      </c>
      <c r="X181" s="79">
        <f>DATABASE!Y1047</f>
        <v>3225000</v>
      </c>
      <c r="Y181" s="79">
        <f>DATABASE!Z1047</f>
        <v>3145000</v>
      </c>
      <c r="Z181" s="79" t="e">
        <f>DATABASE!#REF!</f>
        <v>#REF!</v>
      </c>
      <c r="AA181" s="81">
        <f>DATABASE!AA1047</f>
        <v>46091</v>
      </c>
      <c r="AB181" s="177">
        <f>DATABASE!AB1047</f>
        <v>47118</v>
      </c>
      <c r="AC181" s="159"/>
      <c r="AD181" s="51"/>
    </row>
    <row r="182" spans="1:30" s="14" customFormat="1">
      <c r="A182" s="158" t="str">
        <f>DATABASE!A1048</f>
        <v>Aroeira - VILLAS</v>
      </c>
      <c r="B182" s="167" t="str">
        <f>DATABASE!B1048</f>
        <v>Center</v>
      </c>
      <c r="C182" s="168" t="str">
        <f>DATABASE!C1048</f>
        <v>03E</v>
      </c>
      <c r="D182" s="169" t="str">
        <f>DATABASE!E1048</f>
        <v>T5</v>
      </c>
      <c r="E182" s="169">
        <f>DATABASE!F1048</f>
        <v>594.4</v>
      </c>
      <c r="F182" s="169">
        <f>DATABASE!G1048</f>
        <v>0</v>
      </c>
      <c r="G182" s="169" t="str">
        <f>DATABASE!H1048</f>
        <v>2</v>
      </c>
      <c r="H182" s="169" t="str">
        <f>DATABASE!I1048</f>
        <v>1</v>
      </c>
      <c r="I182" s="169">
        <f>DATABASE!J1048</f>
        <v>0</v>
      </c>
      <c r="J182" s="169">
        <f>DATABASE!K1048</f>
        <v>0</v>
      </c>
      <c r="K182" s="170">
        <f>DATABASE!L1048</f>
        <v>0</v>
      </c>
      <c r="L182" s="171">
        <f>DATABASE!M1048</f>
        <v>199.4</v>
      </c>
      <c r="M182" s="172">
        <f>DATABASE!N1048</f>
        <v>47</v>
      </c>
      <c r="N182" s="173">
        <f>DATABASE!O1048</f>
        <v>348</v>
      </c>
      <c r="O182" s="173">
        <f>DATABASE!P1048</f>
        <v>0</v>
      </c>
      <c r="P182" s="173" t="str">
        <f>DATABASE!Q1048</f>
        <v>AVAILABLE</v>
      </c>
      <c r="Q182" s="154">
        <f>DATABASE!R1048</f>
        <v>3145000</v>
      </c>
      <c r="R182" s="174">
        <f>DATABASE!S1048</f>
        <v>3225000</v>
      </c>
      <c r="S182" s="173">
        <f>DATABASE!T1048</f>
        <v>3225000</v>
      </c>
      <c r="T182" s="175">
        <f>DATABASE!U1048</f>
        <v>0</v>
      </c>
      <c r="U182" s="175">
        <f>DATABASE!V1048</f>
        <v>80000</v>
      </c>
      <c r="V182" s="79">
        <f>DATABASE!W1048</f>
        <v>3145000</v>
      </c>
      <c r="W182" s="80">
        <f>DATABASE!X1048</f>
        <v>0</v>
      </c>
      <c r="X182" s="79">
        <f>DATABASE!Y1048</f>
        <v>0</v>
      </c>
      <c r="Y182" s="79">
        <f>DATABASE!Z1048</f>
        <v>-80000</v>
      </c>
      <c r="Z182" s="79" t="e">
        <f>DATABASE!#REF!</f>
        <v>#REF!</v>
      </c>
      <c r="AA182" s="81">
        <f>DATABASE!AA1048</f>
        <v>0</v>
      </c>
      <c r="AB182" s="177">
        <f>DATABASE!AB1048</f>
        <v>47118</v>
      </c>
      <c r="AC182" s="159"/>
      <c r="AD182" s="51"/>
    </row>
    <row r="183" spans="1:30" s="14" customFormat="1">
      <c r="A183" s="158" t="str">
        <f>DATABASE!A1049</f>
        <v>NOBILUS</v>
      </c>
      <c r="B183" s="167" t="str">
        <f>DATABASE!B1049</f>
        <v>Vilamoura</v>
      </c>
      <c r="C183" s="168" t="str">
        <f>DATABASE!C1049</f>
        <v>U</v>
      </c>
      <c r="D183" s="169" t="str">
        <f>DATABASE!E1049</f>
        <v>T2</v>
      </c>
      <c r="E183" s="169">
        <f>DATABASE!F1049</f>
        <v>106.61</v>
      </c>
      <c r="F183" s="169">
        <f>DATABASE!G1049</f>
        <v>0</v>
      </c>
      <c r="G183" s="169" t="str">
        <f>DATABASE!H1049</f>
        <v>80-81</v>
      </c>
      <c r="H183" s="169" t="str">
        <f>DATABASE!I1049</f>
        <v/>
      </c>
      <c r="I183" s="169">
        <f>DATABASE!J1049</f>
        <v>0</v>
      </c>
      <c r="J183" s="169">
        <f>DATABASE!K1049</f>
        <v>0</v>
      </c>
      <c r="K183" s="170">
        <f>DATABASE!L1049</f>
        <v>0</v>
      </c>
      <c r="L183" s="171">
        <f>DATABASE!M1049</f>
        <v>0</v>
      </c>
      <c r="M183" s="172">
        <f>DATABASE!N1049</f>
        <v>0</v>
      </c>
      <c r="N183" s="173">
        <f>DATABASE!O1049</f>
        <v>106.61</v>
      </c>
      <c r="O183" s="173">
        <f>DATABASE!P1049</f>
        <v>0</v>
      </c>
      <c r="P183" s="173" t="str">
        <f>DATABASE!Q1049</f>
        <v>AVAILABLE</v>
      </c>
      <c r="Q183" s="154">
        <f>DATABASE!R1049</f>
        <v>710000</v>
      </c>
      <c r="R183" s="174">
        <f>DATABASE!S1049</f>
        <v>710000</v>
      </c>
      <c r="S183" s="173">
        <f>DATABASE!T1049</f>
        <v>710000</v>
      </c>
      <c r="T183" s="175">
        <f>DATABASE!U1049</f>
        <v>0</v>
      </c>
      <c r="U183" s="175">
        <f>DATABASE!V1049</f>
        <v>0</v>
      </c>
      <c r="V183" s="79">
        <f>DATABASE!W1049</f>
        <v>710000</v>
      </c>
      <c r="W183" s="80">
        <f>DATABASE!X1049</f>
        <v>0</v>
      </c>
      <c r="X183" s="79">
        <f>DATABASE!Y1049</f>
        <v>710000</v>
      </c>
      <c r="Y183" s="79">
        <f>DATABASE!Z1049</f>
        <v>710000</v>
      </c>
      <c r="Z183" s="79" t="e">
        <f>DATABASE!#REF!</f>
        <v>#REF!</v>
      </c>
      <c r="AA183" s="81">
        <f>DATABASE!AA1049</f>
        <v>0</v>
      </c>
      <c r="AB183" s="177">
        <f>DATABASE!AB1049</f>
        <v>0</v>
      </c>
      <c r="AC183" s="159"/>
      <c r="AD183" s="51"/>
    </row>
    <row r="184" spans="1:30" s="14" customFormat="1">
      <c r="A184" s="158" t="str">
        <f>DATABASE!A1050</f>
        <v>Rivus</v>
      </c>
      <c r="B184" s="167" t="str">
        <f>DATABASE!B1050</f>
        <v>Vilamoura</v>
      </c>
      <c r="C184" s="168" t="str">
        <f>DATABASE!C1050</f>
        <v>U</v>
      </c>
      <c r="D184" s="169" t="str">
        <f>DATABASE!E1050</f>
        <v>T2</v>
      </c>
      <c r="E184" s="169">
        <f>DATABASE!F1050</f>
        <v>0</v>
      </c>
      <c r="F184" s="169">
        <f>DATABASE!G1050</f>
        <v>0</v>
      </c>
      <c r="G184" s="169" t="str">
        <f>DATABASE!H1050</f>
        <v/>
      </c>
      <c r="H184" s="169" t="str">
        <f>DATABASE!I1050</f>
        <v/>
      </c>
      <c r="I184" s="169">
        <f>DATABASE!J1050</f>
        <v>0</v>
      </c>
      <c r="J184" s="169">
        <f>DATABASE!K1050</f>
        <v>0</v>
      </c>
      <c r="K184" s="170">
        <f>DATABASE!L1050</f>
        <v>0</v>
      </c>
      <c r="L184" s="171">
        <f>DATABASE!M1050</f>
        <v>21</v>
      </c>
      <c r="M184" s="172">
        <f>DATABASE!N1050</f>
        <v>0</v>
      </c>
      <c r="N184" s="173">
        <f>DATABASE!O1050</f>
        <v>108</v>
      </c>
      <c r="O184" s="173">
        <f>DATABASE!P1050</f>
        <v>0</v>
      </c>
      <c r="P184" s="173" t="str">
        <f>DATABASE!Q1050</f>
        <v>AVAILABLE</v>
      </c>
      <c r="Q184" s="154">
        <f>DATABASE!R1050</f>
        <v>790000</v>
      </c>
      <c r="R184" s="174">
        <f>DATABASE!S1050</f>
        <v>790000</v>
      </c>
      <c r="S184" s="173">
        <f>DATABASE!T1050</f>
        <v>790000</v>
      </c>
      <c r="T184" s="175">
        <f>DATABASE!U1050</f>
        <v>0</v>
      </c>
      <c r="U184" s="175">
        <f>DATABASE!V1050</f>
        <v>0</v>
      </c>
      <c r="V184" s="79">
        <f>DATABASE!W1050</f>
        <v>790000</v>
      </c>
      <c r="W184" s="80">
        <f>DATABASE!X1050</f>
        <v>0</v>
      </c>
      <c r="X184" s="79">
        <f>DATABASE!Y1050</f>
        <v>780000</v>
      </c>
      <c r="Y184" s="79">
        <f>DATABASE!Z1050</f>
        <v>780000</v>
      </c>
      <c r="Z184" s="79" t="e">
        <f>DATABASE!#REF!</f>
        <v>#REF!</v>
      </c>
      <c r="AA184" s="81">
        <f>DATABASE!AA1050</f>
        <v>0</v>
      </c>
      <c r="AB184" s="177">
        <f>DATABASE!AB1050</f>
        <v>0</v>
      </c>
      <c r="AC184" s="159"/>
      <c r="AD184" s="51"/>
    </row>
    <row r="185" spans="1:30" s="14" customFormat="1">
      <c r="A185" s="158" t="str">
        <f>DATABASE!A1051</f>
        <v>MR - LT do Golfe</v>
      </c>
      <c r="B185" s="167" t="str">
        <f>DATABASE!B1051</f>
        <v>Algarve</v>
      </c>
      <c r="C185" s="168" t="str">
        <f>DATABASE!C1051</f>
        <v>19</v>
      </c>
      <c r="D185" s="169" t="str">
        <f>DATABASE!E1051</f>
        <v>Plot</v>
      </c>
      <c r="E185" s="169">
        <f>DATABASE!F1051</f>
        <v>650</v>
      </c>
      <c r="F185" s="169">
        <f>DATABASE!G1051</f>
        <v>0</v>
      </c>
      <c r="G185" s="169" t="str">
        <f>DATABASE!H1051</f>
        <v/>
      </c>
      <c r="H185" s="169" t="str">
        <f>DATABASE!I1051</f>
        <v/>
      </c>
      <c r="I185" s="169">
        <f>DATABASE!J1051</f>
        <v>0</v>
      </c>
      <c r="J185" s="169">
        <f>DATABASE!K1051</f>
        <v>0</v>
      </c>
      <c r="K185" s="170">
        <f>DATABASE!L1051</f>
        <v>0</v>
      </c>
      <c r="L185" s="171">
        <f>DATABASE!M1051</f>
        <v>0</v>
      </c>
      <c r="M185" s="172">
        <f>DATABASE!N1051</f>
        <v>0</v>
      </c>
      <c r="N185" s="173">
        <f>DATABASE!O1051</f>
        <v>650</v>
      </c>
      <c r="O185" s="173">
        <f>DATABASE!P1051</f>
        <v>0</v>
      </c>
      <c r="P185" s="173" t="str">
        <f>DATABASE!Q1051</f>
        <v>AVAILABLE</v>
      </c>
      <c r="Q185" s="154">
        <f>DATABASE!R1051</f>
        <v>3250000</v>
      </c>
      <c r="R185" s="174">
        <f>DATABASE!S1051</f>
        <v>3250000</v>
      </c>
      <c r="S185" s="173">
        <f>DATABASE!T1051</f>
        <v>2260000</v>
      </c>
      <c r="T185" s="175">
        <f>DATABASE!U1051</f>
        <v>0</v>
      </c>
      <c r="U185" s="175">
        <f>DATABASE!V1051</f>
        <v>0</v>
      </c>
      <c r="V185" s="79">
        <f>DATABASE!W1051</f>
        <v>2260000</v>
      </c>
      <c r="W185" s="80">
        <f>DATABASE!X1051</f>
        <v>0</v>
      </c>
      <c r="X185" s="79">
        <f>DATABASE!Y1051</f>
        <v>0</v>
      </c>
      <c r="Y185" s="79">
        <f>DATABASE!Z1051</f>
        <v>0</v>
      </c>
      <c r="Z185" s="79" t="e">
        <f>DATABASE!#REF!</f>
        <v>#REF!</v>
      </c>
      <c r="AA185" s="81">
        <f>DATABASE!AA1051</f>
        <v>0</v>
      </c>
      <c r="AB185" s="177" t="str">
        <f>DATABASE!AB1051</f>
        <v>TBD</v>
      </c>
      <c r="AC185" s="159"/>
      <c r="AD185" s="51"/>
    </row>
    <row r="186" spans="1:30" s="14" customFormat="1">
      <c r="A186" s="158" t="str">
        <f>DATABASE!A1052</f>
        <v>SPRINGS</v>
      </c>
      <c r="B186" s="167" t="str">
        <f>DATABASE!B1052</f>
        <v>Vilamoura</v>
      </c>
      <c r="C186" s="168" t="str">
        <f>DATABASE!C1052</f>
        <v>U</v>
      </c>
      <c r="D186" s="169" t="str">
        <f>DATABASE!E1052</f>
        <v>V3</v>
      </c>
      <c r="E186" s="169">
        <f>DATABASE!F1052</f>
        <v>321.57</v>
      </c>
      <c r="F186" s="169">
        <f>DATABASE!G1052</f>
        <v>163.77000000000001</v>
      </c>
      <c r="G186" s="169" t="str">
        <f>DATABASE!H1052</f>
        <v/>
      </c>
      <c r="H186" s="169" t="str">
        <f>DATABASE!I1052</f>
        <v/>
      </c>
      <c r="I186" s="169">
        <f>DATABASE!J1052</f>
        <v>0</v>
      </c>
      <c r="J186" s="169">
        <f>DATABASE!K1052</f>
        <v>0</v>
      </c>
      <c r="K186" s="170">
        <f>DATABASE!L1052</f>
        <v>0</v>
      </c>
      <c r="L186" s="171">
        <f>DATABASE!M1052</f>
        <v>0</v>
      </c>
      <c r="M186" s="172">
        <f>DATABASE!N1052</f>
        <v>0</v>
      </c>
      <c r="N186" s="173">
        <f>DATABASE!O1052</f>
        <v>157.80000000000001</v>
      </c>
      <c r="O186" s="173">
        <f>DATABASE!P1052</f>
        <v>0</v>
      </c>
      <c r="P186" s="173" t="str">
        <f>DATABASE!Q1052</f>
        <v>AVAILABLE</v>
      </c>
      <c r="Q186" s="154">
        <f>DATABASE!R1052</f>
        <v>1552100</v>
      </c>
      <c r="R186" s="174">
        <f>DATABASE!S1052</f>
        <v>1641050</v>
      </c>
      <c r="S186" s="173">
        <f>DATABASE!T1052</f>
        <v>1730000</v>
      </c>
      <c r="T186" s="175">
        <f>DATABASE!U1052</f>
        <v>24600</v>
      </c>
      <c r="U186" s="175">
        <f>DATABASE!V1052</f>
        <v>64350</v>
      </c>
      <c r="V186" s="79">
        <f>DATABASE!W1052</f>
        <v>1641050</v>
      </c>
      <c r="W186" s="80">
        <f>DATABASE!X1052</f>
        <v>0</v>
      </c>
      <c r="X186" s="79">
        <f>DATABASE!Y1052</f>
        <v>1730000</v>
      </c>
      <c r="Y186" s="79">
        <f>DATABASE!Z1052</f>
        <v>1641050</v>
      </c>
      <c r="Z186" s="79" t="e">
        <f>DATABASE!#REF!</f>
        <v>#REF!</v>
      </c>
      <c r="AA186" s="81">
        <f>DATABASE!AA1052</f>
        <v>0</v>
      </c>
      <c r="AB186" s="177">
        <f>DATABASE!AB1052</f>
        <v>0</v>
      </c>
      <c r="AC186" s="159"/>
      <c r="AD186" s="51"/>
    </row>
    <row r="187" spans="1:30" s="14" customFormat="1">
      <c r="A187" s="158" t="str">
        <f>DATABASE!A1053</f>
        <v>TERRACOTA</v>
      </c>
      <c r="B187" s="167" t="str">
        <f>DATABASE!B1053</f>
        <v>Vilamoura</v>
      </c>
      <c r="C187" s="168" t="str">
        <f>DATABASE!C1053</f>
        <v>U</v>
      </c>
      <c r="D187" s="169" t="str">
        <f>DATABASE!E1053</f>
        <v>T3</v>
      </c>
      <c r="E187" s="169">
        <f>DATABASE!F1053</f>
        <v>130.91999999999999</v>
      </c>
      <c r="F187" s="169">
        <f>DATABASE!G1053</f>
        <v>0</v>
      </c>
      <c r="G187" s="169" t="str">
        <f>DATABASE!H1053</f>
        <v/>
      </c>
      <c r="H187" s="169" t="str">
        <f>DATABASE!I1053</f>
        <v/>
      </c>
      <c r="I187" s="169">
        <f>DATABASE!J1053</f>
        <v>0</v>
      </c>
      <c r="J187" s="169">
        <f>DATABASE!K1053</f>
        <v>0</v>
      </c>
      <c r="K187" s="170">
        <f>DATABASE!L1053</f>
        <v>0</v>
      </c>
      <c r="L187" s="171">
        <f>DATABASE!M1053</f>
        <v>0</v>
      </c>
      <c r="M187" s="172">
        <f>DATABASE!N1053</f>
        <v>0</v>
      </c>
      <c r="N187" s="173">
        <f>DATABASE!O1053</f>
        <v>130.91999999999999</v>
      </c>
      <c r="O187" s="173">
        <f>DATABASE!P1053</f>
        <v>0</v>
      </c>
      <c r="P187" s="173" t="str">
        <f>DATABASE!Q1053</f>
        <v xml:space="preserve">PSPA </v>
      </c>
      <c r="Q187" s="154">
        <f>DATABASE!R1053</f>
        <v>660000</v>
      </c>
      <c r="R187" s="174">
        <f>DATABASE!S1053</f>
        <v>660000</v>
      </c>
      <c r="S187" s="173">
        <f>DATABASE!T1053</f>
        <v>680000</v>
      </c>
      <c r="T187" s="175">
        <f>DATABASE!U1053</f>
        <v>0</v>
      </c>
      <c r="U187" s="175">
        <f>DATABASE!V1053</f>
        <v>0</v>
      </c>
      <c r="V187" s="79">
        <f>DATABASE!W1053</f>
        <v>680000</v>
      </c>
      <c r="W187" s="80">
        <f>DATABASE!X1053</f>
        <v>0</v>
      </c>
      <c r="X187" s="79">
        <f>DATABASE!Y1053</f>
        <v>680000</v>
      </c>
      <c r="Y187" s="79">
        <f>DATABASE!Z1053</f>
        <v>680000</v>
      </c>
      <c r="Z187" s="79" t="e">
        <f>DATABASE!#REF!</f>
        <v>#REF!</v>
      </c>
      <c r="AA187" s="81" t="e">
        <f>DATABASE!#REF!</f>
        <v>#REF!</v>
      </c>
      <c r="AB187" s="177">
        <f>DATABASE!AB1053</f>
        <v>0</v>
      </c>
      <c r="AC187" s="159"/>
      <c r="AD187" s="51"/>
    </row>
    <row r="188" spans="1:30" s="14" customFormat="1">
      <c r="A188" s="158" t="str">
        <f>DATABASE!A1054</f>
        <v>THE NINE</v>
      </c>
      <c r="B188" s="167" t="str">
        <f>DATABASE!B1054</f>
        <v>Vilamoura</v>
      </c>
      <c r="C188" s="168" t="str">
        <f>DATABASE!C1054</f>
        <v>U</v>
      </c>
      <c r="D188" s="169" t="str">
        <f>DATABASE!E1054</f>
        <v>T2</v>
      </c>
      <c r="E188" s="169">
        <f>DATABASE!F1054</f>
        <v>117</v>
      </c>
      <c r="F188" s="169">
        <f>DATABASE!G1054</f>
        <v>0</v>
      </c>
      <c r="G188" s="169" t="str">
        <f>DATABASE!H1054</f>
        <v/>
      </c>
      <c r="H188" s="169" t="str">
        <f>DATABASE!I1054</f>
        <v/>
      </c>
      <c r="I188" s="169">
        <f>DATABASE!J1054</f>
        <v>0</v>
      </c>
      <c r="J188" s="169">
        <f>DATABASE!K1054</f>
        <v>0</v>
      </c>
      <c r="K188" s="170">
        <f>DATABASE!L1054</f>
        <v>0</v>
      </c>
      <c r="L188" s="171">
        <f>DATABASE!M1054</f>
        <v>0</v>
      </c>
      <c r="M188" s="172">
        <f>DATABASE!N1054</f>
        <v>0</v>
      </c>
      <c r="N188" s="173">
        <f>DATABASE!O1054</f>
        <v>117</v>
      </c>
      <c r="O188" s="173">
        <f>DATABASE!P1054</f>
        <v>0</v>
      </c>
      <c r="P188" s="173" t="str">
        <f>DATABASE!Q1054</f>
        <v xml:space="preserve">DEED </v>
      </c>
      <c r="Q188" s="154">
        <f>DATABASE!R1054</f>
        <v>550000</v>
      </c>
      <c r="R188" s="174">
        <f>DATABASE!S1054</f>
        <v>550000</v>
      </c>
      <c r="S188" s="173">
        <f>DATABASE!T1054</f>
        <v>580000</v>
      </c>
      <c r="T188" s="175">
        <f>DATABASE!U1054</f>
        <v>0</v>
      </c>
      <c r="U188" s="175">
        <f>DATABASE!V1054</f>
        <v>0</v>
      </c>
      <c r="V188" s="79">
        <f>DATABASE!W1054</f>
        <v>580000</v>
      </c>
      <c r="W188" s="80">
        <f>DATABASE!X1054</f>
        <v>0</v>
      </c>
      <c r="X188" s="79">
        <f>DATABASE!Y1054</f>
        <v>580000</v>
      </c>
      <c r="Y188" s="79">
        <f>DATABASE!Z1054</f>
        <v>580000</v>
      </c>
      <c r="Z188" s="79" t="e">
        <f>DATABASE!#REF!</f>
        <v>#REF!</v>
      </c>
      <c r="AA188" s="81">
        <f>DATABASE!AA1054</f>
        <v>45471</v>
      </c>
      <c r="AB188" s="177">
        <f>DATABASE!AB1054</f>
        <v>0</v>
      </c>
      <c r="AC188" s="159"/>
      <c r="AD188" s="51"/>
    </row>
    <row r="189" spans="1:30" s="14" customFormat="1">
      <c r="A189" s="158" t="str">
        <f>DATABASE!A1055</f>
        <v>VM PARQUE</v>
      </c>
      <c r="B189" s="167" t="str">
        <f>DATABASE!B1055</f>
        <v>Vilamoura</v>
      </c>
      <c r="C189" s="168" t="str">
        <f>DATABASE!C1055</f>
        <v>U</v>
      </c>
      <c r="D189" s="169" t="str">
        <f>DATABASE!E1055</f>
        <v>V2</v>
      </c>
      <c r="E189" s="169">
        <f>DATABASE!F1055</f>
        <v>152.87280000000001</v>
      </c>
      <c r="F189" s="169">
        <f>DATABASE!G1055</f>
        <v>0</v>
      </c>
      <c r="G189" s="169" t="str">
        <f>DATABASE!H1055</f>
        <v/>
      </c>
      <c r="H189" s="169" t="str">
        <f>DATABASE!I1055</f>
        <v/>
      </c>
      <c r="I189" s="169">
        <f>DATABASE!J1055</f>
        <v>0</v>
      </c>
      <c r="J189" s="169">
        <f>DATABASE!K1055</f>
        <v>0</v>
      </c>
      <c r="K189" s="170">
        <f>DATABASE!L1055</f>
        <v>0</v>
      </c>
      <c r="L189" s="171">
        <f>DATABASE!M1055</f>
        <v>0</v>
      </c>
      <c r="M189" s="172">
        <f>DATABASE!N1055</f>
        <v>0</v>
      </c>
      <c r="N189" s="173">
        <f>DATABASE!O1055</f>
        <v>152.87280000000001</v>
      </c>
      <c r="O189" s="173">
        <f>DATABASE!P1055</f>
        <v>0</v>
      </c>
      <c r="P189" s="173" t="str">
        <f>DATABASE!Q1055</f>
        <v xml:space="preserve">DEED </v>
      </c>
      <c r="Q189" s="154">
        <f>DATABASE!R1055</f>
        <v>894995</v>
      </c>
      <c r="R189" s="174">
        <f>DATABASE!S1055</f>
        <v>894995</v>
      </c>
      <c r="S189" s="173">
        <f>DATABASE!T1055</f>
        <v>960000</v>
      </c>
      <c r="T189" s="175">
        <f>DATABASE!U1055</f>
        <v>0</v>
      </c>
      <c r="U189" s="175">
        <f>DATABASE!V1055</f>
        <v>0</v>
      </c>
      <c r="V189" s="79">
        <f>DATABASE!W1055</f>
        <v>960000</v>
      </c>
      <c r="W189" s="80">
        <f>DATABASE!X1055</f>
        <v>0</v>
      </c>
      <c r="X189" s="79">
        <f>DATABASE!Y1055</f>
        <v>960000</v>
      </c>
      <c r="Y189" s="79">
        <f>DATABASE!Z1055</f>
        <v>960000</v>
      </c>
      <c r="Z189" s="79" t="e">
        <f>DATABASE!#REF!</f>
        <v>#REF!</v>
      </c>
      <c r="AA189" s="81">
        <f>DATABASE!AA1055</f>
        <v>45083</v>
      </c>
      <c r="AB189" s="177">
        <f>DATABASE!AB1055</f>
        <v>0</v>
      </c>
      <c r="AC189" s="159"/>
      <c r="AD189" s="51"/>
    </row>
    <row r="190" spans="1:30" s="14" customFormat="1">
      <c r="A190" s="158" t="str">
        <f>DATABASE!A1056</f>
        <v>Aroeira - VILLAS</v>
      </c>
      <c r="B190" s="167" t="str">
        <f>DATABASE!B1056</f>
        <v>Center</v>
      </c>
      <c r="C190" s="168" t="str">
        <f>DATABASE!C1056</f>
        <v>01E</v>
      </c>
      <c r="D190" s="169" t="str">
        <f>DATABASE!E1056</f>
        <v>T5</v>
      </c>
      <c r="E190" s="169">
        <f>DATABASE!F1056</f>
        <v>927.5</v>
      </c>
      <c r="F190" s="169">
        <f>DATABASE!G1056</f>
        <v>0</v>
      </c>
      <c r="G190" s="169" t="str">
        <f>DATABASE!H1056</f>
        <v>2</v>
      </c>
      <c r="H190" s="169" t="str">
        <f>DATABASE!I1056</f>
        <v>1</v>
      </c>
      <c r="I190" s="169">
        <f>DATABASE!J1056</f>
        <v>0</v>
      </c>
      <c r="J190" s="169">
        <f>DATABASE!K1056</f>
        <v>0</v>
      </c>
      <c r="K190" s="170">
        <f>DATABASE!L1056</f>
        <v>0</v>
      </c>
      <c r="L190" s="171">
        <f>DATABASE!M1056</f>
        <v>370</v>
      </c>
      <c r="M190" s="172">
        <f>DATABASE!N1056</f>
        <v>125.5</v>
      </c>
      <c r="N190" s="173">
        <f>DATABASE!O1056</f>
        <v>432</v>
      </c>
      <c r="O190" s="173">
        <f>DATABASE!P1056</f>
        <v>0</v>
      </c>
      <c r="P190" s="173" t="str">
        <f>DATABASE!Q1056</f>
        <v>RESERVED</v>
      </c>
      <c r="Q190" s="154">
        <f>DATABASE!R1056</f>
        <v>3870000</v>
      </c>
      <c r="R190" s="174">
        <f>DATABASE!S1056</f>
        <v>3950000</v>
      </c>
      <c r="S190" s="173">
        <f>DATABASE!T1056</f>
        <v>4100000</v>
      </c>
      <c r="T190" s="175">
        <f>DATABASE!U1056</f>
        <v>0</v>
      </c>
      <c r="U190" s="175">
        <f>DATABASE!V1056</f>
        <v>80000</v>
      </c>
      <c r="V190" s="79">
        <f>DATABASE!W1056</f>
        <v>4020000</v>
      </c>
      <c r="W190" s="80">
        <f>DATABASE!X1056</f>
        <v>-3.1707317073170802E-2</v>
      </c>
      <c r="X190" s="79">
        <f>DATABASE!Y1056</f>
        <v>4230000</v>
      </c>
      <c r="Y190" s="79">
        <f>DATABASE!Z1056</f>
        <v>4150000</v>
      </c>
      <c r="Z190" s="79" t="e">
        <f>DATABASE!#REF!</f>
        <v>#REF!</v>
      </c>
      <c r="AA190" s="81">
        <f>DATABASE!AA1056</f>
        <v>46090</v>
      </c>
      <c r="AB190" s="177">
        <f>DATABASE!AB1056</f>
        <v>47118</v>
      </c>
      <c r="AC190" s="159"/>
      <c r="AD190" s="51"/>
    </row>
    <row r="191" spans="1:30" s="14" customFormat="1">
      <c r="A191" s="158" t="str">
        <f>DATABASE!A1057</f>
        <v>Sutaya</v>
      </c>
      <c r="B191" s="167" t="str">
        <f>DATABASE!B1057</f>
        <v>Algarve</v>
      </c>
      <c r="C191" s="168" t="str">
        <f>DATABASE!C1057</f>
        <v>I</v>
      </c>
      <c r="D191" s="169" t="str">
        <f>DATABASE!E1057</f>
        <v>T3</v>
      </c>
      <c r="E191" s="169">
        <f>DATABASE!F1057</f>
        <v>456</v>
      </c>
      <c r="F191" s="169">
        <f>DATABASE!G1057</f>
        <v>0</v>
      </c>
      <c r="G191" s="169" t="str">
        <f>DATABASE!H1057</f>
        <v>23</v>
      </c>
      <c r="H191" s="169" t="str">
        <f>DATABASE!I1057</f>
        <v/>
      </c>
      <c r="I191" s="169">
        <f>DATABASE!J1057</f>
        <v>0</v>
      </c>
      <c r="J191" s="169">
        <f>DATABASE!K1057</f>
        <v>0</v>
      </c>
      <c r="K191" s="170">
        <f>DATABASE!L1057</f>
        <v>0</v>
      </c>
      <c r="L191" s="171">
        <f>DATABASE!M1057</f>
        <v>213</v>
      </c>
      <c r="M191" s="172">
        <f>DATABASE!N1057</f>
        <v>0</v>
      </c>
      <c r="N191" s="173">
        <f>DATABASE!O1057</f>
        <v>243</v>
      </c>
      <c r="O191" s="173">
        <f>DATABASE!P1057</f>
        <v>0</v>
      </c>
      <c r="P191" s="173" t="str">
        <f>DATABASE!Q1057</f>
        <v>AVAILABLE</v>
      </c>
      <c r="Q191" s="154">
        <f>DATABASE!R1057</f>
        <v>4000000</v>
      </c>
      <c r="R191" s="174">
        <f>DATABASE!S1057</f>
        <v>4000000</v>
      </c>
      <c r="S191" s="173">
        <f>DATABASE!T1057</f>
        <v>4000000</v>
      </c>
      <c r="T191" s="175">
        <f>DATABASE!U1057</f>
        <v>0</v>
      </c>
      <c r="U191" s="175">
        <f>DATABASE!V1057</f>
        <v>0</v>
      </c>
      <c r="V191" s="79">
        <f>DATABASE!W1057</f>
        <v>4000000</v>
      </c>
      <c r="W191" s="80">
        <f>DATABASE!X1057</f>
        <v>0</v>
      </c>
      <c r="X191" s="79">
        <f>DATABASE!Y1057</f>
        <v>4000000</v>
      </c>
      <c r="Y191" s="79">
        <f>DATABASE!Z1057</f>
        <v>4000000</v>
      </c>
      <c r="Z191" s="79" t="e">
        <f>DATABASE!#REF!</f>
        <v>#REF!</v>
      </c>
      <c r="AA191" s="81">
        <f>DATABASE!AA1057</f>
        <v>0</v>
      </c>
      <c r="AB191" s="177" t="str">
        <f>DATABASE!AB1057</f>
        <v>TBD</v>
      </c>
      <c r="AC191" s="159"/>
      <c r="AD191" s="51"/>
    </row>
    <row r="192" spans="1:30" s="14" customFormat="1">
      <c r="A192" s="158" t="str">
        <f>DATABASE!A1058</f>
        <v>Sutaya</v>
      </c>
      <c r="B192" s="167" t="str">
        <f>DATABASE!B1058</f>
        <v>Algarve</v>
      </c>
      <c r="C192" s="168" t="str">
        <f>DATABASE!C1058</f>
        <v>A</v>
      </c>
      <c r="D192" s="169" t="str">
        <f>DATABASE!E1058</f>
        <v>T3</v>
      </c>
      <c r="E192" s="169">
        <f>DATABASE!F1058</f>
        <v>456</v>
      </c>
      <c r="F192" s="169">
        <f>DATABASE!G1058</f>
        <v>0</v>
      </c>
      <c r="G192" s="169" t="str">
        <f>DATABASE!H1058</f>
        <v>23</v>
      </c>
      <c r="H192" s="169" t="str">
        <f>DATABASE!I1058</f>
        <v/>
      </c>
      <c r="I192" s="169">
        <f>DATABASE!J1058</f>
        <v>0</v>
      </c>
      <c r="J192" s="169">
        <f>DATABASE!K1058</f>
        <v>0</v>
      </c>
      <c r="K192" s="170">
        <f>DATABASE!L1058</f>
        <v>0</v>
      </c>
      <c r="L192" s="171">
        <f>DATABASE!M1058</f>
        <v>213</v>
      </c>
      <c r="M192" s="172">
        <f>DATABASE!N1058</f>
        <v>0</v>
      </c>
      <c r="N192" s="173">
        <f>DATABASE!O1058</f>
        <v>243</v>
      </c>
      <c r="O192" s="173">
        <f>DATABASE!P1058</f>
        <v>0</v>
      </c>
      <c r="P192" s="173" t="str">
        <f>DATABASE!Q1058</f>
        <v>AVAILABLE</v>
      </c>
      <c r="Q192" s="154">
        <f>DATABASE!R1058</f>
        <v>4100000</v>
      </c>
      <c r="R192" s="174">
        <f>DATABASE!S1058</f>
        <v>4100000</v>
      </c>
      <c r="S192" s="173">
        <f>DATABASE!T1058</f>
        <v>4100000</v>
      </c>
      <c r="T192" s="175">
        <f>DATABASE!U1058</f>
        <v>0</v>
      </c>
      <c r="U192" s="175">
        <f>DATABASE!V1058</f>
        <v>0</v>
      </c>
      <c r="V192" s="79">
        <f>DATABASE!W1058</f>
        <v>4100000</v>
      </c>
      <c r="W192" s="80">
        <f>DATABASE!X1058</f>
        <v>0</v>
      </c>
      <c r="X192" s="79">
        <f>DATABASE!Y1058</f>
        <v>4100000</v>
      </c>
      <c r="Y192" s="79">
        <f>DATABASE!Z1058</f>
        <v>4100000</v>
      </c>
      <c r="Z192" s="79" t="e">
        <f>DATABASE!#REF!</f>
        <v>#REF!</v>
      </c>
      <c r="AA192" s="81">
        <f>DATABASE!AA1058</f>
        <v>0</v>
      </c>
      <c r="AB192" s="177" t="str">
        <f>DATABASE!AB1058</f>
        <v>TBD</v>
      </c>
      <c r="AC192" s="159"/>
      <c r="AD192" s="51"/>
    </row>
    <row r="193" spans="1:30" s="14" customFormat="1">
      <c r="A193" s="158" t="str">
        <f>DATABASE!A1059</f>
        <v>Sutaya</v>
      </c>
      <c r="B193" s="167" t="str">
        <f>DATABASE!B1059</f>
        <v>Algarve</v>
      </c>
      <c r="C193" s="168" t="str">
        <f>DATABASE!C1059</f>
        <v>B</v>
      </c>
      <c r="D193" s="169" t="str">
        <f>DATABASE!E1059</f>
        <v>T3</v>
      </c>
      <c r="E193" s="169">
        <f>DATABASE!F1059</f>
        <v>454</v>
      </c>
      <c r="F193" s="169">
        <f>DATABASE!G1059</f>
        <v>0</v>
      </c>
      <c r="G193" s="169" t="str">
        <f>DATABASE!H1059</f>
        <v>23</v>
      </c>
      <c r="H193" s="169" t="str">
        <f>DATABASE!I1059</f>
        <v/>
      </c>
      <c r="I193" s="169">
        <f>DATABASE!J1059</f>
        <v>0</v>
      </c>
      <c r="J193" s="169">
        <f>DATABASE!K1059</f>
        <v>0</v>
      </c>
      <c r="K193" s="170">
        <f>DATABASE!L1059</f>
        <v>0</v>
      </c>
      <c r="L193" s="171">
        <f>DATABASE!M1059</f>
        <v>213</v>
      </c>
      <c r="M193" s="172">
        <f>DATABASE!N1059</f>
        <v>0</v>
      </c>
      <c r="N193" s="173">
        <f>DATABASE!O1059</f>
        <v>241</v>
      </c>
      <c r="O193" s="173">
        <f>DATABASE!P1059</f>
        <v>0</v>
      </c>
      <c r="P193" s="173" t="str">
        <f>DATABASE!Q1059</f>
        <v>AVAILABLE</v>
      </c>
      <c r="Q193" s="154">
        <f>DATABASE!R1059</f>
        <v>4300000</v>
      </c>
      <c r="R193" s="174">
        <f>DATABASE!S1059</f>
        <v>4300000</v>
      </c>
      <c r="S193" s="173">
        <f>DATABASE!T1059</f>
        <v>4300000</v>
      </c>
      <c r="T193" s="175">
        <f>DATABASE!U1059</f>
        <v>0</v>
      </c>
      <c r="U193" s="175">
        <f>DATABASE!V1059</f>
        <v>0</v>
      </c>
      <c r="V193" s="79">
        <f>DATABASE!W1059</f>
        <v>4300000</v>
      </c>
      <c r="W193" s="80">
        <f>DATABASE!X1059</f>
        <v>0</v>
      </c>
      <c r="X193" s="79">
        <f>DATABASE!Y1059</f>
        <v>4300000</v>
      </c>
      <c r="Y193" s="79">
        <f>DATABASE!Z1059</f>
        <v>4300000</v>
      </c>
      <c r="Z193" s="79" t="e">
        <f>DATABASE!#REF!</f>
        <v>#REF!</v>
      </c>
      <c r="AA193" s="81">
        <f>DATABASE!AA1059</f>
        <v>0</v>
      </c>
      <c r="AB193" s="177" t="str">
        <f>DATABASE!AB1059</f>
        <v>TBD</v>
      </c>
      <c r="AC193" s="159"/>
      <c r="AD193" s="51"/>
    </row>
    <row r="194" spans="1:30" s="14" customFormat="1">
      <c r="A194" s="158" t="str">
        <f>DATABASE!A1060</f>
        <v>Sutaya</v>
      </c>
      <c r="B194" s="167" t="str">
        <f>DATABASE!B1060</f>
        <v>Algarve</v>
      </c>
      <c r="C194" s="168" t="str">
        <f>DATABASE!C1060</f>
        <v>H</v>
      </c>
      <c r="D194" s="169" t="str">
        <f>DATABASE!E1060</f>
        <v>T3</v>
      </c>
      <c r="E194" s="169">
        <f>DATABASE!F1060</f>
        <v>454</v>
      </c>
      <c r="F194" s="169">
        <f>DATABASE!G1060</f>
        <v>0</v>
      </c>
      <c r="G194" s="169" t="str">
        <f>DATABASE!H1060</f>
        <v>23</v>
      </c>
      <c r="H194" s="169" t="str">
        <f>DATABASE!I1060</f>
        <v/>
      </c>
      <c r="I194" s="169">
        <f>DATABASE!J1060</f>
        <v>0</v>
      </c>
      <c r="J194" s="169">
        <f>DATABASE!K1060</f>
        <v>0</v>
      </c>
      <c r="K194" s="170">
        <f>DATABASE!L1060</f>
        <v>0</v>
      </c>
      <c r="L194" s="171">
        <f>DATABASE!M1060</f>
        <v>213</v>
      </c>
      <c r="M194" s="172">
        <f>DATABASE!N1060</f>
        <v>0</v>
      </c>
      <c r="N194" s="173">
        <f>DATABASE!O1060</f>
        <v>241</v>
      </c>
      <c r="O194" s="173">
        <f>DATABASE!P1060</f>
        <v>0</v>
      </c>
      <c r="P194" s="173" t="str">
        <f>DATABASE!Q1060</f>
        <v>RESERVED</v>
      </c>
      <c r="Q194" s="154">
        <f>DATABASE!R1060</f>
        <v>4500000</v>
      </c>
      <c r="R194" s="174">
        <f>DATABASE!S1060</f>
        <v>4500000</v>
      </c>
      <c r="S194" s="173">
        <f>DATABASE!T1060</f>
        <v>4500000</v>
      </c>
      <c r="T194" s="175">
        <f>DATABASE!U1060</f>
        <v>0</v>
      </c>
      <c r="U194" s="175">
        <f>DATABASE!V1060</f>
        <v>0</v>
      </c>
      <c r="V194" s="79">
        <f>DATABASE!W1060</f>
        <v>4500000</v>
      </c>
      <c r="W194" s="80">
        <f>DATABASE!X1060</f>
        <v>0.05</v>
      </c>
      <c r="X194" s="79">
        <f>DATABASE!Y1060</f>
        <v>4275000</v>
      </c>
      <c r="Y194" s="79">
        <f>DATABASE!Z1060</f>
        <v>4275000</v>
      </c>
      <c r="Z194" s="79" t="e">
        <f>DATABASE!#REF!</f>
        <v>#REF!</v>
      </c>
      <c r="AA194" s="81">
        <f>DATABASE!AA1060</f>
        <v>45979</v>
      </c>
      <c r="AB194" s="177" t="str">
        <f>DATABASE!AB1060</f>
        <v>TBD</v>
      </c>
      <c r="AC194" s="159"/>
      <c r="AD194" s="51"/>
    </row>
    <row r="195" spans="1:30" s="14" customFormat="1">
      <c r="A195" s="158" t="str">
        <f>DATABASE!A1061</f>
        <v>ZESTIA</v>
      </c>
      <c r="B195" s="167" t="str">
        <f>DATABASE!B1061</f>
        <v>Vilamoura</v>
      </c>
      <c r="C195" s="168" t="str">
        <f>DATABASE!C1061</f>
        <v>U</v>
      </c>
      <c r="D195" s="169" t="str">
        <f>DATABASE!E1061</f>
        <v>T2</v>
      </c>
      <c r="E195" s="169">
        <f>DATABASE!F1061</f>
        <v>118.99</v>
      </c>
      <c r="F195" s="169">
        <f>DATABASE!G1061</f>
        <v>0</v>
      </c>
      <c r="G195" s="169" t="str">
        <f>DATABASE!H1061</f>
        <v/>
      </c>
      <c r="H195" s="169" t="str">
        <f>DATABASE!I1061</f>
        <v/>
      </c>
      <c r="I195" s="169">
        <f>DATABASE!J1061</f>
        <v>28.9</v>
      </c>
      <c r="J195" s="169">
        <f>DATABASE!K1061</f>
        <v>0</v>
      </c>
      <c r="K195" s="170">
        <f>DATABASE!L1061</f>
        <v>0</v>
      </c>
      <c r="L195" s="171">
        <f>DATABASE!M1061</f>
        <v>0</v>
      </c>
      <c r="M195" s="172">
        <f>DATABASE!N1061</f>
        <v>0</v>
      </c>
      <c r="N195" s="173">
        <f>DATABASE!O1061</f>
        <v>90.09</v>
      </c>
      <c r="O195" s="173">
        <f>DATABASE!P1061</f>
        <v>0</v>
      </c>
      <c r="P195" s="173" t="str">
        <f>DATABASE!Q1061</f>
        <v>AVAILABLE</v>
      </c>
      <c r="Q195" s="154">
        <f>DATABASE!R1061</f>
        <v>711904.61959999998</v>
      </c>
      <c r="R195" s="174">
        <f>DATABASE!S1061</f>
        <v>776504.61959999998</v>
      </c>
      <c r="S195" s="173">
        <f>DATABASE!T1061</f>
        <v>850000</v>
      </c>
      <c r="T195" s="175">
        <f>DATABASE!U1061</f>
        <v>24600</v>
      </c>
      <c r="U195" s="175">
        <f>DATABASE!V1061</f>
        <v>40000</v>
      </c>
      <c r="V195" s="79">
        <f>DATABASE!W1061</f>
        <v>785400</v>
      </c>
      <c r="W195" s="80">
        <f>DATABASE!X1061</f>
        <v>0</v>
      </c>
      <c r="X195" s="79">
        <f>DATABASE!Y1061</f>
        <v>850000</v>
      </c>
      <c r="Y195" s="79">
        <f>DATABASE!Z1061</f>
        <v>785400</v>
      </c>
      <c r="Z195" s="79" t="e">
        <f>DATABASE!#REF!</f>
        <v>#REF!</v>
      </c>
      <c r="AA195" s="81">
        <f>DATABASE!AA1061</f>
        <v>0</v>
      </c>
      <c r="AB195" s="177">
        <f>DATABASE!AB1061</f>
        <v>0</v>
      </c>
      <c r="AC195" s="159"/>
      <c r="AD195" s="51"/>
    </row>
    <row r="196" spans="1:30" s="14" customFormat="1">
      <c r="A196" s="158" t="str">
        <f>DATABASE!A1062</f>
        <v>BOTÂNICA</v>
      </c>
      <c r="B196" s="167" t="str">
        <f>DATABASE!B1062</f>
        <v>Vilamoura</v>
      </c>
      <c r="C196" s="168" t="str">
        <f>DATABASE!C1062</f>
        <v>V</v>
      </c>
      <c r="D196" s="169" t="str">
        <f>DATABASE!E1062</f>
        <v>T2</v>
      </c>
      <c r="E196" s="169">
        <f>DATABASE!F1062</f>
        <v>151.25</v>
      </c>
      <c r="F196" s="169">
        <f>DATABASE!G1062</f>
        <v>0</v>
      </c>
      <c r="G196" s="169" t="str">
        <f>DATABASE!H1062</f>
        <v>2</v>
      </c>
      <c r="H196" s="169" t="str">
        <f>DATABASE!I1062</f>
        <v/>
      </c>
      <c r="I196" s="169">
        <f>DATABASE!J1062</f>
        <v>20.100000000000001</v>
      </c>
      <c r="J196" s="169">
        <f>DATABASE!K1062</f>
        <v>0</v>
      </c>
      <c r="K196" s="170">
        <f>DATABASE!L1062</f>
        <v>0</v>
      </c>
      <c r="L196" s="171">
        <f>DATABASE!M1062</f>
        <v>7.51</v>
      </c>
      <c r="M196" s="172">
        <f>DATABASE!N1062</f>
        <v>0</v>
      </c>
      <c r="N196" s="173">
        <f>DATABASE!O1062</f>
        <v>123.64</v>
      </c>
      <c r="O196" s="173">
        <f>DATABASE!P1062</f>
        <v>0</v>
      </c>
      <c r="P196" s="173" t="str">
        <f>DATABASE!Q1062</f>
        <v>AVAILABLE</v>
      </c>
      <c r="Q196" s="154">
        <f>DATABASE!R1062</f>
        <v>922933.30799999996</v>
      </c>
      <c r="R196" s="174">
        <f>DATABASE!S1062</f>
        <v>922933.30799999996</v>
      </c>
      <c r="S196" s="173">
        <f>DATABASE!T1062</f>
        <v>930000</v>
      </c>
      <c r="T196" s="175">
        <f>DATABASE!U1062</f>
        <v>0</v>
      </c>
      <c r="U196" s="175">
        <f>DATABASE!V1062</f>
        <v>0</v>
      </c>
      <c r="V196" s="79">
        <f>DATABASE!W1062</f>
        <v>930000</v>
      </c>
      <c r="W196" s="80">
        <f>DATABASE!X1062</f>
        <v>0</v>
      </c>
      <c r="X196" s="79">
        <f>DATABASE!Y1062</f>
        <v>930000</v>
      </c>
      <c r="Y196" s="79">
        <f>DATABASE!Z1062</f>
        <v>930000</v>
      </c>
      <c r="Z196" s="79" t="e">
        <f>DATABASE!#REF!</f>
        <v>#REF!</v>
      </c>
      <c r="AA196" s="81">
        <f>DATABASE!AA1062</f>
        <v>0</v>
      </c>
      <c r="AB196" s="177">
        <f>DATABASE!AB1062</f>
        <v>0</v>
      </c>
      <c r="AC196" s="159"/>
      <c r="AD196" s="51"/>
    </row>
    <row r="197" spans="1:30" s="14" customFormat="1">
      <c r="A197" s="158" t="str">
        <f>DATABASE!A1063</f>
        <v>Sutaya</v>
      </c>
      <c r="B197" s="167" t="str">
        <f>DATABASE!B1063</f>
        <v>Algarve</v>
      </c>
      <c r="C197" s="168" t="str">
        <f>DATABASE!C1063</f>
        <v>C</v>
      </c>
      <c r="D197" s="169" t="str">
        <f>DATABASE!E1063</f>
        <v>T3</v>
      </c>
      <c r="E197" s="169">
        <f>DATABASE!F1063</f>
        <v>454</v>
      </c>
      <c r="F197" s="169">
        <f>DATABASE!G1063</f>
        <v>0</v>
      </c>
      <c r="G197" s="169" t="str">
        <f>DATABASE!H1063</f>
        <v>23</v>
      </c>
      <c r="H197" s="169" t="str">
        <f>DATABASE!I1063</f>
        <v/>
      </c>
      <c r="I197" s="169">
        <f>DATABASE!J1063</f>
        <v>0</v>
      </c>
      <c r="J197" s="169">
        <f>DATABASE!K1063</f>
        <v>0</v>
      </c>
      <c r="K197" s="170">
        <f>DATABASE!L1063</f>
        <v>0</v>
      </c>
      <c r="L197" s="171">
        <f>DATABASE!M1063</f>
        <v>213</v>
      </c>
      <c r="M197" s="172">
        <f>DATABASE!N1063</f>
        <v>0</v>
      </c>
      <c r="N197" s="173">
        <f>DATABASE!O1063</f>
        <v>241</v>
      </c>
      <c r="O197" s="173">
        <f>DATABASE!P1063</f>
        <v>0</v>
      </c>
      <c r="P197" s="173" t="str">
        <f>DATABASE!Q1063</f>
        <v>AVAILABLE</v>
      </c>
      <c r="Q197" s="154">
        <f>DATABASE!R1063</f>
        <v>4700000</v>
      </c>
      <c r="R197" s="174">
        <f>DATABASE!S1063</f>
        <v>4700000</v>
      </c>
      <c r="S197" s="173">
        <f>DATABASE!T1063</f>
        <v>4700000</v>
      </c>
      <c r="T197" s="175">
        <f>DATABASE!U1063</f>
        <v>0</v>
      </c>
      <c r="U197" s="175">
        <f>DATABASE!V1063</f>
        <v>0</v>
      </c>
      <c r="V197" s="79">
        <f>DATABASE!W1063</f>
        <v>4700000</v>
      </c>
      <c r="W197" s="80">
        <f>DATABASE!X1063</f>
        <v>0</v>
      </c>
      <c r="X197" s="79">
        <f>DATABASE!Y1063</f>
        <v>4700000</v>
      </c>
      <c r="Y197" s="79">
        <f>DATABASE!Z1063</f>
        <v>4700000</v>
      </c>
      <c r="Z197" s="79" t="e">
        <f>DATABASE!#REF!</f>
        <v>#REF!</v>
      </c>
      <c r="AA197" s="81">
        <f>DATABASE!AA1063</f>
        <v>0</v>
      </c>
      <c r="AB197" s="177" t="str">
        <f>DATABASE!AB1063</f>
        <v>TBD</v>
      </c>
      <c r="AC197" s="159"/>
      <c r="AD197" s="51"/>
    </row>
    <row r="198" spans="1:30" s="14" customFormat="1">
      <c r="A198" s="158" t="str">
        <f>DATABASE!A1064</f>
        <v>Sutaya</v>
      </c>
      <c r="B198" s="167" t="str">
        <f>DATABASE!B1064</f>
        <v>Algarve</v>
      </c>
      <c r="C198" s="168" t="str">
        <f>DATABASE!C1064</f>
        <v>G</v>
      </c>
      <c r="D198" s="169" t="str">
        <f>DATABASE!E1064</f>
        <v>T3</v>
      </c>
      <c r="E198" s="169">
        <f>DATABASE!F1064</f>
        <v>454</v>
      </c>
      <c r="F198" s="169">
        <f>DATABASE!G1064</f>
        <v>0</v>
      </c>
      <c r="G198" s="169" t="str">
        <f>DATABASE!H1064</f>
        <v>23</v>
      </c>
      <c r="H198" s="169" t="str">
        <f>DATABASE!I1064</f>
        <v/>
      </c>
      <c r="I198" s="169">
        <f>DATABASE!J1064</f>
        <v>0</v>
      </c>
      <c r="J198" s="169">
        <f>DATABASE!K1064</f>
        <v>0</v>
      </c>
      <c r="K198" s="170">
        <f>DATABASE!L1064</f>
        <v>0</v>
      </c>
      <c r="L198" s="171">
        <f>DATABASE!M1064</f>
        <v>213</v>
      </c>
      <c r="M198" s="172">
        <f>DATABASE!N1064</f>
        <v>0</v>
      </c>
      <c r="N198" s="173">
        <f>DATABASE!O1064</f>
        <v>241</v>
      </c>
      <c r="O198" s="173">
        <f>DATABASE!P1064</f>
        <v>0</v>
      </c>
      <c r="P198" s="173" t="str">
        <f>DATABASE!Q1064</f>
        <v>AVAILABLE</v>
      </c>
      <c r="Q198" s="154">
        <f>DATABASE!R1064</f>
        <v>5000000</v>
      </c>
      <c r="R198" s="174">
        <f>DATABASE!S1064</f>
        <v>5000000</v>
      </c>
      <c r="S198" s="173">
        <f>DATABASE!T1064</f>
        <v>5000000</v>
      </c>
      <c r="T198" s="175">
        <f>DATABASE!U1064</f>
        <v>0</v>
      </c>
      <c r="U198" s="175">
        <f>DATABASE!V1064</f>
        <v>0</v>
      </c>
      <c r="V198" s="79">
        <f>DATABASE!W1064</f>
        <v>5000000</v>
      </c>
      <c r="W198" s="80">
        <f>DATABASE!X1064</f>
        <v>0</v>
      </c>
      <c r="X198" s="79">
        <f>DATABASE!Y1064</f>
        <v>5000000</v>
      </c>
      <c r="Y198" s="79">
        <f>DATABASE!Z1064</f>
        <v>5000000</v>
      </c>
      <c r="Z198" s="79" t="e">
        <f>DATABASE!#REF!</f>
        <v>#REF!</v>
      </c>
      <c r="AA198" s="81">
        <f>DATABASE!AA1064</f>
        <v>0</v>
      </c>
      <c r="AB198" s="177" t="str">
        <f>DATABASE!AB1064</f>
        <v>TBD</v>
      </c>
      <c r="AC198" s="159"/>
      <c r="AD198" s="51"/>
    </row>
    <row r="199" spans="1:30" s="14" customFormat="1">
      <c r="A199" s="158" t="str">
        <f>DATABASE!A1065</f>
        <v>Sutaya</v>
      </c>
      <c r="B199" s="167" t="str">
        <f>DATABASE!B1065</f>
        <v>Algarve</v>
      </c>
      <c r="C199" s="168" t="str">
        <f>DATABASE!C1065</f>
        <v>D</v>
      </c>
      <c r="D199" s="169" t="str">
        <f>DATABASE!E1065</f>
        <v>T3</v>
      </c>
      <c r="E199" s="169">
        <f>DATABASE!F1065</f>
        <v>454</v>
      </c>
      <c r="F199" s="169">
        <f>DATABASE!G1065</f>
        <v>0</v>
      </c>
      <c r="G199" s="169" t="str">
        <f>DATABASE!H1065</f>
        <v>23</v>
      </c>
      <c r="H199" s="169" t="str">
        <f>DATABASE!I1065</f>
        <v/>
      </c>
      <c r="I199" s="169">
        <f>DATABASE!J1065</f>
        <v>0</v>
      </c>
      <c r="J199" s="169">
        <f>DATABASE!K1065</f>
        <v>0</v>
      </c>
      <c r="K199" s="170">
        <f>DATABASE!L1065</f>
        <v>0</v>
      </c>
      <c r="L199" s="171">
        <f>DATABASE!M1065</f>
        <v>213</v>
      </c>
      <c r="M199" s="172">
        <f>DATABASE!N1065</f>
        <v>0</v>
      </c>
      <c r="N199" s="173">
        <f>DATABASE!O1065</f>
        <v>241</v>
      </c>
      <c r="O199" s="173">
        <f>DATABASE!P1065</f>
        <v>0</v>
      </c>
      <c r="P199" s="173" t="str">
        <f>DATABASE!Q1065</f>
        <v>PRE-RESERVED</v>
      </c>
      <c r="Q199" s="154">
        <f>DATABASE!R1065</f>
        <v>5200000</v>
      </c>
      <c r="R199" s="174">
        <f>DATABASE!S1065</f>
        <v>5200000</v>
      </c>
      <c r="S199" s="173">
        <f>DATABASE!T1065</f>
        <v>5200000</v>
      </c>
      <c r="T199" s="175">
        <f>DATABASE!U1065</f>
        <v>0</v>
      </c>
      <c r="U199" s="175">
        <f>DATABASE!V1065</f>
        <v>0</v>
      </c>
      <c r="V199" s="79">
        <f>DATABASE!W1065</f>
        <v>5200000</v>
      </c>
      <c r="W199" s="80">
        <f>DATABASE!X1065</f>
        <v>0</v>
      </c>
      <c r="X199" s="79">
        <f>DATABASE!Y1065</f>
        <v>5200000</v>
      </c>
      <c r="Y199" s="79">
        <f>DATABASE!Z1065</f>
        <v>5200000</v>
      </c>
      <c r="Z199" s="79" t="e">
        <f>DATABASE!#REF!</f>
        <v>#REF!</v>
      </c>
      <c r="AA199" s="81">
        <f>DATABASE!AA1065</f>
        <v>45991</v>
      </c>
      <c r="AB199" s="177" t="str">
        <f>DATABASE!AB1065</f>
        <v>TBD</v>
      </c>
      <c r="AC199" s="159"/>
      <c r="AD199" s="51"/>
    </row>
    <row r="200" spans="1:30" s="14" customFormat="1">
      <c r="A200" s="158" t="str">
        <f>DATABASE!A1066</f>
        <v>Sutaya</v>
      </c>
      <c r="B200" s="167" t="str">
        <f>DATABASE!B1066</f>
        <v>Algarve</v>
      </c>
      <c r="C200" s="168" t="str">
        <f>DATABASE!C1066</f>
        <v>J</v>
      </c>
      <c r="D200" s="169" t="str">
        <f>DATABASE!E1066</f>
        <v>T3 PH</v>
      </c>
      <c r="E200" s="169">
        <f>DATABASE!F1066</f>
        <v>460</v>
      </c>
      <c r="F200" s="169">
        <f>DATABASE!G1066</f>
        <v>0</v>
      </c>
      <c r="G200" s="169" t="str">
        <f>DATABASE!H1066</f>
        <v>23</v>
      </c>
      <c r="H200" s="169" t="str">
        <f>DATABASE!I1066</f>
        <v/>
      </c>
      <c r="I200" s="169">
        <f>DATABASE!J1066</f>
        <v>0</v>
      </c>
      <c r="J200" s="169">
        <f>DATABASE!K1066</f>
        <v>0</v>
      </c>
      <c r="K200" s="170">
        <f>DATABASE!L1066</f>
        <v>0</v>
      </c>
      <c r="L200" s="171">
        <f>DATABASE!M1066</f>
        <v>196</v>
      </c>
      <c r="M200" s="172">
        <f>DATABASE!N1066</f>
        <v>0</v>
      </c>
      <c r="N200" s="173">
        <f>DATABASE!O1066</f>
        <v>264</v>
      </c>
      <c r="O200" s="173">
        <f>DATABASE!P1066</f>
        <v>0</v>
      </c>
      <c r="P200" s="173" t="str">
        <f>DATABASE!Q1066</f>
        <v>AVAILABLE</v>
      </c>
      <c r="Q200" s="154">
        <f>DATABASE!R1066</f>
        <v>5300000</v>
      </c>
      <c r="R200" s="174">
        <f>DATABASE!S1066</f>
        <v>5300000</v>
      </c>
      <c r="S200" s="173">
        <f>DATABASE!T1066</f>
        <v>5300000</v>
      </c>
      <c r="T200" s="175">
        <f>DATABASE!U1066</f>
        <v>0</v>
      </c>
      <c r="U200" s="175">
        <f>DATABASE!V1066</f>
        <v>0</v>
      </c>
      <c r="V200" s="79">
        <f>DATABASE!W1066</f>
        <v>5300000</v>
      </c>
      <c r="W200" s="80">
        <f>DATABASE!X1066</f>
        <v>0</v>
      </c>
      <c r="X200" s="79">
        <f>DATABASE!Y1066</f>
        <v>5300000</v>
      </c>
      <c r="Y200" s="79">
        <f>DATABASE!Z1066</f>
        <v>5300000</v>
      </c>
      <c r="Z200" s="79" t="e">
        <f>DATABASE!#REF!</f>
        <v>#REF!</v>
      </c>
      <c r="AA200" s="81">
        <f>DATABASE!AA1066</f>
        <v>0</v>
      </c>
      <c r="AB200" s="177" t="str">
        <f>DATABASE!AB1066</f>
        <v>TBD</v>
      </c>
      <c r="AC200" s="159"/>
      <c r="AD200" s="51"/>
    </row>
    <row r="201" spans="1:30" s="14" customFormat="1">
      <c r="A201" s="158" t="str">
        <f>DATABASE!A1067</f>
        <v>Sutaya</v>
      </c>
      <c r="B201" s="167" t="str">
        <f>DATABASE!B1067</f>
        <v>Algarve</v>
      </c>
      <c r="C201" s="168" t="str">
        <f>DATABASE!C1067</f>
        <v>F</v>
      </c>
      <c r="D201" s="169" t="str">
        <f>DATABASE!E1067</f>
        <v>T3</v>
      </c>
      <c r="E201" s="169">
        <f>DATABASE!F1067</f>
        <v>454</v>
      </c>
      <c r="F201" s="169">
        <f>DATABASE!G1067</f>
        <v>0</v>
      </c>
      <c r="G201" s="169" t="str">
        <f>DATABASE!H1067</f>
        <v>23</v>
      </c>
      <c r="H201" s="169" t="str">
        <f>DATABASE!I1067</f>
        <v/>
      </c>
      <c r="I201" s="169">
        <f>DATABASE!J1067</f>
        <v>0</v>
      </c>
      <c r="J201" s="169">
        <f>DATABASE!K1067</f>
        <v>0</v>
      </c>
      <c r="K201" s="170">
        <f>DATABASE!L1067</f>
        <v>0</v>
      </c>
      <c r="L201" s="171">
        <f>DATABASE!M1067</f>
        <v>213</v>
      </c>
      <c r="M201" s="172">
        <f>DATABASE!N1067</f>
        <v>0</v>
      </c>
      <c r="N201" s="173">
        <f>DATABASE!O1067</f>
        <v>241</v>
      </c>
      <c r="O201" s="173">
        <f>DATABASE!P1067</f>
        <v>0</v>
      </c>
      <c r="P201" s="173" t="str">
        <f>DATABASE!Q1067</f>
        <v>AVAILABLE</v>
      </c>
      <c r="Q201" s="154">
        <f>DATABASE!R1067</f>
        <v>5500000</v>
      </c>
      <c r="R201" s="174">
        <f>DATABASE!S1067</f>
        <v>5500000</v>
      </c>
      <c r="S201" s="173">
        <f>DATABASE!T1067</f>
        <v>5500000</v>
      </c>
      <c r="T201" s="175">
        <f>DATABASE!U1067</f>
        <v>0</v>
      </c>
      <c r="U201" s="175">
        <f>DATABASE!V1067</f>
        <v>0</v>
      </c>
      <c r="V201" s="79">
        <f>DATABASE!W1067</f>
        <v>5500000</v>
      </c>
      <c r="W201" s="80">
        <f>DATABASE!X1067</f>
        <v>0</v>
      </c>
      <c r="X201" s="79">
        <f>DATABASE!Y1067</f>
        <v>5225000</v>
      </c>
      <c r="Y201" s="79">
        <f>DATABASE!Z1067</f>
        <v>5225000</v>
      </c>
      <c r="Z201" s="79" t="e">
        <f>DATABASE!#REF!</f>
        <v>#REF!</v>
      </c>
      <c r="AA201" s="81">
        <f>DATABASE!AA1067</f>
        <v>0</v>
      </c>
      <c r="AB201" s="177" t="str">
        <f>DATABASE!AB1067</f>
        <v>TBD</v>
      </c>
      <c r="AC201" s="159"/>
      <c r="AD201" s="51"/>
    </row>
    <row r="202" spans="1:30" s="14" customFormat="1">
      <c r="A202" s="158" t="str">
        <f>DATABASE!A1068</f>
        <v>Sutaya</v>
      </c>
      <c r="B202" s="167" t="str">
        <f>DATABASE!B1068</f>
        <v>Algarve</v>
      </c>
      <c r="C202" s="168" t="str">
        <f>DATABASE!C1068</f>
        <v>L</v>
      </c>
      <c r="D202" s="169" t="str">
        <f>DATABASE!E1068</f>
        <v>T3 PH</v>
      </c>
      <c r="E202" s="169">
        <f>DATABASE!F1068</f>
        <v>460</v>
      </c>
      <c r="F202" s="169">
        <f>DATABASE!G1068</f>
        <v>0</v>
      </c>
      <c r="G202" s="169" t="str">
        <f>DATABASE!H1068</f>
        <v>23</v>
      </c>
      <c r="H202" s="169" t="str">
        <f>DATABASE!I1068</f>
        <v/>
      </c>
      <c r="I202" s="169">
        <f>DATABASE!J1068</f>
        <v>0</v>
      </c>
      <c r="J202" s="169">
        <f>DATABASE!K1068</f>
        <v>0</v>
      </c>
      <c r="K202" s="170">
        <f>DATABASE!L1068</f>
        <v>0</v>
      </c>
      <c r="L202" s="171">
        <f>DATABASE!M1068</f>
        <v>196</v>
      </c>
      <c r="M202" s="172">
        <f>DATABASE!N1068</f>
        <v>0</v>
      </c>
      <c r="N202" s="173">
        <f>DATABASE!O1068</f>
        <v>264</v>
      </c>
      <c r="O202" s="173">
        <f>DATABASE!P1068</f>
        <v>0</v>
      </c>
      <c r="P202" s="173" t="str">
        <f>DATABASE!Q1068</f>
        <v>AVAILABLE</v>
      </c>
      <c r="Q202" s="154">
        <f>DATABASE!R1068</f>
        <v>5700000</v>
      </c>
      <c r="R202" s="174">
        <f>DATABASE!S1068</f>
        <v>5700000</v>
      </c>
      <c r="S202" s="173">
        <f>DATABASE!T1068</f>
        <v>5700000</v>
      </c>
      <c r="T202" s="175">
        <f>DATABASE!U1068</f>
        <v>0</v>
      </c>
      <c r="U202" s="175">
        <f>DATABASE!V1068</f>
        <v>0</v>
      </c>
      <c r="V202" s="79">
        <f>DATABASE!W1068</f>
        <v>5700000</v>
      </c>
      <c r="W202" s="80">
        <f>DATABASE!X1068</f>
        <v>0</v>
      </c>
      <c r="X202" s="79">
        <f>DATABASE!Y1068</f>
        <v>5700000</v>
      </c>
      <c r="Y202" s="79">
        <f>DATABASE!Z1068</f>
        <v>5700000</v>
      </c>
      <c r="Z202" s="79" t="e">
        <f>DATABASE!#REF!</f>
        <v>#REF!</v>
      </c>
      <c r="AA202" s="81">
        <f>DATABASE!AA1068</f>
        <v>0</v>
      </c>
      <c r="AB202" s="177" t="str">
        <f>DATABASE!AB1068</f>
        <v>TBD</v>
      </c>
      <c r="AC202" s="159"/>
      <c r="AD202" s="51"/>
    </row>
    <row r="203" spans="1:30" s="14" customFormat="1">
      <c r="A203" s="158" t="str">
        <f>DATABASE!A1069</f>
        <v>Sutaya</v>
      </c>
      <c r="B203" s="167" t="str">
        <f>DATABASE!B1069</f>
        <v>Algarve</v>
      </c>
      <c r="C203" s="168" t="str">
        <f>DATABASE!C1069</f>
        <v>E</v>
      </c>
      <c r="D203" s="169" t="str">
        <f>DATABASE!E1069</f>
        <v>T3</v>
      </c>
      <c r="E203" s="169">
        <f>DATABASE!F1069</f>
        <v>458</v>
      </c>
      <c r="F203" s="169">
        <f>DATABASE!G1069</f>
        <v>0</v>
      </c>
      <c r="G203" s="169" t="str">
        <f>DATABASE!H1069</f>
        <v>23</v>
      </c>
      <c r="H203" s="169" t="str">
        <f>DATABASE!I1069</f>
        <v/>
      </c>
      <c r="I203" s="169">
        <f>DATABASE!J1069</f>
        <v>0</v>
      </c>
      <c r="J203" s="169">
        <f>DATABASE!K1069</f>
        <v>0</v>
      </c>
      <c r="K203" s="170">
        <f>DATABASE!L1069</f>
        <v>0</v>
      </c>
      <c r="L203" s="171">
        <f>DATABASE!M1069</f>
        <v>213</v>
      </c>
      <c r="M203" s="172">
        <f>DATABASE!N1069</f>
        <v>0</v>
      </c>
      <c r="N203" s="173">
        <f>DATABASE!O1069</f>
        <v>245</v>
      </c>
      <c r="O203" s="173">
        <f>DATABASE!P1069</f>
        <v>0</v>
      </c>
      <c r="P203" s="173" t="str">
        <f>DATABASE!Q1069</f>
        <v>PRE-RESERVED</v>
      </c>
      <c r="Q203" s="154">
        <f>DATABASE!R1069</f>
        <v>5700000</v>
      </c>
      <c r="R203" s="174">
        <f>DATABASE!S1069</f>
        <v>5700000</v>
      </c>
      <c r="S203" s="173">
        <f>DATABASE!T1069</f>
        <v>5700000</v>
      </c>
      <c r="T203" s="175">
        <f>DATABASE!U1069</f>
        <v>0</v>
      </c>
      <c r="U203" s="175">
        <f>DATABASE!V1069</f>
        <v>0</v>
      </c>
      <c r="V203" s="79">
        <f>DATABASE!W1069</f>
        <v>5700000</v>
      </c>
      <c r="W203" s="80">
        <f>DATABASE!X1069</f>
        <v>0</v>
      </c>
      <c r="X203" s="79">
        <f>DATABASE!Y1069</f>
        <v>5700000</v>
      </c>
      <c r="Y203" s="79">
        <f>DATABASE!Z1069</f>
        <v>5700000</v>
      </c>
      <c r="Z203" s="79" t="e">
        <f>DATABASE!#REF!</f>
        <v>#REF!</v>
      </c>
      <c r="AA203" s="81">
        <f>DATABASE!AA1069</f>
        <v>45991</v>
      </c>
      <c r="AB203" s="177" t="str">
        <f>DATABASE!AB1069</f>
        <v>TBD</v>
      </c>
      <c r="AC203" s="159"/>
      <c r="AD203" s="51"/>
    </row>
    <row r="204" spans="1:30" s="14" customFormat="1">
      <c r="A204" s="158" t="str">
        <f>DATABASE!A1070</f>
        <v>Sutaya</v>
      </c>
      <c r="B204" s="167" t="str">
        <f>DATABASE!B1070</f>
        <v>Algarve</v>
      </c>
      <c r="C204" s="168" t="str">
        <f>DATABASE!C1070</f>
        <v>M</v>
      </c>
      <c r="D204" s="169" t="str">
        <f>DATABASE!E1070</f>
        <v>T3 PH</v>
      </c>
      <c r="E204" s="169">
        <f>DATABASE!F1070</f>
        <v>458</v>
      </c>
      <c r="F204" s="169">
        <f>DATABASE!G1070</f>
        <v>0</v>
      </c>
      <c r="G204" s="169" t="str">
        <f>DATABASE!H1070</f>
        <v>29</v>
      </c>
      <c r="H204" s="169" t="str">
        <f>DATABASE!I1070</f>
        <v/>
      </c>
      <c r="I204" s="169">
        <f>DATABASE!J1070</f>
        <v>0</v>
      </c>
      <c r="J204" s="169">
        <f>DATABASE!K1070</f>
        <v>0</v>
      </c>
      <c r="K204" s="170">
        <f>DATABASE!L1070</f>
        <v>0</v>
      </c>
      <c r="L204" s="171">
        <f>DATABASE!M1070</f>
        <v>196</v>
      </c>
      <c r="M204" s="172">
        <f>DATABASE!N1070</f>
        <v>0</v>
      </c>
      <c r="N204" s="173">
        <f>DATABASE!O1070</f>
        <v>262</v>
      </c>
      <c r="O204" s="173">
        <f>DATABASE!P1070</f>
        <v>0</v>
      </c>
      <c r="P204" s="173" t="str">
        <f>DATABASE!Q1070</f>
        <v>AVAILABLE</v>
      </c>
      <c r="Q204" s="154">
        <f>DATABASE!R1070</f>
        <v>6100000</v>
      </c>
      <c r="R204" s="174">
        <f>DATABASE!S1070</f>
        <v>6100000</v>
      </c>
      <c r="S204" s="173">
        <f>DATABASE!T1070</f>
        <v>6100000</v>
      </c>
      <c r="T204" s="175">
        <f>DATABASE!U1070</f>
        <v>0</v>
      </c>
      <c r="U204" s="175">
        <f>DATABASE!V1070</f>
        <v>0</v>
      </c>
      <c r="V204" s="79">
        <f>DATABASE!W1070</f>
        <v>6100000</v>
      </c>
      <c r="W204" s="80">
        <f>DATABASE!X1070</f>
        <v>0</v>
      </c>
      <c r="X204" s="79">
        <f>DATABASE!Y1070</f>
        <v>5795000</v>
      </c>
      <c r="Y204" s="79">
        <f>DATABASE!Z1070</f>
        <v>5795000</v>
      </c>
      <c r="Z204" s="79" t="e">
        <f>DATABASE!#REF!</f>
        <v>#REF!</v>
      </c>
      <c r="AA204" s="81">
        <f>DATABASE!AA1070</f>
        <v>0</v>
      </c>
      <c r="AB204" s="177" t="str">
        <f>DATABASE!AB1070</f>
        <v>TBD</v>
      </c>
      <c r="AC204" s="159"/>
      <c r="AD204" s="51"/>
    </row>
    <row r="205" spans="1:30" s="14" customFormat="1">
      <c r="A205" s="158" t="str">
        <f>DATABASE!A1071</f>
        <v>Sutaya</v>
      </c>
      <c r="B205" s="167" t="str">
        <f>DATABASE!B1071</f>
        <v>Algarve</v>
      </c>
      <c r="C205" s="168" t="str">
        <f>DATABASE!C1071</f>
        <v>Q</v>
      </c>
      <c r="D205" s="169" t="str">
        <f>DATABASE!E1071</f>
        <v>T4 PH</v>
      </c>
      <c r="E205" s="169">
        <f>DATABASE!F1071</f>
        <v>654</v>
      </c>
      <c r="F205" s="169">
        <f>DATABASE!G1071</f>
        <v>0</v>
      </c>
      <c r="G205" s="169" t="str">
        <f>DATABASE!H1071</f>
        <v>22</v>
      </c>
      <c r="H205" s="169" t="str">
        <f>DATABASE!I1071</f>
        <v/>
      </c>
      <c r="I205" s="169">
        <f>DATABASE!J1071</f>
        <v>0</v>
      </c>
      <c r="J205" s="169">
        <f>DATABASE!K1071</f>
        <v>0</v>
      </c>
      <c r="K205" s="170">
        <f>DATABASE!L1071</f>
        <v>0</v>
      </c>
      <c r="L205" s="171">
        <f>DATABASE!M1071</f>
        <v>290</v>
      </c>
      <c r="M205" s="172">
        <f>DATABASE!N1071</f>
        <v>0</v>
      </c>
      <c r="N205" s="173">
        <f>DATABASE!O1071</f>
        <v>364</v>
      </c>
      <c r="O205" s="173">
        <f>DATABASE!P1071</f>
        <v>0</v>
      </c>
      <c r="P205" s="173" t="str">
        <f>DATABASE!Q1071</f>
        <v>AVAILABLE</v>
      </c>
      <c r="Q205" s="154">
        <f>DATABASE!R1071</f>
        <v>7700000</v>
      </c>
      <c r="R205" s="174">
        <f>DATABASE!S1071</f>
        <v>7700000</v>
      </c>
      <c r="S205" s="173">
        <f>DATABASE!T1071</f>
        <v>7700000</v>
      </c>
      <c r="T205" s="175">
        <f>DATABASE!U1071</f>
        <v>0</v>
      </c>
      <c r="U205" s="175">
        <f>DATABASE!V1071</f>
        <v>0</v>
      </c>
      <c r="V205" s="79">
        <f>DATABASE!W1071</f>
        <v>7700000</v>
      </c>
      <c r="W205" s="80">
        <f>DATABASE!X1071</f>
        <v>0</v>
      </c>
      <c r="X205" s="79">
        <f>DATABASE!Y1071</f>
        <v>7700000</v>
      </c>
      <c r="Y205" s="79">
        <f>DATABASE!Z1071</f>
        <v>7700000</v>
      </c>
      <c r="Z205" s="79" t="e">
        <f>DATABASE!#REF!</f>
        <v>#REF!</v>
      </c>
      <c r="AA205" s="81">
        <f>DATABASE!AA1071</f>
        <v>0</v>
      </c>
      <c r="AB205" s="177" t="str">
        <f>DATABASE!AB1071</f>
        <v>TBD</v>
      </c>
      <c r="AC205" s="159"/>
      <c r="AD205" s="51"/>
    </row>
    <row r="206" spans="1:30" s="14" customFormat="1">
      <c r="A206" s="158" t="str">
        <f>DATABASE!A1072</f>
        <v>Sutaya</v>
      </c>
      <c r="B206" s="167" t="str">
        <f>DATABASE!B1072</f>
        <v>Algarve</v>
      </c>
      <c r="C206" s="168" t="str">
        <f>DATABASE!C1072</f>
        <v>P</v>
      </c>
      <c r="D206" s="169" t="str">
        <f>DATABASE!E1072</f>
        <v>T4 PH</v>
      </c>
      <c r="E206" s="169">
        <f>DATABASE!F1072</f>
        <v>654</v>
      </c>
      <c r="F206" s="169">
        <f>DATABASE!G1072</f>
        <v>0</v>
      </c>
      <c r="G206" s="169" t="str">
        <f>DATABASE!H1072</f>
        <v>22</v>
      </c>
      <c r="H206" s="169" t="str">
        <f>DATABASE!I1072</f>
        <v/>
      </c>
      <c r="I206" s="169">
        <f>DATABASE!J1072</f>
        <v>0</v>
      </c>
      <c r="J206" s="169">
        <f>DATABASE!K1072</f>
        <v>0</v>
      </c>
      <c r="K206" s="170">
        <f>DATABASE!L1072</f>
        <v>0</v>
      </c>
      <c r="L206" s="171">
        <f>DATABASE!M1072</f>
        <v>290</v>
      </c>
      <c r="M206" s="172">
        <f>DATABASE!N1072</f>
        <v>0</v>
      </c>
      <c r="N206" s="173">
        <f>DATABASE!O1072</f>
        <v>364</v>
      </c>
      <c r="O206" s="173">
        <f>DATABASE!P1072</f>
        <v>0</v>
      </c>
      <c r="P206" s="173" t="str">
        <f>DATABASE!Q1072</f>
        <v>AVAILABLE</v>
      </c>
      <c r="Q206" s="154">
        <f>DATABASE!R1072</f>
        <v>8400000</v>
      </c>
      <c r="R206" s="174">
        <f>DATABASE!S1072</f>
        <v>8400000</v>
      </c>
      <c r="S206" s="173">
        <f>DATABASE!T1072</f>
        <v>8400000</v>
      </c>
      <c r="T206" s="175">
        <f>DATABASE!U1072</f>
        <v>0</v>
      </c>
      <c r="U206" s="175">
        <f>DATABASE!V1072</f>
        <v>0</v>
      </c>
      <c r="V206" s="79">
        <f>DATABASE!W1072</f>
        <v>8400000</v>
      </c>
      <c r="W206" s="80">
        <f>DATABASE!X1072</f>
        <v>0</v>
      </c>
      <c r="X206" s="79">
        <f>DATABASE!Y1072</f>
        <v>8400000</v>
      </c>
      <c r="Y206" s="79">
        <f>DATABASE!Z1072</f>
        <v>8400000</v>
      </c>
      <c r="Z206" s="79" t="e">
        <f>DATABASE!#REF!</f>
        <v>#REF!</v>
      </c>
      <c r="AA206" s="81">
        <f>DATABASE!AA1072</f>
        <v>0</v>
      </c>
      <c r="AB206" s="177" t="str">
        <f>DATABASE!AB1072</f>
        <v>TBD</v>
      </c>
      <c r="AC206" s="159"/>
      <c r="AD206" s="51"/>
    </row>
    <row r="207" spans="1:30" s="14" customFormat="1">
      <c r="A207" s="158" t="str">
        <f>DATABASE!A1073</f>
        <v>Sutaya</v>
      </c>
      <c r="B207" s="167" t="str">
        <f>DATABASE!B1073</f>
        <v>Algarve</v>
      </c>
      <c r="C207" s="168" t="str">
        <f>DATABASE!C1073</f>
        <v>N</v>
      </c>
      <c r="D207" s="169" t="str">
        <f>DATABASE!E1073</f>
        <v>T4 PH</v>
      </c>
      <c r="E207" s="169">
        <f>DATABASE!F1073</f>
        <v>654</v>
      </c>
      <c r="F207" s="169">
        <f>DATABASE!G1073</f>
        <v>0</v>
      </c>
      <c r="G207" s="169" t="str">
        <f>DATABASE!H1073</f>
        <v>23</v>
      </c>
      <c r="H207" s="169" t="str">
        <f>DATABASE!I1073</f>
        <v/>
      </c>
      <c r="I207" s="169">
        <f>DATABASE!J1073</f>
        <v>0</v>
      </c>
      <c r="J207" s="169">
        <f>DATABASE!K1073</f>
        <v>0</v>
      </c>
      <c r="K207" s="170">
        <f>DATABASE!L1073</f>
        <v>0</v>
      </c>
      <c r="L207" s="171">
        <f>DATABASE!M1073</f>
        <v>290</v>
      </c>
      <c r="M207" s="172">
        <f>DATABASE!N1073</f>
        <v>0</v>
      </c>
      <c r="N207" s="173">
        <f>DATABASE!O1073</f>
        <v>364</v>
      </c>
      <c r="O207" s="173">
        <f>DATABASE!P1073</f>
        <v>0</v>
      </c>
      <c r="P207" s="173" t="str">
        <f>DATABASE!Q1073</f>
        <v>AVAILABLE</v>
      </c>
      <c r="Q207" s="154">
        <f>DATABASE!R1073</f>
        <v>9000000</v>
      </c>
      <c r="R207" s="174">
        <f>DATABASE!S1073</f>
        <v>9000000</v>
      </c>
      <c r="S207" s="173">
        <f>DATABASE!T1073</f>
        <v>9000000</v>
      </c>
      <c r="T207" s="175">
        <f>DATABASE!U1073</f>
        <v>0</v>
      </c>
      <c r="U207" s="175">
        <f>DATABASE!V1073</f>
        <v>0</v>
      </c>
      <c r="V207" s="79">
        <f>DATABASE!W1073</f>
        <v>9000000</v>
      </c>
      <c r="W207" s="80">
        <f>DATABASE!X1073</f>
        <v>0</v>
      </c>
      <c r="X207" s="79">
        <f>DATABASE!Y1073</f>
        <v>9000000</v>
      </c>
      <c r="Y207" s="79">
        <f>DATABASE!Z1073</f>
        <v>9000000</v>
      </c>
      <c r="Z207" s="79" t="e">
        <f>DATABASE!#REF!</f>
        <v>#REF!</v>
      </c>
      <c r="AA207" s="81">
        <f>DATABASE!AA1073</f>
        <v>0</v>
      </c>
      <c r="AB207" s="177" t="str">
        <f>DATABASE!AB1073</f>
        <v>TBD</v>
      </c>
      <c r="AC207" s="159"/>
      <c r="AD207" s="51"/>
    </row>
    <row r="208" spans="1:30" s="14" customFormat="1">
      <c r="A208" s="158" t="str">
        <f>DATABASE!A1074</f>
        <v>Sutaya</v>
      </c>
      <c r="B208" s="167" t="str">
        <f>DATABASE!B1074</f>
        <v>Algarve</v>
      </c>
      <c r="C208" s="168" t="str">
        <f>DATABASE!C1074</f>
        <v>O</v>
      </c>
      <c r="D208" s="169" t="str">
        <f>DATABASE!E1074</f>
        <v>T4 PH</v>
      </c>
      <c r="E208" s="169">
        <f>DATABASE!F1074</f>
        <v>654</v>
      </c>
      <c r="F208" s="169">
        <f>DATABASE!G1074</f>
        <v>0</v>
      </c>
      <c r="G208" s="169" t="str">
        <f>DATABASE!H1074</f>
        <v>22</v>
      </c>
      <c r="H208" s="169" t="str">
        <f>DATABASE!I1074</f>
        <v/>
      </c>
      <c r="I208" s="169">
        <f>DATABASE!J1074</f>
        <v>0</v>
      </c>
      <c r="J208" s="169">
        <f>DATABASE!K1074</f>
        <v>0</v>
      </c>
      <c r="K208" s="170">
        <f>DATABASE!L1074</f>
        <v>0</v>
      </c>
      <c r="L208" s="171">
        <f>DATABASE!M1074</f>
        <v>290</v>
      </c>
      <c r="M208" s="172">
        <f>DATABASE!N1074</f>
        <v>0</v>
      </c>
      <c r="N208" s="173">
        <f>DATABASE!O1074</f>
        <v>364</v>
      </c>
      <c r="O208" s="173">
        <f>DATABASE!P1074</f>
        <v>0</v>
      </c>
      <c r="P208" s="173" t="str">
        <f>DATABASE!Q1074</f>
        <v>AVAILABLE</v>
      </c>
      <c r="Q208" s="154">
        <f>DATABASE!R1074</f>
        <v>9600000</v>
      </c>
      <c r="R208" s="174">
        <f>DATABASE!S1074</f>
        <v>9600000</v>
      </c>
      <c r="S208" s="173">
        <f>DATABASE!T1074</f>
        <v>9600000</v>
      </c>
      <c r="T208" s="175">
        <f>DATABASE!U1074</f>
        <v>0</v>
      </c>
      <c r="U208" s="175">
        <f>DATABASE!V1074</f>
        <v>0</v>
      </c>
      <c r="V208" s="79">
        <f>DATABASE!W1074</f>
        <v>9600000</v>
      </c>
      <c r="W208" s="80">
        <f>DATABASE!X1074</f>
        <v>0</v>
      </c>
      <c r="X208" s="79">
        <f>DATABASE!Y1074</f>
        <v>9600000</v>
      </c>
      <c r="Y208" s="79">
        <f>DATABASE!Z1074</f>
        <v>9600000</v>
      </c>
      <c r="Z208" s="79" t="e">
        <f>DATABASE!#REF!</f>
        <v>#REF!</v>
      </c>
      <c r="AA208" s="81">
        <f>DATABASE!AA1074</f>
        <v>0</v>
      </c>
      <c r="AB208" s="177" t="str">
        <f>DATABASE!AB1074</f>
        <v>TBD</v>
      </c>
      <c r="AC208" s="159"/>
      <c r="AD208" s="51"/>
    </row>
    <row r="209" spans="1:30" s="14" customFormat="1">
      <c r="A209" s="158" t="str">
        <f>DATABASE!A1075</f>
        <v>Azuya</v>
      </c>
      <c r="B209" s="167" t="str">
        <f>DATABASE!B1075</f>
        <v>Algarve</v>
      </c>
      <c r="C209" s="168" t="str">
        <f>DATABASE!C1075</f>
        <v>C</v>
      </c>
      <c r="D209" s="169" t="str">
        <f>DATABASE!E1075</f>
        <v>T3 Duplex</v>
      </c>
      <c r="E209" s="169">
        <f>DATABASE!F1075</f>
        <v>399.41</v>
      </c>
      <c r="F209" s="169">
        <f>DATABASE!G1075</f>
        <v>0</v>
      </c>
      <c r="G209" s="169" t="str">
        <f>DATABASE!H1075</f>
        <v>29.2</v>
      </c>
      <c r="H209" s="169" t="str">
        <f>DATABASE!I1075</f>
        <v>Yes</v>
      </c>
      <c r="I209" s="169">
        <f>DATABASE!J1075</f>
        <v>9</v>
      </c>
      <c r="J209" s="169">
        <f>DATABASE!K1075</f>
        <v>0</v>
      </c>
      <c r="K209" s="170">
        <f>DATABASE!L1075</f>
        <v>0</v>
      </c>
      <c r="L209" s="171">
        <f>DATABASE!M1075</f>
        <v>19.66</v>
      </c>
      <c r="M209" s="172">
        <f>DATABASE!N1075</f>
        <v>0</v>
      </c>
      <c r="N209" s="173">
        <f>DATABASE!O1075</f>
        <v>200.37</v>
      </c>
      <c r="O209" s="173">
        <f>DATABASE!P1075</f>
        <v>0</v>
      </c>
      <c r="P209" s="173" t="str">
        <f>DATABASE!Q1075</f>
        <v>AVAILABLE</v>
      </c>
      <c r="Q209" s="154">
        <f>DATABASE!R1075</f>
        <v>2700000</v>
      </c>
      <c r="R209" s="174">
        <f>DATABASE!S1075</f>
        <v>2700000</v>
      </c>
      <c r="S209" s="173">
        <f>DATABASE!T1075</f>
        <v>2700000</v>
      </c>
      <c r="T209" s="175">
        <f>DATABASE!U1075</f>
        <v>0</v>
      </c>
      <c r="U209" s="175">
        <f>DATABASE!V1075</f>
        <v>0</v>
      </c>
      <c r="V209" s="79">
        <f>DATABASE!W1075</f>
        <v>2700000</v>
      </c>
      <c r="W209" s="80">
        <f>DATABASE!X1075</f>
        <v>0</v>
      </c>
      <c r="X209" s="79">
        <f>DATABASE!Y1075</f>
        <v>2700000</v>
      </c>
      <c r="Y209" s="79">
        <f>DATABASE!Z1075</f>
        <v>2700000</v>
      </c>
      <c r="Z209" s="79" t="e">
        <f>DATABASE!#REF!</f>
        <v>#REF!</v>
      </c>
      <c r="AA209" s="81">
        <f>DATABASE!AA1075</f>
        <v>0</v>
      </c>
      <c r="AB209" s="177">
        <f>DATABASE!AB1075</f>
        <v>46752</v>
      </c>
      <c r="AC209" s="159"/>
      <c r="AD209" s="51"/>
    </row>
    <row r="210" spans="1:30" s="14" customFormat="1">
      <c r="A210" s="158" t="str">
        <f>DATABASE!A1076</f>
        <v>Azuya</v>
      </c>
      <c r="B210" s="167" t="str">
        <f>DATABASE!B1076</f>
        <v>Algarve</v>
      </c>
      <c r="C210" s="168" t="str">
        <f>DATABASE!C1076</f>
        <v>D</v>
      </c>
      <c r="D210" s="169" t="str">
        <f>DATABASE!E1076</f>
        <v>T3 Duplex</v>
      </c>
      <c r="E210" s="169">
        <f>DATABASE!F1076</f>
        <v>367.73</v>
      </c>
      <c r="F210" s="169">
        <f>DATABASE!G1076</f>
        <v>0</v>
      </c>
      <c r="G210" s="169" t="str">
        <f>DATABASE!H1076</f>
        <v>29.2</v>
      </c>
      <c r="H210" s="169" t="str">
        <f>DATABASE!I1076</f>
        <v>Yes</v>
      </c>
      <c r="I210" s="169">
        <f>DATABASE!J1076</f>
        <v>9</v>
      </c>
      <c r="J210" s="169">
        <f>DATABASE!K1076</f>
        <v>0</v>
      </c>
      <c r="K210" s="170">
        <f>DATABASE!L1076</f>
        <v>0</v>
      </c>
      <c r="L210" s="171">
        <f>DATABASE!M1076</f>
        <v>17.41</v>
      </c>
      <c r="M210" s="172">
        <f>DATABASE!N1076</f>
        <v>0</v>
      </c>
      <c r="N210" s="173">
        <f>DATABASE!O1076</f>
        <v>190.24</v>
      </c>
      <c r="O210" s="173">
        <f>DATABASE!P1076</f>
        <v>0</v>
      </c>
      <c r="P210" s="173" t="str">
        <f>DATABASE!Q1076</f>
        <v>AVAILABLE</v>
      </c>
      <c r="Q210" s="154">
        <f>DATABASE!R1076</f>
        <v>2750000</v>
      </c>
      <c r="R210" s="174">
        <f>DATABASE!S1076</f>
        <v>2750000</v>
      </c>
      <c r="S210" s="173">
        <f>DATABASE!T1076</f>
        <v>2750000</v>
      </c>
      <c r="T210" s="175">
        <f>DATABASE!U1076</f>
        <v>0</v>
      </c>
      <c r="U210" s="175">
        <f>DATABASE!V1076</f>
        <v>0</v>
      </c>
      <c r="V210" s="79">
        <f>DATABASE!W1076</f>
        <v>2750000</v>
      </c>
      <c r="W210" s="80">
        <f>DATABASE!X1076</f>
        <v>0</v>
      </c>
      <c r="X210" s="79">
        <f>DATABASE!Y1076</f>
        <v>2750000</v>
      </c>
      <c r="Y210" s="79">
        <f>DATABASE!Z1076</f>
        <v>2750000</v>
      </c>
      <c r="Z210" s="79" t="e">
        <f>DATABASE!#REF!</f>
        <v>#REF!</v>
      </c>
      <c r="AA210" s="81">
        <f>DATABASE!AA1076</f>
        <v>0</v>
      </c>
      <c r="AB210" s="177">
        <f>DATABASE!AB1076</f>
        <v>46752</v>
      </c>
      <c r="AC210" s="159"/>
      <c r="AD210" s="51"/>
    </row>
    <row r="211" spans="1:30" s="14" customFormat="1">
      <c r="A211" s="158" t="str">
        <f>DATABASE!A1077</f>
        <v>Azuya</v>
      </c>
      <c r="B211" s="167" t="str">
        <f>DATABASE!B1077</f>
        <v>Algarve</v>
      </c>
      <c r="C211" s="168" t="str">
        <f>DATABASE!C1077</f>
        <v>E</v>
      </c>
      <c r="D211" s="169" t="str">
        <f>DATABASE!E1077</f>
        <v>T3</v>
      </c>
      <c r="E211" s="169">
        <f>DATABASE!F1077</f>
        <v>424.71</v>
      </c>
      <c r="F211" s="169">
        <f>DATABASE!G1077</f>
        <v>0</v>
      </c>
      <c r="G211" s="169" t="str">
        <f>DATABASE!H1077</f>
        <v>29.2</v>
      </c>
      <c r="H211" s="169" t="str">
        <f>DATABASE!I1077</f>
        <v>Yes</v>
      </c>
      <c r="I211" s="169">
        <f>DATABASE!J1077</f>
        <v>22.5</v>
      </c>
      <c r="J211" s="169">
        <f>DATABASE!K1077</f>
        <v>0</v>
      </c>
      <c r="K211" s="170">
        <f>DATABASE!L1077</f>
        <v>0</v>
      </c>
      <c r="L211" s="171">
        <f>DATABASE!M1077</f>
        <v>0</v>
      </c>
      <c r="M211" s="172">
        <f>DATABASE!N1077</f>
        <v>0</v>
      </c>
      <c r="N211" s="173">
        <f>DATABASE!O1077</f>
        <v>195.9</v>
      </c>
      <c r="O211" s="173">
        <f>DATABASE!P1077</f>
        <v>0</v>
      </c>
      <c r="P211" s="173" t="str">
        <f>DATABASE!Q1077</f>
        <v>AVAILABLE</v>
      </c>
      <c r="Q211" s="154">
        <f>DATABASE!R1077</f>
        <v>3650000</v>
      </c>
      <c r="R211" s="174">
        <f>DATABASE!S1077</f>
        <v>3650000</v>
      </c>
      <c r="S211" s="173">
        <f>DATABASE!T1077</f>
        <v>3650000</v>
      </c>
      <c r="T211" s="175">
        <f>DATABASE!U1077</f>
        <v>0</v>
      </c>
      <c r="U211" s="175">
        <f>DATABASE!V1077</f>
        <v>0</v>
      </c>
      <c r="V211" s="79">
        <f>DATABASE!W1077</f>
        <v>3650000</v>
      </c>
      <c r="W211" s="80">
        <f>DATABASE!X1077</f>
        <v>0</v>
      </c>
      <c r="X211" s="79">
        <f>DATABASE!Y1077</f>
        <v>3650000</v>
      </c>
      <c r="Y211" s="79">
        <f>DATABASE!Z1077</f>
        <v>3650000</v>
      </c>
      <c r="Z211" s="79" t="e">
        <f>DATABASE!#REF!</f>
        <v>#REF!</v>
      </c>
      <c r="AA211" s="81">
        <f>DATABASE!AA1077</f>
        <v>0</v>
      </c>
      <c r="AB211" s="177">
        <f>DATABASE!AB1077</f>
        <v>46752</v>
      </c>
      <c r="AC211" s="159"/>
      <c r="AD211" s="51"/>
    </row>
    <row r="212" spans="1:30" s="14" customFormat="1">
      <c r="A212" s="158" t="str">
        <f>DATABASE!A1078</f>
        <v>Azuya</v>
      </c>
      <c r="B212" s="167" t="str">
        <f>DATABASE!B1078</f>
        <v>Algarve</v>
      </c>
      <c r="C212" s="168" t="str">
        <f>DATABASE!C1078</f>
        <v>F</v>
      </c>
      <c r="D212" s="169" t="str">
        <f>DATABASE!E1078</f>
        <v>T3</v>
      </c>
      <c r="E212" s="169">
        <f>DATABASE!F1078</f>
        <v>420.09</v>
      </c>
      <c r="F212" s="169">
        <f>DATABASE!G1078</f>
        <v>0</v>
      </c>
      <c r="G212" s="169" t="str">
        <f>DATABASE!H1078</f>
        <v>29.2</v>
      </c>
      <c r="H212" s="169" t="str">
        <f>DATABASE!I1078</f>
        <v>Yes</v>
      </c>
      <c r="I212" s="169">
        <f>DATABASE!J1078</f>
        <v>18</v>
      </c>
      <c r="J212" s="169">
        <f>DATABASE!K1078</f>
        <v>0</v>
      </c>
      <c r="K212" s="170">
        <f>DATABASE!L1078</f>
        <v>0</v>
      </c>
      <c r="L212" s="171">
        <f>DATABASE!M1078</f>
        <v>0</v>
      </c>
      <c r="M212" s="172">
        <f>DATABASE!N1078</f>
        <v>0</v>
      </c>
      <c r="N212" s="173">
        <f>DATABASE!O1078</f>
        <v>195.78</v>
      </c>
      <c r="O212" s="173">
        <f>DATABASE!P1078</f>
        <v>0</v>
      </c>
      <c r="P212" s="173" t="str">
        <f>DATABASE!Q1078</f>
        <v>AVAILABLE</v>
      </c>
      <c r="Q212" s="154">
        <f>DATABASE!R1078</f>
        <v>3650000</v>
      </c>
      <c r="R212" s="174">
        <f>DATABASE!S1078</f>
        <v>3650000</v>
      </c>
      <c r="S212" s="173">
        <f>DATABASE!T1078</f>
        <v>3650000</v>
      </c>
      <c r="T212" s="175">
        <f>DATABASE!U1078</f>
        <v>0</v>
      </c>
      <c r="U212" s="175">
        <f>DATABASE!V1078</f>
        <v>0</v>
      </c>
      <c r="V212" s="79">
        <f>DATABASE!W1078</f>
        <v>3650000</v>
      </c>
      <c r="W212" s="80">
        <f>DATABASE!X1078</f>
        <v>0</v>
      </c>
      <c r="X212" s="79">
        <f>DATABASE!Y1078</f>
        <v>3650000</v>
      </c>
      <c r="Y212" s="79">
        <f>DATABASE!Z1078</f>
        <v>3650000</v>
      </c>
      <c r="Z212" s="79" t="e">
        <f>DATABASE!#REF!</f>
        <v>#REF!</v>
      </c>
      <c r="AA212" s="81">
        <f>DATABASE!AA1078</f>
        <v>0</v>
      </c>
      <c r="AB212" s="177">
        <f>DATABASE!AB1078</f>
        <v>46752</v>
      </c>
      <c r="AC212" s="159"/>
      <c r="AD212" s="51"/>
    </row>
    <row r="213" spans="1:30" s="14" customFormat="1">
      <c r="A213" s="158" t="str">
        <f>DATABASE!A1079</f>
        <v>Azuya</v>
      </c>
      <c r="B213" s="167" t="str">
        <f>DATABASE!B1079</f>
        <v>Algarve</v>
      </c>
      <c r="C213" s="168" t="str">
        <f>DATABASE!C1079</f>
        <v>G</v>
      </c>
      <c r="D213" s="169" t="str">
        <f>DATABASE!E1079</f>
        <v>T3 Duplex</v>
      </c>
      <c r="E213" s="169">
        <f>DATABASE!F1079</f>
        <v>276.85000000000002</v>
      </c>
      <c r="F213" s="169">
        <f>DATABASE!G1079</f>
        <v>0</v>
      </c>
      <c r="G213" s="169" t="str">
        <f>DATABASE!H1079</f>
        <v>16.7</v>
      </c>
      <c r="H213" s="169" t="str">
        <f>DATABASE!I1079</f>
        <v>Yes</v>
      </c>
      <c r="I213" s="169">
        <f>DATABASE!J1079</f>
        <v>7.25</v>
      </c>
      <c r="J213" s="169">
        <f>DATABASE!K1079</f>
        <v>0</v>
      </c>
      <c r="K213" s="170">
        <f>DATABASE!L1079</f>
        <v>0</v>
      </c>
      <c r="L213" s="171">
        <f>DATABASE!M1079</f>
        <v>6.54</v>
      </c>
      <c r="M213" s="172">
        <f>DATABASE!N1079</f>
        <v>0</v>
      </c>
      <c r="N213" s="173">
        <f>DATABASE!O1079</f>
        <v>176.9</v>
      </c>
      <c r="O213" s="173">
        <f>DATABASE!P1079</f>
        <v>0</v>
      </c>
      <c r="P213" s="173" t="str">
        <f>DATABASE!Q1079</f>
        <v>AVAILABLE</v>
      </c>
      <c r="Q213" s="154">
        <f>DATABASE!R1079</f>
        <v>1950000</v>
      </c>
      <c r="R213" s="174">
        <f>DATABASE!S1079</f>
        <v>1950000</v>
      </c>
      <c r="S213" s="173">
        <f>DATABASE!T1079</f>
        <v>1950000</v>
      </c>
      <c r="T213" s="175">
        <f>DATABASE!U1079</f>
        <v>0</v>
      </c>
      <c r="U213" s="175">
        <f>DATABASE!V1079</f>
        <v>0</v>
      </c>
      <c r="V213" s="79">
        <f>DATABASE!W1079</f>
        <v>1950000</v>
      </c>
      <c r="W213" s="80">
        <f>DATABASE!X1079</f>
        <v>0</v>
      </c>
      <c r="X213" s="79">
        <f>DATABASE!Y1079</f>
        <v>1950000</v>
      </c>
      <c r="Y213" s="79">
        <f>DATABASE!Z1079</f>
        <v>1950000</v>
      </c>
      <c r="Z213" s="79" t="e">
        <f>DATABASE!#REF!</f>
        <v>#REF!</v>
      </c>
      <c r="AA213" s="81">
        <f>DATABASE!AA1079</f>
        <v>0</v>
      </c>
      <c r="AB213" s="177">
        <f>DATABASE!AB1079</f>
        <v>46752</v>
      </c>
      <c r="AC213" s="159"/>
      <c r="AD213" s="51"/>
    </row>
    <row r="214" spans="1:30" s="14" customFormat="1">
      <c r="A214" s="158" t="str">
        <f>DATABASE!A1080</f>
        <v>Azuya</v>
      </c>
      <c r="B214" s="167" t="str">
        <f>DATABASE!B1080</f>
        <v>Algarve</v>
      </c>
      <c r="C214" s="168" t="str">
        <f>DATABASE!C1080</f>
        <v>H</v>
      </c>
      <c r="D214" s="169" t="str">
        <f>DATABASE!E1080</f>
        <v>T3 Duplex</v>
      </c>
      <c r="E214" s="169">
        <f>DATABASE!F1080</f>
        <v>251.07</v>
      </c>
      <c r="F214" s="169">
        <f>DATABASE!G1080</f>
        <v>0</v>
      </c>
      <c r="G214" s="169" t="str">
        <f>DATABASE!H1080</f>
        <v>16.7</v>
      </c>
      <c r="H214" s="169" t="str">
        <f>DATABASE!I1080</f>
        <v>Yes</v>
      </c>
      <c r="I214" s="169">
        <f>DATABASE!J1080</f>
        <v>7.25</v>
      </c>
      <c r="J214" s="169">
        <f>DATABASE!K1080</f>
        <v>0</v>
      </c>
      <c r="K214" s="170">
        <f>DATABASE!L1080</f>
        <v>0</v>
      </c>
      <c r="L214" s="171">
        <f>DATABASE!M1080</f>
        <v>6.5</v>
      </c>
      <c r="M214" s="172">
        <f>DATABASE!N1080</f>
        <v>0</v>
      </c>
      <c r="N214" s="173">
        <f>DATABASE!O1080</f>
        <v>153.16</v>
      </c>
      <c r="O214" s="173">
        <f>DATABASE!P1080</f>
        <v>0</v>
      </c>
      <c r="P214" s="173" t="str">
        <f>DATABASE!Q1080</f>
        <v>AVAILABLE</v>
      </c>
      <c r="Q214" s="154">
        <f>DATABASE!R1080</f>
        <v>1750000</v>
      </c>
      <c r="R214" s="174">
        <f>DATABASE!S1080</f>
        <v>1750000</v>
      </c>
      <c r="S214" s="173">
        <f>DATABASE!T1080</f>
        <v>1750000</v>
      </c>
      <c r="T214" s="175">
        <f>DATABASE!U1080</f>
        <v>0</v>
      </c>
      <c r="U214" s="175">
        <f>DATABASE!V1080</f>
        <v>0</v>
      </c>
      <c r="V214" s="79">
        <f>DATABASE!W1080</f>
        <v>1750000</v>
      </c>
      <c r="W214" s="80">
        <f>DATABASE!X1080</f>
        <v>0</v>
      </c>
      <c r="X214" s="79">
        <f>DATABASE!Y1080</f>
        <v>1750000</v>
      </c>
      <c r="Y214" s="79">
        <f>DATABASE!Z1080</f>
        <v>1750000</v>
      </c>
      <c r="Z214" s="79" t="e">
        <f>DATABASE!#REF!</f>
        <v>#REF!</v>
      </c>
      <c r="AA214" s="81">
        <f>DATABASE!AA1080</f>
        <v>0</v>
      </c>
      <c r="AB214" s="177">
        <f>DATABASE!AB1080</f>
        <v>46752</v>
      </c>
      <c r="AC214" s="159"/>
      <c r="AD214" s="51"/>
    </row>
    <row r="215" spans="1:30" s="14" customFormat="1">
      <c r="A215" s="158" t="str">
        <f>DATABASE!A1081</f>
        <v>Azuya</v>
      </c>
      <c r="B215" s="167" t="str">
        <f>DATABASE!B1081</f>
        <v>Algarve</v>
      </c>
      <c r="C215" s="168" t="str">
        <f>DATABASE!C1081</f>
        <v>I</v>
      </c>
      <c r="D215" s="169" t="str">
        <f>DATABASE!E1081</f>
        <v>T3 Duplex</v>
      </c>
      <c r="E215" s="169">
        <f>DATABASE!F1081</f>
        <v>250.97</v>
      </c>
      <c r="F215" s="169">
        <f>DATABASE!G1081</f>
        <v>0</v>
      </c>
      <c r="G215" s="169" t="str">
        <f>DATABASE!H1081</f>
        <v>16.36</v>
      </c>
      <c r="H215" s="169" t="str">
        <f>DATABASE!I1081</f>
        <v>Yes</v>
      </c>
      <c r="I215" s="169">
        <f>DATABASE!J1081</f>
        <v>7.25</v>
      </c>
      <c r="J215" s="169">
        <f>DATABASE!K1081</f>
        <v>0</v>
      </c>
      <c r="K215" s="170">
        <f>DATABASE!L1081</f>
        <v>0</v>
      </c>
      <c r="L215" s="171">
        <f>DATABASE!M1081</f>
        <v>6.4</v>
      </c>
      <c r="M215" s="172">
        <f>DATABASE!N1081</f>
        <v>0</v>
      </c>
      <c r="N215" s="173">
        <f>DATABASE!O1081</f>
        <v>153.16</v>
      </c>
      <c r="O215" s="173">
        <f>DATABASE!P1081</f>
        <v>0</v>
      </c>
      <c r="P215" s="173" t="str">
        <f>DATABASE!Q1081</f>
        <v>AVAILABLE</v>
      </c>
      <c r="Q215" s="154">
        <f>DATABASE!R1081</f>
        <v>1750000</v>
      </c>
      <c r="R215" s="174">
        <f>DATABASE!S1081</f>
        <v>1750000</v>
      </c>
      <c r="S215" s="173">
        <f>DATABASE!T1081</f>
        <v>1750000</v>
      </c>
      <c r="T215" s="175">
        <f>DATABASE!U1081</f>
        <v>0</v>
      </c>
      <c r="U215" s="175">
        <f>DATABASE!V1081</f>
        <v>0</v>
      </c>
      <c r="V215" s="79">
        <f>DATABASE!W1081</f>
        <v>1750000</v>
      </c>
      <c r="W215" s="80">
        <f>DATABASE!X1081</f>
        <v>0</v>
      </c>
      <c r="X215" s="79">
        <f>DATABASE!Y1081</f>
        <v>1750000</v>
      </c>
      <c r="Y215" s="79">
        <f>DATABASE!Z1081</f>
        <v>1750000</v>
      </c>
      <c r="Z215" s="79" t="e">
        <f>DATABASE!#REF!</f>
        <v>#REF!</v>
      </c>
      <c r="AA215" s="81">
        <f>DATABASE!AA1081</f>
        <v>0</v>
      </c>
      <c r="AB215" s="177">
        <f>DATABASE!AB1081</f>
        <v>46752</v>
      </c>
      <c r="AC215" s="159"/>
      <c r="AD215" s="51"/>
    </row>
    <row r="216" spans="1:30" s="14" customFormat="1">
      <c r="A216" s="158" t="str">
        <f>DATABASE!A1082</f>
        <v>Azuya</v>
      </c>
      <c r="B216" s="167" t="str">
        <f>DATABASE!B1082</f>
        <v>Algarve</v>
      </c>
      <c r="C216" s="168" t="str">
        <f>DATABASE!C1082</f>
        <v>J</v>
      </c>
      <c r="D216" s="169" t="str">
        <f>DATABASE!E1082</f>
        <v>T3 Duplex</v>
      </c>
      <c r="E216" s="169">
        <f>DATABASE!F1082</f>
        <v>270.81</v>
      </c>
      <c r="F216" s="169">
        <f>DATABASE!G1082</f>
        <v>0</v>
      </c>
      <c r="G216" s="169" t="str">
        <f>DATABASE!H1082</f>
        <v>16.36</v>
      </c>
      <c r="H216" s="169" t="str">
        <f>DATABASE!I1082</f>
        <v>Yes</v>
      </c>
      <c r="I216" s="169">
        <f>DATABASE!J1082</f>
        <v>7.25</v>
      </c>
      <c r="J216" s="169">
        <f>DATABASE!K1082</f>
        <v>0</v>
      </c>
      <c r="K216" s="170">
        <f>DATABASE!L1082</f>
        <v>0</v>
      </c>
      <c r="L216" s="171">
        <f>DATABASE!M1082</f>
        <v>6.38</v>
      </c>
      <c r="M216" s="172">
        <f>DATABASE!N1082</f>
        <v>0</v>
      </c>
      <c r="N216" s="173">
        <f>DATABASE!O1082</f>
        <v>172.9</v>
      </c>
      <c r="O216" s="173">
        <f>DATABASE!P1082</f>
        <v>0</v>
      </c>
      <c r="P216" s="173" t="str">
        <f>DATABASE!Q1082</f>
        <v>AVAILABLE</v>
      </c>
      <c r="Q216" s="154">
        <f>DATABASE!R1082</f>
        <v>1850000</v>
      </c>
      <c r="R216" s="174">
        <f>DATABASE!S1082</f>
        <v>1850000</v>
      </c>
      <c r="S216" s="173">
        <f>DATABASE!T1082</f>
        <v>1850000</v>
      </c>
      <c r="T216" s="175">
        <f>DATABASE!U1082</f>
        <v>0</v>
      </c>
      <c r="U216" s="175">
        <f>DATABASE!V1082</f>
        <v>0</v>
      </c>
      <c r="V216" s="79">
        <f>DATABASE!W1082</f>
        <v>1850000</v>
      </c>
      <c r="W216" s="80">
        <f>DATABASE!X1082</f>
        <v>0</v>
      </c>
      <c r="X216" s="79">
        <f>DATABASE!Y1082</f>
        <v>1850000</v>
      </c>
      <c r="Y216" s="79">
        <f>DATABASE!Z1082</f>
        <v>1850000</v>
      </c>
      <c r="Z216" s="79" t="e">
        <f>DATABASE!#REF!</f>
        <v>#REF!</v>
      </c>
      <c r="AA216" s="81">
        <f>DATABASE!AA1082</f>
        <v>0</v>
      </c>
      <c r="AB216" s="177">
        <f>DATABASE!AB1082</f>
        <v>46752</v>
      </c>
      <c r="AC216" s="159"/>
      <c r="AD216" s="51"/>
    </row>
    <row r="217" spans="1:30" s="14" customFormat="1">
      <c r="A217" s="158" t="str">
        <f>DATABASE!A1083</f>
        <v>Azuya</v>
      </c>
      <c r="B217" s="167" t="str">
        <f>DATABASE!B1083</f>
        <v>Algarve</v>
      </c>
      <c r="C217" s="168" t="str">
        <f>DATABASE!C1083</f>
        <v>K</v>
      </c>
      <c r="D217" s="169" t="str">
        <f>DATABASE!E1083</f>
        <v>T3</v>
      </c>
      <c r="E217" s="169">
        <f>DATABASE!F1083</f>
        <v>345.06</v>
      </c>
      <c r="F217" s="169">
        <f>DATABASE!G1083</f>
        <v>0</v>
      </c>
      <c r="G217" s="169" t="str">
        <f>DATABASE!H1083</f>
        <v>16.7</v>
      </c>
      <c r="H217" s="169" t="str">
        <f>DATABASE!I1083</f>
        <v>Yes</v>
      </c>
      <c r="I217" s="169">
        <f>DATABASE!J1083</f>
        <v>17.399999999999999</v>
      </c>
      <c r="J217" s="169">
        <f>DATABASE!K1083</f>
        <v>0</v>
      </c>
      <c r="K217" s="170">
        <f>DATABASE!L1083</f>
        <v>0</v>
      </c>
      <c r="L217" s="171">
        <f>DATABASE!M1083</f>
        <v>0</v>
      </c>
      <c r="M217" s="172">
        <f>DATABASE!N1083</f>
        <v>0</v>
      </c>
      <c r="N217" s="173">
        <f>DATABASE!O1083</f>
        <v>160.9</v>
      </c>
      <c r="O217" s="173">
        <f>DATABASE!P1083</f>
        <v>0</v>
      </c>
      <c r="P217" s="173" t="str">
        <f>DATABASE!Q1083</f>
        <v>AVAILABLE</v>
      </c>
      <c r="Q217" s="154">
        <f>DATABASE!R1083</f>
        <v>1950000</v>
      </c>
      <c r="R217" s="174">
        <f>DATABASE!S1083</f>
        <v>1950000</v>
      </c>
      <c r="S217" s="173">
        <f>DATABASE!T1083</f>
        <v>1950000</v>
      </c>
      <c r="T217" s="175">
        <f>DATABASE!U1083</f>
        <v>0</v>
      </c>
      <c r="U217" s="175">
        <f>DATABASE!V1083</f>
        <v>0</v>
      </c>
      <c r="V217" s="79">
        <f>DATABASE!W1083</f>
        <v>1950000</v>
      </c>
      <c r="W217" s="80">
        <f>DATABASE!X1083</f>
        <v>0</v>
      </c>
      <c r="X217" s="79">
        <f>DATABASE!Y1083</f>
        <v>1950000</v>
      </c>
      <c r="Y217" s="79">
        <f>DATABASE!Z1083</f>
        <v>1950000</v>
      </c>
      <c r="Z217" s="79" t="e">
        <f>DATABASE!#REF!</f>
        <v>#REF!</v>
      </c>
      <c r="AA217" s="81">
        <f>DATABASE!AA1083</f>
        <v>0</v>
      </c>
      <c r="AB217" s="177">
        <f>DATABASE!AB1083</f>
        <v>46752</v>
      </c>
      <c r="AC217" s="159"/>
      <c r="AD217" s="51"/>
    </row>
    <row r="218" spans="1:30" s="14" customFormat="1">
      <c r="A218" s="158" t="str">
        <f>DATABASE!A1084</f>
        <v>Azuya</v>
      </c>
      <c r="B218" s="167" t="str">
        <f>DATABASE!B1084</f>
        <v>Algarve</v>
      </c>
      <c r="C218" s="168" t="str">
        <f>DATABASE!C1084</f>
        <v>L</v>
      </c>
      <c r="D218" s="169" t="str">
        <f>DATABASE!E1084</f>
        <v>T3</v>
      </c>
      <c r="E218" s="169">
        <f>DATABASE!F1084</f>
        <v>344.10500000000002</v>
      </c>
      <c r="F218" s="169">
        <f>DATABASE!G1084</f>
        <v>0</v>
      </c>
      <c r="G218" s="169" t="str">
        <f>DATABASE!H1084</f>
        <v>16.36</v>
      </c>
      <c r="H218" s="169" t="str">
        <f>DATABASE!I1084</f>
        <v>Yes</v>
      </c>
      <c r="I218" s="169">
        <f>DATABASE!J1084</f>
        <v>13.484999999999999</v>
      </c>
      <c r="J218" s="169">
        <f>DATABASE!K1084</f>
        <v>0</v>
      </c>
      <c r="K218" s="170">
        <f>DATABASE!L1084</f>
        <v>0</v>
      </c>
      <c r="L218" s="171">
        <f>DATABASE!M1084</f>
        <v>0</v>
      </c>
      <c r="M218" s="172">
        <f>DATABASE!N1084</f>
        <v>0</v>
      </c>
      <c r="N218" s="173">
        <f>DATABASE!O1084</f>
        <v>162.97999999999999</v>
      </c>
      <c r="O218" s="173">
        <f>DATABASE!P1084</f>
        <v>0</v>
      </c>
      <c r="P218" s="173" t="str">
        <f>DATABASE!Q1084</f>
        <v>AVAILABLE</v>
      </c>
      <c r="Q218" s="154">
        <f>DATABASE!R1084</f>
        <v>2100000</v>
      </c>
      <c r="R218" s="174">
        <f>DATABASE!S1084</f>
        <v>2100000</v>
      </c>
      <c r="S218" s="173">
        <f>DATABASE!T1084</f>
        <v>2100000</v>
      </c>
      <c r="T218" s="175">
        <f>DATABASE!U1084</f>
        <v>0</v>
      </c>
      <c r="U218" s="175">
        <f>DATABASE!V1084</f>
        <v>0</v>
      </c>
      <c r="V218" s="79">
        <f>DATABASE!W1084</f>
        <v>2100000</v>
      </c>
      <c r="W218" s="80">
        <f>DATABASE!X1084</f>
        <v>0</v>
      </c>
      <c r="X218" s="79">
        <f>DATABASE!Y1084</f>
        <v>2100000</v>
      </c>
      <c r="Y218" s="79">
        <f>DATABASE!Z1084</f>
        <v>2100000</v>
      </c>
      <c r="Z218" s="79" t="e">
        <f>DATABASE!#REF!</f>
        <v>#REF!</v>
      </c>
      <c r="AA218" s="81">
        <f>DATABASE!AA1084</f>
        <v>0</v>
      </c>
      <c r="AB218" s="177">
        <f>DATABASE!AB1084</f>
        <v>46752</v>
      </c>
      <c r="AC218" s="159"/>
      <c r="AD218" s="51"/>
    </row>
    <row r="219" spans="1:30" s="14" customFormat="1">
      <c r="A219" s="158" t="str">
        <f>DATABASE!A1085</f>
        <v>Azuya</v>
      </c>
      <c r="B219" s="167" t="str">
        <f>DATABASE!B1085</f>
        <v>Algarve</v>
      </c>
      <c r="C219" s="168" t="str">
        <f>DATABASE!C1085</f>
        <v>M</v>
      </c>
      <c r="D219" s="169" t="str">
        <f>DATABASE!E1085</f>
        <v>T3</v>
      </c>
      <c r="E219" s="169">
        <f>DATABASE!F1085</f>
        <v>351.88</v>
      </c>
      <c r="F219" s="169">
        <f>DATABASE!G1085</f>
        <v>0</v>
      </c>
      <c r="G219" s="169" t="str">
        <f>DATABASE!H1085</f>
        <v>28.86</v>
      </c>
      <c r="H219" s="169" t="str">
        <f>DATABASE!I1085</f>
        <v>Yes</v>
      </c>
      <c r="I219" s="169">
        <f>DATABASE!J1085</f>
        <v>14.5</v>
      </c>
      <c r="J219" s="169">
        <f>DATABASE!K1085</f>
        <v>0</v>
      </c>
      <c r="K219" s="170">
        <f>DATABASE!L1085</f>
        <v>0</v>
      </c>
      <c r="L219" s="171">
        <f>DATABASE!M1085</f>
        <v>0</v>
      </c>
      <c r="M219" s="172">
        <f>DATABASE!N1085</f>
        <v>0</v>
      </c>
      <c r="N219" s="173">
        <f>DATABASE!O1085</f>
        <v>160.11000000000001</v>
      </c>
      <c r="O219" s="173">
        <f>DATABASE!P1085</f>
        <v>0</v>
      </c>
      <c r="P219" s="173" t="str">
        <f>DATABASE!Q1085</f>
        <v>AVAILABLE</v>
      </c>
      <c r="Q219" s="154">
        <f>DATABASE!R1085</f>
        <v>2900000</v>
      </c>
      <c r="R219" s="174">
        <f>DATABASE!S1085</f>
        <v>2900000</v>
      </c>
      <c r="S219" s="173">
        <f>DATABASE!T1085</f>
        <v>2900000</v>
      </c>
      <c r="T219" s="175">
        <f>DATABASE!U1085</f>
        <v>0</v>
      </c>
      <c r="U219" s="175">
        <f>DATABASE!V1085</f>
        <v>0</v>
      </c>
      <c r="V219" s="79">
        <f>DATABASE!W1085</f>
        <v>2900000</v>
      </c>
      <c r="W219" s="80">
        <f>DATABASE!X1085</f>
        <v>0</v>
      </c>
      <c r="X219" s="79">
        <f>DATABASE!Y1085</f>
        <v>2900000</v>
      </c>
      <c r="Y219" s="79">
        <f>DATABASE!Z1085</f>
        <v>2900000</v>
      </c>
      <c r="Z219" s="79" t="e">
        <f>DATABASE!#REF!</f>
        <v>#REF!</v>
      </c>
      <c r="AA219" s="81">
        <f>DATABASE!AA1085</f>
        <v>0</v>
      </c>
      <c r="AB219" s="177">
        <f>DATABASE!AB1085</f>
        <v>46752</v>
      </c>
      <c r="AC219" s="159"/>
      <c r="AD219" s="51"/>
    </row>
    <row r="220" spans="1:30" s="14" customFormat="1">
      <c r="A220" s="158" t="str">
        <f>DATABASE!A1086</f>
        <v>Azuya</v>
      </c>
      <c r="B220" s="167" t="str">
        <f>DATABASE!B1086</f>
        <v>Algarve</v>
      </c>
      <c r="C220" s="168" t="str">
        <f>DATABASE!C1086</f>
        <v>N</v>
      </c>
      <c r="D220" s="169" t="str">
        <f>DATABASE!E1086</f>
        <v>T3</v>
      </c>
      <c r="E220" s="169">
        <f>DATABASE!F1086</f>
        <v>347.97</v>
      </c>
      <c r="F220" s="169">
        <f>DATABASE!G1086</f>
        <v>0</v>
      </c>
      <c r="G220" s="169" t="str">
        <f>DATABASE!H1086</f>
        <v>28.86</v>
      </c>
      <c r="H220" s="169" t="str">
        <f>DATABASE!I1086</f>
        <v>Yes</v>
      </c>
      <c r="I220" s="169">
        <f>DATABASE!J1086</f>
        <v>14.5</v>
      </c>
      <c r="J220" s="169">
        <f>DATABASE!K1086</f>
        <v>0</v>
      </c>
      <c r="K220" s="170">
        <f>DATABASE!L1086</f>
        <v>0</v>
      </c>
      <c r="L220" s="171">
        <f>DATABASE!M1086</f>
        <v>0</v>
      </c>
      <c r="M220" s="172">
        <f>DATABASE!N1086</f>
        <v>0</v>
      </c>
      <c r="N220" s="173">
        <f>DATABASE!O1086</f>
        <v>158.08000000000001</v>
      </c>
      <c r="O220" s="173">
        <f>DATABASE!P1086</f>
        <v>0</v>
      </c>
      <c r="P220" s="173" t="str">
        <f>DATABASE!Q1086</f>
        <v>AVAILABLE</v>
      </c>
      <c r="Q220" s="154">
        <f>DATABASE!R1086</f>
        <v>2300000</v>
      </c>
      <c r="R220" s="174">
        <f>DATABASE!S1086</f>
        <v>2300000</v>
      </c>
      <c r="S220" s="173">
        <f>DATABASE!T1086</f>
        <v>2300000</v>
      </c>
      <c r="T220" s="175">
        <f>DATABASE!U1086</f>
        <v>0</v>
      </c>
      <c r="U220" s="175">
        <f>DATABASE!V1086</f>
        <v>0</v>
      </c>
      <c r="V220" s="79">
        <f>DATABASE!W1086</f>
        <v>2300000</v>
      </c>
      <c r="W220" s="80">
        <f>DATABASE!X1086</f>
        <v>0</v>
      </c>
      <c r="X220" s="79">
        <f>DATABASE!Y1086</f>
        <v>2300000</v>
      </c>
      <c r="Y220" s="79">
        <f>DATABASE!Z1086</f>
        <v>2300000</v>
      </c>
      <c r="Z220" s="79" t="e">
        <f>DATABASE!#REF!</f>
        <v>#REF!</v>
      </c>
      <c r="AA220" s="81">
        <f>DATABASE!AA1086</f>
        <v>0</v>
      </c>
      <c r="AB220" s="177">
        <f>DATABASE!AB1086</f>
        <v>46752</v>
      </c>
      <c r="AC220" s="159"/>
      <c r="AD220" s="51"/>
    </row>
    <row r="221" spans="1:30" s="14" customFormat="1">
      <c r="A221" s="158" t="str">
        <f>DATABASE!A1087</f>
        <v>Azuya</v>
      </c>
      <c r="B221" s="167" t="str">
        <f>DATABASE!B1087</f>
        <v>Algarve</v>
      </c>
      <c r="C221" s="168" t="str">
        <f>DATABASE!C1087</f>
        <v>O</v>
      </c>
      <c r="D221" s="169" t="str">
        <f>DATABASE!E1087</f>
        <v>T3</v>
      </c>
      <c r="E221" s="169">
        <f>DATABASE!F1087</f>
        <v>347.87</v>
      </c>
      <c r="F221" s="169">
        <f>DATABASE!G1087</f>
        <v>0</v>
      </c>
      <c r="G221" s="169" t="str">
        <f>DATABASE!H1087</f>
        <v>28.86</v>
      </c>
      <c r="H221" s="169" t="str">
        <f>DATABASE!I1087</f>
        <v>Yes</v>
      </c>
      <c r="I221" s="169">
        <f>DATABASE!J1087</f>
        <v>14.5</v>
      </c>
      <c r="J221" s="169">
        <f>DATABASE!K1087</f>
        <v>0</v>
      </c>
      <c r="K221" s="170">
        <f>DATABASE!L1087</f>
        <v>0</v>
      </c>
      <c r="L221" s="171">
        <f>DATABASE!M1087</f>
        <v>0</v>
      </c>
      <c r="M221" s="172">
        <f>DATABASE!N1087</f>
        <v>0</v>
      </c>
      <c r="N221" s="173">
        <f>DATABASE!O1087</f>
        <v>158.06</v>
      </c>
      <c r="O221" s="173">
        <f>DATABASE!P1087</f>
        <v>0</v>
      </c>
      <c r="P221" s="173" t="str">
        <f>DATABASE!Q1087</f>
        <v>AVAILABLE</v>
      </c>
      <c r="Q221" s="154">
        <f>DATABASE!R1087</f>
        <v>2300000</v>
      </c>
      <c r="R221" s="174">
        <f>DATABASE!S1087</f>
        <v>2300000</v>
      </c>
      <c r="S221" s="173">
        <f>DATABASE!T1087</f>
        <v>2300000</v>
      </c>
      <c r="T221" s="175">
        <f>DATABASE!U1087</f>
        <v>0</v>
      </c>
      <c r="U221" s="175">
        <f>DATABASE!V1087</f>
        <v>0</v>
      </c>
      <c r="V221" s="79">
        <f>DATABASE!W1087</f>
        <v>2300000</v>
      </c>
      <c r="W221" s="80">
        <f>DATABASE!X1087</f>
        <v>0</v>
      </c>
      <c r="X221" s="79">
        <f>DATABASE!Y1087</f>
        <v>2300000</v>
      </c>
      <c r="Y221" s="79">
        <f>DATABASE!Z1087</f>
        <v>2300000</v>
      </c>
      <c r="Z221" s="79" t="e">
        <f>DATABASE!#REF!</f>
        <v>#REF!</v>
      </c>
      <c r="AA221" s="81">
        <f>DATABASE!AA1087</f>
        <v>0</v>
      </c>
      <c r="AB221" s="177">
        <f>DATABASE!AB1087</f>
        <v>46752</v>
      </c>
      <c r="AC221" s="159"/>
      <c r="AD221" s="51"/>
    </row>
    <row r="222" spans="1:30" s="14" customFormat="1">
      <c r="A222" s="158" t="str">
        <f>DATABASE!A1088</f>
        <v>Azuya</v>
      </c>
      <c r="B222" s="167" t="str">
        <f>DATABASE!B1088</f>
        <v>Algarve</v>
      </c>
      <c r="C222" s="168" t="str">
        <f>DATABASE!C1088</f>
        <v>P</v>
      </c>
      <c r="D222" s="169" t="str">
        <f>DATABASE!E1088</f>
        <v>T3</v>
      </c>
      <c r="E222" s="169">
        <f>DATABASE!F1088</f>
        <v>352</v>
      </c>
      <c r="F222" s="169">
        <f>DATABASE!G1088</f>
        <v>0</v>
      </c>
      <c r="G222" s="169" t="str">
        <f>DATABASE!H1088</f>
        <v>28.86</v>
      </c>
      <c r="H222" s="169" t="str">
        <f>DATABASE!I1088</f>
        <v>Yes</v>
      </c>
      <c r="I222" s="169">
        <f>DATABASE!J1088</f>
        <v>14.5</v>
      </c>
      <c r="J222" s="169">
        <f>DATABASE!K1088</f>
        <v>0</v>
      </c>
      <c r="K222" s="170">
        <f>DATABASE!L1088</f>
        <v>0</v>
      </c>
      <c r="L222" s="171">
        <f>DATABASE!M1088</f>
        <v>0</v>
      </c>
      <c r="M222" s="172">
        <f>DATABASE!N1088</f>
        <v>0</v>
      </c>
      <c r="N222" s="173">
        <f>DATABASE!O1088</f>
        <v>160.11000000000001</v>
      </c>
      <c r="O222" s="173">
        <f>DATABASE!P1088</f>
        <v>0</v>
      </c>
      <c r="P222" s="173" t="str">
        <f>DATABASE!Q1088</f>
        <v>AVAILABLE</v>
      </c>
      <c r="Q222" s="154">
        <f>DATABASE!R1088</f>
        <v>2400000</v>
      </c>
      <c r="R222" s="174">
        <f>DATABASE!S1088</f>
        <v>2400000</v>
      </c>
      <c r="S222" s="173">
        <f>DATABASE!T1088</f>
        <v>2400000</v>
      </c>
      <c r="T222" s="175">
        <f>DATABASE!U1088</f>
        <v>0</v>
      </c>
      <c r="U222" s="175">
        <f>DATABASE!V1088</f>
        <v>0</v>
      </c>
      <c r="V222" s="79">
        <f>DATABASE!W1088</f>
        <v>2400000</v>
      </c>
      <c r="W222" s="80">
        <f>DATABASE!X1088</f>
        <v>0</v>
      </c>
      <c r="X222" s="79">
        <f>DATABASE!Y1088</f>
        <v>2400000</v>
      </c>
      <c r="Y222" s="79">
        <f>DATABASE!Z1088</f>
        <v>2400000</v>
      </c>
      <c r="Z222" s="79" t="e">
        <f>DATABASE!#REF!</f>
        <v>#REF!</v>
      </c>
      <c r="AA222" s="81">
        <f>DATABASE!AA1088</f>
        <v>0</v>
      </c>
      <c r="AB222" s="177">
        <f>DATABASE!AB1088</f>
        <v>46752</v>
      </c>
      <c r="AC222" s="159"/>
      <c r="AD222" s="51"/>
    </row>
    <row r="223" spans="1:30" s="14" customFormat="1">
      <c r="A223" s="158" t="str">
        <f>DATABASE!A1089</f>
        <v>Azuya</v>
      </c>
      <c r="B223" s="167" t="str">
        <f>DATABASE!B1089</f>
        <v>Algarve</v>
      </c>
      <c r="C223" s="168" t="str">
        <f>DATABASE!C1089</f>
        <v>B</v>
      </c>
      <c r="D223" s="169" t="str">
        <f>DATABASE!E1089</f>
        <v>T3 Duplex</v>
      </c>
      <c r="E223" s="169">
        <f>DATABASE!F1089</f>
        <v>399.41</v>
      </c>
      <c r="F223" s="169">
        <f>DATABASE!G1089</f>
        <v>0</v>
      </c>
      <c r="G223" s="169" t="str">
        <f>DATABASE!H1089</f>
        <v>29.2</v>
      </c>
      <c r="H223" s="169" t="str">
        <f>DATABASE!I1089</f>
        <v>Yes</v>
      </c>
      <c r="I223" s="169">
        <f>DATABASE!J1089</f>
        <v>9</v>
      </c>
      <c r="J223" s="169">
        <f>DATABASE!K1089</f>
        <v>0</v>
      </c>
      <c r="K223" s="170">
        <f>DATABASE!L1089</f>
        <v>0</v>
      </c>
      <c r="L223" s="171">
        <f>DATABASE!M1089</f>
        <v>19.66</v>
      </c>
      <c r="M223" s="172">
        <f>DATABASE!N1089</f>
        <v>0</v>
      </c>
      <c r="N223" s="173">
        <f>DATABASE!O1089</f>
        <v>200.37</v>
      </c>
      <c r="O223" s="173">
        <f>DATABASE!P1089</f>
        <v>0</v>
      </c>
      <c r="P223" s="173" t="str">
        <f>DATABASE!Q1089</f>
        <v xml:space="preserve">PSPA </v>
      </c>
      <c r="Q223" s="154">
        <f>DATABASE!R1089</f>
        <v>2700000</v>
      </c>
      <c r="R223" s="174">
        <f>DATABASE!S1089</f>
        <v>2700000</v>
      </c>
      <c r="S223" s="173">
        <f>DATABASE!T1089</f>
        <v>2700000</v>
      </c>
      <c r="T223" s="175">
        <f>DATABASE!U1089</f>
        <v>0</v>
      </c>
      <c r="U223" s="175">
        <f>DATABASE!V1089</f>
        <v>0</v>
      </c>
      <c r="V223" s="79">
        <f>DATABASE!W1089</f>
        <v>2700000</v>
      </c>
      <c r="W223" s="80">
        <f>DATABASE!X1089</f>
        <v>0</v>
      </c>
      <c r="X223" s="79">
        <f>DATABASE!Y1089</f>
        <v>2700000</v>
      </c>
      <c r="Y223" s="79">
        <f>DATABASE!Z1089</f>
        <v>2700000</v>
      </c>
      <c r="Z223" s="79" t="e">
        <f>DATABASE!#REF!</f>
        <v>#REF!</v>
      </c>
      <c r="AA223" s="81">
        <f>DATABASE!AA1089</f>
        <v>46191</v>
      </c>
      <c r="AB223" s="177">
        <f>DATABASE!AB1089</f>
        <v>46752</v>
      </c>
      <c r="AC223" s="159"/>
      <c r="AD223" s="51"/>
    </row>
    <row r="224" spans="1:30" s="14" customFormat="1">
      <c r="A224" s="158" t="str">
        <f>DATABASE!A1090</f>
        <v>Azuya</v>
      </c>
      <c r="B224" s="167" t="str">
        <f>DATABASE!B1090</f>
        <v>Algarve</v>
      </c>
      <c r="C224" s="168" t="str">
        <f>DATABASE!C1090</f>
        <v>A</v>
      </c>
      <c r="D224" s="169" t="str">
        <f>DATABASE!E1090</f>
        <v>T3 Duplex</v>
      </c>
      <c r="E224" s="169">
        <f>DATABASE!F1090</f>
        <v>367.73</v>
      </c>
      <c r="F224" s="169">
        <f>DATABASE!G1090</f>
        <v>0</v>
      </c>
      <c r="G224" s="169" t="str">
        <f>DATABASE!H1090</f>
        <v>29.2</v>
      </c>
      <c r="H224" s="169" t="str">
        <f>DATABASE!I1090</f>
        <v>Yes</v>
      </c>
      <c r="I224" s="169">
        <f>DATABASE!J1090</f>
        <v>9</v>
      </c>
      <c r="J224" s="169">
        <f>DATABASE!K1090</f>
        <v>0</v>
      </c>
      <c r="K224" s="170">
        <f>DATABASE!L1090</f>
        <v>0</v>
      </c>
      <c r="L224" s="171">
        <f>DATABASE!M1090</f>
        <v>17.41</v>
      </c>
      <c r="M224" s="172">
        <f>DATABASE!N1090</f>
        <v>0</v>
      </c>
      <c r="N224" s="173">
        <f>DATABASE!O1090</f>
        <v>190.24</v>
      </c>
      <c r="O224" s="173">
        <f>DATABASE!P1090</f>
        <v>0</v>
      </c>
      <c r="P224" s="173" t="str">
        <f>DATABASE!Q1090</f>
        <v>RESERVED</v>
      </c>
      <c r="Q224" s="154">
        <f>DATABASE!R1090</f>
        <v>2610000</v>
      </c>
      <c r="R224" s="174">
        <f>DATABASE!S1090</f>
        <v>2610000</v>
      </c>
      <c r="S224" s="173">
        <f>DATABASE!T1090</f>
        <v>2610000</v>
      </c>
      <c r="T224" s="175">
        <f>DATABASE!U1090</f>
        <v>0</v>
      </c>
      <c r="U224" s="175">
        <f>DATABASE!V1090</f>
        <v>0</v>
      </c>
      <c r="V224" s="79">
        <f>DATABASE!W1090</f>
        <v>2610000</v>
      </c>
      <c r="W224" s="80">
        <f>DATABASE!X1090</f>
        <v>0</v>
      </c>
      <c r="X224" s="79">
        <f>DATABASE!Y1090</f>
        <v>2610000</v>
      </c>
      <c r="Y224" s="79">
        <f>DATABASE!Z1090</f>
        <v>2610000</v>
      </c>
      <c r="Z224" s="79" t="e">
        <f>DATABASE!#REF!</f>
        <v>#REF!</v>
      </c>
      <c r="AA224" s="81">
        <f>DATABASE!AA1090</f>
        <v>46157</v>
      </c>
      <c r="AB224" s="177">
        <f>DATABASE!AB1090</f>
        <v>46752</v>
      </c>
      <c r="AC224" s="159"/>
      <c r="AD224" s="51"/>
    </row>
    <row r="225" spans="1:30" s="14" customFormat="1">
      <c r="A225" s="158" t="str">
        <f>DATABASE!A1091</f>
        <v>MR - Linked Villas</v>
      </c>
      <c r="B225" s="167" t="str">
        <f>DATABASE!B1091</f>
        <v>Algarve</v>
      </c>
      <c r="C225" s="168" t="str">
        <f>DATABASE!C1091</f>
        <v>AG</v>
      </c>
      <c r="D225" s="169" t="str">
        <f>DATABASE!E1091</f>
        <v>T3</v>
      </c>
      <c r="E225" s="169">
        <f>DATABASE!F1091</f>
        <v>422.36</v>
      </c>
      <c r="F225" s="169">
        <f>DATABASE!G1091</f>
        <v>45.06</v>
      </c>
      <c r="G225" s="169" t="str">
        <f>DATABASE!H1091</f>
        <v/>
      </c>
      <c r="H225" s="169" t="str">
        <f>DATABASE!I1091</f>
        <v/>
      </c>
      <c r="I225" s="169">
        <f>DATABASE!J1091</f>
        <v>131.68</v>
      </c>
      <c r="J225" s="169">
        <f>DATABASE!K1091</f>
        <v>0</v>
      </c>
      <c r="K225" s="170">
        <f>DATABASE!L1091</f>
        <v>0</v>
      </c>
      <c r="L225" s="171">
        <f>DATABASE!M1091</f>
        <v>0</v>
      </c>
      <c r="M225" s="172">
        <f>DATABASE!N1091</f>
        <v>0</v>
      </c>
      <c r="N225" s="173">
        <f>DATABASE!O1091</f>
        <v>245.62</v>
      </c>
      <c r="O225" s="173">
        <f>DATABASE!P1091</f>
        <v>0</v>
      </c>
      <c r="P225" s="173" t="str">
        <f>DATABASE!Q1091</f>
        <v>AVAILABLE</v>
      </c>
      <c r="Q225" s="154">
        <f>DATABASE!R1091</f>
        <v>1340000</v>
      </c>
      <c r="R225" s="174">
        <f>DATABASE!S1091</f>
        <v>1340000</v>
      </c>
      <c r="S225" s="173">
        <f>DATABASE!T1091</f>
        <v>1340000</v>
      </c>
      <c r="T225" s="175">
        <f>DATABASE!U1091</f>
        <v>0</v>
      </c>
      <c r="U225" s="175">
        <f>DATABASE!V1091</f>
        <v>0</v>
      </c>
      <c r="V225" s="79">
        <f>DATABASE!W1091</f>
        <v>1340000</v>
      </c>
      <c r="W225" s="80">
        <f>DATABASE!X1091</f>
        <v>0</v>
      </c>
      <c r="X225" s="79">
        <f>DATABASE!Y1091</f>
        <v>0</v>
      </c>
      <c r="Y225" s="79">
        <f>DATABASE!Z1091</f>
        <v>0</v>
      </c>
      <c r="Z225" s="79" t="e">
        <f>DATABASE!#REF!</f>
        <v>#REF!</v>
      </c>
      <c r="AA225" s="81">
        <f>DATABASE!AA1091</f>
        <v>0</v>
      </c>
      <c r="AB225" s="177" t="str">
        <f>DATABASE!AB1091</f>
        <v>TBD</v>
      </c>
      <c r="AC225" s="159"/>
      <c r="AD225" s="51"/>
    </row>
    <row r="226" spans="1:30" s="14" customFormat="1">
      <c r="A226" s="158" t="str">
        <f>DATABASE!A1092</f>
        <v>NOBILUS</v>
      </c>
      <c r="B226" s="167" t="str">
        <f>DATABASE!B1092</f>
        <v>Vilamoura</v>
      </c>
      <c r="C226" s="168" t="str">
        <f>DATABASE!C1092</f>
        <v>V</v>
      </c>
      <c r="D226" s="169" t="str">
        <f>DATABASE!E1092</f>
        <v>T3</v>
      </c>
      <c r="E226" s="169">
        <f>DATABASE!F1092</f>
        <v>152.91</v>
      </c>
      <c r="F226" s="169">
        <f>DATABASE!G1092</f>
        <v>3.37</v>
      </c>
      <c r="G226" s="169" t="str">
        <f>DATABASE!H1092</f>
        <v>78-79</v>
      </c>
      <c r="H226" s="169" t="str">
        <f>DATABASE!I1092</f>
        <v/>
      </c>
      <c r="I226" s="169">
        <f>DATABASE!J1092</f>
        <v>45.97</v>
      </c>
      <c r="J226" s="169">
        <f>DATABASE!K1092</f>
        <v>0</v>
      </c>
      <c r="K226" s="170">
        <f>DATABASE!L1092</f>
        <v>0</v>
      </c>
      <c r="L226" s="171">
        <f>DATABASE!M1092</f>
        <v>0</v>
      </c>
      <c r="M226" s="172">
        <f>DATABASE!N1092</f>
        <v>0</v>
      </c>
      <c r="N226" s="173">
        <f>DATABASE!O1092</f>
        <v>152.91</v>
      </c>
      <c r="O226" s="173">
        <f>DATABASE!P1092</f>
        <v>0</v>
      </c>
      <c r="P226" s="173" t="str">
        <f>DATABASE!Q1092</f>
        <v>AVAILABLE</v>
      </c>
      <c r="Q226" s="154">
        <f>DATABASE!R1092</f>
        <v>1010000</v>
      </c>
      <c r="R226" s="174">
        <f>DATABASE!S1092</f>
        <v>1010000</v>
      </c>
      <c r="S226" s="173">
        <f>DATABASE!T1092</f>
        <v>1010000</v>
      </c>
      <c r="T226" s="175">
        <f>DATABASE!U1092</f>
        <v>0</v>
      </c>
      <c r="U226" s="175">
        <f>DATABASE!V1092</f>
        <v>0</v>
      </c>
      <c r="V226" s="79">
        <f>DATABASE!W1092</f>
        <v>1010000</v>
      </c>
      <c r="W226" s="80">
        <f>DATABASE!X1092</f>
        <v>0</v>
      </c>
      <c r="X226" s="79">
        <f>DATABASE!Y1092</f>
        <v>1010000</v>
      </c>
      <c r="Y226" s="79">
        <f>DATABASE!Z1092</f>
        <v>1010000</v>
      </c>
      <c r="Z226" s="79" t="e">
        <f>DATABASE!#REF!</f>
        <v>#REF!</v>
      </c>
      <c r="AA226" s="81">
        <f>DATABASE!AA1092</f>
        <v>0</v>
      </c>
      <c r="AB226" s="177">
        <f>DATABASE!AB1092</f>
        <v>0</v>
      </c>
      <c r="AC226" s="159"/>
      <c r="AD226" s="51"/>
    </row>
    <row r="227" spans="1:30" s="14" customFormat="1">
      <c r="A227" s="158" t="str">
        <f>DATABASE!A1093</f>
        <v>Rivus</v>
      </c>
      <c r="B227" s="167" t="str">
        <f>DATABASE!B1093</f>
        <v>Vilamoura</v>
      </c>
      <c r="C227" s="168" t="str">
        <f>DATABASE!C1093</f>
        <v>V</v>
      </c>
      <c r="D227" s="169" t="str">
        <f>DATABASE!E1093</f>
        <v>T3</v>
      </c>
      <c r="E227" s="169">
        <f>DATABASE!F1093</f>
        <v>0</v>
      </c>
      <c r="F227" s="169">
        <f>DATABASE!G1093</f>
        <v>0</v>
      </c>
      <c r="G227" s="169" t="str">
        <f>DATABASE!H1093</f>
        <v/>
      </c>
      <c r="H227" s="169" t="str">
        <f>DATABASE!I1093</f>
        <v/>
      </c>
      <c r="I227" s="169">
        <f>DATABASE!J1093</f>
        <v>0</v>
      </c>
      <c r="J227" s="169">
        <f>DATABASE!K1093</f>
        <v>0</v>
      </c>
      <c r="K227" s="170">
        <f>DATABASE!L1093</f>
        <v>0</v>
      </c>
      <c r="L227" s="171">
        <f>DATABASE!M1093</f>
        <v>18</v>
      </c>
      <c r="M227" s="172">
        <f>DATABASE!N1093</f>
        <v>0</v>
      </c>
      <c r="N227" s="173">
        <f>DATABASE!O1093</f>
        <v>137</v>
      </c>
      <c r="O227" s="173">
        <f>DATABASE!P1093</f>
        <v>0</v>
      </c>
      <c r="P227" s="173" t="str">
        <f>DATABASE!Q1093</f>
        <v>RESERVED</v>
      </c>
      <c r="Q227" s="154">
        <f>DATABASE!R1093</f>
        <v>800000</v>
      </c>
      <c r="R227" s="174">
        <f>DATABASE!S1093</f>
        <v>800000</v>
      </c>
      <c r="S227" s="173">
        <f>DATABASE!T1093</f>
        <v>800000</v>
      </c>
      <c r="T227" s="175">
        <f>DATABASE!U1093</f>
        <v>0</v>
      </c>
      <c r="U227" s="175">
        <f>DATABASE!V1093</f>
        <v>0</v>
      </c>
      <c r="V227" s="79">
        <f>DATABASE!W1093</f>
        <v>800000</v>
      </c>
      <c r="W227" s="80">
        <f>DATABASE!X1093</f>
        <v>0.02</v>
      </c>
      <c r="X227" s="79">
        <f>DATABASE!Y1093</f>
        <v>784000</v>
      </c>
      <c r="Y227" s="79">
        <f>DATABASE!Z1093</f>
        <v>784000</v>
      </c>
      <c r="Z227" s="79" t="e">
        <f>DATABASE!#REF!</f>
        <v>#REF!</v>
      </c>
      <c r="AA227" s="81">
        <f>DATABASE!AA1093</f>
        <v>0</v>
      </c>
      <c r="AB227" s="177">
        <f>DATABASE!AB1093</f>
        <v>0</v>
      </c>
      <c r="AC227" s="159"/>
      <c r="AD227" s="51"/>
    </row>
    <row r="228" spans="1:30" s="14" customFormat="1">
      <c r="A228" s="158" t="str">
        <f>DATABASE!A1094</f>
        <v>SPRINGS</v>
      </c>
      <c r="B228" s="167" t="str">
        <f>DATABASE!B1094</f>
        <v>Vilamoura</v>
      </c>
      <c r="C228" s="168" t="str">
        <f>DATABASE!C1094</f>
        <v>V</v>
      </c>
      <c r="D228" s="169" t="str">
        <f>DATABASE!E1094</f>
        <v>V3</v>
      </c>
      <c r="E228" s="169">
        <f>DATABASE!F1094</f>
        <v>323.58999999999997</v>
      </c>
      <c r="F228" s="169">
        <f>DATABASE!G1094</f>
        <v>165.79</v>
      </c>
      <c r="G228" s="169" t="str">
        <f>DATABASE!H1094</f>
        <v/>
      </c>
      <c r="H228" s="169" t="str">
        <f>DATABASE!I1094</f>
        <v/>
      </c>
      <c r="I228" s="169">
        <f>DATABASE!J1094</f>
        <v>0</v>
      </c>
      <c r="J228" s="169">
        <f>DATABASE!K1094</f>
        <v>0</v>
      </c>
      <c r="K228" s="170">
        <f>DATABASE!L1094</f>
        <v>0</v>
      </c>
      <c r="L228" s="171">
        <f>DATABASE!M1094</f>
        <v>0</v>
      </c>
      <c r="M228" s="172">
        <f>DATABASE!N1094</f>
        <v>0</v>
      </c>
      <c r="N228" s="173">
        <f>DATABASE!O1094</f>
        <v>157.80000000000001</v>
      </c>
      <c r="O228" s="173">
        <f>DATABASE!P1094</f>
        <v>0</v>
      </c>
      <c r="P228" s="173" t="str">
        <f>DATABASE!Q1094</f>
        <v xml:space="preserve">PSPA </v>
      </c>
      <c r="Q228" s="154">
        <f>DATABASE!R1094</f>
        <v>1602100</v>
      </c>
      <c r="R228" s="174">
        <f>DATABASE!S1094</f>
        <v>1691050</v>
      </c>
      <c r="S228" s="173">
        <f>DATABASE!T1094</f>
        <v>1750000</v>
      </c>
      <c r="T228" s="175">
        <f>DATABASE!U1094</f>
        <v>24600</v>
      </c>
      <c r="U228" s="175">
        <f>DATABASE!V1094</f>
        <v>64350</v>
      </c>
      <c r="V228" s="79">
        <f>DATABASE!W1094</f>
        <v>1661050</v>
      </c>
      <c r="W228" s="80">
        <f>DATABASE!X1094</f>
        <v>0</v>
      </c>
      <c r="X228" s="79">
        <f>DATABASE!Y1094</f>
        <v>1750000</v>
      </c>
      <c r="Y228" s="79">
        <f>DATABASE!Z1094</f>
        <v>1661050</v>
      </c>
      <c r="Z228" s="79" t="e">
        <f>DATABASE!#REF!</f>
        <v>#REF!</v>
      </c>
      <c r="AA228" s="81" t="e">
        <f>DATABASE!#REF!</f>
        <v>#REF!</v>
      </c>
      <c r="AB228" s="177">
        <f>DATABASE!AB1094</f>
        <v>0</v>
      </c>
      <c r="AC228" s="159"/>
      <c r="AD228" s="51"/>
    </row>
    <row r="229" spans="1:30" s="14" customFormat="1">
      <c r="A229" s="158" t="str">
        <f>DATABASE!A1095</f>
        <v>TERRACOTA</v>
      </c>
      <c r="B229" s="167" t="str">
        <f>DATABASE!B1095</f>
        <v>Vilamoura</v>
      </c>
      <c r="C229" s="168" t="str">
        <f>DATABASE!C1095</f>
        <v>V</v>
      </c>
      <c r="D229" s="169" t="str">
        <f>DATABASE!E1095</f>
        <v>T3</v>
      </c>
      <c r="E229" s="169">
        <f>DATABASE!F1095</f>
        <v>130.91999999999999</v>
      </c>
      <c r="F229" s="169">
        <f>DATABASE!G1095</f>
        <v>0</v>
      </c>
      <c r="G229" s="169" t="str">
        <f>DATABASE!H1095</f>
        <v/>
      </c>
      <c r="H229" s="169" t="str">
        <f>DATABASE!I1095</f>
        <v/>
      </c>
      <c r="I229" s="169">
        <f>DATABASE!J1095</f>
        <v>0</v>
      </c>
      <c r="J229" s="169">
        <f>DATABASE!K1095</f>
        <v>0</v>
      </c>
      <c r="K229" s="170">
        <f>DATABASE!L1095</f>
        <v>0</v>
      </c>
      <c r="L229" s="171">
        <f>DATABASE!M1095</f>
        <v>0</v>
      </c>
      <c r="M229" s="172">
        <f>DATABASE!N1095</f>
        <v>0</v>
      </c>
      <c r="N229" s="173">
        <f>DATABASE!O1095</f>
        <v>130.91999999999999</v>
      </c>
      <c r="O229" s="173">
        <f>DATABASE!P1095</f>
        <v>0</v>
      </c>
      <c r="P229" s="173" t="str">
        <f>DATABASE!Q1095</f>
        <v xml:space="preserve">PSPA </v>
      </c>
      <c r="Q229" s="154">
        <f>DATABASE!R1095</f>
        <v>660000</v>
      </c>
      <c r="R229" s="174">
        <f>DATABASE!S1095</f>
        <v>660000</v>
      </c>
      <c r="S229" s="173">
        <f>DATABASE!T1095</f>
        <v>660000</v>
      </c>
      <c r="T229" s="175">
        <f>DATABASE!U1095</f>
        <v>0</v>
      </c>
      <c r="U229" s="175">
        <f>DATABASE!V1095</f>
        <v>0</v>
      </c>
      <c r="V229" s="79">
        <f>DATABASE!W1095</f>
        <v>660000</v>
      </c>
      <c r="W229" s="80">
        <f>DATABASE!X1095</f>
        <v>0</v>
      </c>
      <c r="X229" s="79">
        <f>DATABASE!Y1095</f>
        <v>660000</v>
      </c>
      <c r="Y229" s="79">
        <f>DATABASE!Z1095</f>
        <v>660000</v>
      </c>
      <c r="Z229" s="79" t="e">
        <f>DATABASE!#REF!</f>
        <v>#REF!</v>
      </c>
      <c r="AA229" s="81" t="e">
        <f>DATABASE!#REF!</f>
        <v>#REF!</v>
      </c>
      <c r="AB229" s="177">
        <f>DATABASE!AB1095</f>
        <v>0</v>
      </c>
      <c r="AC229" s="159"/>
      <c r="AD229" s="51"/>
    </row>
    <row r="230" spans="1:30" s="14" customFormat="1">
      <c r="A230" s="158" t="str">
        <f>DATABASE!A1096</f>
        <v>THE NINE</v>
      </c>
      <c r="B230" s="167" t="str">
        <f>DATABASE!B1096</f>
        <v>Vilamoura</v>
      </c>
      <c r="C230" s="168" t="str">
        <f>DATABASE!C1096</f>
        <v>V</v>
      </c>
      <c r="D230" s="169" t="str">
        <f>DATABASE!E1096</f>
        <v>T2</v>
      </c>
      <c r="E230" s="169">
        <f>DATABASE!F1096</f>
        <v>117</v>
      </c>
      <c r="F230" s="169">
        <f>DATABASE!G1096</f>
        <v>0</v>
      </c>
      <c r="G230" s="169" t="str">
        <f>DATABASE!H1096</f>
        <v/>
      </c>
      <c r="H230" s="169" t="str">
        <f>DATABASE!I1096</f>
        <v/>
      </c>
      <c r="I230" s="169">
        <f>DATABASE!J1096</f>
        <v>0</v>
      </c>
      <c r="J230" s="169">
        <f>DATABASE!K1096</f>
        <v>0</v>
      </c>
      <c r="K230" s="170">
        <f>DATABASE!L1096</f>
        <v>0</v>
      </c>
      <c r="L230" s="171">
        <f>DATABASE!M1096</f>
        <v>0</v>
      </c>
      <c r="M230" s="172">
        <f>DATABASE!N1096</f>
        <v>0</v>
      </c>
      <c r="N230" s="173">
        <f>DATABASE!O1096</f>
        <v>117</v>
      </c>
      <c r="O230" s="173">
        <f>DATABASE!P1096</f>
        <v>0</v>
      </c>
      <c r="P230" s="173" t="str">
        <f>DATABASE!Q1096</f>
        <v xml:space="preserve">DEED </v>
      </c>
      <c r="Q230" s="154">
        <f>DATABASE!R1096</f>
        <v>550000</v>
      </c>
      <c r="R230" s="174">
        <f>DATABASE!S1096</f>
        <v>550000</v>
      </c>
      <c r="S230" s="173">
        <f>DATABASE!T1096</f>
        <v>580000</v>
      </c>
      <c r="T230" s="175">
        <f>DATABASE!U1096</f>
        <v>0</v>
      </c>
      <c r="U230" s="175">
        <f>DATABASE!V1096</f>
        <v>0</v>
      </c>
      <c r="V230" s="79">
        <f>DATABASE!W1096</f>
        <v>580000</v>
      </c>
      <c r="W230" s="80">
        <f>DATABASE!X1096</f>
        <v>0</v>
      </c>
      <c r="X230" s="79">
        <f>DATABASE!Y1096</f>
        <v>580000</v>
      </c>
      <c r="Y230" s="79">
        <f>DATABASE!Z1096</f>
        <v>580000</v>
      </c>
      <c r="Z230" s="79" t="e">
        <f>DATABASE!#REF!</f>
        <v>#REF!</v>
      </c>
      <c r="AA230" s="81">
        <f>DATABASE!AA1096</f>
        <v>45414</v>
      </c>
      <c r="AB230" s="177">
        <f>DATABASE!AB1096</f>
        <v>0</v>
      </c>
      <c r="AC230" s="159"/>
      <c r="AD230" s="51"/>
    </row>
    <row r="231" spans="1:30" s="14" customFormat="1">
      <c r="A231" s="158" t="str">
        <f>DATABASE!A1097</f>
        <v>VM PARQUE</v>
      </c>
      <c r="B231" s="167" t="str">
        <f>DATABASE!B1097</f>
        <v>Vilamoura</v>
      </c>
      <c r="C231" s="168" t="str">
        <f>DATABASE!C1097</f>
        <v>V</v>
      </c>
      <c r="D231" s="169" t="str">
        <f>DATABASE!E1097</f>
        <v>V2</v>
      </c>
      <c r="E231" s="169">
        <f>DATABASE!F1097</f>
        <v>152.87280000000001</v>
      </c>
      <c r="F231" s="169">
        <f>DATABASE!G1097</f>
        <v>0</v>
      </c>
      <c r="G231" s="169" t="str">
        <f>DATABASE!H1097</f>
        <v/>
      </c>
      <c r="H231" s="169" t="str">
        <f>DATABASE!I1097</f>
        <v/>
      </c>
      <c r="I231" s="169">
        <f>DATABASE!J1097</f>
        <v>0</v>
      </c>
      <c r="J231" s="169">
        <f>DATABASE!K1097</f>
        <v>0</v>
      </c>
      <c r="K231" s="170">
        <f>DATABASE!L1097</f>
        <v>0</v>
      </c>
      <c r="L231" s="171">
        <f>DATABASE!M1097</f>
        <v>0</v>
      </c>
      <c r="M231" s="172">
        <f>DATABASE!N1097</f>
        <v>0</v>
      </c>
      <c r="N231" s="173">
        <f>DATABASE!O1097</f>
        <v>152.87280000000001</v>
      </c>
      <c r="O231" s="173">
        <f>DATABASE!P1097</f>
        <v>0</v>
      </c>
      <c r="P231" s="173" t="str">
        <f>DATABASE!Q1097</f>
        <v xml:space="preserve">DEED </v>
      </c>
      <c r="Q231" s="154">
        <f>DATABASE!R1097</f>
        <v>913837</v>
      </c>
      <c r="R231" s="174">
        <f>DATABASE!S1097</f>
        <v>913837</v>
      </c>
      <c r="S231" s="173">
        <f>DATABASE!T1097</f>
        <v>960000</v>
      </c>
      <c r="T231" s="175">
        <f>DATABASE!U1097</f>
        <v>0</v>
      </c>
      <c r="U231" s="175">
        <f>DATABASE!V1097</f>
        <v>0</v>
      </c>
      <c r="V231" s="79">
        <f>DATABASE!W1097</f>
        <v>960000</v>
      </c>
      <c r="W231" s="80">
        <f>DATABASE!X1097</f>
        <v>0</v>
      </c>
      <c r="X231" s="79">
        <f>DATABASE!Y1097</f>
        <v>960000</v>
      </c>
      <c r="Y231" s="79">
        <f>DATABASE!Z1097</f>
        <v>960000</v>
      </c>
      <c r="Z231" s="79" t="e">
        <f>DATABASE!#REF!</f>
        <v>#REF!</v>
      </c>
      <c r="AA231" s="81">
        <f>DATABASE!AA1097</f>
        <v>45090</v>
      </c>
      <c r="AB231" s="177">
        <f>DATABASE!AB1097</f>
        <v>0</v>
      </c>
      <c r="AC231" s="159"/>
      <c r="AD231" s="51"/>
    </row>
    <row r="232" spans="1:30">
      <c r="A232" s="155"/>
      <c r="B232" s="79"/>
      <c r="C232" s="79"/>
      <c r="D232" s="79"/>
      <c r="E232" s="160"/>
      <c r="F232" s="160"/>
      <c r="G232" s="160"/>
      <c r="H232" s="160"/>
      <c r="I232" s="160"/>
      <c r="J232" s="160"/>
      <c r="K232" s="79"/>
      <c r="L232" s="79"/>
      <c r="M232" s="161"/>
      <c r="N232" s="161"/>
      <c r="O232" s="79"/>
      <c r="P232" s="79"/>
      <c r="Q232" s="79"/>
      <c r="R232" s="79"/>
      <c r="S232" s="79"/>
      <c r="T232" s="79"/>
      <c r="U232" s="79"/>
      <c r="V232" s="79"/>
      <c r="W232" s="79"/>
      <c r="X232" s="79"/>
      <c r="Y232" s="79"/>
      <c r="Z232" s="79"/>
      <c r="AA232" s="79"/>
      <c r="AB232" s="79"/>
      <c r="AC232" s="159"/>
    </row>
    <row r="233" spans="1:30">
      <c r="A233" s="155"/>
      <c r="B233" s="79"/>
      <c r="C233" s="79"/>
      <c r="D233" s="79"/>
      <c r="E233" s="160"/>
      <c r="F233" s="160"/>
      <c r="G233" s="160"/>
      <c r="H233" s="160"/>
      <c r="I233" s="160"/>
      <c r="J233" s="160"/>
      <c r="K233" s="79"/>
      <c r="L233" s="79"/>
      <c r="M233" s="161"/>
      <c r="N233" s="161"/>
      <c r="O233" s="79"/>
      <c r="P233" s="79"/>
      <c r="Q233" s="79"/>
      <c r="R233" s="79"/>
      <c r="S233" s="79"/>
      <c r="T233" s="79"/>
      <c r="U233" s="79"/>
      <c r="V233" s="79"/>
      <c r="W233" s="79"/>
      <c r="X233" s="79"/>
      <c r="Y233" s="79"/>
      <c r="Z233" s="79"/>
      <c r="AA233" s="79"/>
      <c r="AB233" s="79"/>
      <c r="AC233" s="159"/>
    </row>
    <row r="234" spans="1:30">
      <c r="A234" s="155"/>
      <c r="B234" s="79"/>
      <c r="C234" s="79"/>
      <c r="D234" s="79"/>
      <c r="E234" s="160"/>
      <c r="F234" s="160"/>
      <c r="G234" s="160"/>
      <c r="H234" s="160"/>
      <c r="I234" s="160"/>
      <c r="J234" s="160"/>
      <c r="K234" s="79"/>
      <c r="L234" s="79"/>
      <c r="M234" s="161"/>
      <c r="N234" s="161"/>
      <c r="O234" s="79"/>
      <c r="P234" s="79"/>
      <c r="Q234" s="79"/>
      <c r="R234" s="79"/>
      <c r="S234" s="79"/>
      <c r="T234" s="79"/>
      <c r="U234" s="79"/>
      <c r="V234" s="79"/>
      <c r="W234" s="79"/>
      <c r="X234" s="79"/>
      <c r="Y234" s="79"/>
      <c r="Z234" s="79"/>
      <c r="AA234" s="79"/>
      <c r="AB234" s="79"/>
      <c r="AC234" s="159"/>
    </row>
    <row r="235" spans="1:30">
      <c r="A235" s="155"/>
      <c r="B235" s="79"/>
      <c r="C235" s="79"/>
      <c r="D235" s="79"/>
      <c r="E235" s="160"/>
      <c r="F235" s="160"/>
      <c r="G235" s="160"/>
      <c r="H235" s="160"/>
      <c r="I235" s="160"/>
      <c r="J235" s="160"/>
      <c r="K235" s="79"/>
      <c r="L235" s="79"/>
      <c r="M235" s="161"/>
      <c r="N235" s="161"/>
      <c r="O235" s="79"/>
      <c r="P235" s="79"/>
      <c r="Q235" s="79"/>
      <c r="R235" s="79"/>
      <c r="S235" s="79"/>
      <c r="T235" s="79"/>
      <c r="U235" s="79"/>
      <c r="V235" s="79"/>
      <c r="W235" s="79"/>
      <c r="X235" s="79"/>
      <c r="Y235" s="79"/>
      <c r="Z235" s="79"/>
      <c r="AA235" s="79"/>
      <c r="AB235" s="79"/>
      <c r="AC235" s="159"/>
    </row>
    <row r="236" spans="1:30">
      <c r="A236" s="155"/>
      <c r="B236" s="79"/>
      <c r="C236" s="79"/>
      <c r="D236" s="79"/>
      <c r="E236" s="160"/>
      <c r="F236" s="160"/>
      <c r="G236" s="160"/>
      <c r="H236" s="160"/>
      <c r="I236" s="160"/>
      <c r="J236" s="160"/>
      <c r="K236" s="79"/>
      <c r="L236" s="79"/>
      <c r="M236" s="161"/>
      <c r="N236" s="161"/>
      <c r="O236" s="79"/>
      <c r="P236" s="79"/>
      <c r="Q236" s="79"/>
      <c r="R236" s="79"/>
      <c r="S236" s="79"/>
      <c r="T236" s="79"/>
      <c r="U236" s="79"/>
      <c r="V236" s="79"/>
      <c r="W236" s="79"/>
      <c r="X236" s="79"/>
      <c r="Y236" s="79"/>
      <c r="Z236" s="79"/>
      <c r="AA236" s="79"/>
      <c r="AB236" s="79"/>
      <c r="AC236" s="159"/>
    </row>
    <row r="237" spans="1:30">
      <c r="A237" s="155"/>
      <c r="B237" s="79"/>
      <c r="C237" s="79"/>
      <c r="D237" s="79"/>
      <c r="E237" s="160"/>
      <c r="F237" s="160"/>
      <c r="G237" s="160"/>
      <c r="H237" s="160"/>
      <c r="I237" s="160"/>
      <c r="J237" s="160"/>
      <c r="K237" s="79"/>
      <c r="L237" s="79"/>
      <c r="M237" s="161"/>
      <c r="N237" s="161"/>
      <c r="O237" s="79"/>
      <c r="P237" s="79"/>
      <c r="Q237" s="79"/>
      <c r="R237" s="79"/>
      <c r="S237" s="79"/>
      <c r="T237" s="79"/>
      <c r="U237" s="79"/>
      <c r="V237" s="79"/>
      <c r="W237" s="79"/>
      <c r="X237" s="79"/>
      <c r="Y237" s="79"/>
      <c r="Z237" s="79"/>
      <c r="AA237" s="79"/>
      <c r="AB237" s="79"/>
      <c r="AC237" s="159"/>
    </row>
    <row r="238" spans="1:30">
      <c r="A238" s="155"/>
      <c r="B238" s="79"/>
      <c r="C238" s="79"/>
      <c r="D238" s="79"/>
      <c r="E238" s="160"/>
      <c r="F238" s="160"/>
      <c r="G238" s="160"/>
      <c r="H238" s="160"/>
      <c r="I238" s="160"/>
      <c r="J238" s="160"/>
      <c r="K238" s="79"/>
      <c r="L238" s="79"/>
      <c r="M238" s="161"/>
      <c r="N238" s="161"/>
      <c r="O238" s="79"/>
      <c r="P238" s="79"/>
      <c r="Q238" s="79"/>
      <c r="R238" s="79"/>
      <c r="S238" s="79"/>
      <c r="T238" s="79"/>
      <c r="U238" s="79"/>
      <c r="V238" s="79"/>
      <c r="W238" s="79"/>
      <c r="X238" s="79"/>
      <c r="Y238" s="79"/>
      <c r="Z238" s="79"/>
      <c r="AA238" s="79"/>
      <c r="AB238" s="79"/>
      <c r="AC238" s="159"/>
    </row>
    <row r="239" spans="1:30">
      <c r="A239" s="155"/>
      <c r="B239" s="79"/>
      <c r="C239" s="79"/>
      <c r="D239" s="79"/>
      <c r="E239" s="160"/>
      <c r="F239" s="160"/>
      <c r="G239" s="160"/>
      <c r="H239" s="160"/>
      <c r="I239" s="160"/>
      <c r="J239" s="160"/>
      <c r="K239" s="79"/>
      <c r="L239" s="79"/>
      <c r="M239" s="161"/>
      <c r="N239" s="161"/>
      <c r="O239" s="79"/>
      <c r="P239" s="79"/>
      <c r="Q239" s="79"/>
      <c r="R239" s="79"/>
      <c r="S239" s="79"/>
      <c r="T239" s="79"/>
      <c r="U239" s="79"/>
      <c r="V239" s="79"/>
      <c r="W239" s="79"/>
      <c r="X239" s="79"/>
      <c r="Y239" s="79"/>
      <c r="Z239" s="79"/>
      <c r="AA239" s="79"/>
      <c r="AB239" s="79"/>
      <c r="AC239" s="159"/>
    </row>
    <row r="240" spans="1:30">
      <c r="A240" s="155"/>
      <c r="B240" s="79"/>
      <c r="C240" s="79"/>
      <c r="D240" s="79"/>
      <c r="E240" s="160"/>
      <c r="F240" s="160"/>
      <c r="G240" s="160"/>
      <c r="H240" s="160"/>
      <c r="I240" s="160"/>
      <c r="J240" s="160"/>
      <c r="K240" s="79"/>
      <c r="L240" s="79"/>
      <c r="M240" s="161"/>
      <c r="N240" s="161"/>
      <c r="O240" s="79"/>
      <c r="P240" s="79"/>
      <c r="Q240" s="79"/>
      <c r="R240" s="79"/>
      <c r="S240" s="79"/>
      <c r="T240" s="79"/>
      <c r="U240" s="79"/>
      <c r="V240" s="79"/>
      <c r="W240" s="79"/>
      <c r="X240" s="79"/>
      <c r="Y240" s="79"/>
      <c r="Z240" s="79"/>
      <c r="AA240" s="79"/>
      <c r="AB240" s="79"/>
      <c r="AC240" s="159"/>
    </row>
    <row r="241" spans="1:29">
      <c r="A241" s="155"/>
      <c r="B241" s="79"/>
      <c r="C241" s="79"/>
      <c r="D241" s="79"/>
      <c r="E241" s="160"/>
      <c r="F241" s="160"/>
      <c r="G241" s="160"/>
      <c r="H241" s="160"/>
      <c r="I241" s="160"/>
      <c r="J241" s="160"/>
      <c r="K241" s="79"/>
      <c r="L241" s="79"/>
      <c r="M241" s="161"/>
      <c r="N241" s="161"/>
      <c r="O241" s="79"/>
      <c r="P241" s="79"/>
      <c r="Q241" s="79"/>
      <c r="R241" s="79"/>
      <c r="S241" s="79"/>
      <c r="T241" s="79"/>
      <c r="U241" s="79"/>
      <c r="V241" s="79"/>
      <c r="W241" s="79"/>
      <c r="X241" s="79"/>
      <c r="Y241" s="79"/>
      <c r="Z241" s="79"/>
      <c r="AA241" s="79"/>
      <c r="AB241" s="79"/>
      <c r="AC241" s="159"/>
    </row>
    <row r="242" spans="1:29">
      <c r="A242" s="155"/>
      <c r="B242" s="79"/>
      <c r="C242" s="79"/>
      <c r="D242" s="79"/>
      <c r="E242" s="160"/>
      <c r="F242" s="160"/>
      <c r="G242" s="160"/>
      <c r="H242" s="160"/>
      <c r="I242" s="160"/>
      <c r="J242" s="160"/>
      <c r="K242" s="79"/>
      <c r="L242" s="79"/>
      <c r="M242" s="161"/>
      <c r="N242" s="161"/>
      <c r="O242" s="79"/>
      <c r="P242" s="79"/>
      <c r="Q242" s="79"/>
      <c r="R242" s="79"/>
      <c r="S242" s="79"/>
      <c r="T242" s="79"/>
      <c r="U242" s="79"/>
      <c r="V242" s="79"/>
      <c r="W242" s="79"/>
      <c r="X242" s="79"/>
      <c r="Y242" s="79"/>
      <c r="Z242" s="79"/>
      <c r="AA242" s="79"/>
      <c r="AB242" s="79"/>
      <c r="AC242" s="159"/>
    </row>
    <row r="243" spans="1:29">
      <c r="A243" s="155"/>
      <c r="B243" s="79"/>
      <c r="C243" s="79"/>
      <c r="D243" s="79"/>
      <c r="E243" s="160"/>
      <c r="F243" s="160"/>
      <c r="G243" s="160"/>
      <c r="H243" s="160"/>
      <c r="I243" s="160"/>
      <c r="J243" s="160"/>
      <c r="K243" s="79"/>
      <c r="L243" s="79"/>
      <c r="M243" s="161"/>
      <c r="N243" s="161"/>
      <c r="O243" s="79"/>
      <c r="P243" s="79"/>
      <c r="Q243" s="79"/>
      <c r="R243" s="79"/>
      <c r="S243" s="79"/>
      <c r="T243" s="79"/>
      <c r="U243" s="79"/>
      <c r="V243" s="79"/>
      <c r="W243" s="79"/>
      <c r="X243" s="79"/>
      <c r="Y243" s="79"/>
      <c r="Z243" s="79"/>
      <c r="AA243" s="79"/>
      <c r="AB243" s="79"/>
      <c r="AC243" s="159"/>
    </row>
    <row r="244" spans="1:29">
      <c r="A244" s="155"/>
      <c r="B244" s="79"/>
      <c r="C244" s="79"/>
      <c r="D244" s="79"/>
      <c r="E244" s="160"/>
      <c r="F244" s="160"/>
      <c r="G244" s="160"/>
      <c r="H244" s="160"/>
      <c r="I244" s="160"/>
      <c r="J244" s="160"/>
      <c r="K244" s="79"/>
      <c r="L244" s="79"/>
      <c r="M244" s="161"/>
      <c r="N244" s="161"/>
      <c r="O244" s="79"/>
      <c r="P244" s="79"/>
      <c r="Q244" s="79"/>
      <c r="R244" s="79"/>
      <c r="S244" s="79"/>
      <c r="T244" s="79"/>
      <c r="U244" s="79"/>
      <c r="V244" s="79"/>
      <c r="W244" s="79"/>
      <c r="X244" s="79"/>
      <c r="Y244" s="79"/>
      <c r="Z244" s="79"/>
      <c r="AA244" s="79"/>
      <c r="AB244" s="79"/>
      <c r="AC244" s="159"/>
    </row>
    <row r="245" spans="1:29">
      <c r="A245" s="155"/>
      <c r="B245" s="79"/>
      <c r="C245" s="79"/>
      <c r="D245" s="79"/>
      <c r="E245" s="160"/>
      <c r="F245" s="160"/>
      <c r="G245" s="160"/>
      <c r="H245" s="160"/>
      <c r="I245" s="160"/>
      <c r="J245" s="160"/>
      <c r="K245" s="79"/>
      <c r="L245" s="79"/>
      <c r="M245" s="161"/>
      <c r="N245" s="161"/>
      <c r="O245" s="79"/>
      <c r="P245" s="79"/>
      <c r="Q245" s="79"/>
      <c r="R245" s="79"/>
      <c r="S245" s="79"/>
      <c r="T245" s="79"/>
      <c r="U245" s="79"/>
      <c r="V245" s="79"/>
      <c r="W245" s="79"/>
      <c r="X245" s="79"/>
      <c r="Y245" s="79"/>
      <c r="Z245" s="79"/>
      <c r="AA245" s="79"/>
      <c r="AB245" s="79"/>
      <c r="AC245" s="159"/>
    </row>
    <row r="246" spans="1:29">
      <c r="A246" s="155"/>
      <c r="B246" s="79"/>
      <c r="C246" s="79"/>
      <c r="D246" s="79"/>
      <c r="E246" s="160"/>
      <c r="F246" s="160"/>
      <c r="G246" s="160"/>
      <c r="H246" s="160"/>
      <c r="I246" s="160"/>
      <c r="J246" s="160"/>
      <c r="K246" s="79"/>
      <c r="L246" s="79"/>
      <c r="M246" s="161"/>
      <c r="N246" s="161"/>
      <c r="O246" s="79"/>
      <c r="P246" s="79"/>
      <c r="Q246" s="79"/>
      <c r="R246" s="79"/>
      <c r="S246" s="79"/>
      <c r="T246" s="79"/>
      <c r="U246" s="79"/>
      <c r="V246" s="79"/>
      <c r="W246" s="79"/>
      <c r="X246" s="79"/>
      <c r="Y246" s="79"/>
      <c r="Z246" s="79"/>
      <c r="AA246" s="79"/>
      <c r="AB246" s="79"/>
      <c r="AC246" s="159"/>
    </row>
    <row r="247" spans="1:29">
      <c r="A247" s="155"/>
      <c r="B247" s="79"/>
      <c r="C247" s="79"/>
      <c r="D247" s="79"/>
      <c r="E247" s="160"/>
      <c r="F247" s="160"/>
      <c r="G247" s="160"/>
      <c r="H247" s="160"/>
      <c r="I247" s="160"/>
      <c r="J247" s="160"/>
      <c r="K247" s="79"/>
      <c r="L247" s="79"/>
      <c r="M247" s="161"/>
      <c r="N247" s="161"/>
      <c r="O247" s="79"/>
      <c r="P247" s="79"/>
      <c r="Q247" s="79"/>
      <c r="R247" s="79"/>
      <c r="S247" s="79"/>
      <c r="T247" s="79"/>
      <c r="U247" s="79"/>
      <c r="V247" s="79"/>
      <c r="W247" s="79"/>
      <c r="X247" s="79"/>
      <c r="Y247" s="79"/>
      <c r="Z247" s="79"/>
      <c r="AA247" s="79"/>
      <c r="AB247" s="79"/>
      <c r="AC247" s="159"/>
    </row>
    <row r="248" spans="1:29">
      <c r="A248" s="155"/>
      <c r="B248" s="79"/>
      <c r="C248" s="79"/>
      <c r="D248" s="79"/>
      <c r="E248" s="160"/>
      <c r="F248" s="160"/>
      <c r="G248" s="160"/>
      <c r="H248" s="160"/>
      <c r="I248" s="160"/>
      <c r="J248" s="160"/>
      <c r="K248" s="79"/>
      <c r="L248" s="79"/>
      <c r="M248" s="161"/>
      <c r="N248" s="161"/>
      <c r="O248" s="79"/>
      <c r="P248" s="79"/>
      <c r="Q248" s="79"/>
      <c r="R248" s="79"/>
      <c r="S248" s="79"/>
      <c r="T248" s="79"/>
      <c r="U248" s="79"/>
      <c r="V248" s="79"/>
      <c r="W248" s="79"/>
      <c r="X248" s="79"/>
      <c r="Y248" s="79"/>
      <c r="Z248" s="79"/>
      <c r="AA248" s="79"/>
      <c r="AB248" s="79"/>
      <c r="AC248" s="159"/>
    </row>
    <row r="249" spans="1:29">
      <c r="A249" s="155"/>
      <c r="B249" s="79"/>
      <c r="C249" s="79"/>
      <c r="D249" s="79"/>
      <c r="E249" s="160"/>
      <c r="F249" s="160"/>
      <c r="G249" s="160"/>
      <c r="H249" s="160"/>
      <c r="I249" s="160"/>
      <c r="J249" s="160"/>
      <c r="K249" s="79"/>
      <c r="L249" s="79"/>
      <c r="M249" s="161"/>
      <c r="N249" s="161"/>
      <c r="O249" s="79"/>
      <c r="P249" s="79"/>
      <c r="Q249" s="79"/>
      <c r="R249" s="79"/>
      <c r="S249" s="79"/>
      <c r="T249" s="79"/>
      <c r="U249" s="79"/>
      <c r="V249" s="79"/>
      <c r="W249" s="79"/>
      <c r="X249" s="79"/>
      <c r="Y249" s="79"/>
      <c r="Z249" s="79"/>
      <c r="AA249" s="79"/>
      <c r="AB249" s="79"/>
      <c r="AC249" s="159"/>
    </row>
    <row r="250" spans="1:29">
      <c r="A250" s="155"/>
      <c r="B250" s="79"/>
      <c r="C250" s="79"/>
      <c r="D250" s="79"/>
      <c r="E250" s="160"/>
      <c r="F250" s="160"/>
      <c r="G250" s="160"/>
      <c r="H250" s="160"/>
      <c r="I250" s="160"/>
      <c r="J250" s="160"/>
      <c r="K250" s="79"/>
      <c r="L250" s="79"/>
      <c r="M250" s="161"/>
      <c r="N250" s="161"/>
      <c r="O250" s="79"/>
      <c r="P250" s="79"/>
      <c r="Q250" s="79"/>
      <c r="R250" s="79"/>
      <c r="S250" s="79"/>
      <c r="T250" s="79"/>
      <c r="U250" s="79"/>
      <c r="V250" s="79"/>
      <c r="W250" s="79"/>
      <c r="X250" s="79"/>
      <c r="Y250" s="79"/>
      <c r="Z250" s="79"/>
      <c r="AA250" s="79"/>
      <c r="AB250" s="79"/>
      <c r="AC250" s="159"/>
    </row>
    <row r="251" spans="1:29">
      <c r="A251" s="155"/>
      <c r="B251" s="79"/>
      <c r="C251" s="79"/>
      <c r="D251" s="79"/>
      <c r="E251" s="160"/>
      <c r="F251" s="160"/>
      <c r="G251" s="160"/>
      <c r="H251" s="160"/>
      <c r="I251" s="160"/>
      <c r="J251" s="160"/>
      <c r="K251" s="79"/>
      <c r="L251" s="79"/>
      <c r="M251" s="161"/>
      <c r="N251" s="161"/>
      <c r="O251" s="79"/>
      <c r="P251" s="79"/>
      <c r="Q251" s="79"/>
      <c r="R251" s="79"/>
      <c r="S251" s="79"/>
      <c r="T251" s="79"/>
      <c r="U251" s="79"/>
      <c r="V251" s="79"/>
      <c r="W251" s="79"/>
      <c r="X251" s="79"/>
      <c r="Y251" s="79"/>
      <c r="Z251" s="79"/>
      <c r="AA251" s="79"/>
      <c r="AB251" s="79"/>
      <c r="AC251" s="159"/>
    </row>
    <row r="252" spans="1:29">
      <c r="A252" s="155"/>
      <c r="B252" s="79"/>
      <c r="C252" s="79"/>
      <c r="D252" s="79"/>
      <c r="E252" s="160"/>
      <c r="F252" s="160"/>
      <c r="G252" s="160"/>
      <c r="H252" s="160"/>
      <c r="I252" s="160"/>
      <c r="J252" s="160"/>
      <c r="K252" s="79"/>
      <c r="L252" s="79"/>
      <c r="M252" s="161"/>
      <c r="N252" s="161"/>
      <c r="O252" s="79"/>
      <c r="P252" s="79"/>
      <c r="Q252" s="79"/>
      <c r="R252" s="79"/>
      <c r="S252" s="79"/>
      <c r="T252" s="79"/>
      <c r="U252" s="79"/>
      <c r="V252" s="79"/>
      <c r="W252" s="79"/>
      <c r="X252" s="79"/>
      <c r="Y252" s="79"/>
      <c r="Z252" s="79"/>
      <c r="AA252" s="79"/>
      <c r="AB252" s="79"/>
      <c r="AC252" s="159"/>
    </row>
    <row r="253" spans="1:29">
      <c r="A253" s="155"/>
      <c r="B253" s="79"/>
      <c r="C253" s="79"/>
      <c r="D253" s="79"/>
      <c r="E253" s="160"/>
      <c r="F253" s="160"/>
      <c r="G253" s="160"/>
      <c r="H253" s="160"/>
      <c r="I253" s="160"/>
      <c r="J253" s="160"/>
      <c r="K253" s="79"/>
      <c r="L253" s="79"/>
      <c r="M253" s="161"/>
      <c r="N253" s="161"/>
      <c r="O253" s="79"/>
      <c r="P253" s="79"/>
      <c r="Q253" s="79"/>
      <c r="R253" s="79"/>
      <c r="S253" s="79"/>
      <c r="T253" s="79"/>
      <c r="U253" s="79"/>
      <c r="V253" s="79"/>
      <c r="W253" s="79"/>
      <c r="X253" s="79"/>
      <c r="Y253" s="79"/>
      <c r="Z253" s="79"/>
      <c r="AA253" s="79"/>
      <c r="AB253" s="79"/>
      <c r="AC253" s="159"/>
    </row>
    <row r="254" spans="1:29">
      <c r="A254" s="155"/>
      <c r="B254" s="79"/>
      <c r="C254" s="79"/>
      <c r="D254" s="79"/>
      <c r="E254" s="160"/>
      <c r="F254" s="160"/>
      <c r="G254" s="160"/>
      <c r="H254" s="160"/>
      <c r="I254" s="160"/>
      <c r="J254" s="160"/>
      <c r="K254" s="79"/>
      <c r="L254" s="79"/>
      <c r="M254" s="161"/>
      <c r="N254" s="161"/>
      <c r="O254" s="79"/>
      <c r="P254" s="79"/>
      <c r="Q254" s="79"/>
      <c r="R254" s="79"/>
      <c r="S254" s="79"/>
      <c r="T254" s="79"/>
      <c r="U254" s="79"/>
      <c r="V254" s="79"/>
      <c r="W254" s="79"/>
      <c r="X254" s="79"/>
      <c r="Y254" s="79"/>
      <c r="Z254" s="79"/>
      <c r="AA254" s="79"/>
      <c r="AB254" s="79"/>
      <c r="AC254" s="159"/>
    </row>
    <row r="255" spans="1:29">
      <c r="A255" s="155"/>
      <c r="B255" s="79"/>
      <c r="C255" s="79"/>
      <c r="D255" s="79"/>
      <c r="E255" s="160"/>
      <c r="F255" s="160"/>
      <c r="G255" s="160"/>
      <c r="H255" s="160"/>
      <c r="I255" s="160"/>
      <c r="J255" s="160"/>
      <c r="K255" s="79"/>
      <c r="L255" s="79"/>
      <c r="M255" s="161"/>
      <c r="N255" s="161"/>
      <c r="O255" s="79"/>
      <c r="P255" s="79"/>
      <c r="Q255" s="79"/>
      <c r="R255" s="79"/>
      <c r="S255" s="79"/>
      <c r="T255" s="79"/>
      <c r="U255" s="79"/>
      <c r="V255" s="79"/>
      <c r="W255" s="79"/>
      <c r="X255" s="79"/>
      <c r="Y255" s="79"/>
      <c r="Z255" s="79"/>
      <c r="AA255" s="79"/>
      <c r="AB255" s="79"/>
      <c r="AC255" s="159"/>
    </row>
    <row r="256" spans="1:29">
      <c r="A256" s="155"/>
      <c r="B256" s="79"/>
      <c r="C256" s="79"/>
      <c r="D256" s="79"/>
      <c r="E256" s="160"/>
      <c r="F256" s="160"/>
      <c r="G256" s="160"/>
      <c r="H256" s="160"/>
      <c r="I256" s="160"/>
      <c r="J256" s="160"/>
      <c r="K256" s="79"/>
      <c r="L256" s="79"/>
      <c r="M256" s="161"/>
      <c r="N256" s="161"/>
      <c r="O256" s="79"/>
      <c r="P256" s="79"/>
      <c r="Q256" s="79"/>
      <c r="R256" s="79"/>
      <c r="S256" s="79"/>
      <c r="T256" s="79"/>
      <c r="U256" s="79"/>
      <c r="V256" s="79"/>
      <c r="W256" s="79"/>
      <c r="X256" s="79"/>
      <c r="Y256" s="79"/>
      <c r="Z256" s="79"/>
      <c r="AA256" s="79"/>
      <c r="AB256" s="79"/>
      <c r="AC256" s="159"/>
    </row>
    <row r="257" spans="1:29">
      <c r="A257" s="156"/>
      <c r="B257" s="102"/>
      <c r="C257" s="102"/>
      <c r="D257" s="102"/>
      <c r="E257" s="162"/>
      <c r="F257" s="162"/>
      <c r="G257" s="162"/>
      <c r="H257" s="162"/>
      <c r="I257" s="162"/>
      <c r="J257" s="162"/>
      <c r="K257" s="102"/>
      <c r="L257" s="102"/>
      <c r="M257" s="163"/>
      <c r="N257" s="163"/>
      <c r="O257" s="102"/>
      <c r="P257" s="164"/>
      <c r="Q257" s="102"/>
      <c r="R257" s="102"/>
      <c r="S257" s="102"/>
      <c r="T257" s="165"/>
      <c r="U257" s="165"/>
      <c r="V257" s="102"/>
      <c r="W257" s="102"/>
      <c r="X257" s="102"/>
      <c r="Y257" s="102"/>
      <c r="Z257" s="102"/>
      <c r="AA257" s="102"/>
      <c r="AB257" s="102"/>
      <c r="AC257" s="166"/>
    </row>
    <row r="258" spans="1:29">
      <c r="P258" s="5"/>
    </row>
    <row r="259" spans="1:29">
      <c r="E259" s="8"/>
      <c r="F259" s="9"/>
      <c r="G259" s="10"/>
      <c r="H259" s="9"/>
      <c r="I259" s="9"/>
      <c r="J259" s="9"/>
      <c r="P259" s="11"/>
    </row>
    <row r="260" spans="1:29">
      <c r="E260" s="26"/>
      <c r="F260" s="9"/>
      <c r="G260" s="26"/>
      <c r="H260" s="9"/>
      <c r="I260" s="9"/>
      <c r="J260" s="9"/>
      <c r="P260" s="11"/>
    </row>
    <row r="261" spans="1:29">
      <c r="E261" s="8"/>
      <c r="F261" s="8"/>
      <c r="G261" s="8"/>
      <c r="H261" s="8"/>
      <c r="I261" s="8"/>
      <c r="J261" s="8"/>
      <c r="P261" s="11"/>
    </row>
    <row r="262" spans="1:29">
      <c r="E262" s="27"/>
      <c r="F262" s="28"/>
      <c r="G262" s="28"/>
      <c r="H262" s="28"/>
      <c r="I262" s="28"/>
      <c r="J262" s="28"/>
      <c r="P262" s="11"/>
    </row>
    <row r="263" spans="1:29">
      <c r="P263" s="11"/>
    </row>
    <row r="264" spans="1:29">
      <c r="P264" s="11"/>
    </row>
    <row r="265" spans="1:29">
      <c r="P265" s="11"/>
    </row>
    <row r="266" spans="1:29">
      <c r="P266" s="11"/>
    </row>
    <row r="267" spans="1:29">
      <c r="P267" s="11"/>
    </row>
    <row r="268" spans="1:29">
      <c r="P268" s="11"/>
    </row>
    <row r="269" spans="1:29">
      <c r="P269" s="12"/>
    </row>
    <row r="270" spans="1:29">
      <c r="P270" s="12"/>
    </row>
    <row r="271" spans="1:29">
      <c r="P271" s="12"/>
    </row>
    <row r="272" spans="1:29">
      <c r="P272" s="12"/>
    </row>
    <row r="273" spans="16:16">
      <c r="P273" s="12"/>
    </row>
    <row r="274" spans="16:16">
      <c r="P274" s="12"/>
    </row>
    <row r="275" spans="16:16">
      <c r="P275" s="12"/>
    </row>
    <row r="276" spans="16:16">
      <c r="P276" s="12"/>
    </row>
    <row r="277" spans="16:16">
      <c r="P277" s="12"/>
    </row>
    <row r="278" spans="16:16">
      <c r="P278" s="12"/>
    </row>
    <row r="279" spans="16:16">
      <c r="P279" s="12"/>
    </row>
    <row r="280" spans="16:16">
      <c r="P280" s="12"/>
    </row>
    <row r="281" spans="16:16">
      <c r="P281" s="12"/>
    </row>
    <row r="282" spans="16:16">
      <c r="P282" s="12"/>
    </row>
    <row r="283" spans="16:16">
      <c r="P283" s="12"/>
    </row>
    <row r="284" spans="16:16">
      <c r="P284" s="12"/>
    </row>
    <row r="285" spans="16:16">
      <c r="P285" s="12"/>
    </row>
    <row r="286" spans="16:16">
      <c r="P286" s="12"/>
    </row>
    <row r="287" spans="16:16">
      <c r="P287" s="12"/>
    </row>
    <row r="288" spans="16:16">
      <c r="P288" s="12"/>
    </row>
    <row r="289" spans="16:16">
      <c r="P289" s="12"/>
    </row>
    <row r="290" spans="16:16">
      <c r="P290" s="12"/>
    </row>
    <row r="291" spans="16:16">
      <c r="P291" s="12"/>
    </row>
    <row r="292" spans="16:16">
      <c r="P292" s="12"/>
    </row>
    <row r="293" spans="16:16">
      <c r="P293" s="12"/>
    </row>
    <row r="294" spans="16:16">
      <c r="P294" s="12"/>
    </row>
    <row r="295" spans="16:16">
      <c r="P295" s="12"/>
    </row>
    <row r="296" spans="16:16">
      <c r="P296" s="12"/>
    </row>
    <row r="297" spans="16:16">
      <c r="P297" s="12"/>
    </row>
    <row r="298" spans="16:16">
      <c r="P298" s="12"/>
    </row>
    <row r="299" spans="16:16">
      <c r="P299" s="12"/>
    </row>
    <row r="300" spans="16:16">
      <c r="P300" s="12"/>
    </row>
    <row r="301" spans="16:16">
      <c r="P301" s="12"/>
    </row>
    <row r="302" spans="16:16">
      <c r="P302" s="12"/>
    </row>
    <row r="303" spans="16:16">
      <c r="P303" s="12"/>
    </row>
    <row r="304" spans="16:16">
      <c r="P304" s="12"/>
    </row>
    <row r="305" spans="16:16">
      <c r="P305" s="12"/>
    </row>
    <row r="306" spans="16:16">
      <c r="P306" s="12"/>
    </row>
    <row r="307" spans="16:16">
      <c r="P307" s="12"/>
    </row>
    <row r="308" spans="16:16">
      <c r="P308" s="12"/>
    </row>
    <row r="309" spans="16:16">
      <c r="P309" s="12"/>
    </row>
    <row r="310" spans="16:16">
      <c r="P310" s="12"/>
    </row>
    <row r="311" spans="16:16">
      <c r="P311" s="12"/>
    </row>
    <row r="312" spans="16:16">
      <c r="P312" s="12"/>
    </row>
    <row r="313" spans="16:16">
      <c r="P313" s="12"/>
    </row>
    <row r="314" spans="16:16">
      <c r="P314" s="12"/>
    </row>
    <row r="315" spans="16:16">
      <c r="P315" s="12"/>
    </row>
    <row r="316" spans="16:16">
      <c r="P316" s="12"/>
    </row>
    <row r="317" spans="16:16">
      <c r="P317" s="12"/>
    </row>
    <row r="318" spans="16:16">
      <c r="P318" s="12"/>
    </row>
    <row r="319" spans="16:16">
      <c r="P319" s="12"/>
    </row>
    <row r="320" spans="16:16">
      <c r="P320" s="12"/>
    </row>
    <row r="321" spans="16:16">
      <c r="P321" s="12"/>
    </row>
    <row r="322" spans="16:16">
      <c r="P322" s="12"/>
    </row>
    <row r="323" spans="16:16">
      <c r="P323" s="12"/>
    </row>
    <row r="324" spans="16:16">
      <c r="P324" s="12"/>
    </row>
    <row r="325" spans="16:16">
      <c r="P325" s="12"/>
    </row>
    <row r="326" spans="16:16">
      <c r="P326" s="12"/>
    </row>
    <row r="327" spans="16:16">
      <c r="P327" s="12"/>
    </row>
    <row r="328" spans="16:16">
      <c r="P328" s="12"/>
    </row>
    <row r="329" spans="16:16">
      <c r="P329" s="12"/>
    </row>
    <row r="330" spans="16:16">
      <c r="P330" s="12"/>
    </row>
    <row r="331" spans="16:16">
      <c r="P331" s="12"/>
    </row>
    <row r="332" spans="16:16">
      <c r="P332" s="12"/>
    </row>
    <row r="333" spans="16:16">
      <c r="P333" s="12"/>
    </row>
    <row r="334" spans="16:16">
      <c r="P334" s="12"/>
    </row>
    <row r="335" spans="16:16">
      <c r="P335" s="12"/>
    </row>
    <row r="336" spans="16:16">
      <c r="P336" s="12"/>
    </row>
    <row r="337" spans="16:16">
      <c r="P337" s="12"/>
    </row>
    <row r="338" spans="16:16">
      <c r="P338" s="12"/>
    </row>
    <row r="339" spans="16:16">
      <c r="P339" s="12"/>
    </row>
    <row r="340" spans="16:16">
      <c r="P340" s="12"/>
    </row>
    <row r="341" spans="16:16">
      <c r="P341" s="12"/>
    </row>
    <row r="342" spans="16:16">
      <c r="P342" s="12"/>
    </row>
    <row r="343" spans="16:16">
      <c r="P343" s="12"/>
    </row>
    <row r="344" spans="16:16">
      <c r="P344" s="12"/>
    </row>
    <row r="345" spans="16:16">
      <c r="P345" s="12"/>
    </row>
    <row r="346" spans="16:16">
      <c r="P346" s="12"/>
    </row>
    <row r="347" spans="16:16">
      <c r="P347" s="12"/>
    </row>
    <row r="348" spans="16:16">
      <c r="P348" s="12"/>
    </row>
    <row r="349" spans="16:16">
      <c r="P349" s="12"/>
    </row>
    <row r="350" spans="16:16">
      <c r="P350" s="12"/>
    </row>
    <row r="351" spans="16:16">
      <c r="P351" s="12"/>
    </row>
    <row r="352" spans="16:16">
      <c r="P352" s="12"/>
    </row>
    <row r="353" spans="16:16">
      <c r="P353" s="12"/>
    </row>
    <row r="354" spans="16:16">
      <c r="P354" s="12"/>
    </row>
    <row r="355" spans="16:16">
      <c r="P355" s="12"/>
    </row>
    <row r="356" spans="16:16">
      <c r="P356" s="12"/>
    </row>
    <row r="357" spans="16:16">
      <c r="P357" s="12"/>
    </row>
    <row r="358" spans="16:16">
      <c r="P358" s="12"/>
    </row>
    <row r="359" spans="16:16">
      <c r="P359" s="12"/>
    </row>
    <row r="360" spans="16:16">
      <c r="P360" s="12"/>
    </row>
    <row r="361" spans="16:16">
      <c r="P361" s="12"/>
    </row>
    <row r="362" spans="16:16">
      <c r="P362" s="12"/>
    </row>
    <row r="363" spans="16:16">
      <c r="P363" s="12"/>
    </row>
    <row r="364" spans="16:16">
      <c r="P364" s="12"/>
    </row>
    <row r="365" spans="16:16">
      <c r="P365" s="12"/>
    </row>
    <row r="366" spans="16:16">
      <c r="P366" s="12"/>
    </row>
    <row r="367" spans="16:16">
      <c r="P367" s="12"/>
    </row>
    <row r="368" spans="16:16">
      <c r="P368" s="12"/>
    </row>
    <row r="369" spans="16:16">
      <c r="P369" s="12"/>
    </row>
    <row r="370" spans="16:16">
      <c r="P370" s="12"/>
    </row>
    <row r="371" spans="16:16">
      <c r="P371" s="12"/>
    </row>
    <row r="372" spans="16:16">
      <c r="P372" s="12"/>
    </row>
    <row r="373" spans="16:16">
      <c r="P373" s="12"/>
    </row>
    <row r="374" spans="16:16">
      <c r="P374" s="12"/>
    </row>
    <row r="375" spans="16:16">
      <c r="P375" s="12"/>
    </row>
    <row r="376" spans="16:16">
      <c r="P376" s="12"/>
    </row>
    <row r="377" spans="16:16">
      <c r="P377" s="12"/>
    </row>
    <row r="378" spans="16:16">
      <c r="P378" s="12"/>
    </row>
    <row r="379" spans="16:16">
      <c r="P379" s="12"/>
    </row>
    <row r="380" spans="16:16">
      <c r="P380" s="12"/>
    </row>
    <row r="381" spans="16:16">
      <c r="P381" s="12"/>
    </row>
    <row r="382" spans="16:16">
      <c r="P382" s="12"/>
    </row>
    <row r="383" spans="16:16">
      <c r="P383" s="12"/>
    </row>
    <row r="384" spans="16:16">
      <c r="P384" s="12"/>
    </row>
    <row r="385" spans="16:16">
      <c r="P385" s="12"/>
    </row>
    <row r="386" spans="16:16">
      <c r="P386" s="12"/>
    </row>
    <row r="387" spans="16:16">
      <c r="P387" s="12"/>
    </row>
    <row r="388" spans="16:16">
      <c r="P388" s="12"/>
    </row>
    <row r="389" spans="16:16">
      <c r="P389" s="12"/>
    </row>
    <row r="390" spans="16:16">
      <c r="P390" s="12"/>
    </row>
    <row r="391" spans="16:16">
      <c r="P391" s="12"/>
    </row>
    <row r="392" spans="16:16">
      <c r="P392" s="12"/>
    </row>
    <row r="393" spans="16:16">
      <c r="P393" s="12"/>
    </row>
    <row r="394" spans="16:16">
      <c r="P394" s="12"/>
    </row>
    <row r="395" spans="16:16">
      <c r="P395" s="12"/>
    </row>
    <row r="396" spans="16:16">
      <c r="P396" s="12"/>
    </row>
    <row r="397" spans="16:16">
      <c r="P397" s="12"/>
    </row>
    <row r="398" spans="16:16">
      <c r="P398" s="12"/>
    </row>
    <row r="399" spans="16:16">
      <c r="P399" s="12"/>
    </row>
    <row r="400" spans="16:16">
      <c r="P400" s="12"/>
    </row>
    <row r="401" spans="16:16">
      <c r="P401" s="12"/>
    </row>
    <row r="402" spans="16:16">
      <c r="P402" s="12"/>
    </row>
    <row r="403" spans="16:16">
      <c r="P403" s="12"/>
    </row>
    <row r="404" spans="16:16">
      <c r="P404" s="12"/>
    </row>
    <row r="405" spans="16:16">
      <c r="P405" s="12"/>
    </row>
    <row r="406" spans="16:16">
      <c r="P406" s="12"/>
    </row>
    <row r="407" spans="16:16">
      <c r="P407" s="12"/>
    </row>
    <row r="408" spans="16:16">
      <c r="P408" s="12"/>
    </row>
    <row r="409" spans="16:16">
      <c r="P409" s="12"/>
    </row>
    <row r="410" spans="16:16">
      <c r="P410" s="12"/>
    </row>
    <row r="411" spans="16:16">
      <c r="P411" s="12"/>
    </row>
    <row r="412" spans="16:16">
      <c r="P412" s="12"/>
    </row>
    <row r="413" spans="16:16">
      <c r="P413" s="12"/>
    </row>
    <row r="414" spans="16:16">
      <c r="P414" s="12"/>
    </row>
    <row r="415" spans="16:16">
      <c r="P415" s="12"/>
    </row>
    <row r="416" spans="16:16">
      <c r="P416" s="12"/>
    </row>
    <row r="417" spans="16:16">
      <c r="P417" s="12"/>
    </row>
    <row r="418" spans="16:16">
      <c r="P418" s="12"/>
    </row>
    <row r="419" spans="16:16">
      <c r="P419" s="12"/>
    </row>
  </sheetData>
  <conditionalFormatting sqref="A1">
    <cfRule type="containsText" dxfId="14" priority="1" operator="containsText" text="Center">
      <formula>NOT(ISERROR(SEARCH("Center",A1)))</formula>
    </cfRule>
    <cfRule type="containsText" dxfId="13" priority="2" operator="containsText" text="North">
      <formula>NOT(ISERROR(SEARCH("North",A1)))</formula>
    </cfRule>
    <cfRule type="containsText" dxfId="12" priority="3" operator="containsText" text="Algarve">
      <formula>NOT(ISERROR(SEARCH("Algarve",A1)))</formula>
    </cfRule>
    <cfRule type="containsText" dxfId="11" priority="4" operator="containsText" text="Vilamoura">
      <formula>NOT(ISERROR(SEARCH("Vilamoura",A1)))</formula>
    </cfRule>
  </conditionalFormatting>
  <conditionalFormatting sqref="B2:J231 M2:N231">
    <cfRule type="expression" dxfId="10" priority="145">
      <formula>#REF!="Deed signed"</formula>
    </cfRule>
    <cfRule type="expression" dxfId="9" priority="146">
      <formula>#REF!="PSPA signed"</formula>
    </cfRule>
    <cfRule type="expression" dxfId="8" priority="147">
      <formula>#REF!="Reserved"</formula>
    </cfRule>
    <cfRule type="expression" dxfId="7" priority="148">
      <formula>#REF!="Pre-Reserved"</formula>
    </cfRule>
  </conditionalFormatting>
  <pageMargins left="0.7" right="0.7" top="0.75" bottom="0.75" header="0.3" footer="0.3"/>
  <pageSetup paperSize="8" scale="32" fitToHeight="0"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A7669-2906-4B52-AE0A-D19970908B5D}">
  <sheetPr>
    <tabColor rgb="FFA7AAB0"/>
    <pageSetUpPr fitToPage="1"/>
  </sheetPr>
  <dimension ref="A1:AB72"/>
  <sheetViews>
    <sheetView showGridLines="0" zoomScale="68" zoomScaleNormal="58" zoomScaleSheetLayoutView="70" workbookViewId="0">
      <selection activeCell="P19" sqref="P19"/>
    </sheetView>
  </sheetViews>
  <sheetFormatPr defaultColWidth="8.7109375" defaultRowHeight="15" outlineLevelCol="2"/>
  <cols>
    <col min="1" max="1" width="27.140625" customWidth="1"/>
    <col min="2" max="2" width="19.7109375" bestFit="1" customWidth="1"/>
    <col min="3" max="3" width="22.28515625" bestFit="1" customWidth="1"/>
    <col min="4" max="4" width="14.7109375" bestFit="1" customWidth="1"/>
    <col min="5" max="5" width="21.7109375" bestFit="1" customWidth="1"/>
    <col min="6" max="11" width="21.7109375" customWidth="1" outlineLevel="2"/>
    <col min="12" max="12" width="18.42578125" customWidth="1" outlineLevel="1"/>
    <col min="13" max="13" width="16.28515625" customWidth="1" outlineLevel="1"/>
    <col min="14" max="14" width="25.28515625" customWidth="1"/>
    <col min="15" max="15" width="42.28515625" bestFit="1" customWidth="1"/>
    <col min="16" max="16" width="42" customWidth="1" outlineLevel="1"/>
    <col min="17" max="17" width="36.42578125" customWidth="1" outlineLevel="1"/>
    <col min="18" max="18" width="45.42578125" customWidth="1" outlineLevel="1"/>
    <col min="19" max="19" width="32" customWidth="1" outlineLevel="1"/>
    <col min="20" max="20" width="34.140625" customWidth="1"/>
    <col min="21" max="21" width="30.42578125" hidden="1" customWidth="1" outlineLevel="1"/>
    <col min="22" max="22" width="29.42578125" customWidth="1" collapsed="1"/>
    <col min="23" max="23" width="32.42578125" customWidth="1"/>
  </cols>
  <sheetData>
    <row r="1" spans="1:28" s="1" customFormat="1" ht="40.5">
      <c r="A1" s="58" t="s">
        <v>335</v>
      </c>
      <c r="B1" s="59" t="s">
        <v>687</v>
      </c>
      <c r="C1" s="59" t="s">
        <v>770</v>
      </c>
      <c r="D1" s="59" t="s">
        <v>93</v>
      </c>
      <c r="E1" s="59" t="s">
        <v>766</v>
      </c>
      <c r="F1" s="60" t="s">
        <v>678</v>
      </c>
      <c r="G1" s="60" t="s">
        <v>679</v>
      </c>
      <c r="H1" s="60" t="s">
        <v>680</v>
      </c>
      <c r="I1" s="60" t="s">
        <v>681</v>
      </c>
      <c r="J1" s="60" t="s">
        <v>682</v>
      </c>
      <c r="K1" s="60" t="s">
        <v>785</v>
      </c>
      <c r="L1" s="60" t="s">
        <v>683</v>
      </c>
      <c r="M1" s="59" t="s">
        <v>684</v>
      </c>
      <c r="N1" s="59" t="s">
        <v>94</v>
      </c>
      <c r="O1" s="59" t="s">
        <v>95</v>
      </c>
      <c r="P1" s="59" t="s">
        <v>627</v>
      </c>
      <c r="Q1" s="61" t="s">
        <v>331</v>
      </c>
      <c r="R1" s="61" t="s">
        <v>332</v>
      </c>
      <c r="S1" s="61" t="s">
        <v>333</v>
      </c>
      <c r="T1" s="61" t="s">
        <v>685</v>
      </c>
      <c r="U1" s="61" t="s">
        <v>97</v>
      </c>
      <c r="V1" s="59" t="s">
        <v>330</v>
      </c>
      <c r="W1" s="62" t="s">
        <v>767</v>
      </c>
      <c r="X1" s="61" t="s">
        <v>334</v>
      </c>
      <c r="Y1" s="59" t="s">
        <v>98</v>
      </c>
      <c r="Z1" s="59" t="s">
        <v>771</v>
      </c>
      <c r="AA1" s="63" t="s">
        <v>768</v>
      </c>
      <c r="AB1" s="64" t="s">
        <v>7</v>
      </c>
    </row>
    <row r="2" spans="1:28">
      <c r="A2" s="52" t="str">
        <f>DATABASE!A1098</f>
        <v>ZESTIA</v>
      </c>
      <c r="B2" s="180" t="str">
        <f>DATABASE!B1098</f>
        <v>Vilamoura</v>
      </c>
      <c r="C2" s="181" t="str">
        <f>DATABASE!C1098</f>
        <v>V</v>
      </c>
      <c r="D2" s="73" t="str">
        <f>DATABASE!E1098</f>
        <v>T2 LO</v>
      </c>
      <c r="E2" s="73">
        <f>DATABASE!F1098</f>
        <v>117.31</v>
      </c>
      <c r="F2" s="73">
        <f>DATABASE!G1098</f>
        <v>0</v>
      </c>
      <c r="G2" s="73" t="str">
        <f>DATABASE!H1098</f>
        <v/>
      </c>
      <c r="H2" s="73" t="str">
        <f>DATABASE!I1098</f>
        <v/>
      </c>
      <c r="I2" s="73">
        <f>DATABASE!J1098</f>
        <v>28.6</v>
      </c>
      <c r="J2" s="73">
        <f>DATABASE!K1098</f>
        <v>0</v>
      </c>
      <c r="K2" s="73">
        <f>DATABASE!L1098</f>
        <v>0</v>
      </c>
      <c r="L2" s="74">
        <f>DATABASE!M1098</f>
        <v>0</v>
      </c>
      <c r="M2" s="72">
        <f>DATABASE!N1098</f>
        <v>0</v>
      </c>
      <c r="N2" s="107">
        <f>DATABASE!O1098</f>
        <v>88.71</v>
      </c>
      <c r="O2" s="116">
        <f>DATABASE!P1098</f>
        <v>0</v>
      </c>
      <c r="P2" s="149" t="str">
        <f>DATABASE!Q1098</f>
        <v>AVAILABLE</v>
      </c>
      <c r="Q2" s="149">
        <f>DATABASE!R1098</f>
        <v>700527.65240000002</v>
      </c>
      <c r="R2" s="107">
        <f>DATABASE!S1098</f>
        <v>765127.65240000002</v>
      </c>
      <c r="S2" s="107">
        <f>DATABASE!T1098</f>
        <v>840000</v>
      </c>
      <c r="T2" s="116">
        <f>DATABASE!U1098</f>
        <v>24600</v>
      </c>
      <c r="U2" s="79">
        <f>DATABASE!V1098</f>
        <v>40000</v>
      </c>
      <c r="V2" s="116">
        <f>DATABASE!W1098</f>
        <v>775400</v>
      </c>
      <c r="W2" s="80">
        <f>DATABASE!X1098</f>
        <v>0</v>
      </c>
      <c r="X2" s="79">
        <f>DATABASE!Y1098</f>
        <v>840000</v>
      </c>
      <c r="Y2" s="79">
        <f>DATABASE!Z1098</f>
        <v>775400</v>
      </c>
      <c r="Z2" s="79" t="e">
        <f>DATABASE!#REF!</f>
        <v>#REF!</v>
      </c>
      <c r="AA2" s="81">
        <f>DATABASE!AA1098</f>
        <v>0</v>
      </c>
      <c r="AB2" s="82">
        <f>DATABASE!AB1098</f>
        <v>0</v>
      </c>
    </row>
    <row r="3" spans="1:28" s="17" customFormat="1">
      <c r="A3" s="128" t="str">
        <f>DATABASE!A1099</f>
        <v>BOTÂNICA</v>
      </c>
      <c r="B3" s="182" t="str">
        <f>DATABASE!B1099</f>
        <v>Vilamoura</v>
      </c>
      <c r="C3" s="183" t="str">
        <f>DATABASE!C1099</f>
        <v>W</v>
      </c>
      <c r="D3" s="130" t="str">
        <f>DATABASE!E1099</f>
        <v>T2</v>
      </c>
      <c r="E3" s="130">
        <f>DATABASE!F1099</f>
        <v>151.25</v>
      </c>
      <c r="F3" s="130">
        <f>DATABASE!G1099</f>
        <v>0</v>
      </c>
      <c r="G3" s="130" t="str">
        <f>DATABASE!H1099</f>
        <v>2</v>
      </c>
      <c r="H3" s="130" t="str">
        <f>DATABASE!I1099</f>
        <v/>
      </c>
      <c r="I3" s="130">
        <f>DATABASE!J1099</f>
        <v>20.100000000000001</v>
      </c>
      <c r="J3" s="130">
        <f>DATABASE!K1099</f>
        <v>0</v>
      </c>
      <c r="K3" s="130">
        <f>DATABASE!L1099</f>
        <v>0</v>
      </c>
      <c r="L3" s="74">
        <f>DATABASE!M1099</f>
        <v>7.51</v>
      </c>
      <c r="M3" s="72">
        <f>DATABASE!N1099</f>
        <v>0</v>
      </c>
      <c r="N3" s="107">
        <f>DATABASE!O1099</f>
        <v>123.64</v>
      </c>
      <c r="O3" s="116">
        <f>DATABASE!P1099</f>
        <v>0</v>
      </c>
      <c r="P3" s="184" t="str">
        <f>DATABASE!Q1099</f>
        <v>AVAILABLE</v>
      </c>
      <c r="Q3" s="184">
        <f>DATABASE!R1099</f>
        <v>922933.30799999996</v>
      </c>
      <c r="R3" s="107">
        <f>DATABASE!S1099</f>
        <v>922933.30799999996</v>
      </c>
      <c r="S3" s="107">
        <f>DATABASE!T1099</f>
        <v>950000</v>
      </c>
      <c r="T3" s="116">
        <f>DATABASE!U1099</f>
        <v>0</v>
      </c>
      <c r="U3" s="143">
        <f>DATABASE!V1099</f>
        <v>0</v>
      </c>
      <c r="V3" s="116">
        <f>DATABASE!W1099</f>
        <v>950000</v>
      </c>
      <c r="W3" s="185">
        <f>DATABASE!X1099</f>
        <v>0</v>
      </c>
      <c r="X3" s="143">
        <f>DATABASE!Y1099</f>
        <v>930000</v>
      </c>
      <c r="Y3" s="143">
        <f>DATABASE!Z1099</f>
        <v>930000</v>
      </c>
      <c r="Z3" s="143" t="e">
        <f>DATABASE!#REF!</f>
        <v>#REF!</v>
      </c>
      <c r="AA3" s="186">
        <f>DATABASE!AA1099</f>
        <v>0</v>
      </c>
      <c r="AB3" s="187">
        <f>DATABASE!AB1099</f>
        <v>0</v>
      </c>
    </row>
    <row r="4" spans="1:28">
      <c r="A4" s="128" t="str">
        <f>DATABASE!A1100</f>
        <v>NOBILUS</v>
      </c>
      <c r="B4" s="188" t="str">
        <f>DATABASE!B1100</f>
        <v>Vilamoura</v>
      </c>
      <c r="C4" s="189" t="str">
        <f>DATABASE!C1100</f>
        <v>W</v>
      </c>
      <c r="D4" s="91" t="str">
        <f>DATABASE!E1100</f>
        <v>T3</v>
      </c>
      <c r="E4" s="91">
        <f>DATABASE!F1100</f>
        <v>152.9</v>
      </c>
      <c r="F4" s="91">
        <f>DATABASE!G1100</f>
        <v>3.99</v>
      </c>
      <c r="G4" s="91" t="str">
        <f>DATABASE!H1100</f>
        <v>46-47</v>
      </c>
      <c r="H4" s="91" t="str">
        <f>DATABASE!I1100</f>
        <v/>
      </c>
      <c r="I4" s="91">
        <f>DATABASE!J1100</f>
        <v>38.56</v>
      </c>
      <c r="J4" s="91">
        <f>DATABASE!K1100</f>
        <v>0</v>
      </c>
      <c r="K4" s="91">
        <f>DATABASE!L1100</f>
        <v>0</v>
      </c>
      <c r="L4" s="74">
        <f>DATABASE!M1100</f>
        <v>0</v>
      </c>
      <c r="M4" s="72">
        <f>DATABASE!N1100</f>
        <v>0</v>
      </c>
      <c r="N4" s="190">
        <f>DATABASE!O1100</f>
        <v>152.9</v>
      </c>
      <c r="O4" s="116">
        <f>DATABASE!P1100</f>
        <v>0</v>
      </c>
      <c r="P4" s="110" t="str">
        <f>DATABASE!Q1100</f>
        <v>AVAILABLE</v>
      </c>
      <c r="Q4" s="110">
        <f>DATABASE!R1100</f>
        <v>970000</v>
      </c>
      <c r="R4" s="107">
        <f>DATABASE!S1100</f>
        <v>970000</v>
      </c>
      <c r="S4" s="107">
        <f>DATABASE!T1100</f>
        <v>970000</v>
      </c>
      <c r="T4" s="116">
        <f>DATABASE!U1100</f>
        <v>0</v>
      </c>
      <c r="U4" s="79">
        <f>DATABASE!V1100</f>
        <v>0</v>
      </c>
      <c r="V4" s="116">
        <f>DATABASE!W1100</f>
        <v>970000</v>
      </c>
      <c r="W4" s="80">
        <f>DATABASE!X1100</f>
        <v>0</v>
      </c>
      <c r="X4" s="79">
        <f>DATABASE!Y1100</f>
        <v>970000</v>
      </c>
      <c r="Y4" s="79">
        <f>DATABASE!Z1100</f>
        <v>970000</v>
      </c>
      <c r="Z4" s="79" t="e">
        <f>DATABASE!#REF!</f>
        <v>#REF!</v>
      </c>
      <c r="AA4" s="81">
        <f>DATABASE!AA1100</f>
        <v>0</v>
      </c>
      <c r="AB4" s="82">
        <f>DATABASE!AB1100</f>
        <v>0</v>
      </c>
    </row>
    <row r="5" spans="1:28">
      <c r="A5" s="128" t="str">
        <f>DATABASE!A1101</f>
        <v>Rivus</v>
      </c>
      <c r="B5" s="188" t="str">
        <f>DATABASE!B1101</f>
        <v>Vilamoura</v>
      </c>
      <c r="C5" s="189" t="str">
        <f>DATABASE!C1101</f>
        <v>W</v>
      </c>
      <c r="D5" s="91" t="str">
        <f>DATABASE!E1101</f>
        <v>T2</v>
      </c>
      <c r="E5" s="91">
        <f>DATABASE!F1101</f>
        <v>0</v>
      </c>
      <c r="F5" s="91">
        <f>DATABASE!G1101</f>
        <v>0</v>
      </c>
      <c r="G5" s="91" t="str">
        <f>DATABASE!H1101</f>
        <v/>
      </c>
      <c r="H5" s="91" t="str">
        <f>DATABASE!I1101</f>
        <v/>
      </c>
      <c r="I5" s="91">
        <f>DATABASE!J1101</f>
        <v>0</v>
      </c>
      <c r="J5" s="91">
        <f>DATABASE!K1101</f>
        <v>0</v>
      </c>
      <c r="K5" s="91">
        <f>DATABASE!L1101</f>
        <v>0</v>
      </c>
      <c r="L5" s="74">
        <f>DATABASE!M1101</f>
        <v>16</v>
      </c>
      <c r="M5" s="72">
        <f>DATABASE!N1101</f>
        <v>0</v>
      </c>
      <c r="N5" s="191">
        <f>DATABASE!O1101</f>
        <v>105</v>
      </c>
      <c r="O5" s="116">
        <f>DATABASE!P1101</f>
        <v>0</v>
      </c>
      <c r="P5" s="111" t="str">
        <f>DATABASE!Q1101</f>
        <v>RESERVED</v>
      </c>
      <c r="Q5" s="111">
        <f>DATABASE!R1101</f>
        <v>700000</v>
      </c>
      <c r="R5" s="107">
        <f>DATABASE!S1101</f>
        <v>700000</v>
      </c>
      <c r="S5" s="107">
        <f>DATABASE!T1101</f>
        <v>700000</v>
      </c>
      <c r="T5" s="116">
        <f>DATABASE!U1101</f>
        <v>0</v>
      </c>
      <c r="U5" s="79">
        <f>DATABASE!V1101</f>
        <v>0</v>
      </c>
      <c r="V5" s="116">
        <f>DATABASE!W1101</f>
        <v>700000</v>
      </c>
      <c r="W5" s="80">
        <f>DATABASE!X1101</f>
        <v>0</v>
      </c>
      <c r="X5" s="79">
        <f>DATABASE!Y1101</f>
        <v>700000</v>
      </c>
      <c r="Y5" s="79">
        <f>DATABASE!Z1101</f>
        <v>700000</v>
      </c>
      <c r="Z5" s="79" t="e">
        <f>DATABASE!#REF!</f>
        <v>#REF!</v>
      </c>
      <c r="AA5" s="81">
        <f>DATABASE!AA1101</f>
        <v>46156</v>
      </c>
      <c r="AB5" s="82">
        <f>DATABASE!AB1101</f>
        <v>0</v>
      </c>
    </row>
    <row r="6" spans="1:28">
      <c r="A6" s="128" t="str">
        <f>DATABASE!A1102</f>
        <v>SPRINGS</v>
      </c>
      <c r="B6" s="188" t="str">
        <f>DATABASE!B1102</f>
        <v>Vilamoura</v>
      </c>
      <c r="C6" s="189" t="str">
        <f>DATABASE!C1102</f>
        <v>W</v>
      </c>
      <c r="D6" s="91" t="str">
        <f>DATABASE!E1102</f>
        <v>V3</v>
      </c>
      <c r="E6" s="91">
        <f>DATABASE!F1102</f>
        <v>323.58999999999997</v>
      </c>
      <c r="F6" s="91">
        <f>DATABASE!G1102</f>
        <v>165.79</v>
      </c>
      <c r="G6" s="91" t="str">
        <f>DATABASE!H1102</f>
        <v/>
      </c>
      <c r="H6" s="91" t="str">
        <f>DATABASE!I1102</f>
        <v/>
      </c>
      <c r="I6" s="91">
        <f>DATABASE!J1102</f>
        <v>0</v>
      </c>
      <c r="J6" s="91">
        <f>DATABASE!K1102</f>
        <v>0</v>
      </c>
      <c r="K6" s="91">
        <f>DATABASE!L1102</f>
        <v>0</v>
      </c>
      <c r="L6" s="74">
        <f>DATABASE!M1102</f>
        <v>0</v>
      </c>
      <c r="M6" s="72">
        <f>DATABASE!N1102</f>
        <v>0</v>
      </c>
      <c r="N6" s="191">
        <f>DATABASE!O1102</f>
        <v>157.80000000000001</v>
      </c>
      <c r="O6" s="116">
        <f>DATABASE!P1102</f>
        <v>0</v>
      </c>
      <c r="P6" s="111" t="str">
        <f>DATABASE!Q1102</f>
        <v xml:space="preserve">PSPA </v>
      </c>
      <c r="Q6" s="111">
        <f>DATABASE!R1102</f>
        <v>1602100</v>
      </c>
      <c r="R6" s="107">
        <f>DATABASE!S1102</f>
        <v>1691050</v>
      </c>
      <c r="S6" s="107">
        <f>DATABASE!T1102</f>
        <v>1750000</v>
      </c>
      <c r="T6" s="116">
        <f>DATABASE!U1102</f>
        <v>24600</v>
      </c>
      <c r="U6" s="79">
        <f>DATABASE!V1102</f>
        <v>64350</v>
      </c>
      <c r="V6" s="116">
        <f>DATABASE!W1102</f>
        <v>1661050</v>
      </c>
      <c r="W6" s="80">
        <f>DATABASE!X1102</f>
        <v>0</v>
      </c>
      <c r="X6" s="79">
        <f>DATABASE!Y1102</f>
        <v>1750000</v>
      </c>
      <c r="Y6" s="79">
        <f>DATABASE!Z1102</f>
        <v>1661050</v>
      </c>
      <c r="Z6" s="79" t="e">
        <f>DATABASE!#REF!</f>
        <v>#REF!</v>
      </c>
      <c r="AA6" s="81" t="e">
        <f>DATABASE!#REF!</f>
        <v>#REF!</v>
      </c>
      <c r="AB6" s="82">
        <f>DATABASE!AB1102</f>
        <v>0</v>
      </c>
    </row>
    <row r="7" spans="1:28">
      <c r="A7" s="128" t="str">
        <f>DATABASE!A1103</f>
        <v>TERRACOTA</v>
      </c>
      <c r="B7" s="188" t="str">
        <f>DATABASE!B1103</f>
        <v>Vilamoura</v>
      </c>
      <c r="C7" s="189" t="str">
        <f>DATABASE!C1103</f>
        <v>W</v>
      </c>
      <c r="D7" s="91" t="str">
        <f>DATABASE!E1103</f>
        <v>T3</v>
      </c>
      <c r="E7" s="91">
        <f>DATABASE!F1103</f>
        <v>130.91999999999999</v>
      </c>
      <c r="F7" s="91">
        <f>DATABASE!G1103</f>
        <v>0</v>
      </c>
      <c r="G7" s="91" t="str">
        <f>DATABASE!H1103</f>
        <v/>
      </c>
      <c r="H7" s="91" t="str">
        <f>DATABASE!I1103</f>
        <v/>
      </c>
      <c r="I7" s="91">
        <f>DATABASE!J1103</f>
        <v>0</v>
      </c>
      <c r="J7" s="91">
        <f>DATABASE!K1103</f>
        <v>0</v>
      </c>
      <c r="K7" s="91">
        <f>DATABASE!L1103</f>
        <v>0</v>
      </c>
      <c r="L7" s="74">
        <f>DATABASE!M1103</f>
        <v>0</v>
      </c>
      <c r="M7" s="72">
        <f>DATABASE!N1103</f>
        <v>0</v>
      </c>
      <c r="N7" s="191">
        <f>DATABASE!O1103</f>
        <v>130.91999999999999</v>
      </c>
      <c r="O7" s="116">
        <f>DATABASE!P1103</f>
        <v>0</v>
      </c>
      <c r="P7" s="111" t="str">
        <f>DATABASE!Q1103</f>
        <v xml:space="preserve">PSPA </v>
      </c>
      <c r="Q7" s="111">
        <f>DATABASE!R1103</f>
        <v>660000</v>
      </c>
      <c r="R7" s="107">
        <f>DATABASE!S1103</f>
        <v>660000</v>
      </c>
      <c r="S7" s="107">
        <f>DATABASE!T1103</f>
        <v>660000</v>
      </c>
      <c r="T7" s="116">
        <f>DATABASE!U1103</f>
        <v>0</v>
      </c>
      <c r="U7" s="79">
        <f>DATABASE!V1103</f>
        <v>0</v>
      </c>
      <c r="V7" s="116">
        <f>DATABASE!W1103</f>
        <v>660000</v>
      </c>
      <c r="W7" s="80">
        <f>DATABASE!X1103</f>
        <v>0</v>
      </c>
      <c r="X7" s="79">
        <f>DATABASE!Y1103</f>
        <v>660000</v>
      </c>
      <c r="Y7" s="79">
        <f>DATABASE!Z1103</f>
        <v>660000</v>
      </c>
      <c r="Z7" s="79" t="e">
        <f>DATABASE!#REF!</f>
        <v>#REF!</v>
      </c>
      <c r="AA7" s="81" t="e">
        <f>DATABASE!#REF!</f>
        <v>#REF!</v>
      </c>
      <c r="AB7" s="82">
        <f>DATABASE!AB1103</f>
        <v>0</v>
      </c>
    </row>
    <row r="8" spans="1:28">
      <c r="A8" s="128" t="str">
        <f>DATABASE!A1104</f>
        <v>THE NINE</v>
      </c>
      <c r="B8" s="188" t="str">
        <f>DATABASE!B1104</f>
        <v>Vilamoura</v>
      </c>
      <c r="C8" s="189" t="str">
        <f>DATABASE!C1104</f>
        <v>W</v>
      </c>
      <c r="D8" s="91" t="str">
        <f>DATABASE!E1104</f>
        <v>T2</v>
      </c>
      <c r="E8" s="91">
        <f>DATABASE!F1104</f>
        <v>117</v>
      </c>
      <c r="F8" s="91">
        <f>DATABASE!G1104</f>
        <v>0</v>
      </c>
      <c r="G8" s="91" t="str">
        <f>DATABASE!H1104</f>
        <v/>
      </c>
      <c r="H8" s="91" t="str">
        <f>DATABASE!I1104</f>
        <v/>
      </c>
      <c r="I8" s="91">
        <f>DATABASE!J1104</f>
        <v>0</v>
      </c>
      <c r="J8" s="91">
        <f>DATABASE!K1104</f>
        <v>0</v>
      </c>
      <c r="K8" s="91">
        <f>DATABASE!L1104</f>
        <v>0</v>
      </c>
      <c r="L8" s="74">
        <f>DATABASE!M1104</f>
        <v>0</v>
      </c>
      <c r="M8" s="72">
        <f>DATABASE!N1104</f>
        <v>0</v>
      </c>
      <c r="N8" s="191">
        <f>DATABASE!O1104</f>
        <v>117</v>
      </c>
      <c r="O8" s="116">
        <f>DATABASE!P1104</f>
        <v>0</v>
      </c>
      <c r="P8" s="111" t="str">
        <f>DATABASE!Q1104</f>
        <v xml:space="preserve">DEED </v>
      </c>
      <c r="Q8" s="111">
        <f>DATABASE!R1104</f>
        <v>550000</v>
      </c>
      <c r="R8" s="107">
        <f>DATABASE!S1104</f>
        <v>550000</v>
      </c>
      <c r="S8" s="107">
        <f>DATABASE!T1104</f>
        <v>610000</v>
      </c>
      <c r="T8" s="116">
        <f>DATABASE!U1104</f>
        <v>0</v>
      </c>
      <c r="U8" s="79">
        <f>DATABASE!V1104</f>
        <v>0</v>
      </c>
      <c r="V8" s="116">
        <f>DATABASE!W1104</f>
        <v>610000</v>
      </c>
      <c r="W8" s="80">
        <f>DATABASE!X1104</f>
        <v>0.18</v>
      </c>
      <c r="X8" s="79">
        <f>DATABASE!Y1104</f>
        <v>500200</v>
      </c>
      <c r="Y8" s="79">
        <f>DATABASE!Z1104</f>
        <v>500200</v>
      </c>
      <c r="Z8" s="79" t="e">
        <f>DATABASE!#REF!</f>
        <v>#REF!</v>
      </c>
      <c r="AA8" s="81">
        <f>DATABASE!AA1104</f>
        <v>45904</v>
      </c>
      <c r="AB8" s="82">
        <f>DATABASE!AB1104</f>
        <v>0</v>
      </c>
    </row>
    <row r="9" spans="1:28">
      <c r="A9" s="128" t="str">
        <f>DATABASE!A1105</f>
        <v>VM PARQUE</v>
      </c>
      <c r="B9" s="188" t="str">
        <f>DATABASE!B1105</f>
        <v>Vilamoura</v>
      </c>
      <c r="C9" s="189" t="str">
        <f>DATABASE!C1105</f>
        <v>W</v>
      </c>
      <c r="D9" s="91" t="str">
        <f>DATABASE!E1105</f>
        <v>V2</v>
      </c>
      <c r="E9" s="91">
        <f>DATABASE!F1105</f>
        <v>152.87280000000001</v>
      </c>
      <c r="F9" s="91">
        <f>DATABASE!G1105</f>
        <v>0</v>
      </c>
      <c r="G9" s="91" t="str">
        <f>DATABASE!H1105</f>
        <v/>
      </c>
      <c r="H9" s="91" t="str">
        <f>DATABASE!I1105</f>
        <v/>
      </c>
      <c r="I9" s="91">
        <f>DATABASE!J1105</f>
        <v>0</v>
      </c>
      <c r="J9" s="91">
        <f>DATABASE!K1105</f>
        <v>0</v>
      </c>
      <c r="K9" s="91">
        <f>DATABASE!L1105</f>
        <v>0</v>
      </c>
      <c r="L9" s="74">
        <f>DATABASE!M1105</f>
        <v>0</v>
      </c>
      <c r="M9" s="72">
        <f>DATABASE!N1105</f>
        <v>0</v>
      </c>
      <c r="N9" s="191">
        <f>DATABASE!O1105</f>
        <v>152.87280000000001</v>
      </c>
      <c r="O9" s="116">
        <f>DATABASE!P1105</f>
        <v>0</v>
      </c>
      <c r="P9" s="111" t="str">
        <f>DATABASE!Q1105</f>
        <v xml:space="preserve">DEED </v>
      </c>
      <c r="Q9" s="111">
        <f>DATABASE!R1105</f>
        <v>913837</v>
      </c>
      <c r="R9" s="107">
        <f>DATABASE!S1105</f>
        <v>913837</v>
      </c>
      <c r="S9" s="107">
        <f>DATABASE!T1105</f>
        <v>960000</v>
      </c>
      <c r="T9" s="116">
        <f>DATABASE!U1105</f>
        <v>0</v>
      </c>
      <c r="U9" s="79">
        <f>DATABASE!V1105</f>
        <v>0</v>
      </c>
      <c r="V9" s="116">
        <f>DATABASE!W1105</f>
        <v>960000</v>
      </c>
      <c r="W9" s="80">
        <f>DATABASE!X1105</f>
        <v>0</v>
      </c>
      <c r="X9" s="79">
        <f>DATABASE!Y1105</f>
        <v>960000</v>
      </c>
      <c r="Y9" s="79">
        <f>DATABASE!Z1105</f>
        <v>960000</v>
      </c>
      <c r="Z9" s="79" t="e">
        <f>DATABASE!#REF!</f>
        <v>#REF!</v>
      </c>
      <c r="AA9" s="81">
        <f>DATABASE!AA1105</f>
        <v>45068</v>
      </c>
      <c r="AB9" s="82">
        <f>DATABASE!AB1105</f>
        <v>0</v>
      </c>
    </row>
    <row r="10" spans="1:28">
      <c r="A10" s="128" t="str">
        <f>DATABASE!A1106</f>
        <v>ZESTIA</v>
      </c>
      <c r="B10" s="188" t="str">
        <f>DATABASE!B1106</f>
        <v>Vilamoura</v>
      </c>
      <c r="C10" s="189" t="str">
        <f>DATABASE!C1106</f>
        <v>W</v>
      </c>
      <c r="D10" s="91" t="str">
        <f>DATABASE!E1106</f>
        <v>T2</v>
      </c>
      <c r="E10" s="91">
        <f>DATABASE!F1106</f>
        <v>117.44</v>
      </c>
      <c r="F10" s="91">
        <f>DATABASE!G1106</f>
        <v>0</v>
      </c>
      <c r="G10" s="91" t="str">
        <f>DATABASE!H1106</f>
        <v/>
      </c>
      <c r="H10" s="91" t="str">
        <f>DATABASE!I1106</f>
        <v/>
      </c>
      <c r="I10" s="91">
        <f>DATABASE!J1106</f>
        <v>28.26</v>
      </c>
      <c r="J10" s="91">
        <f>DATABASE!K1106</f>
        <v>0</v>
      </c>
      <c r="K10" s="91">
        <f>DATABASE!L1106</f>
        <v>0</v>
      </c>
      <c r="L10" s="74">
        <f>DATABASE!M1106</f>
        <v>0</v>
      </c>
      <c r="M10" s="72">
        <f>DATABASE!N1106</f>
        <v>0</v>
      </c>
      <c r="N10" s="191">
        <f>DATABASE!O1106</f>
        <v>89.18</v>
      </c>
      <c r="O10" s="116">
        <f>DATABASE!P1106</f>
        <v>0</v>
      </c>
      <c r="P10" s="111" t="str">
        <f>DATABASE!Q1106</f>
        <v>AVAILABLE</v>
      </c>
      <c r="Q10" s="111">
        <f>DATABASE!R1106</f>
        <v>703747.99919999996</v>
      </c>
      <c r="R10" s="107">
        <f>DATABASE!S1106</f>
        <v>768347.99919999996</v>
      </c>
      <c r="S10" s="107">
        <f>DATABASE!T1106</f>
        <v>840000</v>
      </c>
      <c r="T10" s="116">
        <f>DATABASE!U1106</f>
        <v>24600</v>
      </c>
      <c r="U10" s="79">
        <f>DATABASE!V1106</f>
        <v>40000</v>
      </c>
      <c r="V10" s="116">
        <f>DATABASE!W1106</f>
        <v>775400</v>
      </c>
      <c r="W10" s="80">
        <f>DATABASE!X1106</f>
        <v>0</v>
      </c>
      <c r="X10" s="79">
        <f>DATABASE!Y1106</f>
        <v>840000</v>
      </c>
      <c r="Y10" s="79">
        <f>DATABASE!Z1106</f>
        <v>775400</v>
      </c>
      <c r="Z10" s="79" t="e">
        <f>DATABASE!#REF!</f>
        <v>#REF!</v>
      </c>
      <c r="AA10" s="81">
        <f>DATABASE!AA1106</f>
        <v>0</v>
      </c>
      <c r="AB10" s="82">
        <f>DATABASE!AB1106</f>
        <v>0</v>
      </c>
    </row>
    <row r="11" spans="1:28">
      <c r="A11" s="128" t="str">
        <f>DATABASE!A1107</f>
        <v>BOTÂNICA</v>
      </c>
      <c r="B11" s="188" t="str">
        <f>DATABASE!B1107</f>
        <v>Vilamoura</v>
      </c>
      <c r="C11" s="189" t="str">
        <f>DATABASE!C1107</f>
        <v>X</v>
      </c>
      <c r="D11" s="91" t="str">
        <f>DATABASE!E1107</f>
        <v>T2</v>
      </c>
      <c r="E11" s="91">
        <f>DATABASE!F1107</f>
        <v>151.5</v>
      </c>
      <c r="F11" s="91">
        <f>DATABASE!G1107</f>
        <v>0</v>
      </c>
      <c r="G11" s="91" t="str">
        <f>DATABASE!H1107</f>
        <v>2</v>
      </c>
      <c r="H11" s="91" t="str">
        <f>DATABASE!I1107</f>
        <v/>
      </c>
      <c r="I11" s="91">
        <f>DATABASE!J1107</f>
        <v>27.61</v>
      </c>
      <c r="J11" s="91">
        <f>DATABASE!K1107</f>
        <v>0</v>
      </c>
      <c r="K11" s="91">
        <f>DATABASE!L1107</f>
        <v>0</v>
      </c>
      <c r="L11" s="74">
        <f>DATABASE!M1107</f>
        <v>0</v>
      </c>
      <c r="M11" s="72">
        <f>DATABASE!N1107</f>
        <v>0</v>
      </c>
      <c r="N11" s="191">
        <f>DATABASE!O1107</f>
        <v>123.89</v>
      </c>
      <c r="O11" s="116">
        <f>DATABASE!P1107</f>
        <v>0</v>
      </c>
      <c r="P11" s="111" t="str">
        <f>DATABASE!Q1107</f>
        <v>AVAILABLE</v>
      </c>
      <c r="Q11" s="111">
        <f>DATABASE!R1107</f>
        <v>924682.30799999996</v>
      </c>
      <c r="R11" s="107">
        <f>DATABASE!S1107</f>
        <v>924682.30799999996</v>
      </c>
      <c r="S11" s="107">
        <f>DATABASE!T1107</f>
        <v>950000</v>
      </c>
      <c r="T11" s="116">
        <f>DATABASE!U1107</f>
        <v>0</v>
      </c>
      <c r="U11" s="79">
        <f>DATABASE!V1107</f>
        <v>0</v>
      </c>
      <c r="V11" s="116">
        <f>DATABASE!W1107</f>
        <v>950000</v>
      </c>
      <c r="W11" s="80">
        <f>DATABASE!X1107</f>
        <v>0</v>
      </c>
      <c r="X11" s="79">
        <f>DATABASE!Y1107</f>
        <v>930000</v>
      </c>
      <c r="Y11" s="79">
        <f>DATABASE!Z1107</f>
        <v>930000</v>
      </c>
      <c r="Z11" s="79" t="e">
        <f>DATABASE!#REF!</f>
        <v>#REF!</v>
      </c>
      <c r="AA11" s="81">
        <f>DATABASE!AA1107</f>
        <v>0</v>
      </c>
      <c r="AB11" s="82">
        <f>DATABASE!AB1107</f>
        <v>0</v>
      </c>
    </row>
    <row r="12" spans="1:28">
      <c r="A12" s="128" t="str">
        <f>DATABASE!A1108</f>
        <v>NOBILUS</v>
      </c>
      <c r="B12" s="188" t="str">
        <f>DATABASE!B1108</f>
        <v>Vilamoura</v>
      </c>
      <c r="C12" s="189" t="str">
        <f>DATABASE!C1108</f>
        <v>X</v>
      </c>
      <c r="D12" s="91" t="str">
        <f>DATABASE!E1108</f>
        <v>T2</v>
      </c>
      <c r="E12" s="91">
        <f>DATABASE!F1108</f>
        <v>111</v>
      </c>
      <c r="F12" s="91">
        <f>DATABASE!G1108</f>
        <v>4.47</v>
      </c>
      <c r="G12" s="91" t="str">
        <f>DATABASE!H1108</f>
        <v>44-45</v>
      </c>
      <c r="H12" s="91" t="str">
        <f>DATABASE!I1108</f>
        <v>Yes</v>
      </c>
      <c r="I12" s="91">
        <f>DATABASE!J1108</f>
        <v>7.8</v>
      </c>
      <c r="J12" s="91">
        <f>DATABASE!K1108</f>
        <v>0</v>
      </c>
      <c r="K12" s="91">
        <f>DATABASE!L1108</f>
        <v>0</v>
      </c>
      <c r="L12" s="74">
        <f>DATABASE!M1108</f>
        <v>0</v>
      </c>
      <c r="M12" s="72">
        <f>DATABASE!N1108</f>
        <v>0</v>
      </c>
      <c r="N12" s="191">
        <f>DATABASE!O1108</f>
        <v>111</v>
      </c>
      <c r="O12" s="116">
        <f>DATABASE!P1108</f>
        <v>0</v>
      </c>
      <c r="P12" s="111" t="str">
        <f>DATABASE!Q1108</f>
        <v>AVAILABLE</v>
      </c>
      <c r="Q12" s="111">
        <f>DATABASE!R1108</f>
        <v>910000</v>
      </c>
      <c r="R12" s="107">
        <f>DATABASE!S1108</f>
        <v>910000</v>
      </c>
      <c r="S12" s="107">
        <f>DATABASE!T1108</f>
        <v>910000</v>
      </c>
      <c r="T12" s="116">
        <f>DATABASE!U1108</f>
        <v>0</v>
      </c>
      <c r="U12" s="79">
        <f>DATABASE!V1108</f>
        <v>0</v>
      </c>
      <c r="V12" s="116">
        <f>DATABASE!W1108</f>
        <v>910000</v>
      </c>
      <c r="W12" s="80">
        <f>DATABASE!X1108</f>
        <v>0</v>
      </c>
      <c r="X12" s="79">
        <f>DATABASE!Y1108</f>
        <v>910000</v>
      </c>
      <c r="Y12" s="79">
        <f>DATABASE!Z1108</f>
        <v>910000</v>
      </c>
      <c r="Z12" s="79" t="e">
        <f>DATABASE!#REF!</f>
        <v>#REF!</v>
      </c>
      <c r="AA12" s="81">
        <f>DATABASE!AA1108</f>
        <v>0</v>
      </c>
      <c r="AB12" s="82">
        <f>DATABASE!AB1108</f>
        <v>0</v>
      </c>
    </row>
    <row r="13" spans="1:28">
      <c r="A13" s="128" t="str">
        <f>DATABASE!A1109</f>
        <v>Rivus</v>
      </c>
      <c r="B13" s="188" t="str">
        <f>DATABASE!B1109</f>
        <v>Vilamoura</v>
      </c>
      <c r="C13" s="189" t="str">
        <f>DATABASE!C1109</f>
        <v>X</v>
      </c>
      <c r="D13" s="91" t="str">
        <f>DATABASE!E1109</f>
        <v>T3</v>
      </c>
      <c r="E13" s="91">
        <f>DATABASE!F1109</f>
        <v>0</v>
      </c>
      <c r="F13" s="91">
        <f>DATABASE!G1109</f>
        <v>0</v>
      </c>
      <c r="G13" s="91" t="str">
        <f>DATABASE!H1109</f>
        <v/>
      </c>
      <c r="H13" s="91" t="str">
        <f>DATABASE!I1109</f>
        <v>Yes</v>
      </c>
      <c r="I13" s="91">
        <f>DATABASE!J1109</f>
        <v>0</v>
      </c>
      <c r="J13" s="91">
        <f>DATABASE!K1109</f>
        <v>0</v>
      </c>
      <c r="K13" s="91">
        <f>DATABASE!L1109</f>
        <v>0</v>
      </c>
      <c r="L13" s="74">
        <f>DATABASE!M1109</f>
        <v>137</v>
      </c>
      <c r="M13" s="72">
        <f>DATABASE!N1109</f>
        <v>0</v>
      </c>
      <c r="N13" s="191">
        <f>DATABASE!O1109</f>
        <v>140</v>
      </c>
      <c r="O13" s="116">
        <f>DATABASE!P1109</f>
        <v>0</v>
      </c>
      <c r="P13" s="111" t="str">
        <f>DATABASE!Q1109</f>
        <v xml:space="preserve">PSPA </v>
      </c>
      <c r="Q13" s="111">
        <f>DATABASE!R1109</f>
        <v>1000000</v>
      </c>
      <c r="R13" s="107">
        <f>DATABASE!S1109</f>
        <v>1000000</v>
      </c>
      <c r="S13" s="107">
        <f>DATABASE!T1109</f>
        <v>1000000</v>
      </c>
      <c r="T13" s="116">
        <f>DATABASE!U1109</f>
        <v>0</v>
      </c>
      <c r="U13" s="79">
        <f>DATABASE!V1109</f>
        <v>0</v>
      </c>
      <c r="V13" s="116">
        <f>DATABASE!W1109</f>
        <v>1000000</v>
      </c>
      <c r="W13" s="80">
        <f>DATABASE!X1109</f>
        <v>0</v>
      </c>
      <c r="X13" s="79">
        <f>DATABASE!Y1109</f>
        <v>1000000</v>
      </c>
      <c r="Y13" s="79">
        <f>DATABASE!Z1109</f>
        <v>1000000</v>
      </c>
      <c r="Z13" s="79" t="e">
        <f>DATABASE!#REF!</f>
        <v>#REF!</v>
      </c>
      <c r="AA13" s="81" t="e">
        <f>DATABASE!#REF!</f>
        <v>#REF!</v>
      </c>
      <c r="AB13" s="82">
        <f>DATABASE!AB1109</f>
        <v>0</v>
      </c>
    </row>
    <row r="14" spans="1:28">
      <c r="A14" s="128" t="str">
        <f>DATABASE!A1110</f>
        <v>SPRINGS</v>
      </c>
      <c r="B14" s="188" t="str">
        <f>DATABASE!B1110</f>
        <v>Vilamoura</v>
      </c>
      <c r="C14" s="189" t="str">
        <f>DATABASE!C1110</f>
        <v>X</v>
      </c>
      <c r="D14" s="91" t="str">
        <f>DATABASE!E1110</f>
        <v>V3</v>
      </c>
      <c r="E14" s="91">
        <f>DATABASE!F1110</f>
        <v>323.58999999999997</v>
      </c>
      <c r="F14" s="91">
        <f>DATABASE!G1110</f>
        <v>165.79</v>
      </c>
      <c r="G14" s="91" t="str">
        <f>DATABASE!H1110</f>
        <v/>
      </c>
      <c r="H14" s="91" t="str">
        <f>DATABASE!I1110</f>
        <v/>
      </c>
      <c r="I14" s="91">
        <f>DATABASE!J1110</f>
        <v>0</v>
      </c>
      <c r="J14" s="91">
        <f>DATABASE!K1110</f>
        <v>0</v>
      </c>
      <c r="K14" s="91">
        <f>DATABASE!L1110</f>
        <v>0</v>
      </c>
      <c r="L14" s="74">
        <f>DATABASE!M1110</f>
        <v>0</v>
      </c>
      <c r="M14" s="72">
        <f>DATABASE!N1110</f>
        <v>0</v>
      </c>
      <c r="N14" s="191">
        <f>DATABASE!O1110</f>
        <v>157.80000000000001</v>
      </c>
      <c r="O14" s="116">
        <f>DATABASE!P1110</f>
        <v>0</v>
      </c>
      <c r="P14" s="111" t="str">
        <f>DATABASE!Q1110</f>
        <v xml:space="preserve">PSPA </v>
      </c>
      <c r="Q14" s="111">
        <f>DATABASE!R1110</f>
        <v>1652100</v>
      </c>
      <c r="R14" s="107">
        <f>DATABASE!S1110</f>
        <v>1741050</v>
      </c>
      <c r="S14" s="107">
        <f>DATABASE!T1110</f>
        <v>1800000</v>
      </c>
      <c r="T14" s="116">
        <f>DATABASE!U1110</f>
        <v>24600</v>
      </c>
      <c r="U14" s="79">
        <f>DATABASE!V1110</f>
        <v>64350</v>
      </c>
      <c r="V14" s="116">
        <f>DATABASE!W1110</f>
        <v>1711050</v>
      </c>
      <c r="W14" s="80">
        <f>DATABASE!X1110</f>
        <v>0</v>
      </c>
      <c r="X14" s="79">
        <f>DATABASE!Y1110</f>
        <v>1800000</v>
      </c>
      <c r="Y14" s="79">
        <f>DATABASE!Z1110</f>
        <v>1711050</v>
      </c>
      <c r="Z14" s="79" t="e">
        <f>DATABASE!#REF!</f>
        <v>#REF!</v>
      </c>
      <c r="AA14" s="81" t="e">
        <f>DATABASE!#REF!</f>
        <v>#REF!</v>
      </c>
      <c r="AB14" s="82">
        <f>DATABASE!AB1110</f>
        <v>0</v>
      </c>
    </row>
    <row r="15" spans="1:28">
      <c r="A15" s="128" t="str">
        <f>DATABASE!A1111</f>
        <v>TERRACOTA</v>
      </c>
      <c r="B15" s="188" t="str">
        <f>DATABASE!B1111</f>
        <v>Vilamoura</v>
      </c>
      <c r="C15" s="189" t="str">
        <f>DATABASE!C1111</f>
        <v>X</v>
      </c>
      <c r="D15" s="91" t="str">
        <f>DATABASE!E1111</f>
        <v>T3</v>
      </c>
      <c r="E15" s="91">
        <f>DATABASE!F1111</f>
        <v>130.91999999999999</v>
      </c>
      <c r="F15" s="91">
        <f>DATABASE!G1111</f>
        <v>0</v>
      </c>
      <c r="G15" s="91" t="str">
        <f>DATABASE!H1111</f>
        <v/>
      </c>
      <c r="H15" s="91" t="str">
        <f>DATABASE!I1111</f>
        <v/>
      </c>
      <c r="I15" s="91">
        <f>DATABASE!J1111</f>
        <v>0</v>
      </c>
      <c r="J15" s="91">
        <f>DATABASE!K1111</f>
        <v>0</v>
      </c>
      <c r="K15" s="91">
        <f>DATABASE!L1111</f>
        <v>0</v>
      </c>
      <c r="L15" s="74">
        <f>DATABASE!M1111</f>
        <v>0</v>
      </c>
      <c r="M15" s="72">
        <f>DATABASE!N1111</f>
        <v>0</v>
      </c>
      <c r="N15" s="191">
        <f>DATABASE!O1111</f>
        <v>130.91999999999999</v>
      </c>
      <c r="O15" s="116">
        <f>DATABASE!P1111</f>
        <v>0</v>
      </c>
      <c r="P15" s="111" t="str">
        <f>DATABASE!Q1111</f>
        <v xml:space="preserve">PSPA </v>
      </c>
      <c r="Q15" s="111">
        <f>DATABASE!R1111</f>
        <v>660000</v>
      </c>
      <c r="R15" s="107">
        <f>DATABASE!S1111</f>
        <v>660000</v>
      </c>
      <c r="S15" s="107">
        <f>DATABASE!T1111</f>
        <v>660000</v>
      </c>
      <c r="T15" s="116">
        <f>DATABASE!U1111</f>
        <v>0</v>
      </c>
      <c r="U15" s="79">
        <f>DATABASE!V1111</f>
        <v>0</v>
      </c>
      <c r="V15" s="116">
        <f>DATABASE!W1111</f>
        <v>660000</v>
      </c>
      <c r="W15" s="80">
        <f>DATABASE!X1111</f>
        <v>0</v>
      </c>
      <c r="X15" s="79">
        <f>DATABASE!Y1111</f>
        <v>660000</v>
      </c>
      <c r="Y15" s="79">
        <f>DATABASE!Z1111</f>
        <v>660000</v>
      </c>
      <c r="Z15" s="79" t="e">
        <f>DATABASE!#REF!</f>
        <v>#REF!</v>
      </c>
      <c r="AA15" s="81" t="e">
        <f>DATABASE!#REF!</f>
        <v>#REF!</v>
      </c>
      <c r="AB15" s="82">
        <f>DATABASE!AB1111</f>
        <v>0</v>
      </c>
    </row>
    <row r="16" spans="1:28">
      <c r="A16" s="128" t="str">
        <f>DATABASE!A1112</f>
        <v>THE NINE</v>
      </c>
      <c r="B16" s="188" t="str">
        <f>DATABASE!B1112</f>
        <v>Vilamoura</v>
      </c>
      <c r="C16" s="189" t="str">
        <f>DATABASE!C1112</f>
        <v>X</v>
      </c>
      <c r="D16" s="91" t="str">
        <f>DATABASE!E1112</f>
        <v>T2</v>
      </c>
      <c r="E16" s="91">
        <f>DATABASE!F1112</f>
        <v>117</v>
      </c>
      <c r="F16" s="91">
        <f>DATABASE!G1112</f>
        <v>0</v>
      </c>
      <c r="G16" s="91" t="str">
        <f>DATABASE!H1112</f>
        <v/>
      </c>
      <c r="H16" s="91" t="str">
        <f>DATABASE!I1112</f>
        <v/>
      </c>
      <c r="I16" s="91">
        <f>DATABASE!J1112</f>
        <v>0</v>
      </c>
      <c r="J16" s="91">
        <f>DATABASE!K1112</f>
        <v>0</v>
      </c>
      <c r="K16" s="91">
        <f>DATABASE!L1112</f>
        <v>0</v>
      </c>
      <c r="L16" s="74">
        <f>DATABASE!M1112</f>
        <v>0</v>
      </c>
      <c r="M16" s="72">
        <f>DATABASE!N1112</f>
        <v>0</v>
      </c>
      <c r="N16" s="191">
        <f>DATABASE!O1112</f>
        <v>117</v>
      </c>
      <c r="O16" s="116">
        <f>DATABASE!P1112</f>
        <v>0</v>
      </c>
      <c r="P16" s="111" t="str">
        <f>DATABASE!Q1112</f>
        <v xml:space="preserve">DEED </v>
      </c>
      <c r="Q16" s="111">
        <f>DATABASE!R1112</f>
        <v>490000</v>
      </c>
      <c r="R16" s="107">
        <f>DATABASE!S1112</f>
        <v>490000</v>
      </c>
      <c r="S16" s="107">
        <f>DATABASE!T1112</f>
        <v>610000</v>
      </c>
      <c r="T16" s="116">
        <f>DATABASE!U1112</f>
        <v>0</v>
      </c>
      <c r="U16" s="79">
        <f>DATABASE!V1112</f>
        <v>0</v>
      </c>
      <c r="V16" s="116">
        <f>DATABASE!W1112</f>
        <v>610000</v>
      </c>
      <c r="W16" s="80">
        <f>DATABASE!X1112</f>
        <v>0.18</v>
      </c>
      <c r="X16" s="79">
        <f>DATABASE!Y1112</f>
        <v>500200</v>
      </c>
      <c r="Y16" s="79">
        <f>DATABASE!Z1112</f>
        <v>500200</v>
      </c>
      <c r="Z16" s="79" t="e">
        <f>DATABASE!#REF!</f>
        <v>#REF!</v>
      </c>
      <c r="AA16" s="81">
        <f>DATABASE!AA1112</f>
        <v>45904</v>
      </c>
      <c r="AB16" s="82">
        <f>DATABASE!AB1112</f>
        <v>0</v>
      </c>
    </row>
    <row r="17" spans="1:28">
      <c r="A17" s="128" t="str">
        <f>DATABASE!A1113</f>
        <v>VM PARQUE</v>
      </c>
      <c r="B17" s="188" t="str">
        <f>DATABASE!B1113</f>
        <v>Vilamoura</v>
      </c>
      <c r="C17" s="189" t="str">
        <f>DATABASE!C1113</f>
        <v>X</v>
      </c>
      <c r="D17" s="91" t="str">
        <f>DATABASE!E1113</f>
        <v>V2</v>
      </c>
      <c r="E17" s="91">
        <f>DATABASE!F1113</f>
        <v>152.87280000000001</v>
      </c>
      <c r="F17" s="91">
        <f>DATABASE!G1113</f>
        <v>0</v>
      </c>
      <c r="G17" s="91" t="str">
        <f>DATABASE!H1113</f>
        <v/>
      </c>
      <c r="H17" s="91" t="str">
        <f>DATABASE!I1113</f>
        <v/>
      </c>
      <c r="I17" s="91">
        <f>DATABASE!J1113</f>
        <v>0</v>
      </c>
      <c r="J17" s="91">
        <f>DATABASE!K1113</f>
        <v>0</v>
      </c>
      <c r="K17" s="91">
        <f>DATABASE!L1113</f>
        <v>0</v>
      </c>
      <c r="L17" s="74">
        <f>DATABASE!M1113</f>
        <v>0</v>
      </c>
      <c r="M17" s="72">
        <f>DATABASE!N1113</f>
        <v>0</v>
      </c>
      <c r="N17" s="191">
        <f>DATABASE!O1113</f>
        <v>152.87280000000001</v>
      </c>
      <c r="O17" s="116">
        <f>DATABASE!P1113</f>
        <v>0</v>
      </c>
      <c r="P17" s="111" t="str">
        <f>DATABASE!Q1113</f>
        <v xml:space="preserve">DEED </v>
      </c>
      <c r="Q17" s="111">
        <f>DATABASE!R1113</f>
        <v>913837</v>
      </c>
      <c r="R17" s="107">
        <f>DATABASE!S1113</f>
        <v>913837</v>
      </c>
      <c r="S17" s="107">
        <f>DATABASE!T1113</f>
        <v>960000</v>
      </c>
      <c r="T17" s="116">
        <f>DATABASE!U1113</f>
        <v>0</v>
      </c>
      <c r="U17" s="79">
        <f>DATABASE!V1113</f>
        <v>0</v>
      </c>
      <c r="V17" s="116">
        <f>DATABASE!W1113</f>
        <v>960000</v>
      </c>
      <c r="W17" s="80">
        <f>DATABASE!X1113</f>
        <v>0</v>
      </c>
      <c r="X17" s="79">
        <f>DATABASE!Y1113</f>
        <v>960000</v>
      </c>
      <c r="Y17" s="79">
        <f>DATABASE!Z1113</f>
        <v>960000</v>
      </c>
      <c r="Z17" s="79" t="e">
        <f>DATABASE!#REF!</f>
        <v>#REF!</v>
      </c>
      <c r="AA17" s="81">
        <f>DATABASE!AA1113</f>
        <v>45091</v>
      </c>
      <c r="AB17" s="82">
        <f>DATABASE!AB1113</f>
        <v>0</v>
      </c>
    </row>
    <row r="18" spans="1:28">
      <c r="A18" s="128" t="str">
        <f>DATABASE!A1114</f>
        <v>ZESTIA</v>
      </c>
      <c r="B18" s="188" t="str">
        <f>DATABASE!B1114</f>
        <v>Vilamoura</v>
      </c>
      <c r="C18" s="189" t="str">
        <f>DATABASE!C1114</f>
        <v>X</v>
      </c>
      <c r="D18" s="91" t="str">
        <f>DATABASE!E1114</f>
        <v>T2 LO</v>
      </c>
      <c r="E18" s="91">
        <f>DATABASE!F1114</f>
        <v>118.23</v>
      </c>
      <c r="F18" s="91">
        <f>DATABASE!G1114</f>
        <v>0</v>
      </c>
      <c r="G18" s="91" t="str">
        <f>DATABASE!H1114</f>
        <v/>
      </c>
      <c r="H18" s="91" t="str">
        <f>DATABASE!I1114</f>
        <v/>
      </c>
      <c r="I18" s="91">
        <f>DATABASE!J1114</f>
        <v>28.84</v>
      </c>
      <c r="J18" s="91">
        <f>DATABASE!K1114</f>
        <v>0</v>
      </c>
      <c r="K18" s="91">
        <f>DATABASE!L1114</f>
        <v>0</v>
      </c>
      <c r="L18" s="74">
        <f>DATABASE!M1114</f>
        <v>0</v>
      </c>
      <c r="M18" s="72">
        <f>DATABASE!N1114</f>
        <v>0</v>
      </c>
      <c r="N18" s="191">
        <f>DATABASE!O1114</f>
        <v>89.39</v>
      </c>
      <c r="O18" s="116">
        <f>DATABASE!P1114</f>
        <v>0</v>
      </c>
      <c r="P18" s="111" t="str">
        <f>DATABASE!Q1114</f>
        <v>AVAILABLE</v>
      </c>
      <c r="Q18" s="111">
        <f>DATABASE!R1114</f>
        <v>706270.11159999995</v>
      </c>
      <c r="R18" s="107">
        <f>DATABASE!S1114</f>
        <v>770870.11159999995</v>
      </c>
      <c r="S18" s="107">
        <f>DATABASE!T1114</f>
        <v>840000</v>
      </c>
      <c r="T18" s="116">
        <f>DATABASE!U1114</f>
        <v>24600</v>
      </c>
      <c r="U18" s="79">
        <f>DATABASE!V1114</f>
        <v>40000</v>
      </c>
      <c r="V18" s="116">
        <f>DATABASE!W1114</f>
        <v>775400</v>
      </c>
      <c r="W18" s="80">
        <f>DATABASE!X1114</f>
        <v>0</v>
      </c>
      <c r="X18" s="79">
        <f>DATABASE!Y1114</f>
        <v>840000</v>
      </c>
      <c r="Y18" s="79">
        <f>DATABASE!Z1114</f>
        <v>775400</v>
      </c>
      <c r="Z18" s="79" t="e">
        <f>DATABASE!#REF!</f>
        <v>#REF!</v>
      </c>
      <c r="AA18" s="81">
        <f>DATABASE!AA1114</f>
        <v>0</v>
      </c>
      <c r="AB18" s="82">
        <f>DATABASE!AB1114</f>
        <v>0</v>
      </c>
    </row>
    <row r="19" spans="1:28">
      <c r="A19" s="128" t="str">
        <f>DATABASE!A1115</f>
        <v>BOTÂNICA</v>
      </c>
      <c r="B19" s="188" t="str">
        <f>DATABASE!B1115</f>
        <v>Vilamoura</v>
      </c>
      <c r="C19" s="189" t="str">
        <f>DATABASE!C1115</f>
        <v>Y</v>
      </c>
      <c r="D19" s="91" t="str">
        <f>DATABASE!E1115</f>
        <v>T3</v>
      </c>
      <c r="E19" s="91">
        <f>DATABASE!F1115</f>
        <v>224.06</v>
      </c>
      <c r="F19" s="91">
        <f>DATABASE!G1115</f>
        <v>0</v>
      </c>
      <c r="G19" s="91" t="str">
        <f>DATABASE!H1115</f>
        <v>2</v>
      </c>
      <c r="H19" s="91" t="str">
        <f>DATABASE!I1115</f>
        <v/>
      </c>
      <c r="I19" s="91">
        <f>DATABASE!J1115</f>
        <v>44.72</v>
      </c>
      <c r="J19" s="91">
        <f>DATABASE!K1115</f>
        <v>0</v>
      </c>
      <c r="K19" s="91">
        <f>DATABASE!L1115</f>
        <v>0</v>
      </c>
      <c r="L19" s="74">
        <f>DATABASE!M1115</f>
        <v>10.93</v>
      </c>
      <c r="M19" s="72">
        <f>DATABASE!N1115</f>
        <v>0</v>
      </c>
      <c r="N19" s="191">
        <f>DATABASE!O1115</f>
        <v>168.41</v>
      </c>
      <c r="O19" s="116">
        <f>DATABASE!P1115</f>
        <v>0</v>
      </c>
      <c r="P19" s="111" t="str">
        <f>DATABASE!Q1115</f>
        <v>AVAILABLE</v>
      </c>
      <c r="Q19" s="111">
        <f>DATABASE!R1115</f>
        <v>1527052.8</v>
      </c>
      <c r="R19" s="107">
        <f>DATABASE!S1115</f>
        <v>1527052.8</v>
      </c>
      <c r="S19" s="107">
        <f>DATABASE!T1115</f>
        <v>1550000</v>
      </c>
      <c r="T19" s="116">
        <f>DATABASE!U1115</f>
        <v>0</v>
      </c>
      <c r="U19" s="79">
        <f>DATABASE!V1115</f>
        <v>0</v>
      </c>
      <c r="V19" s="116">
        <f>DATABASE!W1115</f>
        <v>1550000</v>
      </c>
      <c r="W19" s="80">
        <f>DATABASE!X1115</f>
        <v>0</v>
      </c>
      <c r="X19" s="79">
        <f>DATABASE!Y1115</f>
        <v>1530000</v>
      </c>
      <c r="Y19" s="79">
        <f>DATABASE!Z1115</f>
        <v>1530000</v>
      </c>
      <c r="Z19" s="79" t="e">
        <f>DATABASE!#REF!</f>
        <v>#REF!</v>
      </c>
      <c r="AA19" s="81">
        <f>DATABASE!AA1115</f>
        <v>0</v>
      </c>
      <c r="AB19" s="82">
        <f>DATABASE!AB1115</f>
        <v>0</v>
      </c>
    </row>
    <row r="20" spans="1:28">
      <c r="A20" s="128" t="str">
        <f>DATABASE!A1116</f>
        <v>NOBILUS</v>
      </c>
      <c r="B20" s="188" t="str">
        <f>DATABASE!B1116</f>
        <v>Vilamoura</v>
      </c>
      <c r="C20" s="189" t="str">
        <f>DATABASE!C1116</f>
        <v>Y</v>
      </c>
      <c r="D20" s="91" t="str">
        <f>DATABASE!E1116</f>
        <v>T3</v>
      </c>
      <c r="E20" s="91">
        <f>DATABASE!F1116</f>
        <v>150.91</v>
      </c>
      <c r="F20" s="91">
        <f>DATABASE!G1116</f>
        <v>4.46</v>
      </c>
      <c r="G20" s="91" t="str">
        <f>DATABASE!H1116</f>
        <v>70-71</v>
      </c>
      <c r="H20" s="91" t="str">
        <f>DATABASE!I1116</f>
        <v>Yes</v>
      </c>
      <c r="I20" s="91">
        <f>DATABASE!J1116</f>
        <v>5.15</v>
      </c>
      <c r="J20" s="91">
        <f>DATABASE!K1116</f>
        <v>0</v>
      </c>
      <c r="K20" s="91">
        <f>DATABASE!L1116</f>
        <v>0</v>
      </c>
      <c r="L20" s="74">
        <f>DATABASE!M1116</f>
        <v>0</v>
      </c>
      <c r="M20" s="72">
        <f>DATABASE!N1116</f>
        <v>0</v>
      </c>
      <c r="N20" s="191">
        <f>DATABASE!O1116</f>
        <v>150.91</v>
      </c>
      <c r="O20" s="116">
        <f>DATABASE!P1116</f>
        <v>0</v>
      </c>
      <c r="P20" s="79" t="str">
        <f>DATABASE!Q1116</f>
        <v xml:space="preserve">PSPA </v>
      </c>
      <c r="Q20" s="111">
        <f>DATABASE!R1116</f>
        <v>1280000</v>
      </c>
      <c r="R20" s="107">
        <f>DATABASE!S1116</f>
        <v>1280000</v>
      </c>
      <c r="S20" s="107">
        <f>DATABASE!T1116</f>
        <v>1216000</v>
      </c>
      <c r="T20" s="116">
        <f>DATABASE!U1116</f>
        <v>0</v>
      </c>
      <c r="U20" s="79">
        <f>DATABASE!V1116</f>
        <v>0</v>
      </c>
      <c r="V20" s="116">
        <f>DATABASE!W1116</f>
        <v>1216000</v>
      </c>
      <c r="W20" s="80">
        <f>DATABASE!X1116</f>
        <v>0</v>
      </c>
      <c r="X20" s="79">
        <f>DATABASE!Y1116</f>
        <v>1216000</v>
      </c>
      <c r="Y20" s="79">
        <f>DATABASE!Z1116</f>
        <v>1216000</v>
      </c>
      <c r="Z20" s="79" t="e">
        <f>DATABASE!#REF!</f>
        <v>#REF!</v>
      </c>
      <c r="AA20" s="81" t="e">
        <f>DATABASE!#REF!</f>
        <v>#REF!</v>
      </c>
      <c r="AB20" s="82">
        <f>DATABASE!AB1116</f>
        <v>0</v>
      </c>
    </row>
    <row r="21" spans="1:28">
      <c r="A21" s="128" t="str">
        <f>DATABASE!A1117</f>
        <v>Rivus</v>
      </c>
      <c r="B21" s="188" t="str">
        <f>DATABASE!B1117</f>
        <v>Vilamoura</v>
      </c>
      <c r="C21" s="189" t="str">
        <f>DATABASE!C1117</f>
        <v>Y</v>
      </c>
      <c r="D21" s="91" t="str">
        <f>DATABASE!E1117</f>
        <v>T2</v>
      </c>
      <c r="E21" s="91">
        <f>DATABASE!F1117</f>
        <v>0</v>
      </c>
      <c r="F21" s="91">
        <f>DATABASE!G1117</f>
        <v>0</v>
      </c>
      <c r="G21" s="91" t="str">
        <f>DATABASE!H1117</f>
        <v/>
      </c>
      <c r="H21" s="91" t="str">
        <f>DATABASE!I1117</f>
        <v/>
      </c>
      <c r="I21" s="91">
        <f>DATABASE!J1117</f>
        <v>0</v>
      </c>
      <c r="J21" s="91">
        <f>DATABASE!K1117</f>
        <v>0</v>
      </c>
      <c r="K21" s="91">
        <f>DATABASE!L1117</f>
        <v>0</v>
      </c>
      <c r="L21" s="74">
        <f>DATABASE!M1117</f>
        <v>17</v>
      </c>
      <c r="M21" s="72">
        <f>DATABASE!N1117</f>
        <v>0</v>
      </c>
      <c r="N21" s="191">
        <f>DATABASE!O1117</f>
        <v>107</v>
      </c>
      <c r="O21" s="116">
        <f>DATABASE!P1117</f>
        <v>0</v>
      </c>
      <c r="P21" s="111" t="str">
        <f>DATABASE!Q1117</f>
        <v>AVAILABLE</v>
      </c>
      <c r="Q21" s="111">
        <f>DATABASE!R1117</f>
        <v>760000</v>
      </c>
      <c r="R21" s="107">
        <f>DATABASE!S1117</f>
        <v>760000</v>
      </c>
      <c r="S21" s="107">
        <f>DATABASE!T1117</f>
        <v>760000</v>
      </c>
      <c r="T21" s="116">
        <f>DATABASE!U1117</f>
        <v>0</v>
      </c>
      <c r="U21" s="79">
        <f>DATABASE!V1117</f>
        <v>0</v>
      </c>
      <c r="V21" s="116">
        <f>DATABASE!W1117</f>
        <v>760000</v>
      </c>
      <c r="W21" s="80">
        <f>DATABASE!X1117</f>
        <v>0</v>
      </c>
      <c r="X21" s="79">
        <f>DATABASE!Y1117</f>
        <v>740000</v>
      </c>
      <c r="Y21" s="79">
        <f>DATABASE!Z1117</f>
        <v>740000</v>
      </c>
      <c r="Z21" s="79" t="e">
        <f>DATABASE!#REF!</f>
        <v>#REF!</v>
      </c>
      <c r="AA21" s="81">
        <f>DATABASE!AA1117</f>
        <v>0</v>
      </c>
      <c r="AB21" s="82">
        <f>DATABASE!AB1117</f>
        <v>0</v>
      </c>
    </row>
    <row r="22" spans="1:28">
      <c r="A22" s="128" t="str">
        <f>DATABASE!A1118</f>
        <v>SPRINGS</v>
      </c>
      <c r="B22" s="188" t="str">
        <f>DATABASE!B1118</f>
        <v>Vilamoura</v>
      </c>
      <c r="C22" s="189" t="str">
        <f>DATABASE!C1118</f>
        <v>Y</v>
      </c>
      <c r="D22" s="91" t="str">
        <f>DATABASE!E1118</f>
        <v>V3</v>
      </c>
      <c r="E22" s="91">
        <f>DATABASE!F1118</f>
        <v>323.58999999999997</v>
      </c>
      <c r="F22" s="91">
        <f>DATABASE!G1118</f>
        <v>165.79</v>
      </c>
      <c r="G22" s="91" t="str">
        <f>DATABASE!H1118</f>
        <v/>
      </c>
      <c r="H22" s="91" t="str">
        <f>DATABASE!I1118</f>
        <v/>
      </c>
      <c r="I22" s="91">
        <f>DATABASE!J1118</f>
        <v>0</v>
      </c>
      <c r="J22" s="91">
        <f>DATABASE!K1118</f>
        <v>0</v>
      </c>
      <c r="K22" s="91">
        <f>DATABASE!L1118</f>
        <v>0</v>
      </c>
      <c r="L22" s="74">
        <f>DATABASE!M1118</f>
        <v>0</v>
      </c>
      <c r="M22" s="72">
        <f>DATABASE!N1118</f>
        <v>0</v>
      </c>
      <c r="N22" s="191">
        <f>DATABASE!O1118</f>
        <v>157.80000000000001</v>
      </c>
      <c r="O22" s="116">
        <f>DATABASE!P1118</f>
        <v>0</v>
      </c>
      <c r="P22" s="111" t="str">
        <f>DATABASE!Q1118</f>
        <v>AVAILABLE</v>
      </c>
      <c r="Q22" s="111">
        <f>DATABASE!R1118</f>
        <v>1652100</v>
      </c>
      <c r="R22" s="107">
        <f>DATABASE!S1118</f>
        <v>1741050</v>
      </c>
      <c r="S22" s="107">
        <f>DATABASE!T1118</f>
        <v>1830000</v>
      </c>
      <c r="T22" s="116">
        <f>DATABASE!U1118</f>
        <v>24600</v>
      </c>
      <c r="U22" s="79">
        <f>DATABASE!V1118</f>
        <v>64350</v>
      </c>
      <c r="V22" s="116">
        <f>DATABASE!W1118</f>
        <v>1741050</v>
      </c>
      <c r="W22" s="80">
        <f>DATABASE!X1118</f>
        <v>0</v>
      </c>
      <c r="X22" s="79">
        <f>DATABASE!Y1118</f>
        <v>1825000</v>
      </c>
      <c r="Y22" s="79">
        <f>DATABASE!Z1118</f>
        <v>1736050</v>
      </c>
      <c r="Z22" s="79" t="e">
        <f>DATABASE!#REF!</f>
        <v>#REF!</v>
      </c>
      <c r="AA22" s="81">
        <f>DATABASE!AA1118</f>
        <v>0</v>
      </c>
      <c r="AB22" s="82">
        <f>DATABASE!AB1118</f>
        <v>0</v>
      </c>
    </row>
    <row r="23" spans="1:28">
      <c r="A23" s="128" t="str">
        <f>DATABASE!A1119</f>
        <v>TERRACOTA</v>
      </c>
      <c r="B23" s="188" t="str">
        <f>DATABASE!B1119</f>
        <v>Vilamoura</v>
      </c>
      <c r="C23" s="189" t="str">
        <f>DATABASE!C1119</f>
        <v>Y</v>
      </c>
      <c r="D23" s="91" t="str">
        <f>DATABASE!E1119</f>
        <v>T3</v>
      </c>
      <c r="E23" s="91">
        <f>DATABASE!F1119</f>
        <v>130.91999999999999</v>
      </c>
      <c r="F23" s="91">
        <f>DATABASE!G1119</f>
        <v>0</v>
      </c>
      <c r="G23" s="91" t="str">
        <f>DATABASE!H1119</f>
        <v/>
      </c>
      <c r="H23" s="91" t="str">
        <f>DATABASE!I1119</f>
        <v/>
      </c>
      <c r="I23" s="91">
        <f>DATABASE!J1119</f>
        <v>0</v>
      </c>
      <c r="J23" s="91">
        <f>DATABASE!K1119</f>
        <v>0</v>
      </c>
      <c r="K23" s="91">
        <f>DATABASE!L1119</f>
        <v>0</v>
      </c>
      <c r="L23" s="74">
        <f>DATABASE!M1119</f>
        <v>0</v>
      </c>
      <c r="M23" s="72">
        <f>DATABASE!N1119</f>
        <v>0</v>
      </c>
      <c r="N23" s="191">
        <f>DATABASE!O1119</f>
        <v>130.91999999999999</v>
      </c>
      <c r="O23" s="116">
        <f>DATABASE!P1119</f>
        <v>0</v>
      </c>
      <c r="P23" s="111" t="str">
        <f>DATABASE!Q1119</f>
        <v xml:space="preserve">PSPA </v>
      </c>
      <c r="Q23" s="111">
        <f>DATABASE!R1119</f>
        <v>660000</v>
      </c>
      <c r="R23" s="107">
        <f>DATABASE!S1119</f>
        <v>660000</v>
      </c>
      <c r="S23" s="107">
        <f>DATABASE!T1119</f>
        <v>627000</v>
      </c>
      <c r="T23" s="116">
        <f>DATABASE!U1119</f>
        <v>0</v>
      </c>
      <c r="U23" s="79">
        <f>DATABASE!V1119</f>
        <v>0</v>
      </c>
      <c r="V23" s="116">
        <f>DATABASE!W1119</f>
        <v>627000</v>
      </c>
      <c r="W23" s="80">
        <f>DATABASE!X1119</f>
        <v>0</v>
      </c>
      <c r="X23" s="79">
        <f>DATABASE!Y1119</f>
        <v>627000</v>
      </c>
      <c r="Y23" s="79">
        <f>DATABASE!Z1119</f>
        <v>627000</v>
      </c>
      <c r="Z23" s="79" t="e">
        <f>DATABASE!#REF!</f>
        <v>#REF!</v>
      </c>
      <c r="AA23" s="81" t="e">
        <f>DATABASE!#REF!</f>
        <v>#REF!</v>
      </c>
      <c r="AB23" s="82">
        <f>DATABASE!AB1119</f>
        <v>0</v>
      </c>
    </row>
    <row r="24" spans="1:28">
      <c r="A24" s="128" t="str">
        <f>DATABASE!A1120</f>
        <v>THE NINE</v>
      </c>
      <c r="B24" s="188" t="str">
        <f>DATABASE!B1120</f>
        <v>Vilamoura</v>
      </c>
      <c r="C24" s="189" t="str">
        <f>DATABASE!C1120</f>
        <v>Y</v>
      </c>
      <c r="D24" s="91" t="str">
        <f>DATABASE!E1120</f>
        <v>T2</v>
      </c>
      <c r="E24" s="91">
        <f>DATABASE!F1120</f>
        <v>117</v>
      </c>
      <c r="F24" s="91">
        <f>DATABASE!G1120</f>
        <v>0</v>
      </c>
      <c r="G24" s="91" t="str">
        <f>DATABASE!H1120</f>
        <v/>
      </c>
      <c r="H24" s="91" t="str">
        <f>DATABASE!I1120</f>
        <v/>
      </c>
      <c r="I24" s="91">
        <f>DATABASE!J1120</f>
        <v>0</v>
      </c>
      <c r="J24" s="91">
        <f>DATABASE!K1120</f>
        <v>0</v>
      </c>
      <c r="K24" s="91">
        <f>DATABASE!L1120</f>
        <v>0</v>
      </c>
      <c r="L24" s="74">
        <f>DATABASE!M1120</f>
        <v>0</v>
      </c>
      <c r="M24" s="72">
        <f>DATABASE!N1120</f>
        <v>0</v>
      </c>
      <c r="N24" s="191">
        <f>DATABASE!O1120</f>
        <v>117</v>
      </c>
      <c r="O24" s="116">
        <f>DATABASE!P1120</f>
        <v>0</v>
      </c>
      <c r="P24" s="111" t="str">
        <f>DATABASE!Q1120</f>
        <v xml:space="preserve">DEED </v>
      </c>
      <c r="Q24" s="111">
        <f>DATABASE!R1120</f>
        <v>490000</v>
      </c>
      <c r="R24" s="107">
        <f>DATABASE!S1120</f>
        <v>490000</v>
      </c>
      <c r="S24" s="107">
        <f>DATABASE!T1120</f>
        <v>610000</v>
      </c>
      <c r="T24" s="116">
        <f>DATABASE!U1120</f>
        <v>0</v>
      </c>
      <c r="U24" s="79">
        <f>DATABASE!V1120</f>
        <v>0</v>
      </c>
      <c r="V24" s="116">
        <f>DATABASE!W1120</f>
        <v>610000</v>
      </c>
      <c r="W24" s="80">
        <f>DATABASE!X1120</f>
        <v>0</v>
      </c>
      <c r="X24" s="79">
        <f>DATABASE!Y1120</f>
        <v>610000</v>
      </c>
      <c r="Y24" s="79">
        <f>DATABASE!Z1120</f>
        <v>610000</v>
      </c>
      <c r="Z24" s="79" t="e">
        <f>DATABASE!#REF!</f>
        <v>#REF!</v>
      </c>
      <c r="AA24" s="81">
        <f>DATABASE!AA1120</f>
        <v>45798</v>
      </c>
      <c r="AB24" s="82">
        <f>DATABASE!AB1120</f>
        <v>0</v>
      </c>
    </row>
    <row r="25" spans="1:28">
      <c r="A25" s="128" t="str">
        <f>DATABASE!A1121</f>
        <v>VM PARQUE</v>
      </c>
      <c r="B25" s="188" t="str">
        <f>DATABASE!B1121</f>
        <v>Vilamoura</v>
      </c>
      <c r="C25" s="189" t="str">
        <f>DATABASE!C1121</f>
        <v>Y</v>
      </c>
      <c r="D25" s="91" t="str">
        <f>DATABASE!E1121</f>
        <v>V2</v>
      </c>
      <c r="E25" s="91">
        <f>DATABASE!F1121</f>
        <v>152.87280000000001</v>
      </c>
      <c r="F25" s="91">
        <f>DATABASE!G1121</f>
        <v>0</v>
      </c>
      <c r="G25" s="91" t="str">
        <f>DATABASE!H1121</f>
        <v/>
      </c>
      <c r="H25" s="91" t="str">
        <f>DATABASE!I1121</f>
        <v/>
      </c>
      <c r="I25" s="91">
        <f>DATABASE!J1121</f>
        <v>0</v>
      </c>
      <c r="J25" s="91">
        <f>DATABASE!K1121</f>
        <v>0</v>
      </c>
      <c r="K25" s="91">
        <f>DATABASE!L1121</f>
        <v>0</v>
      </c>
      <c r="L25" s="74">
        <f>DATABASE!M1121</f>
        <v>0</v>
      </c>
      <c r="M25" s="72">
        <f>DATABASE!N1121</f>
        <v>0</v>
      </c>
      <c r="N25" s="191">
        <f>DATABASE!O1121</f>
        <v>152.87280000000001</v>
      </c>
      <c r="O25" s="116">
        <f>DATABASE!P1121</f>
        <v>0</v>
      </c>
      <c r="P25" s="111" t="str">
        <f>DATABASE!Q1121</f>
        <v xml:space="preserve">DEED </v>
      </c>
      <c r="Q25" s="111">
        <f>DATABASE!R1121</f>
        <v>913837</v>
      </c>
      <c r="R25" s="107">
        <f>DATABASE!S1121</f>
        <v>913837</v>
      </c>
      <c r="S25" s="107">
        <f>DATABASE!T1121</f>
        <v>960000</v>
      </c>
      <c r="T25" s="116">
        <f>DATABASE!U1121</f>
        <v>0</v>
      </c>
      <c r="U25" s="79">
        <f>DATABASE!V1121</f>
        <v>0</v>
      </c>
      <c r="V25" s="116">
        <f>DATABASE!W1121</f>
        <v>960000</v>
      </c>
      <c r="W25" s="80">
        <f>DATABASE!X1121</f>
        <v>0</v>
      </c>
      <c r="X25" s="79">
        <f>DATABASE!Y1121</f>
        <v>960000</v>
      </c>
      <c r="Y25" s="79">
        <f>DATABASE!Z1121</f>
        <v>960000</v>
      </c>
      <c r="Z25" s="79" t="e">
        <f>DATABASE!#REF!</f>
        <v>#REF!</v>
      </c>
      <c r="AA25" s="81">
        <f>DATABASE!AA1121</f>
        <v>45091</v>
      </c>
      <c r="AB25" s="82">
        <f>DATABASE!AB1121</f>
        <v>0</v>
      </c>
    </row>
    <row r="26" spans="1:28">
      <c r="A26" s="128" t="str">
        <f>DATABASE!A1122</f>
        <v>ZESTIA</v>
      </c>
      <c r="B26" s="188" t="str">
        <f>DATABASE!B1122</f>
        <v>Vilamoura</v>
      </c>
      <c r="C26" s="189" t="str">
        <f>DATABASE!C1122</f>
        <v>Y</v>
      </c>
      <c r="D26" s="91" t="str">
        <f>DATABASE!E1122</f>
        <v>T1 +</v>
      </c>
      <c r="E26" s="91">
        <f>DATABASE!F1122</f>
        <v>101.96</v>
      </c>
      <c r="F26" s="91">
        <f>DATABASE!G1122</f>
        <v>0</v>
      </c>
      <c r="G26" s="91" t="str">
        <f>DATABASE!H1122</f>
        <v/>
      </c>
      <c r="H26" s="91" t="str">
        <f>DATABASE!I1122</f>
        <v/>
      </c>
      <c r="I26" s="91">
        <f>DATABASE!J1122</f>
        <v>30.59</v>
      </c>
      <c r="J26" s="91">
        <f>DATABASE!K1122</f>
        <v>0</v>
      </c>
      <c r="K26" s="91">
        <f>DATABASE!L1122</f>
        <v>0</v>
      </c>
      <c r="L26" s="74">
        <f>DATABASE!M1122</f>
        <v>0</v>
      </c>
      <c r="M26" s="72">
        <f>DATABASE!N1122</f>
        <v>0</v>
      </c>
      <c r="N26" s="191">
        <f>DATABASE!O1122</f>
        <v>71.37</v>
      </c>
      <c r="O26" s="116">
        <f>DATABASE!P1122</f>
        <v>0</v>
      </c>
      <c r="P26" s="111" t="str">
        <f>DATABASE!Q1122</f>
        <v>AVAILABLE</v>
      </c>
      <c r="Q26" s="111">
        <f>DATABASE!R1122</f>
        <v>613003.19270000001</v>
      </c>
      <c r="R26" s="107">
        <f>DATABASE!S1122</f>
        <v>667603.19270000001</v>
      </c>
      <c r="S26" s="107">
        <f>DATABASE!T1122</f>
        <v>720000</v>
      </c>
      <c r="T26" s="116">
        <f>DATABASE!U1122</f>
        <v>24600</v>
      </c>
      <c r="U26" s="79">
        <f>DATABASE!V1122</f>
        <v>30000</v>
      </c>
      <c r="V26" s="116">
        <f>DATABASE!W1122</f>
        <v>665400</v>
      </c>
      <c r="W26" s="80">
        <f>DATABASE!X1122</f>
        <v>0</v>
      </c>
      <c r="X26" s="79">
        <f>DATABASE!Y1122</f>
        <v>720000</v>
      </c>
      <c r="Y26" s="79">
        <f>DATABASE!Z1122</f>
        <v>665400</v>
      </c>
      <c r="Z26" s="79" t="e">
        <f>DATABASE!#REF!</f>
        <v>#REF!</v>
      </c>
      <c r="AA26" s="81">
        <f>DATABASE!AA1122</f>
        <v>0</v>
      </c>
      <c r="AB26" s="82">
        <f>DATABASE!AB1122</f>
        <v>0</v>
      </c>
    </row>
    <row r="27" spans="1:28">
      <c r="A27" s="128" t="str">
        <f>DATABASE!A1123</f>
        <v>BOTÂNICA</v>
      </c>
      <c r="B27" s="188" t="str">
        <f>DATABASE!B1123</f>
        <v>Vilamoura</v>
      </c>
      <c r="C27" s="189" t="str">
        <f>DATABASE!C1123</f>
        <v>Z</v>
      </c>
      <c r="D27" s="91" t="str">
        <f>DATABASE!E1123</f>
        <v>T3</v>
      </c>
      <c r="E27" s="91">
        <f>DATABASE!F1123</f>
        <v>223.75</v>
      </c>
      <c r="F27" s="91">
        <f>DATABASE!G1123</f>
        <v>0</v>
      </c>
      <c r="G27" s="91" t="str">
        <f>DATABASE!H1123</f>
        <v>2</v>
      </c>
      <c r="H27" s="91" t="str">
        <f>DATABASE!I1123</f>
        <v/>
      </c>
      <c r="I27" s="91">
        <f>DATABASE!J1123</f>
        <v>55.65</v>
      </c>
      <c r="J27" s="91">
        <f>DATABASE!K1123</f>
        <v>0</v>
      </c>
      <c r="K27" s="91">
        <f>DATABASE!L1123</f>
        <v>0</v>
      </c>
      <c r="L27" s="74">
        <f>DATABASE!M1123</f>
        <v>0</v>
      </c>
      <c r="M27" s="72">
        <f>DATABASE!N1123</f>
        <v>0</v>
      </c>
      <c r="N27" s="191">
        <f>DATABASE!O1123</f>
        <v>168.1</v>
      </c>
      <c r="O27" s="116">
        <f>DATABASE!P1123</f>
        <v>0</v>
      </c>
      <c r="P27" s="111" t="str">
        <f>DATABASE!Q1123</f>
        <v>AVAILABLE</v>
      </c>
      <c r="Q27" s="111">
        <f>DATABASE!R1123</f>
        <v>1584023.35</v>
      </c>
      <c r="R27" s="107">
        <f>DATABASE!S1123</f>
        <v>1584023.35</v>
      </c>
      <c r="S27" s="107">
        <f>DATABASE!T1123</f>
        <v>1650000</v>
      </c>
      <c r="T27" s="116">
        <f>DATABASE!U1123</f>
        <v>0</v>
      </c>
      <c r="U27" s="79">
        <f>DATABASE!V1123</f>
        <v>0</v>
      </c>
      <c r="V27" s="116">
        <f>DATABASE!W1123</f>
        <v>1650000</v>
      </c>
      <c r="W27" s="80">
        <f>DATABASE!X1123</f>
        <v>0</v>
      </c>
      <c r="X27" s="79">
        <f>DATABASE!Y1123</f>
        <v>1637700</v>
      </c>
      <c r="Y27" s="79">
        <f>DATABASE!Z1123</f>
        <v>1637700</v>
      </c>
      <c r="Z27" s="79" t="e">
        <f>DATABASE!#REF!</f>
        <v>#REF!</v>
      </c>
      <c r="AA27" s="81">
        <f>DATABASE!AA1123</f>
        <v>0</v>
      </c>
      <c r="AB27" s="82">
        <f>DATABASE!AB1123</f>
        <v>0</v>
      </c>
    </row>
    <row r="28" spans="1:28">
      <c r="A28" s="128" t="str">
        <f>DATABASE!A1124</f>
        <v>NOBILUS</v>
      </c>
      <c r="B28" s="188" t="str">
        <f>DATABASE!B1124</f>
        <v>Vilamoura</v>
      </c>
      <c r="C28" s="189" t="str">
        <f>DATABASE!C1124</f>
        <v>Z</v>
      </c>
      <c r="D28" s="91" t="str">
        <f>DATABASE!E1124</f>
        <v>T2</v>
      </c>
      <c r="E28" s="91">
        <f>DATABASE!F1124</f>
        <v>111</v>
      </c>
      <c r="F28" s="91">
        <f>DATABASE!G1124</f>
        <v>4.45</v>
      </c>
      <c r="G28" s="91" t="str">
        <f>DATABASE!H1124</f>
        <v>53-54</v>
      </c>
      <c r="H28" s="91" t="str">
        <f>DATABASE!I1124</f>
        <v/>
      </c>
      <c r="I28" s="91">
        <f>DATABASE!J1124</f>
        <v>0</v>
      </c>
      <c r="J28" s="91">
        <f>DATABASE!K1124</f>
        <v>0</v>
      </c>
      <c r="K28" s="91">
        <f>DATABASE!L1124</f>
        <v>0</v>
      </c>
      <c r="L28" s="74">
        <f>DATABASE!M1124</f>
        <v>0</v>
      </c>
      <c r="M28" s="72">
        <f>DATABASE!N1124</f>
        <v>0</v>
      </c>
      <c r="N28" s="191">
        <f>DATABASE!O1124</f>
        <v>111</v>
      </c>
      <c r="O28" s="116">
        <f>DATABASE!P1124</f>
        <v>0</v>
      </c>
      <c r="P28" s="111" t="str">
        <f>DATABASE!Q1124</f>
        <v>AVAILABLE</v>
      </c>
      <c r="Q28" s="111">
        <f>DATABASE!R1124</f>
        <v>890000</v>
      </c>
      <c r="R28" s="107">
        <f>DATABASE!S1124</f>
        <v>890000</v>
      </c>
      <c r="S28" s="107">
        <f>DATABASE!T1124</f>
        <v>890000</v>
      </c>
      <c r="T28" s="116">
        <f>DATABASE!U1124</f>
        <v>0</v>
      </c>
      <c r="U28" s="79">
        <f>DATABASE!V1124</f>
        <v>0</v>
      </c>
      <c r="V28" s="116">
        <f>DATABASE!W1124</f>
        <v>890000</v>
      </c>
      <c r="W28" s="80">
        <f>DATABASE!X1124</f>
        <v>0</v>
      </c>
      <c r="X28" s="79">
        <f>DATABASE!Y1124</f>
        <v>890000</v>
      </c>
      <c r="Y28" s="79">
        <f>DATABASE!Z1124</f>
        <v>890000</v>
      </c>
      <c r="Z28" s="79" t="e">
        <f>DATABASE!#REF!</f>
        <v>#REF!</v>
      </c>
      <c r="AA28" s="81">
        <f>DATABASE!AA1124</f>
        <v>0</v>
      </c>
      <c r="AB28" s="82">
        <f>DATABASE!AB1124</f>
        <v>0</v>
      </c>
    </row>
    <row r="29" spans="1:28">
      <c r="A29" s="128" t="str">
        <f>DATABASE!A1125</f>
        <v>Rivus</v>
      </c>
      <c r="B29" s="188" t="str">
        <f>DATABASE!B1125</f>
        <v>Vilamoura</v>
      </c>
      <c r="C29" s="189" t="str">
        <f>DATABASE!C1125</f>
        <v>Z</v>
      </c>
      <c r="D29" s="91" t="str">
        <f>DATABASE!E1125</f>
        <v>T2</v>
      </c>
      <c r="E29" s="91">
        <f>DATABASE!F1125</f>
        <v>0</v>
      </c>
      <c r="F29" s="91">
        <f>DATABASE!G1125</f>
        <v>0</v>
      </c>
      <c r="G29" s="91" t="str">
        <f>DATABASE!H1125</f>
        <v/>
      </c>
      <c r="H29" s="91" t="str">
        <f>DATABASE!I1125</f>
        <v/>
      </c>
      <c r="I29" s="91">
        <f>DATABASE!J1125</f>
        <v>0</v>
      </c>
      <c r="J29" s="91">
        <f>DATABASE!K1125</f>
        <v>0</v>
      </c>
      <c r="K29" s="91">
        <f>DATABASE!L1125</f>
        <v>0</v>
      </c>
      <c r="L29" s="74">
        <f>DATABASE!M1125</f>
        <v>19</v>
      </c>
      <c r="M29" s="72">
        <f>DATABASE!N1125</f>
        <v>0</v>
      </c>
      <c r="N29" s="191">
        <f>DATABASE!O1125</f>
        <v>108</v>
      </c>
      <c r="O29" s="116">
        <f>DATABASE!P1125</f>
        <v>0</v>
      </c>
      <c r="P29" s="111" t="str">
        <f>DATABASE!Q1125</f>
        <v>PRE-RESERVED</v>
      </c>
      <c r="Q29" s="111">
        <f>DATABASE!R1125</f>
        <v>750000</v>
      </c>
      <c r="R29" s="107">
        <f>DATABASE!S1125</f>
        <v>750000</v>
      </c>
      <c r="S29" s="107">
        <f>DATABASE!T1125</f>
        <v>750000</v>
      </c>
      <c r="T29" s="116">
        <f>DATABASE!U1125</f>
        <v>0</v>
      </c>
      <c r="U29" s="79">
        <f>DATABASE!V1125</f>
        <v>0</v>
      </c>
      <c r="V29" s="116">
        <f>DATABASE!W1125</f>
        <v>750000</v>
      </c>
      <c r="W29" s="80">
        <f>DATABASE!X1125</f>
        <v>0</v>
      </c>
      <c r="X29" s="79">
        <f>DATABASE!Y1125</f>
        <v>750000</v>
      </c>
      <c r="Y29" s="79">
        <f>DATABASE!Z1125</f>
        <v>750000</v>
      </c>
      <c r="Z29" s="79" t="e">
        <f>DATABASE!#REF!</f>
        <v>#REF!</v>
      </c>
      <c r="AA29" s="81">
        <f>DATABASE!AA1125</f>
        <v>46166</v>
      </c>
      <c r="AB29" s="82">
        <f>DATABASE!AB1125</f>
        <v>0</v>
      </c>
    </row>
    <row r="30" spans="1:28">
      <c r="A30" s="128" t="str">
        <f>DATABASE!A1126</f>
        <v>SPRINGS</v>
      </c>
      <c r="B30" s="188" t="str">
        <f>DATABASE!B1126</f>
        <v>Vilamoura</v>
      </c>
      <c r="C30" s="189" t="str">
        <f>DATABASE!C1126</f>
        <v>Z</v>
      </c>
      <c r="D30" s="91" t="str">
        <f>DATABASE!E1126</f>
        <v>V3 Duplex A</v>
      </c>
      <c r="E30" s="91">
        <f>DATABASE!F1126</f>
        <v>296.86</v>
      </c>
      <c r="F30" s="91">
        <f>DATABASE!G1126</f>
        <v>112.83</v>
      </c>
      <c r="G30" s="91" t="str">
        <f>DATABASE!H1126</f>
        <v/>
      </c>
      <c r="H30" s="91" t="str">
        <f>DATABASE!I1126</f>
        <v/>
      </c>
      <c r="I30" s="91">
        <f>DATABASE!J1126</f>
        <v>18.66</v>
      </c>
      <c r="J30" s="91">
        <f>DATABASE!K1126</f>
        <v>0</v>
      </c>
      <c r="K30" s="91">
        <f>DATABASE!L1126</f>
        <v>0</v>
      </c>
      <c r="L30" s="74">
        <f>DATABASE!M1126</f>
        <v>0</v>
      </c>
      <c r="M30" s="72">
        <f>DATABASE!N1126</f>
        <v>0</v>
      </c>
      <c r="N30" s="191">
        <f>DATABASE!O1126</f>
        <v>165.37</v>
      </c>
      <c r="O30" s="116">
        <f>DATABASE!P1126</f>
        <v>0</v>
      </c>
      <c r="P30" s="79" t="str">
        <f>DATABASE!Q1126</f>
        <v>AVAILABLE</v>
      </c>
      <c r="Q30" s="111">
        <f>DATABASE!R1126</f>
        <v>1902100</v>
      </c>
      <c r="R30" s="107">
        <f>DATABASE!S1126</f>
        <v>1991050</v>
      </c>
      <c r="S30" s="107">
        <f>DATABASE!T1126</f>
        <v>2080000</v>
      </c>
      <c r="T30" s="116">
        <f>DATABASE!U1126</f>
        <v>24600</v>
      </c>
      <c r="U30" s="79">
        <f>DATABASE!V1126</f>
        <v>64350</v>
      </c>
      <c r="V30" s="116">
        <f>DATABASE!W1126</f>
        <v>1991050</v>
      </c>
      <c r="W30" s="80">
        <f>DATABASE!X1126</f>
        <v>0</v>
      </c>
      <c r="X30" s="79">
        <f>DATABASE!Y1126</f>
        <v>2080000</v>
      </c>
      <c r="Y30" s="79">
        <f>DATABASE!Z1126</f>
        <v>1991050</v>
      </c>
      <c r="Z30" s="79" t="e">
        <f>DATABASE!#REF!</f>
        <v>#REF!</v>
      </c>
      <c r="AA30" s="81">
        <f>DATABASE!AA1126</f>
        <v>0</v>
      </c>
      <c r="AB30" s="82">
        <f>DATABASE!AB1126</f>
        <v>0</v>
      </c>
    </row>
    <row r="31" spans="1:28">
      <c r="A31" s="128" t="str">
        <f>DATABASE!A1127</f>
        <v>TERRACOTA</v>
      </c>
      <c r="B31" s="188" t="str">
        <f>DATABASE!B1127</f>
        <v>Vilamoura</v>
      </c>
      <c r="C31" s="189" t="str">
        <f>DATABASE!C1127</f>
        <v>Z</v>
      </c>
      <c r="D31" s="91" t="str">
        <f>DATABASE!E1127</f>
        <v>T2</v>
      </c>
      <c r="E31" s="91">
        <f>DATABASE!F1127</f>
        <v>104.7</v>
      </c>
      <c r="F31" s="91">
        <f>DATABASE!G1127</f>
        <v>0</v>
      </c>
      <c r="G31" s="91" t="str">
        <f>DATABASE!H1127</f>
        <v/>
      </c>
      <c r="H31" s="91" t="str">
        <f>DATABASE!I1127</f>
        <v/>
      </c>
      <c r="I31" s="91">
        <f>DATABASE!J1127</f>
        <v>0</v>
      </c>
      <c r="J31" s="91">
        <f>DATABASE!K1127</f>
        <v>0</v>
      </c>
      <c r="K31" s="91">
        <f>DATABASE!L1127</f>
        <v>0</v>
      </c>
      <c r="L31" s="74">
        <f>DATABASE!M1127</f>
        <v>0</v>
      </c>
      <c r="M31" s="72">
        <f>DATABASE!N1127</f>
        <v>0</v>
      </c>
      <c r="N31" s="191">
        <f>DATABASE!O1127</f>
        <v>104.7</v>
      </c>
      <c r="O31" s="116">
        <f>DATABASE!P1127</f>
        <v>0</v>
      </c>
      <c r="P31" s="111" t="str">
        <f>DATABASE!Q1127</f>
        <v xml:space="preserve">PSPA </v>
      </c>
      <c r="Q31" s="111">
        <f>DATABASE!R1127</f>
        <v>570000</v>
      </c>
      <c r="R31" s="107">
        <f>DATABASE!S1127</f>
        <v>570000</v>
      </c>
      <c r="S31" s="107">
        <f>DATABASE!T1127</f>
        <v>541500</v>
      </c>
      <c r="T31" s="116">
        <f>DATABASE!U1127</f>
        <v>0</v>
      </c>
      <c r="U31" s="79">
        <f>DATABASE!V1127</f>
        <v>0</v>
      </c>
      <c r="V31" s="116">
        <f>DATABASE!W1127</f>
        <v>541500</v>
      </c>
      <c r="W31" s="80">
        <f>DATABASE!X1127</f>
        <v>0</v>
      </c>
      <c r="X31" s="79">
        <f>DATABASE!Y1127</f>
        <v>541500</v>
      </c>
      <c r="Y31" s="79">
        <f>DATABASE!Z1127</f>
        <v>541500</v>
      </c>
      <c r="Z31" s="79" t="e">
        <f>DATABASE!#REF!</f>
        <v>#REF!</v>
      </c>
      <c r="AA31" s="81" t="e">
        <f>DATABASE!#REF!</f>
        <v>#REF!</v>
      </c>
      <c r="AB31" s="82">
        <f>DATABASE!AB1127</f>
        <v>0</v>
      </c>
    </row>
    <row r="32" spans="1:28">
      <c r="A32" s="128" t="str">
        <f>DATABASE!A1128</f>
        <v>THE NINE</v>
      </c>
      <c r="B32" s="188" t="str">
        <f>DATABASE!B1128</f>
        <v>Vilamoura</v>
      </c>
      <c r="C32" s="189" t="str">
        <f>DATABASE!C1128</f>
        <v>Z</v>
      </c>
      <c r="D32" s="91" t="str">
        <f>DATABASE!E1128</f>
        <v>T2</v>
      </c>
      <c r="E32" s="91">
        <f>DATABASE!F1128</f>
        <v>117</v>
      </c>
      <c r="F32" s="91">
        <f>DATABASE!G1128</f>
        <v>0</v>
      </c>
      <c r="G32" s="91" t="str">
        <f>DATABASE!H1128</f>
        <v/>
      </c>
      <c r="H32" s="91" t="str">
        <f>DATABASE!I1128</f>
        <v/>
      </c>
      <c r="I32" s="91">
        <f>DATABASE!J1128</f>
        <v>0</v>
      </c>
      <c r="J32" s="91">
        <f>DATABASE!K1128</f>
        <v>0</v>
      </c>
      <c r="K32" s="91">
        <f>DATABASE!L1128</f>
        <v>0</v>
      </c>
      <c r="L32" s="74">
        <f>DATABASE!M1128</f>
        <v>0</v>
      </c>
      <c r="M32" s="72">
        <f>DATABASE!N1128</f>
        <v>0</v>
      </c>
      <c r="N32" s="191">
        <f>DATABASE!O1128</f>
        <v>117</v>
      </c>
      <c r="O32" s="116">
        <f>DATABASE!P1128</f>
        <v>0</v>
      </c>
      <c r="P32" s="111" t="str">
        <f>DATABASE!Q1128</f>
        <v xml:space="preserve">DEED </v>
      </c>
      <c r="Q32" s="111">
        <f>DATABASE!R1128</f>
        <v>490000</v>
      </c>
      <c r="R32" s="107">
        <f>DATABASE!S1128</f>
        <v>490000</v>
      </c>
      <c r="S32" s="107">
        <f>DATABASE!T1128</f>
        <v>490000</v>
      </c>
      <c r="T32" s="116">
        <f>DATABASE!U1128</f>
        <v>0</v>
      </c>
      <c r="U32" s="79">
        <f>DATABASE!V1128</f>
        <v>0</v>
      </c>
      <c r="V32" s="116">
        <f>DATABASE!W1128</f>
        <v>490000</v>
      </c>
      <c r="W32" s="80">
        <f>DATABASE!X1128</f>
        <v>0</v>
      </c>
      <c r="X32" s="79">
        <f>DATABASE!Y1128</f>
        <v>490000</v>
      </c>
      <c r="Y32" s="79">
        <f>DATABASE!Z1128</f>
        <v>490000</v>
      </c>
      <c r="Z32" s="79" t="e">
        <f>DATABASE!#REF!</f>
        <v>#REF!</v>
      </c>
      <c r="AA32" s="81">
        <f>DATABASE!AA1128</f>
        <v>45036</v>
      </c>
      <c r="AB32" s="82">
        <f>DATABASE!AB1128</f>
        <v>0</v>
      </c>
    </row>
    <row r="33" spans="1:28">
      <c r="A33" s="128" t="str">
        <f>DATABASE!A1129</f>
        <v>VM PARQUE</v>
      </c>
      <c r="B33" s="188" t="str">
        <f>DATABASE!B1129</f>
        <v>Vilamoura</v>
      </c>
      <c r="C33" s="189" t="str">
        <f>DATABASE!C1129</f>
        <v>Z</v>
      </c>
      <c r="D33" s="91" t="str">
        <f>DATABASE!E1129</f>
        <v>V2</v>
      </c>
      <c r="E33" s="91">
        <f>DATABASE!F1129</f>
        <v>156.83949999999999</v>
      </c>
      <c r="F33" s="91">
        <f>DATABASE!G1129</f>
        <v>0</v>
      </c>
      <c r="G33" s="91" t="str">
        <f>DATABASE!H1129</f>
        <v/>
      </c>
      <c r="H33" s="91" t="str">
        <f>DATABASE!I1129</f>
        <v/>
      </c>
      <c r="I33" s="91">
        <f>DATABASE!J1129</f>
        <v>0</v>
      </c>
      <c r="J33" s="91">
        <f>DATABASE!K1129</f>
        <v>0</v>
      </c>
      <c r="K33" s="91">
        <f>DATABASE!L1129</f>
        <v>0</v>
      </c>
      <c r="L33" s="74">
        <f>DATABASE!M1129</f>
        <v>0</v>
      </c>
      <c r="M33" s="72">
        <f>DATABASE!N1129</f>
        <v>0</v>
      </c>
      <c r="N33" s="191">
        <f>DATABASE!O1129</f>
        <v>156.83949999999999</v>
      </c>
      <c r="O33" s="116">
        <f>DATABASE!P1129</f>
        <v>0</v>
      </c>
      <c r="P33" s="111" t="str">
        <f>DATABASE!Q1129</f>
        <v xml:space="preserve">DEED </v>
      </c>
      <c r="Q33" s="111">
        <f>DATABASE!R1129</f>
        <v>925768</v>
      </c>
      <c r="R33" s="107">
        <f>DATABASE!S1129</f>
        <v>925768</v>
      </c>
      <c r="S33" s="107">
        <f>DATABASE!T1129</f>
        <v>992000</v>
      </c>
      <c r="T33" s="116">
        <f>DATABASE!U1129</f>
        <v>0</v>
      </c>
      <c r="U33" s="79">
        <f>DATABASE!V1129</f>
        <v>0</v>
      </c>
      <c r="V33" s="116">
        <f>DATABASE!W1129</f>
        <v>992000</v>
      </c>
      <c r="W33" s="80">
        <f>DATABASE!X1129</f>
        <v>0</v>
      </c>
      <c r="X33" s="79">
        <f>DATABASE!Y1129</f>
        <v>992000</v>
      </c>
      <c r="Y33" s="79">
        <f>DATABASE!Z1129</f>
        <v>992000</v>
      </c>
      <c r="Z33" s="79" t="e">
        <f>DATABASE!#REF!</f>
        <v>#REF!</v>
      </c>
      <c r="AA33" s="81">
        <f>DATABASE!AA1129</f>
        <v>45092</v>
      </c>
      <c r="AB33" s="82">
        <f>DATABASE!AB1129</f>
        <v>0</v>
      </c>
    </row>
    <row r="34" spans="1:28">
      <c r="A34" s="128" t="str">
        <f>DATABASE!A1130</f>
        <v>ZESTIA</v>
      </c>
      <c r="B34" s="188" t="str">
        <f>DATABASE!B1130</f>
        <v>Vilamoura</v>
      </c>
      <c r="C34" s="189" t="str">
        <f>DATABASE!C1130</f>
        <v>Z</v>
      </c>
      <c r="D34" s="91" t="str">
        <f>DATABASE!E1130</f>
        <v>T2 +</v>
      </c>
      <c r="E34" s="91">
        <f>DATABASE!F1130</f>
        <v>153.04</v>
      </c>
      <c r="F34" s="91">
        <f>DATABASE!G1130</f>
        <v>0</v>
      </c>
      <c r="G34" s="91" t="str">
        <f>DATABASE!H1130</f>
        <v/>
      </c>
      <c r="H34" s="91" t="str">
        <f>DATABASE!I1130</f>
        <v/>
      </c>
      <c r="I34" s="91">
        <f>DATABASE!J1130</f>
        <v>37.74</v>
      </c>
      <c r="J34" s="91">
        <f>DATABASE!K1130</f>
        <v>0</v>
      </c>
      <c r="K34" s="91">
        <f>DATABASE!L1130</f>
        <v>0</v>
      </c>
      <c r="L34" s="74">
        <f>DATABASE!M1130</f>
        <v>0</v>
      </c>
      <c r="M34" s="72">
        <f>DATABASE!N1130</f>
        <v>0</v>
      </c>
      <c r="N34" s="191">
        <f>DATABASE!O1130</f>
        <v>115.3</v>
      </c>
      <c r="O34" s="116">
        <f>DATABASE!P1130</f>
        <v>0</v>
      </c>
      <c r="P34" s="111" t="str">
        <f>DATABASE!Q1130</f>
        <v>AVAILABLE</v>
      </c>
      <c r="Q34" s="111">
        <f>DATABASE!R1130</f>
        <v>1059822.0759999999</v>
      </c>
      <c r="R34" s="107">
        <f>DATABASE!S1130</f>
        <v>1134422.0759999999</v>
      </c>
      <c r="S34" s="107">
        <f>DATABASE!T1130</f>
        <v>1150000</v>
      </c>
      <c r="T34" s="116">
        <f>DATABASE!U1130</f>
        <v>24600</v>
      </c>
      <c r="U34" s="79">
        <f>DATABASE!V1130</f>
        <v>50000</v>
      </c>
      <c r="V34" s="116">
        <f>DATABASE!W1130</f>
        <v>1075400</v>
      </c>
      <c r="W34" s="80">
        <f>DATABASE!X1130</f>
        <v>0</v>
      </c>
      <c r="X34" s="79">
        <f>DATABASE!Y1130</f>
        <v>1150000</v>
      </c>
      <c r="Y34" s="79">
        <f>DATABASE!Z1130</f>
        <v>1075400</v>
      </c>
      <c r="Z34" s="79" t="e">
        <f>DATABASE!#REF!</f>
        <v>#REF!</v>
      </c>
      <c r="AA34" s="81">
        <f>DATABASE!AA1130</f>
        <v>0</v>
      </c>
      <c r="AB34" s="82">
        <f>DATABASE!AB1130</f>
        <v>0</v>
      </c>
    </row>
    <row r="35" spans="1:28">
      <c r="A35" s="128" t="str">
        <f>DATABASE!A1131</f>
        <v>VP - TOWNHOUSES</v>
      </c>
      <c r="B35" s="188" t="str">
        <f>DATABASE!B1131</f>
        <v>North</v>
      </c>
      <c r="C35" s="189" t="str">
        <f>DATABASE!C1131</f>
        <v>2D</v>
      </c>
      <c r="D35" s="91" t="str">
        <f>DATABASE!E1131</f>
        <v>V4</v>
      </c>
      <c r="E35" s="91">
        <f>DATABASE!F1131</f>
        <v>365.67</v>
      </c>
      <c r="F35" s="91">
        <f>DATABASE!G1131</f>
        <v>0</v>
      </c>
      <c r="G35" s="91" t="str">
        <f>DATABASE!H1131</f>
        <v>2</v>
      </c>
      <c r="H35" s="91" t="str">
        <f>DATABASE!I1131</f>
        <v>Yes</v>
      </c>
      <c r="I35" s="91">
        <f>DATABASE!J1131</f>
        <v>0</v>
      </c>
      <c r="J35" s="91">
        <f>DATABASE!K1131</f>
        <v>95.36</v>
      </c>
      <c r="K35" s="91">
        <f>DATABASE!L1131</f>
        <v>53.5</v>
      </c>
      <c r="L35" s="74">
        <f>DATABASE!M1131</f>
        <v>0</v>
      </c>
      <c r="M35" s="72">
        <f>DATABASE!N1131</f>
        <v>0</v>
      </c>
      <c r="N35" s="191">
        <f>DATABASE!O1131</f>
        <v>216.81</v>
      </c>
      <c r="O35" s="116">
        <f>DATABASE!P1131</f>
        <v>0</v>
      </c>
      <c r="P35" s="79" t="str">
        <f>DATABASE!Q1131</f>
        <v>PRE-RESERVED</v>
      </c>
      <c r="Q35" s="111">
        <f>DATABASE!R1131</f>
        <v>1060000</v>
      </c>
      <c r="R35" s="107">
        <f>DATABASE!S1131</f>
        <v>1060000</v>
      </c>
      <c r="S35" s="107">
        <f>DATABASE!T1131</f>
        <v>1090000</v>
      </c>
      <c r="T35" s="116">
        <f>DATABASE!U1131</f>
        <v>0</v>
      </c>
      <c r="U35" s="79">
        <f>DATABASE!V1131</f>
        <v>0</v>
      </c>
      <c r="V35" s="116">
        <f>DATABASE!W1131</f>
        <v>1090000</v>
      </c>
      <c r="W35" s="80">
        <f>DATABASE!X1131</f>
        <v>0</v>
      </c>
      <c r="X35" s="79">
        <f>DATABASE!Y1131</f>
        <v>1090000</v>
      </c>
      <c r="Y35" s="79">
        <f>DATABASE!Z1131</f>
        <v>1090000</v>
      </c>
      <c r="Z35" s="79" t="e">
        <f>DATABASE!#REF!</f>
        <v>#REF!</v>
      </c>
      <c r="AA35" s="81">
        <f>DATABASE!AA1131</f>
        <v>46185</v>
      </c>
      <c r="AB35" s="82">
        <f>DATABASE!AB1131</f>
        <v>47208</v>
      </c>
    </row>
    <row r="36" spans="1:28">
      <c r="A36" s="128" t="str">
        <f>DATABASE!A1132</f>
        <v>VP - TOWNHOUSES</v>
      </c>
      <c r="B36" s="188" t="str">
        <f>DATABASE!B1132</f>
        <v>North</v>
      </c>
      <c r="C36" s="189" t="str">
        <f>DATABASE!C1132</f>
        <v>6D</v>
      </c>
      <c r="D36" s="91" t="str">
        <f>DATABASE!E1132</f>
        <v>V4</v>
      </c>
      <c r="E36" s="91">
        <f>DATABASE!F1132</f>
        <v>362.84</v>
      </c>
      <c r="F36" s="91">
        <f>DATABASE!G1132</f>
        <v>0</v>
      </c>
      <c r="G36" s="91" t="str">
        <f>DATABASE!H1132</f>
        <v>2</v>
      </c>
      <c r="H36" s="91" t="str">
        <f>DATABASE!I1132</f>
        <v>Yes</v>
      </c>
      <c r="I36" s="91">
        <f>DATABASE!J1132</f>
        <v>0</v>
      </c>
      <c r="J36" s="91">
        <f>DATABASE!K1132</f>
        <v>92.53</v>
      </c>
      <c r="K36" s="91">
        <f>DATABASE!L1132</f>
        <v>53.5</v>
      </c>
      <c r="L36" s="74">
        <f>DATABASE!M1132</f>
        <v>0</v>
      </c>
      <c r="M36" s="72">
        <f>DATABASE!N1132</f>
        <v>0</v>
      </c>
      <c r="N36" s="191">
        <f>DATABASE!O1132</f>
        <v>216.81</v>
      </c>
      <c r="O36" s="116">
        <f>DATABASE!P1132</f>
        <v>0</v>
      </c>
      <c r="P36" s="111" t="str">
        <f>DATABASE!Q1132</f>
        <v>AVAILABLE</v>
      </c>
      <c r="Q36" s="111">
        <f>DATABASE!R1132</f>
        <v>1060000</v>
      </c>
      <c r="R36" s="107">
        <f>DATABASE!S1132</f>
        <v>1060000</v>
      </c>
      <c r="S36" s="107">
        <f>DATABASE!T1132</f>
        <v>1090000</v>
      </c>
      <c r="T36" s="116">
        <f>DATABASE!U1132</f>
        <v>0</v>
      </c>
      <c r="U36" s="79">
        <f>DATABASE!V1132</f>
        <v>0</v>
      </c>
      <c r="V36" s="116">
        <f>DATABASE!W1132</f>
        <v>1090000</v>
      </c>
      <c r="W36" s="80">
        <f>DATABASE!X1132</f>
        <v>0</v>
      </c>
      <c r="X36" s="79">
        <f>DATABASE!Y1132</f>
        <v>0</v>
      </c>
      <c r="Y36" s="79">
        <f>DATABASE!Z1132</f>
        <v>0</v>
      </c>
      <c r="Z36" s="79" t="e">
        <f>DATABASE!#REF!</f>
        <v>#REF!</v>
      </c>
      <c r="AA36" s="81">
        <f>DATABASE!AA1132</f>
        <v>0</v>
      </c>
      <c r="AB36" s="82">
        <f>DATABASE!AB1132</f>
        <v>47208</v>
      </c>
    </row>
    <row r="37" spans="1:28">
      <c r="A37" s="128" t="str">
        <f>DATABASE!A1133</f>
        <v>VP - TOWNHOUSES</v>
      </c>
      <c r="B37" s="188" t="str">
        <f>DATABASE!B1133</f>
        <v>North</v>
      </c>
      <c r="C37" s="189" t="str">
        <f>DATABASE!C1133</f>
        <v>9D</v>
      </c>
      <c r="D37" s="91" t="str">
        <f>DATABASE!E1133</f>
        <v>V4</v>
      </c>
      <c r="E37" s="91">
        <f>DATABASE!F1133</f>
        <v>369.54</v>
      </c>
      <c r="F37" s="91">
        <f>DATABASE!G1133</f>
        <v>0</v>
      </c>
      <c r="G37" s="91" t="str">
        <f>DATABASE!H1133</f>
        <v>2</v>
      </c>
      <c r="H37" s="91" t="str">
        <f>DATABASE!I1133</f>
        <v>Yes</v>
      </c>
      <c r="I37" s="91">
        <f>DATABASE!J1133</f>
        <v>0</v>
      </c>
      <c r="J37" s="91">
        <f>DATABASE!K1133</f>
        <v>90.37</v>
      </c>
      <c r="K37" s="91">
        <f>DATABASE!L1133</f>
        <v>55.07</v>
      </c>
      <c r="L37" s="74">
        <f>DATABASE!M1133</f>
        <v>0</v>
      </c>
      <c r="M37" s="72">
        <f>DATABASE!N1133</f>
        <v>0</v>
      </c>
      <c r="N37" s="191">
        <f>DATABASE!O1133</f>
        <v>224.1</v>
      </c>
      <c r="O37" s="116">
        <f>DATABASE!P1133</f>
        <v>0</v>
      </c>
      <c r="P37" s="111" t="str">
        <f>DATABASE!Q1133</f>
        <v>AVAILABLE</v>
      </c>
      <c r="Q37" s="111">
        <f>DATABASE!R1133</f>
        <v>1090000</v>
      </c>
      <c r="R37" s="107">
        <f>DATABASE!S1133</f>
        <v>1090000</v>
      </c>
      <c r="S37" s="107">
        <f>DATABASE!T1133</f>
        <v>1120000</v>
      </c>
      <c r="T37" s="116">
        <f>DATABASE!U1133</f>
        <v>0</v>
      </c>
      <c r="U37" s="79">
        <f>DATABASE!V1133</f>
        <v>0</v>
      </c>
      <c r="V37" s="116">
        <f>DATABASE!W1133</f>
        <v>1120000</v>
      </c>
      <c r="W37" s="80">
        <f>DATABASE!X1133</f>
        <v>0</v>
      </c>
      <c r="X37" s="79">
        <f>DATABASE!Y1133</f>
        <v>0</v>
      </c>
      <c r="Y37" s="79">
        <f>DATABASE!Z1133</f>
        <v>0</v>
      </c>
      <c r="Z37" s="79" t="e">
        <f>DATABASE!#REF!</f>
        <v>#REF!</v>
      </c>
      <c r="AA37" s="81">
        <f>DATABASE!AA1133</f>
        <v>0</v>
      </c>
      <c r="AB37" s="82">
        <f>DATABASE!AB1133</f>
        <v>47208</v>
      </c>
    </row>
    <row r="38" spans="1:28">
      <c r="A38" s="128" t="str">
        <f>DATABASE!A1134</f>
        <v>VP - TOWNHOUSES</v>
      </c>
      <c r="B38" s="188" t="str">
        <f>DATABASE!B1134</f>
        <v>North</v>
      </c>
      <c r="C38" s="189" t="str">
        <f>DATABASE!C1134</f>
        <v>1E</v>
      </c>
      <c r="D38" s="91" t="str">
        <f>DATABASE!E1134</f>
        <v>V4+1</v>
      </c>
      <c r="E38" s="91">
        <f>DATABASE!F1134</f>
        <v>401.91</v>
      </c>
      <c r="F38" s="91">
        <f>DATABASE!G1134</f>
        <v>0</v>
      </c>
      <c r="G38" s="91" t="str">
        <f>DATABASE!H1134</f>
        <v>2</v>
      </c>
      <c r="H38" s="91" t="str">
        <f>DATABASE!I1134</f>
        <v>Yes</v>
      </c>
      <c r="I38" s="91">
        <f>DATABASE!J1134</f>
        <v>0</v>
      </c>
      <c r="J38" s="91">
        <f>DATABASE!K1134</f>
        <v>92.83</v>
      </c>
      <c r="K38" s="91">
        <f>DATABASE!L1134</f>
        <v>57.45</v>
      </c>
      <c r="L38" s="74">
        <f>DATABASE!M1134</f>
        <v>0</v>
      </c>
      <c r="M38" s="72">
        <f>DATABASE!N1134</f>
        <v>0</v>
      </c>
      <c r="N38" s="191">
        <f>DATABASE!O1134</f>
        <v>251.63</v>
      </c>
      <c r="O38" s="116">
        <f>DATABASE!P1134</f>
        <v>0</v>
      </c>
      <c r="P38" s="111" t="str">
        <f>DATABASE!Q1134</f>
        <v>AVAILABLE</v>
      </c>
      <c r="Q38" s="111">
        <f>DATABASE!R1134</f>
        <v>1240000</v>
      </c>
      <c r="R38" s="107">
        <f>DATABASE!S1134</f>
        <v>1240000</v>
      </c>
      <c r="S38" s="107">
        <f>DATABASE!T1134</f>
        <v>1270000</v>
      </c>
      <c r="T38" s="116">
        <f>DATABASE!U1134</f>
        <v>0</v>
      </c>
      <c r="U38" s="79">
        <f>DATABASE!V1134</f>
        <v>0</v>
      </c>
      <c r="V38" s="116">
        <f>DATABASE!W1134</f>
        <v>1270000</v>
      </c>
      <c r="W38" s="80">
        <f>DATABASE!X1134</f>
        <v>0</v>
      </c>
      <c r="X38" s="79">
        <f>DATABASE!Y1134</f>
        <v>0</v>
      </c>
      <c r="Y38" s="79">
        <f>DATABASE!Z1134</f>
        <v>0</v>
      </c>
      <c r="Z38" s="79" t="e">
        <f>DATABASE!#REF!</f>
        <v>#REF!</v>
      </c>
      <c r="AA38" s="81">
        <f>DATABASE!AA1134</f>
        <v>0</v>
      </c>
      <c r="AB38" s="82">
        <f>DATABASE!AB1134</f>
        <v>47208</v>
      </c>
    </row>
    <row r="39" spans="1:28">
      <c r="A39" s="128" t="str">
        <f>DATABASE!A1135</f>
        <v>VP - TOWNHOUSES</v>
      </c>
      <c r="B39" s="188" t="str">
        <f>DATABASE!B1135</f>
        <v>North</v>
      </c>
      <c r="C39" s="189" t="str">
        <f>DATABASE!C1135</f>
        <v>3D</v>
      </c>
      <c r="D39" s="91" t="str">
        <f>DATABASE!E1135</f>
        <v>V4</v>
      </c>
      <c r="E39" s="91">
        <f>DATABASE!F1135</f>
        <v>365.81</v>
      </c>
      <c r="F39" s="91">
        <f>DATABASE!G1135</f>
        <v>0</v>
      </c>
      <c r="G39" s="91" t="str">
        <f>DATABASE!H1135</f>
        <v>2</v>
      </c>
      <c r="H39" s="91" t="str">
        <f>DATABASE!I1135</f>
        <v>Yes</v>
      </c>
      <c r="I39" s="91">
        <f>DATABASE!J1135</f>
        <v>0</v>
      </c>
      <c r="J39" s="91">
        <f>DATABASE!K1135</f>
        <v>95.5</v>
      </c>
      <c r="K39" s="91">
        <f>DATABASE!L1135</f>
        <v>53.5</v>
      </c>
      <c r="L39" s="74">
        <f>DATABASE!M1135</f>
        <v>0</v>
      </c>
      <c r="M39" s="72">
        <f>DATABASE!N1135</f>
        <v>0</v>
      </c>
      <c r="N39" s="191">
        <f>DATABASE!O1135</f>
        <v>216.81</v>
      </c>
      <c r="O39" s="116">
        <f>DATABASE!P1135</f>
        <v>0</v>
      </c>
      <c r="P39" s="111" t="str">
        <f>DATABASE!Q1135</f>
        <v>UPON  REQUEST</v>
      </c>
      <c r="Q39" s="111">
        <f>DATABASE!R1135</f>
        <v>0</v>
      </c>
      <c r="R39" s="107">
        <f>DATABASE!S1135</f>
        <v>0</v>
      </c>
      <c r="S39" s="107">
        <f>DATABASE!T1135</f>
        <v>0</v>
      </c>
      <c r="T39" s="116">
        <f>DATABASE!U1135</f>
        <v>0</v>
      </c>
      <c r="U39" s="79">
        <f>DATABASE!V1135</f>
        <v>0</v>
      </c>
      <c r="V39" s="116">
        <f>DATABASE!W1135</f>
        <v>0</v>
      </c>
      <c r="W39" s="80">
        <f>DATABASE!X1135</f>
        <v>0</v>
      </c>
      <c r="X39" s="79">
        <f>DATABASE!Y1135</f>
        <v>0</v>
      </c>
      <c r="Y39" s="79">
        <f>DATABASE!Z1135</f>
        <v>0</v>
      </c>
      <c r="Z39" s="79" t="e">
        <f>DATABASE!#REF!</f>
        <v>#REF!</v>
      </c>
      <c r="AA39" s="81">
        <f>DATABASE!AA1135</f>
        <v>0</v>
      </c>
      <c r="AB39" s="82">
        <f>DATABASE!AB1135</f>
        <v>47208</v>
      </c>
    </row>
    <row r="40" spans="1:28">
      <c r="A40" s="128" t="str">
        <f>DATABASE!A1136</f>
        <v>VP - TOWNHOUSES</v>
      </c>
      <c r="B40" s="188" t="str">
        <f>DATABASE!B1136</f>
        <v>North</v>
      </c>
      <c r="C40" s="189" t="str">
        <f>DATABASE!C1136</f>
        <v>4D</v>
      </c>
      <c r="D40" s="91" t="str">
        <f>DATABASE!E1136</f>
        <v>V4</v>
      </c>
      <c r="E40" s="91">
        <f>DATABASE!F1136</f>
        <v>365.79</v>
      </c>
      <c r="F40" s="91">
        <f>DATABASE!G1136</f>
        <v>0</v>
      </c>
      <c r="G40" s="91" t="str">
        <f>DATABASE!H1136</f>
        <v>2</v>
      </c>
      <c r="H40" s="91" t="str">
        <f>DATABASE!I1136</f>
        <v>Yes</v>
      </c>
      <c r="I40" s="91">
        <f>DATABASE!J1136</f>
        <v>0</v>
      </c>
      <c r="J40" s="91">
        <f>DATABASE!K1136</f>
        <v>95.48</v>
      </c>
      <c r="K40" s="91">
        <f>DATABASE!L1136</f>
        <v>53.5</v>
      </c>
      <c r="L40" s="74">
        <f>DATABASE!M1136</f>
        <v>0</v>
      </c>
      <c r="M40" s="72">
        <f>DATABASE!N1136</f>
        <v>0</v>
      </c>
      <c r="N40" s="191">
        <f>DATABASE!O1136</f>
        <v>216.81</v>
      </c>
      <c r="O40" s="116">
        <f>DATABASE!P1136</f>
        <v>0</v>
      </c>
      <c r="P40" s="111" t="str">
        <f>DATABASE!Q1136</f>
        <v>UPON  REQUEST</v>
      </c>
      <c r="Q40" s="111">
        <f>DATABASE!R1136</f>
        <v>0</v>
      </c>
      <c r="R40" s="107">
        <f>DATABASE!S1136</f>
        <v>0</v>
      </c>
      <c r="S40" s="107">
        <f>DATABASE!T1136</f>
        <v>0</v>
      </c>
      <c r="T40" s="116">
        <f>DATABASE!U1136</f>
        <v>0</v>
      </c>
      <c r="U40" s="79">
        <f>DATABASE!V1136</f>
        <v>0</v>
      </c>
      <c r="V40" s="116">
        <f>DATABASE!W1136</f>
        <v>0</v>
      </c>
      <c r="W40" s="80">
        <f>DATABASE!X1136</f>
        <v>0</v>
      </c>
      <c r="X40" s="79">
        <f>DATABASE!Y1136</f>
        <v>0</v>
      </c>
      <c r="Y40" s="79">
        <f>DATABASE!Z1136</f>
        <v>0</v>
      </c>
      <c r="Z40" s="79" t="e">
        <f>DATABASE!#REF!</f>
        <v>#REF!</v>
      </c>
      <c r="AA40" s="81">
        <f>DATABASE!AA1136</f>
        <v>0</v>
      </c>
      <c r="AB40" s="82">
        <f>DATABASE!AB1136</f>
        <v>47208</v>
      </c>
    </row>
    <row r="41" spans="1:28">
      <c r="A41" s="128" t="str">
        <f>DATABASE!A1137</f>
        <v>VP - TOWNHOUSES</v>
      </c>
      <c r="B41" s="188" t="str">
        <f>DATABASE!B1137</f>
        <v>North</v>
      </c>
      <c r="C41" s="189" t="str">
        <f>DATABASE!C1137</f>
        <v>5D</v>
      </c>
      <c r="D41" s="91" t="str">
        <f>DATABASE!E1137</f>
        <v>V4</v>
      </c>
      <c r="E41" s="91">
        <f>DATABASE!F1137</f>
        <v>364.63</v>
      </c>
      <c r="F41" s="91">
        <f>DATABASE!G1137</f>
        <v>0</v>
      </c>
      <c r="G41" s="91" t="str">
        <f>DATABASE!H1137</f>
        <v>2</v>
      </c>
      <c r="H41" s="91" t="str">
        <f>DATABASE!I1137</f>
        <v>Yes</v>
      </c>
      <c r="I41" s="91">
        <f>DATABASE!J1137</f>
        <v>0</v>
      </c>
      <c r="J41" s="91">
        <f>DATABASE!K1137</f>
        <v>94.32</v>
      </c>
      <c r="K41" s="91">
        <f>DATABASE!L1137</f>
        <v>53.5</v>
      </c>
      <c r="L41" s="74">
        <f>DATABASE!M1137</f>
        <v>0</v>
      </c>
      <c r="M41" s="72">
        <f>DATABASE!N1137</f>
        <v>0</v>
      </c>
      <c r="N41" s="191">
        <f>DATABASE!O1137</f>
        <v>216.81</v>
      </c>
      <c r="O41" s="116">
        <f>DATABASE!P1137</f>
        <v>0</v>
      </c>
      <c r="P41" s="111" t="str">
        <f>DATABASE!Q1137</f>
        <v>UPON  REQUEST</v>
      </c>
      <c r="Q41" s="111">
        <f>DATABASE!R1137</f>
        <v>0</v>
      </c>
      <c r="R41" s="107">
        <f>DATABASE!S1137</f>
        <v>0</v>
      </c>
      <c r="S41" s="107">
        <f>DATABASE!T1137</f>
        <v>0</v>
      </c>
      <c r="T41" s="116">
        <f>DATABASE!U1137</f>
        <v>0</v>
      </c>
      <c r="U41" s="79">
        <f>DATABASE!V1137</f>
        <v>0</v>
      </c>
      <c r="V41" s="116">
        <f>DATABASE!W1137</f>
        <v>0</v>
      </c>
      <c r="W41" s="80">
        <f>DATABASE!X1137</f>
        <v>0</v>
      </c>
      <c r="X41" s="79">
        <f>DATABASE!Y1137</f>
        <v>0</v>
      </c>
      <c r="Y41" s="79">
        <f>DATABASE!Z1137</f>
        <v>0</v>
      </c>
      <c r="Z41" s="79" t="e">
        <f>DATABASE!#REF!</f>
        <v>#REF!</v>
      </c>
      <c r="AA41" s="81">
        <f>DATABASE!AA1137</f>
        <v>0</v>
      </c>
      <c r="AB41" s="82">
        <f>DATABASE!AB1137</f>
        <v>47208</v>
      </c>
    </row>
    <row r="42" spans="1:28">
      <c r="A42" s="128" t="str">
        <f>DATABASE!A1138</f>
        <v>VP - TOWNHOUSES</v>
      </c>
      <c r="B42" s="188" t="str">
        <f>DATABASE!B1138</f>
        <v>North</v>
      </c>
      <c r="C42" s="189" t="str">
        <f>DATABASE!C1138</f>
        <v>7D</v>
      </c>
      <c r="D42" s="91" t="str">
        <f>DATABASE!E1138</f>
        <v>V4</v>
      </c>
      <c r="E42" s="91">
        <f>DATABASE!F1138</f>
        <v>360.37</v>
      </c>
      <c r="F42" s="91">
        <f>DATABASE!G1138</f>
        <v>0</v>
      </c>
      <c r="G42" s="91" t="str">
        <f>DATABASE!H1138</f>
        <v>2</v>
      </c>
      <c r="H42" s="91" t="str">
        <f>DATABASE!I1138</f>
        <v>Yes</v>
      </c>
      <c r="I42" s="91">
        <f>DATABASE!J1138</f>
        <v>0</v>
      </c>
      <c r="J42" s="91">
        <f>DATABASE!K1138</f>
        <v>90.06</v>
      </c>
      <c r="K42" s="91">
        <f>DATABASE!L1138</f>
        <v>53.5</v>
      </c>
      <c r="L42" s="74">
        <f>DATABASE!M1138</f>
        <v>0</v>
      </c>
      <c r="M42" s="72">
        <f>DATABASE!N1138</f>
        <v>0</v>
      </c>
      <c r="N42" s="191">
        <f>DATABASE!O1138</f>
        <v>216.81</v>
      </c>
      <c r="O42" s="116">
        <f>DATABASE!P1138</f>
        <v>0</v>
      </c>
      <c r="P42" s="111" t="str">
        <f>DATABASE!Q1138</f>
        <v>UPON  REQUEST</v>
      </c>
      <c r="Q42" s="111">
        <f>DATABASE!R1138</f>
        <v>0</v>
      </c>
      <c r="R42" s="107">
        <f>DATABASE!S1138</f>
        <v>0</v>
      </c>
      <c r="S42" s="107">
        <f>DATABASE!T1138</f>
        <v>0</v>
      </c>
      <c r="T42" s="116">
        <f>DATABASE!U1138</f>
        <v>0</v>
      </c>
      <c r="U42" s="79">
        <f>DATABASE!V1138</f>
        <v>0</v>
      </c>
      <c r="V42" s="116">
        <f>DATABASE!W1138</f>
        <v>0</v>
      </c>
      <c r="W42" s="80">
        <f>DATABASE!X1138</f>
        <v>0</v>
      </c>
      <c r="X42" s="79">
        <f>DATABASE!Y1138</f>
        <v>0</v>
      </c>
      <c r="Y42" s="79">
        <f>DATABASE!Z1138</f>
        <v>0</v>
      </c>
      <c r="Z42" s="79" t="e">
        <f>DATABASE!#REF!</f>
        <v>#REF!</v>
      </c>
      <c r="AA42" s="81">
        <f>DATABASE!AA1138</f>
        <v>0</v>
      </c>
      <c r="AB42" s="82">
        <f>DATABASE!AB1138</f>
        <v>47208</v>
      </c>
    </row>
    <row r="43" spans="1:28">
      <c r="A43" s="128" t="str">
        <f>DATABASE!A1139</f>
        <v>VP - TOWNHOUSES</v>
      </c>
      <c r="B43" s="188" t="str">
        <f>DATABASE!B1139</f>
        <v>North</v>
      </c>
      <c r="C43" s="189" t="str">
        <f>DATABASE!C1139</f>
        <v>8D</v>
      </c>
      <c r="D43" s="91" t="str">
        <f>DATABASE!E1139</f>
        <v>V4</v>
      </c>
      <c r="E43" s="91">
        <f>DATABASE!F1139</f>
        <v>358.23</v>
      </c>
      <c r="F43" s="91">
        <f>DATABASE!G1139</f>
        <v>0</v>
      </c>
      <c r="G43" s="91" t="str">
        <f>DATABASE!H1139</f>
        <v>2</v>
      </c>
      <c r="H43" s="91" t="str">
        <f>DATABASE!I1139</f>
        <v>Yes</v>
      </c>
      <c r="I43" s="91">
        <f>DATABASE!J1139</f>
        <v>0</v>
      </c>
      <c r="J43" s="91">
        <f>DATABASE!K1139</f>
        <v>87.92</v>
      </c>
      <c r="K43" s="91">
        <f>DATABASE!L1139</f>
        <v>53.5</v>
      </c>
      <c r="L43" s="74">
        <f>DATABASE!M1139</f>
        <v>0</v>
      </c>
      <c r="M43" s="72">
        <f>DATABASE!N1139</f>
        <v>0</v>
      </c>
      <c r="N43" s="191">
        <f>DATABASE!O1139</f>
        <v>216.81</v>
      </c>
      <c r="O43" s="116">
        <f>DATABASE!P1139</f>
        <v>0</v>
      </c>
      <c r="P43" s="111" t="str">
        <f>DATABASE!Q1139</f>
        <v>UPON  REQUEST</v>
      </c>
      <c r="Q43" s="111">
        <f>DATABASE!R1139</f>
        <v>0</v>
      </c>
      <c r="R43" s="107">
        <f>DATABASE!S1139</f>
        <v>0</v>
      </c>
      <c r="S43" s="107">
        <f>DATABASE!T1139</f>
        <v>0</v>
      </c>
      <c r="T43" s="116">
        <f>DATABASE!U1139</f>
        <v>0</v>
      </c>
      <c r="U43" s="79">
        <f>DATABASE!V1139</f>
        <v>0</v>
      </c>
      <c r="V43" s="116">
        <f>DATABASE!W1139</f>
        <v>0</v>
      </c>
      <c r="W43" s="80">
        <f>DATABASE!X1139</f>
        <v>0</v>
      </c>
      <c r="X43" s="79">
        <f>DATABASE!Y1139</f>
        <v>0</v>
      </c>
      <c r="Y43" s="79">
        <f>DATABASE!Z1139</f>
        <v>0</v>
      </c>
      <c r="Z43" s="79" t="e">
        <f>DATABASE!#REF!</f>
        <v>#REF!</v>
      </c>
      <c r="AA43" s="81">
        <f>DATABASE!AA1139</f>
        <v>0</v>
      </c>
      <c r="AB43" s="82">
        <f>DATABASE!AB1139</f>
        <v>47208</v>
      </c>
    </row>
    <row r="44" spans="1:28">
      <c r="A44" s="128" t="str">
        <f>DATABASE!A1140</f>
        <v>VP - TOWNHOUSES</v>
      </c>
      <c r="B44" s="188" t="str">
        <f>DATABASE!B1140</f>
        <v>North</v>
      </c>
      <c r="C44" s="189" t="str">
        <f>DATABASE!C1140</f>
        <v>2E</v>
      </c>
      <c r="D44" s="91" t="str">
        <f>DATABASE!E1140</f>
        <v>V4+1</v>
      </c>
      <c r="E44" s="91">
        <f>DATABASE!F1140</f>
        <v>387.26</v>
      </c>
      <c r="F44" s="91">
        <f>DATABASE!G1140</f>
        <v>0</v>
      </c>
      <c r="G44" s="91" t="str">
        <f>DATABASE!H1140</f>
        <v>2</v>
      </c>
      <c r="H44" s="91" t="str">
        <f>DATABASE!I1140</f>
        <v>Yes</v>
      </c>
      <c r="I44" s="91">
        <f>DATABASE!J1140</f>
        <v>0</v>
      </c>
      <c r="J44" s="91">
        <f>DATABASE!K1140</f>
        <v>87.97</v>
      </c>
      <c r="K44" s="91">
        <f>DATABASE!L1140</f>
        <v>55.99</v>
      </c>
      <c r="L44" s="74">
        <f>DATABASE!M1140</f>
        <v>0</v>
      </c>
      <c r="M44" s="72">
        <f>DATABASE!N1140</f>
        <v>0</v>
      </c>
      <c r="N44" s="191">
        <f>DATABASE!O1140</f>
        <v>243.3</v>
      </c>
      <c r="O44" s="116">
        <f>DATABASE!P1140</f>
        <v>0</v>
      </c>
      <c r="P44" s="111" t="str">
        <f>DATABASE!Q1140</f>
        <v>UPON  REQUEST</v>
      </c>
      <c r="Q44" s="111">
        <f>DATABASE!R1140</f>
        <v>0</v>
      </c>
      <c r="R44" s="107">
        <f>DATABASE!S1140</f>
        <v>0</v>
      </c>
      <c r="S44" s="107">
        <f>DATABASE!T1140</f>
        <v>0</v>
      </c>
      <c r="T44" s="116">
        <f>DATABASE!U1140</f>
        <v>0</v>
      </c>
      <c r="U44" s="79">
        <f>DATABASE!V1140</f>
        <v>0</v>
      </c>
      <c r="V44" s="116">
        <f>DATABASE!W1140</f>
        <v>0</v>
      </c>
      <c r="W44" s="80">
        <f>DATABASE!X1140</f>
        <v>0</v>
      </c>
      <c r="X44" s="79">
        <f>DATABASE!Y1140</f>
        <v>0</v>
      </c>
      <c r="Y44" s="79">
        <f>DATABASE!Z1140</f>
        <v>0</v>
      </c>
      <c r="Z44" s="79" t="e">
        <f>DATABASE!#REF!</f>
        <v>#REF!</v>
      </c>
      <c r="AA44" s="81">
        <f>DATABASE!AA1140</f>
        <v>0</v>
      </c>
      <c r="AB44" s="82">
        <f>DATABASE!AB1140</f>
        <v>47208</v>
      </c>
    </row>
    <row r="45" spans="1:28">
      <c r="A45" s="128" t="str">
        <f>DATABASE!A1141</f>
        <v>VP - TOWNHOUSES</v>
      </c>
      <c r="B45" s="188" t="str">
        <f>DATABASE!B1141</f>
        <v>North</v>
      </c>
      <c r="C45" s="189" t="str">
        <f>DATABASE!C1141</f>
        <v>3E</v>
      </c>
      <c r="D45" s="91" t="str">
        <f>DATABASE!E1141</f>
        <v>V4+1</v>
      </c>
      <c r="E45" s="91">
        <f>DATABASE!F1141</f>
        <v>387.03</v>
      </c>
      <c r="F45" s="91">
        <f>DATABASE!G1141</f>
        <v>0</v>
      </c>
      <c r="G45" s="91" t="str">
        <f>DATABASE!H1141</f>
        <v>2</v>
      </c>
      <c r="H45" s="91" t="str">
        <f>DATABASE!I1141</f>
        <v>Yes</v>
      </c>
      <c r="I45" s="91">
        <f>DATABASE!J1141</f>
        <v>0</v>
      </c>
      <c r="J45" s="91">
        <f>DATABASE!K1141</f>
        <v>87.74</v>
      </c>
      <c r="K45" s="91">
        <f>DATABASE!L1141</f>
        <v>55.99</v>
      </c>
      <c r="L45" s="74">
        <f>DATABASE!M1141</f>
        <v>0</v>
      </c>
      <c r="M45" s="72">
        <f>DATABASE!N1141</f>
        <v>0</v>
      </c>
      <c r="N45" s="191">
        <f>DATABASE!O1141</f>
        <v>243.3</v>
      </c>
      <c r="O45" s="116">
        <f>DATABASE!P1141</f>
        <v>0</v>
      </c>
      <c r="P45" s="111" t="str">
        <f>DATABASE!Q1141</f>
        <v>UPON  REQUEST</v>
      </c>
      <c r="Q45" s="111">
        <f>DATABASE!R1141</f>
        <v>0</v>
      </c>
      <c r="R45" s="107">
        <f>DATABASE!S1141</f>
        <v>0</v>
      </c>
      <c r="S45" s="107">
        <f>DATABASE!T1141</f>
        <v>0</v>
      </c>
      <c r="T45" s="116">
        <f>DATABASE!U1141</f>
        <v>0</v>
      </c>
      <c r="U45" s="79">
        <f>DATABASE!V1141</f>
        <v>0</v>
      </c>
      <c r="V45" s="116">
        <f>DATABASE!W1141</f>
        <v>0</v>
      </c>
      <c r="W45" s="80">
        <f>DATABASE!X1141</f>
        <v>0</v>
      </c>
      <c r="X45" s="79">
        <f>DATABASE!Y1141</f>
        <v>0</v>
      </c>
      <c r="Y45" s="79">
        <f>DATABASE!Z1141</f>
        <v>0</v>
      </c>
      <c r="Z45" s="79" t="e">
        <f>DATABASE!#REF!</f>
        <v>#REF!</v>
      </c>
      <c r="AA45" s="81">
        <f>DATABASE!AA1141</f>
        <v>0</v>
      </c>
      <c r="AB45" s="82">
        <f>DATABASE!AB1141</f>
        <v>47208</v>
      </c>
    </row>
    <row r="46" spans="1:28">
      <c r="A46" s="192" t="str">
        <f>DATABASE!A1142</f>
        <v>VP - TOWNHOUSES</v>
      </c>
      <c r="B46" s="193" t="str">
        <f>DATABASE!B1142</f>
        <v>North</v>
      </c>
      <c r="C46" s="194" t="str">
        <f>DATABASE!C1142</f>
        <v>4E</v>
      </c>
      <c r="D46" s="97" t="str">
        <f>DATABASE!E1142</f>
        <v>V4+1</v>
      </c>
      <c r="E46" s="97">
        <f>DATABASE!F1142</f>
        <v>382.78</v>
      </c>
      <c r="F46" s="97">
        <f>DATABASE!G1142</f>
        <v>0</v>
      </c>
      <c r="G46" s="97" t="str">
        <f>DATABASE!H1142</f>
        <v>4</v>
      </c>
      <c r="H46" s="97" t="str">
        <f>DATABASE!I1142</f>
        <v>Yes</v>
      </c>
      <c r="I46" s="97">
        <f>DATABASE!J1142</f>
        <v>0</v>
      </c>
      <c r="J46" s="97">
        <f>DATABASE!K1142</f>
        <v>73.7</v>
      </c>
      <c r="K46" s="97">
        <f>DATABASE!L1142</f>
        <v>57.45</v>
      </c>
      <c r="L46" s="195">
        <f>DATABASE!M1142</f>
        <v>0</v>
      </c>
      <c r="M46" s="114">
        <f>DATABASE!N1142</f>
        <v>0</v>
      </c>
      <c r="N46" s="196">
        <f>DATABASE!O1142</f>
        <v>251.63</v>
      </c>
      <c r="O46" s="118">
        <f>DATABASE!P1142</f>
        <v>0</v>
      </c>
      <c r="P46" s="112" t="str">
        <f>DATABASE!Q1142</f>
        <v>UPON  REQUEST</v>
      </c>
      <c r="Q46" s="112">
        <f>DATABASE!R1142</f>
        <v>0</v>
      </c>
      <c r="R46" s="117">
        <f>DATABASE!S1142</f>
        <v>0</v>
      </c>
      <c r="S46" s="117">
        <f>DATABASE!T1142</f>
        <v>0</v>
      </c>
      <c r="T46" s="118">
        <f>DATABASE!U1142</f>
        <v>0</v>
      </c>
      <c r="U46" s="102">
        <f>DATABASE!V1142</f>
        <v>0</v>
      </c>
      <c r="V46" s="118">
        <f>DATABASE!W1142</f>
        <v>0</v>
      </c>
      <c r="W46" s="103">
        <f>DATABASE!X1142</f>
        <v>0</v>
      </c>
      <c r="X46" s="102">
        <f>DATABASE!Y1142</f>
        <v>0</v>
      </c>
      <c r="Y46" s="102">
        <f>DATABASE!Z1142</f>
        <v>0</v>
      </c>
      <c r="Z46" s="102" t="e">
        <f>DATABASE!#REF!</f>
        <v>#REF!</v>
      </c>
      <c r="AA46" s="104">
        <f>DATABASE!AA1142</f>
        <v>0</v>
      </c>
      <c r="AB46" s="105">
        <f>DATABASE!AB1142</f>
        <v>47208</v>
      </c>
    </row>
    <row r="72" spans="15:15">
      <c r="O72" s="18"/>
    </row>
  </sheetData>
  <conditionalFormatting sqref="A1">
    <cfRule type="containsText" dxfId="6" priority="1" operator="containsText" text="Center">
      <formula>NOT(ISERROR(SEARCH("Center",A1)))</formula>
    </cfRule>
    <cfRule type="containsText" dxfId="5" priority="2" operator="containsText" text="North">
      <formula>NOT(ISERROR(SEARCH("North",A1)))</formula>
    </cfRule>
    <cfRule type="containsText" dxfId="4" priority="3" operator="containsText" text="Algarve">
      <formula>NOT(ISERROR(SEARCH("Algarve",A1)))</formula>
    </cfRule>
    <cfRule type="containsText" dxfId="3" priority="4" operator="containsText" text="Vilamoura">
      <formula>NOT(ISERROR(SEARCH("Vilamoura",A1)))</formula>
    </cfRule>
  </conditionalFormatting>
  <pageMargins left="0.7" right="0.7" top="0.75" bottom="0.75" header="0.3" footer="0.3"/>
  <pageSetup paperSize="8" scale="36"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719cc60-be1b-4850-9174-ae56662748ab" xsi:nil="true"/>
    <lcf76f155ced4ddcb4097134ff3c332f xmlns="24a4a72c-ed29-4ae6-a11d-e124fe970ac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77177FA78D39C418820245DA5AC388A" ma:contentTypeVersion="12" ma:contentTypeDescription="Create a new document." ma:contentTypeScope="" ma:versionID="0fbf6d5f48fff5e84f7e8dd542f4b089">
  <xsd:schema xmlns:xsd="http://www.w3.org/2001/XMLSchema" xmlns:xs="http://www.w3.org/2001/XMLSchema" xmlns:p="http://schemas.microsoft.com/office/2006/metadata/properties" xmlns:ns2="24a4a72c-ed29-4ae6-a11d-e124fe970ac4" xmlns:ns3="e719cc60-be1b-4850-9174-ae56662748ab" targetNamespace="http://schemas.microsoft.com/office/2006/metadata/properties" ma:root="true" ma:fieldsID="6ab3a286e251e01a2c01663597e808a8" ns2:_="" ns3:_="">
    <xsd:import namespace="24a4a72c-ed29-4ae6-a11d-e124fe970ac4"/>
    <xsd:import namespace="e719cc60-be1b-4850-9174-ae56662748a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a4a72c-ed29-4ae6-a11d-e124fe970a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fa3ccfe-acb3-4c17-b7fa-3c75389a7bb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719cc60-be1b-4850-9174-ae56662748a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4b90fa6-e6c0-4dde-b5e6-4bfa67e16a02}" ma:internalName="TaxCatchAll" ma:showField="CatchAllData" ma:web="e719cc60-be1b-4850-9174-ae56662748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97A001-E4F9-40C3-8C33-41B955FB372E}">
  <ds:schemaRefs>
    <ds:schemaRef ds:uri="http://schemas.microsoft.com/sharepoint/v3/contenttype/forms"/>
  </ds:schemaRefs>
</ds:datastoreItem>
</file>

<file path=customXml/itemProps2.xml><?xml version="1.0" encoding="utf-8"?>
<ds:datastoreItem xmlns:ds="http://schemas.openxmlformats.org/officeDocument/2006/customXml" ds:itemID="{C80C9A70-73F7-49C4-95DE-33CDDA89F016}">
  <ds:schemaRefs>
    <ds:schemaRef ds:uri="http://schemas.microsoft.com/office/2006/metadata/properties"/>
    <ds:schemaRef ds:uri="http://schemas.microsoft.com/office/infopath/2007/PartnerControls"/>
    <ds:schemaRef ds:uri="e719cc60-be1b-4850-9174-ae56662748ab"/>
    <ds:schemaRef ds:uri="24a4a72c-ed29-4ae6-a11d-e124fe970ac4"/>
  </ds:schemaRefs>
</ds:datastoreItem>
</file>

<file path=customXml/itemProps3.xml><?xml version="1.0" encoding="utf-8"?>
<ds:datastoreItem xmlns:ds="http://schemas.openxmlformats.org/officeDocument/2006/customXml" ds:itemID="{D2718573-BC61-421F-BE8B-079BBCC9AD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a4a72c-ed29-4ae6-a11d-e124fe970ac4"/>
    <ds:schemaRef ds:uri="e719cc60-be1b-4850-9174-ae56662748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16</vt:i4>
      </vt:variant>
    </vt:vector>
  </HeadingPairs>
  <TitlesOfParts>
    <vt:vector size="34" baseType="lpstr">
      <vt:lpstr>🏠 HOME</vt:lpstr>
      <vt:lpstr>Overview</vt:lpstr>
      <vt:lpstr>DATABASE</vt:lpstr>
      <vt:lpstr>Natura Village </vt:lpstr>
      <vt:lpstr>The Nine</vt:lpstr>
      <vt:lpstr>Terracota</vt:lpstr>
      <vt:lpstr>Nobilus</vt:lpstr>
      <vt:lpstr>Zestia</vt:lpstr>
      <vt:lpstr>Springs - At the Els</vt:lpstr>
      <vt:lpstr>Botanica</vt:lpstr>
      <vt:lpstr>The Uncommon</vt:lpstr>
      <vt:lpstr>Rivus</vt:lpstr>
      <vt:lpstr>Sutaya</vt:lpstr>
      <vt:lpstr>Azuya</vt:lpstr>
      <vt:lpstr>Palmares</vt:lpstr>
      <vt:lpstr>Monte Rei</vt:lpstr>
      <vt:lpstr>Aroeira Collections</vt:lpstr>
      <vt:lpstr>Vale Pisão Grand Park</vt:lpstr>
      <vt:lpstr>Database</vt:lpstr>
      <vt:lpstr>'Aroeira Collections'!Print_Area</vt:lpstr>
      <vt:lpstr>Azuya!Print_Area</vt:lpstr>
      <vt:lpstr>Botanica!Print_Area</vt:lpstr>
      <vt:lpstr>'Monte Rei'!Print_Area</vt:lpstr>
      <vt:lpstr>'Natura Village '!Print_Area</vt:lpstr>
      <vt:lpstr>Nobilus!Print_Area</vt:lpstr>
      <vt:lpstr>Palmares!Print_Area</vt:lpstr>
      <vt:lpstr>Rivus!Print_Area</vt:lpstr>
      <vt:lpstr>'Springs - At the Els'!Print_Area</vt:lpstr>
      <vt:lpstr>Sutaya!Print_Area</vt:lpstr>
      <vt:lpstr>Terracota!Print_Area</vt:lpstr>
      <vt:lpstr>'The Nine'!Print_Area</vt:lpstr>
      <vt:lpstr>'The Uncommon'!Print_Area</vt:lpstr>
      <vt:lpstr>'Vale Pisão Grand Park'!Print_Area</vt:lpstr>
      <vt:lpstr>Zestia!Print_Area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Carlota Varela Cid</dc:creator>
  <cp:keywords/>
  <dc:description/>
  <cp:lastModifiedBy>Vera Sousa Teixeira</cp:lastModifiedBy>
  <cp:revision/>
  <cp:lastPrinted>2026-06-25T13:55:13Z</cp:lastPrinted>
  <dcterms:created xsi:type="dcterms:W3CDTF">2025-06-16T18:42:55Z</dcterms:created>
  <dcterms:modified xsi:type="dcterms:W3CDTF">2026-06-29T17:30:16Z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0x010100B77177FA78D39C418820245DA5AC388A</vt:lpwstr>
  </property>
  <property fmtid="{D5CDD505-2E9C-101B-9397-08002B2CF9AE}" pid="3" name="MediaServiceImageTags">
    <vt:lpwstr/>
  </property>
</Properties>
</file>